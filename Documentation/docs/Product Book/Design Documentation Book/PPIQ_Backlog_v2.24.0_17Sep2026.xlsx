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harts/chart5.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Workspace\PlantProcess-IQ\Documentation\docs\Product Book\Design Documentation Book\"/>
    </mc:Choice>
  </mc:AlternateContent>
  <xr:revisionPtr revIDLastSave="0" documentId="13_ncr:20001_{2B658A23-6291-4DC2-B9CA-574CEA9FE602}" xr6:coauthVersionLast="47" xr6:coauthVersionMax="47" xr10:uidLastSave="{00000000-0000-0000-0000-000000000000}"/>
  <bookViews>
    <workbookView xWindow="-120" yWindow="-120" windowWidth="29040" windowHeight="15720" activeTab="1" xr2:uid="{00000000-000D-0000-FFFF-FFFF00000000}"/>
  </bookViews>
  <sheets>
    <sheet name="Current Authority" sheetId="1" r:id="rId1"/>
    <sheet name="Backlog" sheetId="2" r:id="rId2"/>
    <sheet name="Release Plan" sheetId="3" r:id="rId3"/>
    <sheet name="Worker Tracks" sheetId="4" r:id="rId4"/>
    <sheet name="Requirement Traceability" sheetId="5" r:id="rId5"/>
    <sheet name="Dependency Graph" sheetId="6" r:id="rId6"/>
    <sheet name="Prior Baseline Archive" sheetId="7" r:id="rId7"/>
    <sheet name="Governance" sheetId="8" r:id="rId8"/>
    <sheet name="Method &amp; Notes" sheetId="13" r:id="rId9"/>
    <sheet name="Commit Ledger" sheetId="14" r:id="rId10"/>
    <sheet name="Backlog Change Log" sheetId="15" r:id="rId11"/>
    <sheet name="Verified Task Ledger" sheetId="16" r:id="rId12"/>
    <sheet name="Phase Worker v220" sheetId="19" r:id="rId13"/>
    <sheet name="Dashboard v220" sheetId="20" r:id="rId14"/>
    <sheet name="Capability Map v1.1" sheetId="21" r:id="rId15"/>
    <sheet name="Retired Tasks v222" sheetId="22" r:id="rId16"/>
    <sheet name="Revision Changes v222" sheetId="23" r:id="rId17"/>
    <sheet name="Phase Worker v222" sheetId="24" r:id="rId18"/>
    <sheet name="Prior Notes v222" sheetId="25" r:id="rId19"/>
    <sheet name="Dashboard v222" sheetId="26" r:id="rId20"/>
    <sheet name="Contract Handoffs" sheetId="27" r:id="rId21"/>
    <sheet name="Estimate Review" sheetId="28" r:id="rId22"/>
    <sheet name="Repair Changes v2221" sheetId="29" r:id="rId23"/>
    <sheet name="External Prerequisites" sheetId="30" r:id="rId24"/>
    <sheet name="Secondary Capability Links" sheetId="31" r:id="rId25"/>
    <sheet name="UI Coverage v223" sheetId="32" r:id="rId26"/>
    <sheet name="UI Controls v223" sheetId="33" r:id="rId27"/>
    <sheet name="Changes v223" sheetId="34" r:id="rId28"/>
    <sheet name="UI Delivery v223" sheetId="35" r:id="rId29"/>
    <sheet name="Book Register" sheetId="36" r:id="rId30"/>
    <sheet name="Book Validation" sheetId="37" r:id="rId31"/>
    <sheet name="Task Evidence 15Sep" sheetId="38" r:id="rId32"/>
    <sheet name="M2-P2 Review" sheetId="39" r:id="rId33"/>
    <sheet name="Review 15Sep" sheetId="40" r:id="rId34"/>
    <sheet name="Cell Changes 15Sep" sheetId="41" r:id="rId35"/>
    <sheet name="Source Review" sheetId="42" r:id="rId36"/>
    <sheet name="Source Evidence" sheetId="43" r:id="rId37"/>
    <sheet name="Source Summary" sheetId="44" r:id="rId38"/>
    <sheet name="Authority Reconciliation 17Sep" sheetId="45" r:id="rId39"/>
    <sheet name="Worker Start 17Sep" sheetId="46" r:id="rId4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44" l="1"/>
  <c r="C11" i="44"/>
  <c r="B11" i="44"/>
  <c r="D10" i="44"/>
  <c r="C10" i="44"/>
  <c r="B10" i="44"/>
  <c r="D9" i="44"/>
  <c r="C9" i="44"/>
  <c r="B9" i="44"/>
  <c r="D7" i="44"/>
  <c r="C7" i="44"/>
  <c r="B7" i="44"/>
  <c r="D6" i="44"/>
  <c r="C6" i="44"/>
  <c r="B6" i="44"/>
  <c r="D2811" i="41"/>
  <c r="D9" i="40"/>
  <c r="C9" i="40"/>
  <c r="B9" i="40"/>
  <c r="D8" i="40"/>
  <c r="C8" i="40"/>
  <c r="B8" i="40"/>
  <c r="D7" i="40"/>
  <c r="C7" i="40"/>
  <c r="B7" i="40"/>
  <c r="D6" i="40"/>
  <c r="C6" i="40"/>
  <c r="B6" i="40"/>
  <c r="I35" i="39"/>
  <c r="H35" i="39"/>
  <c r="G35" i="39"/>
  <c r="I34" i="39"/>
  <c r="H34" i="39"/>
  <c r="G34" i="39"/>
  <c r="I33" i="39"/>
  <c r="H33" i="39"/>
  <c r="G33" i="39"/>
  <c r="I32" i="39"/>
  <c r="H32" i="39"/>
  <c r="G32" i="39"/>
  <c r="I31" i="39"/>
  <c r="H31" i="39"/>
  <c r="G31" i="39"/>
  <c r="I30" i="39"/>
  <c r="H30" i="39"/>
  <c r="G30" i="39"/>
  <c r="I29" i="39"/>
  <c r="H29" i="39"/>
  <c r="G29" i="39"/>
  <c r="I28" i="39"/>
  <c r="H28" i="39"/>
  <c r="G28" i="39"/>
  <c r="I27" i="39"/>
  <c r="H27" i="39"/>
  <c r="G27" i="39"/>
  <c r="I26" i="39"/>
  <c r="H26" i="39"/>
  <c r="G26" i="39"/>
  <c r="I25" i="39"/>
  <c r="H25" i="39"/>
  <c r="G25" i="39"/>
  <c r="I24" i="39"/>
  <c r="H24" i="39"/>
  <c r="G24" i="39"/>
  <c r="I23" i="39"/>
  <c r="H23" i="39"/>
  <c r="G23" i="39"/>
  <c r="I22" i="39"/>
  <c r="H22" i="39"/>
  <c r="G22" i="39"/>
  <c r="I21" i="39"/>
  <c r="H21" i="39"/>
  <c r="G21" i="39"/>
  <c r="I20" i="39"/>
  <c r="H20" i="39"/>
  <c r="G20" i="39"/>
  <c r="I19" i="39"/>
  <c r="H19" i="39"/>
  <c r="G19" i="39"/>
  <c r="I18" i="39"/>
  <c r="H18" i="39"/>
  <c r="G18" i="39"/>
  <c r="I17" i="39"/>
  <c r="H17" i="39"/>
  <c r="G17" i="39"/>
  <c r="I16" i="39"/>
  <c r="H16" i="39"/>
  <c r="G16" i="39"/>
  <c r="I15" i="39"/>
  <c r="H15" i="39"/>
  <c r="G15" i="39"/>
  <c r="I14" i="39"/>
  <c r="H14" i="39"/>
  <c r="G14" i="39"/>
  <c r="I13" i="39"/>
  <c r="H13" i="39"/>
  <c r="G13" i="39"/>
  <c r="I12" i="39"/>
  <c r="H12" i="39"/>
  <c r="G12" i="39"/>
  <c r="I11" i="39"/>
  <c r="H11" i="39"/>
  <c r="G11" i="39"/>
  <c r="I10" i="39"/>
  <c r="H10" i="39"/>
  <c r="G10" i="39"/>
  <c r="I9" i="39"/>
  <c r="H9" i="39"/>
  <c r="G9" i="39"/>
  <c r="I8" i="39"/>
  <c r="H8" i="39"/>
  <c r="G8" i="39"/>
  <c r="I7" i="39"/>
  <c r="H7" i="39"/>
  <c r="G7" i="39"/>
  <c r="I6" i="39"/>
  <c r="H6" i="39"/>
  <c r="G6" i="39"/>
  <c r="I5" i="39"/>
  <c r="H5" i="39"/>
  <c r="G5" i="39"/>
  <c r="I4" i="39"/>
  <c r="H4" i="39"/>
  <c r="G4" i="39"/>
  <c r="I3" i="39"/>
  <c r="H3" i="39"/>
  <c r="G3" i="39"/>
  <c r="I2" i="39"/>
  <c r="H2" i="39"/>
  <c r="G2" i="39"/>
  <c r="I3" i="37"/>
  <c r="H3" i="37"/>
  <c r="G3" i="37"/>
  <c r="I2" i="37"/>
  <c r="H2" i="37"/>
  <c r="G2" i="37"/>
  <c r="I26" i="35"/>
  <c r="H26" i="35"/>
  <c r="I25" i="35"/>
  <c r="H25" i="35"/>
  <c r="I24" i="35"/>
  <c r="H24" i="35"/>
  <c r="D179" i="31"/>
  <c r="C179" i="31"/>
  <c r="D178" i="31"/>
  <c r="C178" i="31"/>
  <c r="D177" i="31"/>
  <c r="C177" i="31"/>
  <c r="L11" i="21" s="1"/>
  <c r="D176" i="31"/>
  <c r="C176" i="31"/>
  <c r="D175" i="31"/>
  <c r="C175" i="31"/>
  <c r="D174" i="31"/>
  <c r="C174" i="31"/>
  <c r="D173" i="31"/>
  <c r="C173" i="31"/>
  <c r="D172" i="31"/>
  <c r="C172" i="31"/>
  <c r="D171" i="31"/>
  <c r="C171" i="31"/>
  <c r="D170" i="31"/>
  <c r="C170" i="31"/>
  <c r="D169" i="31"/>
  <c r="C169" i="31"/>
  <c r="D168" i="31"/>
  <c r="C168" i="31"/>
  <c r="D167" i="31"/>
  <c r="C167" i="31"/>
  <c r="D166" i="31"/>
  <c r="C166" i="31"/>
  <c r="D165" i="31"/>
  <c r="C165" i="31"/>
  <c r="D164" i="31"/>
  <c r="C164" i="31"/>
  <c r="D163" i="31"/>
  <c r="C163" i="31"/>
  <c r="D162" i="31"/>
  <c r="C162" i="31"/>
  <c r="D161" i="31"/>
  <c r="C161" i="31"/>
  <c r="D160" i="31"/>
  <c r="C160" i="31"/>
  <c r="D159" i="31"/>
  <c r="C159" i="31"/>
  <c r="D158" i="31"/>
  <c r="C158" i="31"/>
  <c r="D157" i="31"/>
  <c r="C157" i="31"/>
  <c r="D156" i="31"/>
  <c r="C156" i="31"/>
  <c r="D155" i="31"/>
  <c r="C155" i="31"/>
  <c r="D154" i="31"/>
  <c r="C154" i="31"/>
  <c r="D153" i="31"/>
  <c r="C153" i="31"/>
  <c r="D152" i="31"/>
  <c r="C152" i="31"/>
  <c r="D151" i="31"/>
  <c r="C151" i="31"/>
  <c r="D150" i="31"/>
  <c r="C150" i="31"/>
  <c r="D149" i="31"/>
  <c r="C149" i="31"/>
  <c r="L80" i="21" s="1"/>
  <c r="D148" i="31"/>
  <c r="C148" i="31"/>
  <c r="D147" i="31"/>
  <c r="C147" i="31"/>
  <c r="D146" i="31"/>
  <c r="C146" i="31"/>
  <c r="D145" i="31"/>
  <c r="C145" i="31"/>
  <c r="D144" i="31"/>
  <c r="C144" i="31"/>
  <c r="D143" i="31"/>
  <c r="C143" i="31"/>
  <c r="L49" i="21" s="1"/>
  <c r="D142" i="31"/>
  <c r="C142" i="31"/>
  <c r="D141" i="31"/>
  <c r="C141" i="31"/>
  <c r="D140" i="31"/>
  <c r="C140" i="31"/>
  <c r="D139" i="31"/>
  <c r="C139" i="31"/>
  <c r="D138" i="31"/>
  <c r="C138" i="31"/>
  <c r="L52" i="21" s="1"/>
  <c r="D137" i="31"/>
  <c r="C137" i="31"/>
  <c r="D136" i="31"/>
  <c r="C136" i="31"/>
  <c r="D135" i="31"/>
  <c r="C135" i="31"/>
  <c r="D134" i="31"/>
  <c r="C134" i="31"/>
  <c r="D133" i="31"/>
  <c r="C133" i="31"/>
  <c r="L45" i="21" s="1"/>
  <c r="D132" i="31"/>
  <c r="C132" i="31"/>
  <c r="L38" i="21" s="1"/>
  <c r="D131" i="31"/>
  <c r="C131" i="31"/>
  <c r="D130" i="31"/>
  <c r="C130" i="31"/>
  <c r="D129" i="31"/>
  <c r="C129" i="31"/>
  <c r="D128" i="31"/>
  <c r="C128" i="31"/>
  <c r="D127" i="31"/>
  <c r="C127" i="31"/>
  <c r="D126" i="31"/>
  <c r="C126" i="31"/>
  <c r="D125" i="31"/>
  <c r="C125" i="31"/>
  <c r="D124" i="31"/>
  <c r="C124" i="31"/>
  <c r="D123" i="31"/>
  <c r="C123" i="31"/>
  <c r="D122" i="31"/>
  <c r="C122" i="31"/>
  <c r="D121" i="31"/>
  <c r="C121" i="31"/>
  <c r="D120" i="31"/>
  <c r="C120" i="31"/>
  <c r="D119" i="31"/>
  <c r="C119" i="31"/>
  <c r="D118" i="31"/>
  <c r="C118" i="31"/>
  <c r="D117" i="31"/>
  <c r="C117" i="31"/>
  <c r="L34" i="21" s="1"/>
  <c r="D116" i="31"/>
  <c r="C116" i="31"/>
  <c r="D115" i="31"/>
  <c r="C115" i="31"/>
  <c r="D114" i="31"/>
  <c r="C114" i="31"/>
  <c r="D113" i="31"/>
  <c r="C113" i="31"/>
  <c r="L46" i="21" s="1"/>
  <c r="D112" i="31"/>
  <c r="C112" i="31"/>
  <c r="L77" i="21" s="1"/>
  <c r="D111" i="31"/>
  <c r="C111" i="31"/>
  <c r="D110" i="31"/>
  <c r="C110" i="31"/>
  <c r="D109" i="31"/>
  <c r="C109" i="31"/>
  <c r="D108" i="31"/>
  <c r="C108" i="31"/>
  <c r="D107" i="31"/>
  <c r="C107" i="31"/>
  <c r="D106" i="31"/>
  <c r="C106" i="31"/>
  <c r="D105" i="31"/>
  <c r="C105" i="31"/>
  <c r="D104" i="31"/>
  <c r="C104" i="31"/>
  <c r="D103" i="31"/>
  <c r="C103" i="31"/>
  <c r="L29" i="21" s="1"/>
  <c r="D102" i="31"/>
  <c r="C102" i="31"/>
  <c r="D101" i="31"/>
  <c r="C101" i="31"/>
  <c r="D100" i="31"/>
  <c r="C100" i="31"/>
  <c r="D99" i="31"/>
  <c r="C99" i="31"/>
  <c r="D98" i="31"/>
  <c r="C98" i="31"/>
  <c r="L59" i="21" s="1"/>
  <c r="D97" i="31"/>
  <c r="C97" i="31"/>
  <c r="L35" i="21" s="1"/>
  <c r="D96" i="31"/>
  <c r="C96" i="31"/>
  <c r="D95" i="31"/>
  <c r="C95" i="31"/>
  <c r="D94" i="31"/>
  <c r="C94" i="31"/>
  <c r="L76" i="21" s="1"/>
  <c r="D93" i="31"/>
  <c r="C93" i="31"/>
  <c r="D92" i="31"/>
  <c r="C92" i="31"/>
  <c r="L74" i="21" s="1"/>
  <c r="D91" i="31"/>
  <c r="C91" i="31"/>
  <c r="D90" i="31"/>
  <c r="C90" i="31"/>
  <c r="D89" i="31"/>
  <c r="C89" i="31"/>
  <c r="D88" i="31"/>
  <c r="C88" i="31"/>
  <c r="D87" i="31"/>
  <c r="C87" i="31"/>
  <c r="D86" i="31"/>
  <c r="C86" i="31"/>
  <c r="D85" i="31"/>
  <c r="C85" i="31"/>
  <c r="D84" i="31"/>
  <c r="C84" i="31"/>
  <c r="D83" i="31"/>
  <c r="C83" i="31"/>
  <c r="D82" i="31"/>
  <c r="C82" i="31"/>
  <c r="L28" i="21" s="1"/>
  <c r="D81" i="31"/>
  <c r="C81" i="31"/>
  <c r="D80" i="31"/>
  <c r="C80" i="31"/>
  <c r="D79" i="31"/>
  <c r="C79" i="31"/>
  <c r="D78" i="31"/>
  <c r="C78" i="31"/>
  <c r="D77" i="31"/>
  <c r="C77" i="31"/>
  <c r="D76" i="31"/>
  <c r="C76" i="31"/>
  <c r="D75" i="31"/>
  <c r="C75" i="31"/>
  <c r="L57" i="21" s="1"/>
  <c r="D74" i="31"/>
  <c r="C74" i="31"/>
  <c r="L65" i="21" s="1"/>
  <c r="D73" i="31"/>
  <c r="C73" i="31"/>
  <c r="D72" i="31"/>
  <c r="C72" i="31"/>
  <c r="D71" i="31"/>
  <c r="C71" i="31"/>
  <c r="D70" i="31"/>
  <c r="C70" i="31"/>
  <c r="D69" i="31"/>
  <c r="C69" i="31"/>
  <c r="D68" i="31"/>
  <c r="C68" i="31"/>
  <c r="D67" i="31"/>
  <c r="C67" i="31"/>
  <c r="D66" i="31"/>
  <c r="C66" i="31"/>
  <c r="L63" i="21" s="1"/>
  <c r="D65" i="31"/>
  <c r="C65" i="31"/>
  <c r="D64" i="31"/>
  <c r="C64" i="31"/>
  <c r="D63" i="31"/>
  <c r="C63" i="31"/>
  <c r="D62" i="31"/>
  <c r="C62" i="31"/>
  <c r="D61" i="31"/>
  <c r="C61" i="31"/>
  <c r="D60" i="31"/>
  <c r="C60" i="31"/>
  <c r="D59" i="31"/>
  <c r="C59" i="31"/>
  <c r="D58" i="31"/>
  <c r="C58" i="31"/>
  <c r="D57" i="31"/>
  <c r="C57" i="31"/>
  <c r="D56" i="31"/>
  <c r="C56" i="31"/>
  <c r="D55" i="31"/>
  <c r="C55" i="31"/>
  <c r="D54" i="31"/>
  <c r="C54" i="31"/>
  <c r="D53" i="31"/>
  <c r="C53" i="31"/>
  <c r="D52" i="31"/>
  <c r="C52" i="31"/>
  <c r="D51" i="31"/>
  <c r="C51" i="31"/>
  <c r="D50" i="31"/>
  <c r="C50" i="31"/>
  <c r="D49" i="31"/>
  <c r="C49" i="31"/>
  <c r="D48" i="31"/>
  <c r="C48" i="31"/>
  <c r="D47" i="31"/>
  <c r="C47" i="31"/>
  <c r="D46" i="31"/>
  <c r="C46" i="31"/>
  <c r="D45" i="31"/>
  <c r="C45" i="31"/>
  <c r="D44" i="31"/>
  <c r="C44" i="31"/>
  <c r="D43" i="31"/>
  <c r="C43" i="31"/>
  <c r="D42" i="31"/>
  <c r="C42" i="31"/>
  <c r="D41" i="31"/>
  <c r="C41" i="31"/>
  <c r="D40" i="31"/>
  <c r="C40" i="31"/>
  <c r="D39" i="31"/>
  <c r="C39" i="31"/>
  <c r="D38" i="31"/>
  <c r="C38" i="31"/>
  <c r="D37" i="31"/>
  <c r="C37" i="31"/>
  <c r="D36" i="31"/>
  <c r="C36" i="31"/>
  <c r="D35" i="31"/>
  <c r="C35" i="31"/>
  <c r="L60" i="21" s="1"/>
  <c r="D34" i="31"/>
  <c r="C34" i="31"/>
  <c r="D33" i="31"/>
  <c r="C33" i="31"/>
  <c r="D32" i="31"/>
  <c r="C32" i="31"/>
  <c r="D31" i="31"/>
  <c r="C31" i="31"/>
  <c r="D30" i="31"/>
  <c r="C30" i="31"/>
  <c r="D29" i="31"/>
  <c r="C29" i="31"/>
  <c r="D28" i="31"/>
  <c r="C28" i="31"/>
  <c r="D27" i="31"/>
  <c r="C27" i="31"/>
  <c r="D26" i="31"/>
  <c r="C26" i="31"/>
  <c r="D25" i="31"/>
  <c r="C25" i="31"/>
  <c r="D24" i="31"/>
  <c r="C24" i="31"/>
  <c r="D23" i="31"/>
  <c r="C23" i="31"/>
  <c r="D22" i="31"/>
  <c r="C22" i="31"/>
  <c r="D21" i="31"/>
  <c r="C21" i="31"/>
  <c r="D20" i="31"/>
  <c r="C20" i="31"/>
  <c r="L9" i="21" s="1"/>
  <c r="D19" i="31"/>
  <c r="C19" i="31"/>
  <c r="D18" i="31"/>
  <c r="C18" i="31"/>
  <c r="D17" i="31"/>
  <c r="C17" i="31"/>
  <c r="D16" i="31"/>
  <c r="C16" i="31"/>
  <c r="D15" i="31"/>
  <c r="C15" i="31"/>
  <c r="L61" i="21" s="1"/>
  <c r="D14" i="31"/>
  <c r="C14" i="31"/>
  <c r="D13" i="31"/>
  <c r="C13" i="31"/>
  <c r="D12" i="31"/>
  <c r="C12" i="31"/>
  <c r="D11" i="31"/>
  <c r="C11" i="31"/>
  <c r="D10" i="31"/>
  <c r="C10" i="31"/>
  <c r="D9" i="31"/>
  <c r="C9" i="31"/>
  <c r="D8" i="31"/>
  <c r="C8" i="31"/>
  <c r="D7" i="31"/>
  <c r="C7" i="31"/>
  <c r="D6" i="31"/>
  <c r="C6" i="31"/>
  <c r="D5" i="31"/>
  <c r="C5" i="31"/>
  <c r="D4" i="31"/>
  <c r="C4" i="31"/>
  <c r="L12" i="21" s="1"/>
  <c r="D3" i="31"/>
  <c r="C3" i="31"/>
  <c r="D2" i="31"/>
  <c r="C2" i="31"/>
  <c r="C8" i="26"/>
  <c r="B8" i="26"/>
  <c r="I7" i="26"/>
  <c r="H7" i="26"/>
  <c r="C7" i="26"/>
  <c r="B7" i="26"/>
  <c r="I6" i="26"/>
  <c r="H6" i="26"/>
  <c r="C6" i="26"/>
  <c r="B6" i="26"/>
  <c r="I5" i="26"/>
  <c r="H5" i="26"/>
  <c r="C5" i="26"/>
  <c r="B5" i="26"/>
  <c r="J32" i="24"/>
  <c r="H32" i="24"/>
  <c r="G32" i="24"/>
  <c r="E32" i="24"/>
  <c r="D32" i="24"/>
  <c r="H31" i="24"/>
  <c r="E31" i="24"/>
  <c r="D31" i="24"/>
  <c r="H30" i="24"/>
  <c r="E30" i="24"/>
  <c r="D30" i="24"/>
  <c r="H29" i="24"/>
  <c r="E29" i="24"/>
  <c r="D29" i="24"/>
  <c r="H28" i="24"/>
  <c r="E28" i="24"/>
  <c r="D28" i="24"/>
  <c r="H27" i="24"/>
  <c r="E27" i="24"/>
  <c r="D27" i="24"/>
  <c r="H26" i="24"/>
  <c r="E26" i="24"/>
  <c r="D26" i="24"/>
  <c r="H25" i="24"/>
  <c r="E25" i="24"/>
  <c r="D25" i="24"/>
  <c r="J24" i="24"/>
  <c r="H24" i="24"/>
  <c r="G24" i="24"/>
  <c r="E24" i="24"/>
  <c r="D24" i="24"/>
  <c r="J23" i="24"/>
  <c r="H23" i="24"/>
  <c r="G23" i="24"/>
  <c r="E23" i="24"/>
  <c r="D23" i="24"/>
  <c r="H22" i="24"/>
  <c r="E22" i="24"/>
  <c r="D22" i="24"/>
  <c r="H21" i="24"/>
  <c r="E21" i="24"/>
  <c r="D21" i="24"/>
  <c r="H20" i="24"/>
  <c r="E20" i="24"/>
  <c r="D20" i="24"/>
  <c r="J19" i="24"/>
  <c r="H19" i="24"/>
  <c r="G19" i="24"/>
  <c r="E19" i="24"/>
  <c r="D19" i="24"/>
  <c r="H18" i="24"/>
  <c r="E18" i="24"/>
  <c r="D18" i="24"/>
  <c r="H17" i="24"/>
  <c r="E17" i="24"/>
  <c r="D17" i="24"/>
  <c r="H16" i="24"/>
  <c r="E16" i="24"/>
  <c r="D16" i="24"/>
  <c r="H15" i="24"/>
  <c r="E15" i="24"/>
  <c r="D15" i="24"/>
  <c r="E14" i="24"/>
  <c r="D14" i="24"/>
  <c r="H13" i="24"/>
  <c r="E13" i="24"/>
  <c r="D13" i="24"/>
  <c r="J12" i="24"/>
  <c r="H12" i="24"/>
  <c r="G12" i="24"/>
  <c r="E12" i="24"/>
  <c r="D12" i="24"/>
  <c r="J11" i="24"/>
  <c r="H11" i="24"/>
  <c r="G11" i="24"/>
  <c r="E11" i="24"/>
  <c r="D11" i="24"/>
  <c r="H10" i="24"/>
  <c r="E10" i="24"/>
  <c r="D10" i="24"/>
  <c r="J9" i="24"/>
  <c r="H9" i="24"/>
  <c r="G9" i="24"/>
  <c r="E9" i="24"/>
  <c r="D9" i="24"/>
  <c r="E8" i="24"/>
  <c r="D8" i="24"/>
  <c r="E7" i="24"/>
  <c r="D7" i="24"/>
  <c r="E6" i="24"/>
  <c r="D6" i="24"/>
  <c r="E5" i="24"/>
  <c r="D5" i="24"/>
  <c r="E4" i="24"/>
  <c r="D4" i="24"/>
  <c r="E3" i="24"/>
  <c r="D3" i="24"/>
  <c r="L81" i="21"/>
  <c r="K81" i="21"/>
  <c r="I81" i="21"/>
  <c r="H81" i="21"/>
  <c r="F81" i="21"/>
  <c r="E81" i="21"/>
  <c r="K80" i="21"/>
  <c r="I80" i="21"/>
  <c r="H80" i="21"/>
  <c r="F80" i="21"/>
  <c r="E80" i="21"/>
  <c r="K79" i="21"/>
  <c r="I79" i="21"/>
  <c r="H79" i="21"/>
  <c r="F79" i="21"/>
  <c r="E79" i="21"/>
  <c r="L78" i="21"/>
  <c r="K78" i="21"/>
  <c r="I78" i="21"/>
  <c r="H78" i="21"/>
  <c r="F78" i="21"/>
  <c r="E78" i="21"/>
  <c r="K77" i="21"/>
  <c r="I77" i="21"/>
  <c r="H77" i="21"/>
  <c r="F77" i="21"/>
  <c r="E77" i="21"/>
  <c r="K76" i="21"/>
  <c r="I76" i="21"/>
  <c r="H76" i="21"/>
  <c r="F76" i="21"/>
  <c r="E76" i="21"/>
  <c r="L75" i="21"/>
  <c r="K75" i="21"/>
  <c r="I75" i="21"/>
  <c r="H75" i="21"/>
  <c r="F75" i="21"/>
  <c r="E75" i="21"/>
  <c r="K74" i="21"/>
  <c r="I74" i="21"/>
  <c r="H74" i="21"/>
  <c r="F74" i="21"/>
  <c r="E74" i="21"/>
  <c r="K73" i="21"/>
  <c r="I73" i="21"/>
  <c r="H73" i="21"/>
  <c r="F73" i="21"/>
  <c r="E73" i="21"/>
  <c r="K72" i="21"/>
  <c r="I72" i="21"/>
  <c r="H72" i="21"/>
  <c r="F72" i="21"/>
  <c r="E72" i="21"/>
  <c r="K71" i="21"/>
  <c r="I71" i="21"/>
  <c r="H71" i="21"/>
  <c r="F71" i="21"/>
  <c r="E71" i="21"/>
  <c r="L70" i="21"/>
  <c r="K70" i="21"/>
  <c r="I70" i="21"/>
  <c r="H70" i="21"/>
  <c r="F70" i="21"/>
  <c r="E70" i="21"/>
  <c r="K69" i="21"/>
  <c r="I69" i="21"/>
  <c r="H69" i="21"/>
  <c r="F69" i="21"/>
  <c r="E69" i="21"/>
  <c r="K68" i="21"/>
  <c r="I68" i="21"/>
  <c r="H68" i="21"/>
  <c r="F68" i="21"/>
  <c r="E68" i="21"/>
  <c r="L67" i="21"/>
  <c r="K67" i="21"/>
  <c r="I67" i="21"/>
  <c r="H67" i="21"/>
  <c r="F67" i="21"/>
  <c r="E67" i="21"/>
  <c r="K66" i="21"/>
  <c r="I66" i="21"/>
  <c r="H66" i="21"/>
  <c r="F66" i="21"/>
  <c r="E66" i="21"/>
  <c r="K65" i="21"/>
  <c r="I65" i="21"/>
  <c r="H65" i="21"/>
  <c r="F65" i="21"/>
  <c r="E65" i="21"/>
  <c r="K64" i="21"/>
  <c r="I64" i="21"/>
  <c r="H64" i="21"/>
  <c r="F64" i="21"/>
  <c r="E64" i="21"/>
  <c r="K63" i="21"/>
  <c r="I63" i="21"/>
  <c r="H63" i="21"/>
  <c r="F63" i="21"/>
  <c r="E63" i="21"/>
  <c r="K62" i="21"/>
  <c r="I62" i="21"/>
  <c r="H62" i="21"/>
  <c r="F62" i="21"/>
  <c r="E62" i="21"/>
  <c r="K61" i="21"/>
  <c r="I61" i="21"/>
  <c r="H61" i="21"/>
  <c r="F61" i="21"/>
  <c r="E61" i="21"/>
  <c r="K60" i="21"/>
  <c r="I60" i="21"/>
  <c r="H60" i="21"/>
  <c r="F60" i="21"/>
  <c r="E60" i="21"/>
  <c r="K59" i="21"/>
  <c r="I59" i="21"/>
  <c r="H59" i="21"/>
  <c r="F59" i="21"/>
  <c r="E59" i="21"/>
  <c r="L58" i="21"/>
  <c r="K58" i="21"/>
  <c r="I58" i="21"/>
  <c r="H58" i="21"/>
  <c r="F58" i="21"/>
  <c r="E58" i="21"/>
  <c r="K57" i="21"/>
  <c r="I57" i="21"/>
  <c r="H57" i="21"/>
  <c r="F57" i="21"/>
  <c r="E57" i="21"/>
  <c r="K56" i="21"/>
  <c r="I56" i="21"/>
  <c r="H56" i="21"/>
  <c r="F56" i="21"/>
  <c r="E56" i="21"/>
  <c r="L55" i="21"/>
  <c r="K55" i="21"/>
  <c r="I55" i="21"/>
  <c r="H55" i="21"/>
  <c r="F55" i="21"/>
  <c r="E55" i="21"/>
  <c r="L54" i="21"/>
  <c r="K54" i="21"/>
  <c r="I54" i="21"/>
  <c r="H54" i="21"/>
  <c r="F54" i="21"/>
  <c r="E54" i="21"/>
  <c r="L53" i="21"/>
  <c r="K53" i="21"/>
  <c r="I53" i="21"/>
  <c r="H53" i="21"/>
  <c r="F53" i="21"/>
  <c r="E53" i="21"/>
  <c r="K52" i="21"/>
  <c r="I52" i="21"/>
  <c r="H52" i="21"/>
  <c r="F52" i="21"/>
  <c r="E52" i="21"/>
  <c r="K51" i="21"/>
  <c r="I51" i="21"/>
  <c r="H51" i="21"/>
  <c r="F51" i="21"/>
  <c r="E51" i="21"/>
  <c r="L50" i="21"/>
  <c r="K50" i="21"/>
  <c r="I50" i="21"/>
  <c r="H50" i="21"/>
  <c r="F50" i="21"/>
  <c r="E50" i="21"/>
  <c r="K49" i="21"/>
  <c r="I49" i="21"/>
  <c r="H49" i="21"/>
  <c r="F49" i="21"/>
  <c r="E49" i="21"/>
  <c r="K48" i="21"/>
  <c r="I48" i="21"/>
  <c r="H48" i="21"/>
  <c r="F48" i="21"/>
  <c r="E48" i="21"/>
  <c r="L47" i="21"/>
  <c r="K47" i="21"/>
  <c r="I47" i="21"/>
  <c r="H47" i="21"/>
  <c r="F47" i="21"/>
  <c r="E47" i="21"/>
  <c r="K46" i="21"/>
  <c r="I46" i="21"/>
  <c r="H46" i="21"/>
  <c r="F46" i="21"/>
  <c r="E46" i="21"/>
  <c r="K45" i="21"/>
  <c r="I45" i="21"/>
  <c r="H45" i="21"/>
  <c r="F45" i="21"/>
  <c r="E45" i="21"/>
  <c r="K44" i="21"/>
  <c r="I44" i="21"/>
  <c r="H44" i="21"/>
  <c r="F44" i="21"/>
  <c r="E44" i="21"/>
  <c r="K43" i="21"/>
  <c r="I43" i="21"/>
  <c r="H43" i="21"/>
  <c r="F43" i="21"/>
  <c r="E43" i="21"/>
  <c r="K42" i="21"/>
  <c r="I42" i="21"/>
  <c r="H42" i="21"/>
  <c r="F42" i="21"/>
  <c r="E42" i="21"/>
  <c r="K41" i="21"/>
  <c r="I41" i="21"/>
  <c r="H41" i="21"/>
  <c r="F41" i="21"/>
  <c r="E41" i="21"/>
  <c r="L40" i="21"/>
  <c r="K40" i="21"/>
  <c r="I40" i="21"/>
  <c r="H40" i="21"/>
  <c r="F40" i="21"/>
  <c r="E40" i="21"/>
  <c r="K39" i="21"/>
  <c r="I39" i="21"/>
  <c r="H39" i="21"/>
  <c r="F39" i="21"/>
  <c r="E39" i="21"/>
  <c r="K38" i="21"/>
  <c r="I38" i="21"/>
  <c r="H38" i="21"/>
  <c r="F38" i="21"/>
  <c r="E38" i="21"/>
  <c r="K37" i="21"/>
  <c r="I37" i="21"/>
  <c r="H37" i="21"/>
  <c r="F37" i="21"/>
  <c r="E37" i="21"/>
  <c r="K36" i="21"/>
  <c r="I36" i="21"/>
  <c r="H36" i="21"/>
  <c r="F36" i="21"/>
  <c r="E36" i="21"/>
  <c r="K35" i="21"/>
  <c r="I35" i="21"/>
  <c r="H35" i="21"/>
  <c r="F35" i="21"/>
  <c r="E35" i="21"/>
  <c r="K34" i="21"/>
  <c r="I34" i="21"/>
  <c r="H34" i="21"/>
  <c r="F34" i="21"/>
  <c r="E34" i="21"/>
  <c r="K33" i="21"/>
  <c r="I33" i="21"/>
  <c r="H33" i="21"/>
  <c r="F33" i="21"/>
  <c r="E33" i="21"/>
  <c r="K32" i="21"/>
  <c r="I32" i="21"/>
  <c r="H32" i="21"/>
  <c r="F32" i="21"/>
  <c r="E32" i="21"/>
  <c r="K31" i="21"/>
  <c r="I31" i="21"/>
  <c r="H31" i="21"/>
  <c r="F31" i="21"/>
  <c r="E31" i="21"/>
  <c r="K30" i="21"/>
  <c r="I30" i="21"/>
  <c r="H30" i="21"/>
  <c r="F30" i="21"/>
  <c r="E30" i="21"/>
  <c r="K29" i="21"/>
  <c r="I29" i="21"/>
  <c r="H29" i="21"/>
  <c r="F29" i="21"/>
  <c r="E29" i="21"/>
  <c r="K28" i="21"/>
  <c r="I28" i="21"/>
  <c r="H28" i="21"/>
  <c r="F28" i="21"/>
  <c r="E28" i="21"/>
  <c r="K27" i="21"/>
  <c r="I27" i="21"/>
  <c r="H27" i="21"/>
  <c r="F27" i="21"/>
  <c r="E27" i="21"/>
  <c r="K26" i="21"/>
  <c r="I26" i="21"/>
  <c r="H26" i="21"/>
  <c r="F26" i="21"/>
  <c r="E26" i="21"/>
  <c r="K25" i="21"/>
  <c r="I25" i="21"/>
  <c r="H25" i="21"/>
  <c r="F25" i="21"/>
  <c r="E25" i="21"/>
  <c r="K24" i="21"/>
  <c r="I24" i="21"/>
  <c r="H24" i="21"/>
  <c r="F24" i="21"/>
  <c r="E24" i="21"/>
  <c r="K23" i="21"/>
  <c r="I23" i="21"/>
  <c r="H23" i="21"/>
  <c r="F23" i="21"/>
  <c r="E23" i="21"/>
  <c r="K22" i="21"/>
  <c r="I22" i="21"/>
  <c r="H22" i="21"/>
  <c r="F22" i="21"/>
  <c r="E22" i="21"/>
  <c r="K21" i="21"/>
  <c r="I21" i="21"/>
  <c r="H21" i="21"/>
  <c r="F21" i="21"/>
  <c r="E21" i="21"/>
  <c r="K20" i="21"/>
  <c r="I20" i="21"/>
  <c r="H20" i="21"/>
  <c r="F20" i="21"/>
  <c r="E20" i="21"/>
  <c r="L19" i="21"/>
  <c r="K19" i="21"/>
  <c r="I19" i="21"/>
  <c r="H19" i="21"/>
  <c r="F19" i="21"/>
  <c r="E19" i="21"/>
  <c r="K18" i="21"/>
  <c r="I18" i="21"/>
  <c r="H18" i="21"/>
  <c r="F18" i="21"/>
  <c r="E18" i="21"/>
  <c r="K17" i="21"/>
  <c r="I17" i="21"/>
  <c r="H17" i="21"/>
  <c r="F17" i="21"/>
  <c r="E17" i="21"/>
  <c r="K16" i="21"/>
  <c r="I16" i="21"/>
  <c r="H16" i="21"/>
  <c r="F16" i="21"/>
  <c r="E16" i="21"/>
  <c r="L15" i="21"/>
  <c r="K15" i="21"/>
  <c r="I15" i="21"/>
  <c r="H15" i="21"/>
  <c r="F15" i="21"/>
  <c r="E15" i="21"/>
  <c r="K14" i="21"/>
  <c r="I14" i="21"/>
  <c r="H14" i="21"/>
  <c r="F14" i="21"/>
  <c r="E14" i="21"/>
  <c r="K13" i="21"/>
  <c r="I13" i="21"/>
  <c r="H13" i="21"/>
  <c r="F13" i="21"/>
  <c r="E13" i="21"/>
  <c r="K12" i="21"/>
  <c r="I12" i="21"/>
  <c r="H12" i="21"/>
  <c r="F12" i="21"/>
  <c r="E12" i="21"/>
  <c r="K11" i="21"/>
  <c r="I11" i="21"/>
  <c r="H11" i="21"/>
  <c r="F11" i="21"/>
  <c r="E11" i="21"/>
  <c r="K10" i="21"/>
  <c r="I10" i="21"/>
  <c r="H10" i="21"/>
  <c r="F10" i="21"/>
  <c r="E10" i="21"/>
  <c r="K9" i="21"/>
  <c r="I9" i="21"/>
  <c r="H9" i="21"/>
  <c r="F9" i="21"/>
  <c r="E9" i="21"/>
  <c r="K8" i="21"/>
  <c r="I8" i="21"/>
  <c r="H8" i="21"/>
  <c r="F8" i="21"/>
  <c r="E8" i="21"/>
  <c r="K7" i="21"/>
  <c r="I7" i="21"/>
  <c r="H7" i="21"/>
  <c r="F7" i="21"/>
  <c r="E7" i="21"/>
  <c r="K6" i="21"/>
  <c r="I6" i="21"/>
  <c r="H6" i="21"/>
  <c r="F6" i="21"/>
  <c r="E6" i="21"/>
  <c r="K5" i="21"/>
  <c r="I5" i="21"/>
  <c r="H5" i="21"/>
  <c r="F5" i="21"/>
  <c r="E5" i="21"/>
  <c r="K4" i="21"/>
  <c r="I4" i="21"/>
  <c r="H4" i="21"/>
  <c r="F4" i="21"/>
  <c r="E4" i="21"/>
  <c r="G18" i="19"/>
  <c r="E18" i="19"/>
  <c r="G17" i="19"/>
  <c r="E17" i="19"/>
  <c r="G16" i="19"/>
  <c r="E16" i="19"/>
  <c r="G15" i="19"/>
  <c r="E15" i="19"/>
  <c r="G14" i="19"/>
  <c r="E14" i="19"/>
  <c r="G13" i="19"/>
  <c r="E13" i="19"/>
  <c r="G12" i="19"/>
  <c r="E12" i="19"/>
  <c r="G11" i="19"/>
  <c r="E11" i="19"/>
  <c r="G10" i="19"/>
  <c r="E10" i="19"/>
  <c r="G9" i="19"/>
  <c r="E9" i="19"/>
  <c r="G8" i="19"/>
  <c r="E8" i="19"/>
  <c r="G7" i="19"/>
  <c r="E7" i="19"/>
  <c r="G6" i="19"/>
  <c r="E6" i="19"/>
  <c r="G5" i="19"/>
  <c r="E5" i="19"/>
  <c r="G4" i="19"/>
  <c r="E4" i="19"/>
  <c r="J188" i="6"/>
  <c r="I188" i="6"/>
  <c r="H188" i="6"/>
  <c r="G188" i="6"/>
  <c r="F188" i="6"/>
  <c r="E188" i="6"/>
  <c r="D188" i="6"/>
  <c r="C188" i="6"/>
  <c r="B188" i="6"/>
  <c r="J187" i="6"/>
  <c r="I187" i="6"/>
  <c r="H187" i="6"/>
  <c r="G187" i="6"/>
  <c r="F187" i="6"/>
  <c r="E187" i="6"/>
  <c r="D187" i="6"/>
  <c r="C187" i="6"/>
  <c r="B187" i="6"/>
  <c r="J186" i="6"/>
  <c r="I186" i="6"/>
  <c r="H186" i="6"/>
  <c r="G186" i="6"/>
  <c r="F186" i="6"/>
  <c r="E186" i="6"/>
  <c r="D186" i="6"/>
  <c r="C186" i="6"/>
  <c r="B186" i="6"/>
  <c r="J185" i="6"/>
  <c r="I185" i="6"/>
  <c r="H185" i="6"/>
  <c r="G185" i="6"/>
  <c r="F185" i="6"/>
  <c r="E185" i="6"/>
  <c r="D185" i="6"/>
  <c r="C185" i="6"/>
  <c r="B185" i="6"/>
  <c r="J184" i="6"/>
  <c r="I184" i="6"/>
  <c r="H184" i="6"/>
  <c r="G184" i="6"/>
  <c r="F184" i="6"/>
  <c r="E184" i="6"/>
  <c r="D184" i="6"/>
  <c r="C184" i="6"/>
  <c r="B184" i="6"/>
  <c r="J183" i="6"/>
  <c r="I183" i="6"/>
  <c r="H183" i="6"/>
  <c r="G183" i="6"/>
  <c r="F183" i="6"/>
  <c r="E183" i="6"/>
  <c r="D183" i="6"/>
  <c r="C183" i="6"/>
  <c r="B183" i="6"/>
  <c r="J182" i="6"/>
  <c r="I182" i="6"/>
  <c r="H182" i="6"/>
  <c r="G182" i="6"/>
  <c r="F182" i="6"/>
  <c r="E182" i="6"/>
  <c r="D182" i="6"/>
  <c r="C182" i="6"/>
  <c r="B182" i="6"/>
  <c r="J181" i="6"/>
  <c r="I181" i="6"/>
  <c r="H181" i="6"/>
  <c r="G181" i="6"/>
  <c r="F181" i="6"/>
  <c r="E181" i="6"/>
  <c r="D181" i="6"/>
  <c r="C181" i="6"/>
  <c r="B181" i="6"/>
  <c r="J180" i="6"/>
  <c r="I180" i="6"/>
  <c r="H180" i="6"/>
  <c r="G180" i="6"/>
  <c r="E180" i="6"/>
  <c r="D180" i="6"/>
  <c r="C180" i="6"/>
  <c r="B180" i="6"/>
  <c r="J179" i="6"/>
  <c r="I179" i="6"/>
  <c r="H179" i="6"/>
  <c r="G179" i="6"/>
  <c r="E179" i="6"/>
  <c r="D179" i="6"/>
  <c r="C179" i="6"/>
  <c r="B179" i="6"/>
  <c r="J178" i="6"/>
  <c r="I178" i="6"/>
  <c r="H178" i="6"/>
  <c r="G178" i="6"/>
  <c r="E178" i="6"/>
  <c r="D178" i="6"/>
  <c r="C178" i="6"/>
  <c r="B178" i="6"/>
  <c r="J177" i="6"/>
  <c r="I177" i="6"/>
  <c r="H177" i="6"/>
  <c r="G177" i="6"/>
  <c r="E177" i="6"/>
  <c r="D177" i="6"/>
  <c r="C177" i="6"/>
  <c r="B177" i="6"/>
  <c r="J176" i="6"/>
  <c r="I176" i="6"/>
  <c r="H176" i="6"/>
  <c r="G176" i="6"/>
  <c r="E176" i="6"/>
  <c r="D176" i="6"/>
  <c r="C176" i="6"/>
  <c r="B176" i="6"/>
  <c r="J175" i="6"/>
  <c r="I175" i="6"/>
  <c r="H175" i="6"/>
  <c r="G175" i="6"/>
  <c r="E175" i="6"/>
  <c r="D175" i="6"/>
  <c r="C175" i="6"/>
  <c r="B175" i="6"/>
  <c r="J174" i="6"/>
  <c r="I174" i="6"/>
  <c r="H174" i="6"/>
  <c r="G174" i="6"/>
  <c r="E174" i="6"/>
  <c r="D174" i="6"/>
  <c r="C174" i="6"/>
  <c r="B174" i="6"/>
  <c r="J173" i="6"/>
  <c r="I173" i="6"/>
  <c r="H173" i="6"/>
  <c r="G173" i="6"/>
  <c r="E173" i="6"/>
  <c r="D173" i="6"/>
  <c r="C173" i="6"/>
  <c r="B173" i="6"/>
  <c r="J172" i="6"/>
  <c r="I172" i="6"/>
  <c r="H172" i="6"/>
  <c r="G172" i="6"/>
  <c r="E172" i="6"/>
  <c r="D172" i="6"/>
  <c r="C172" i="6"/>
  <c r="B172" i="6"/>
  <c r="J171" i="6"/>
  <c r="I171" i="6"/>
  <c r="H171" i="6"/>
  <c r="G171" i="6"/>
  <c r="E171" i="6"/>
  <c r="D171" i="6"/>
  <c r="C171" i="6"/>
  <c r="B171" i="6"/>
  <c r="J170" i="6"/>
  <c r="I170" i="6"/>
  <c r="H170" i="6"/>
  <c r="G170" i="6"/>
  <c r="E170" i="6"/>
  <c r="D170" i="6"/>
  <c r="C170" i="6"/>
  <c r="B170" i="6"/>
  <c r="J169" i="6"/>
  <c r="I169" i="6"/>
  <c r="H169" i="6"/>
  <c r="G169" i="6"/>
  <c r="E169" i="6"/>
  <c r="D169" i="6"/>
  <c r="C169" i="6"/>
  <c r="B169" i="6"/>
  <c r="J168" i="6"/>
  <c r="I168" i="6"/>
  <c r="H168" i="6"/>
  <c r="G168" i="6"/>
  <c r="E168" i="6"/>
  <c r="D168" i="6"/>
  <c r="C168" i="6"/>
  <c r="B168" i="6"/>
  <c r="J167" i="6"/>
  <c r="I167" i="6"/>
  <c r="H167" i="6"/>
  <c r="G167" i="6"/>
  <c r="E167" i="6"/>
  <c r="D167" i="6"/>
  <c r="C167" i="6"/>
  <c r="B167" i="6"/>
  <c r="J166" i="6"/>
  <c r="I166" i="6"/>
  <c r="H166" i="6"/>
  <c r="G166" i="6"/>
  <c r="E166" i="6"/>
  <c r="D166" i="6"/>
  <c r="C166" i="6"/>
  <c r="B166" i="6"/>
  <c r="J165" i="6"/>
  <c r="I165" i="6"/>
  <c r="H165" i="6"/>
  <c r="G165" i="6"/>
  <c r="E165" i="6"/>
  <c r="D165" i="6"/>
  <c r="C165" i="6"/>
  <c r="B165" i="6"/>
  <c r="J164" i="6"/>
  <c r="I164" i="6"/>
  <c r="H164" i="6"/>
  <c r="G164" i="6"/>
  <c r="E164" i="6"/>
  <c r="D164" i="6"/>
  <c r="C164" i="6"/>
  <c r="B164" i="6"/>
  <c r="J163" i="6"/>
  <c r="I163" i="6"/>
  <c r="H163" i="6"/>
  <c r="G163" i="6"/>
  <c r="E163" i="6"/>
  <c r="D163" i="6"/>
  <c r="C163" i="6"/>
  <c r="B163" i="6"/>
  <c r="J162" i="6"/>
  <c r="I162" i="6"/>
  <c r="H162" i="6"/>
  <c r="G162" i="6"/>
  <c r="E162" i="6"/>
  <c r="D162" i="6"/>
  <c r="C162" i="6"/>
  <c r="B162" i="6"/>
  <c r="J161" i="6"/>
  <c r="I161" i="6"/>
  <c r="H161" i="6"/>
  <c r="G161" i="6"/>
  <c r="E161" i="6"/>
  <c r="D161" i="6"/>
  <c r="C161" i="6"/>
  <c r="B161" i="6"/>
  <c r="J160" i="6"/>
  <c r="I160" i="6"/>
  <c r="H160" i="6"/>
  <c r="G160" i="6"/>
  <c r="E160" i="6"/>
  <c r="D160" i="6"/>
  <c r="C160" i="6"/>
  <c r="B160" i="6"/>
  <c r="J159" i="6"/>
  <c r="I159" i="6"/>
  <c r="H159" i="6"/>
  <c r="G159" i="6"/>
  <c r="E159" i="6"/>
  <c r="D159" i="6"/>
  <c r="C159" i="6"/>
  <c r="B159" i="6"/>
  <c r="J158" i="6"/>
  <c r="I158" i="6"/>
  <c r="H158" i="6"/>
  <c r="G158" i="6"/>
  <c r="E158" i="6"/>
  <c r="D158" i="6"/>
  <c r="C158" i="6"/>
  <c r="B158" i="6"/>
  <c r="J157" i="6"/>
  <c r="I157" i="6"/>
  <c r="H157" i="6"/>
  <c r="G157" i="6"/>
  <c r="E157" i="6"/>
  <c r="D157" i="6"/>
  <c r="C157" i="6"/>
  <c r="B157" i="6"/>
  <c r="J156" i="6"/>
  <c r="I156" i="6"/>
  <c r="H156" i="6"/>
  <c r="G156" i="6"/>
  <c r="E156" i="6"/>
  <c r="D156" i="6"/>
  <c r="C156" i="6"/>
  <c r="B156" i="6"/>
  <c r="J155" i="6"/>
  <c r="I155" i="6"/>
  <c r="H155" i="6"/>
  <c r="G155" i="6"/>
  <c r="E155" i="6"/>
  <c r="D155" i="6"/>
  <c r="C155" i="6"/>
  <c r="B155" i="6"/>
  <c r="J154" i="6"/>
  <c r="I154" i="6"/>
  <c r="H154" i="6"/>
  <c r="G154" i="6"/>
  <c r="E154" i="6"/>
  <c r="D154" i="6"/>
  <c r="C154" i="6"/>
  <c r="B154" i="6"/>
  <c r="J153" i="6"/>
  <c r="I153" i="6"/>
  <c r="H153" i="6"/>
  <c r="G153" i="6"/>
  <c r="E153" i="6"/>
  <c r="D153" i="6"/>
  <c r="C153" i="6"/>
  <c r="B153" i="6"/>
  <c r="J152" i="6"/>
  <c r="I152" i="6"/>
  <c r="H152" i="6"/>
  <c r="G152" i="6"/>
  <c r="E152" i="6"/>
  <c r="D152" i="6"/>
  <c r="C152" i="6"/>
  <c r="B152" i="6"/>
  <c r="J151" i="6"/>
  <c r="I151" i="6"/>
  <c r="H151" i="6"/>
  <c r="G151" i="6"/>
  <c r="E151" i="6"/>
  <c r="D151" i="6"/>
  <c r="C151" i="6"/>
  <c r="B151" i="6"/>
  <c r="J150" i="6"/>
  <c r="I150" i="6"/>
  <c r="H150" i="6"/>
  <c r="G150" i="6"/>
  <c r="E150" i="6"/>
  <c r="D150" i="6"/>
  <c r="C150" i="6"/>
  <c r="B150" i="6"/>
  <c r="J149" i="6"/>
  <c r="I149" i="6"/>
  <c r="H149" i="6"/>
  <c r="G149" i="6"/>
  <c r="E149" i="6"/>
  <c r="D149" i="6"/>
  <c r="C149" i="6"/>
  <c r="B149" i="6"/>
  <c r="J148" i="6"/>
  <c r="I148" i="6"/>
  <c r="H148" i="6"/>
  <c r="G148" i="6"/>
  <c r="E148" i="6"/>
  <c r="D148" i="6"/>
  <c r="C148" i="6"/>
  <c r="B148" i="6"/>
  <c r="J147" i="6"/>
  <c r="I147" i="6"/>
  <c r="H147" i="6"/>
  <c r="G147" i="6"/>
  <c r="E147" i="6"/>
  <c r="D147" i="6"/>
  <c r="C147" i="6"/>
  <c r="B147" i="6"/>
  <c r="J146" i="6"/>
  <c r="I146" i="6"/>
  <c r="H146" i="6"/>
  <c r="G146" i="6"/>
  <c r="E146" i="6"/>
  <c r="D146" i="6"/>
  <c r="C146" i="6"/>
  <c r="B146" i="6"/>
  <c r="J145" i="6"/>
  <c r="I145" i="6"/>
  <c r="H145" i="6"/>
  <c r="G145" i="6"/>
  <c r="E145" i="6"/>
  <c r="D145" i="6"/>
  <c r="C145" i="6"/>
  <c r="B145" i="6"/>
  <c r="J144" i="6"/>
  <c r="I144" i="6"/>
  <c r="H144" i="6"/>
  <c r="G144" i="6"/>
  <c r="E144" i="6"/>
  <c r="D144" i="6"/>
  <c r="C144" i="6"/>
  <c r="B144" i="6"/>
  <c r="J143" i="6"/>
  <c r="I143" i="6"/>
  <c r="H143" i="6"/>
  <c r="G143" i="6"/>
  <c r="E143" i="6"/>
  <c r="D143" i="6"/>
  <c r="C143" i="6"/>
  <c r="B143" i="6"/>
  <c r="J142" i="6"/>
  <c r="I142" i="6"/>
  <c r="H142" i="6"/>
  <c r="G142" i="6"/>
  <c r="E142" i="6"/>
  <c r="D142" i="6"/>
  <c r="C142" i="6"/>
  <c r="B142" i="6"/>
  <c r="J141" i="6"/>
  <c r="I141" i="6"/>
  <c r="H141" i="6"/>
  <c r="G141" i="6"/>
  <c r="E141" i="6"/>
  <c r="D141" i="6"/>
  <c r="C141" i="6"/>
  <c r="B141" i="6"/>
  <c r="J140" i="6"/>
  <c r="I140" i="6"/>
  <c r="H140" i="6"/>
  <c r="G140" i="6"/>
  <c r="E140" i="6"/>
  <c r="D140" i="6"/>
  <c r="C140" i="6"/>
  <c r="B140" i="6"/>
  <c r="J139" i="6"/>
  <c r="I139" i="6"/>
  <c r="H139" i="6"/>
  <c r="G139" i="6"/>
  <c r="E139" i="6"/>
  <c r="D139" i="6"/>
  <c r="C139" i="6"/>
  <c r="B139" i="6"/>
  <c r="J138" i="6"/>
  <c r="I138" i="6"/>
  <c r="H138" i="6"/>
  <c r="G138" i="6"/>
  <c r="E138" i="6"/>
  <c r="D138" i="6"/>
  <c r="C138" i="6"/>
  <c r="B138" i="6"/>
  <c r="J137" i="6"/>
  <c r="I137" i="6"/>
  <c r="H137" i="6"/>
  <c r="G137" i="6"/>
  <c r="E137" i="6"/>
  <c r="D137" i="6"/>
  <c r="C137" i="6"/>
  <c r="B137" i="6"/>
  <c r="J136" i="6"/>
  <c r="I136" i="6"/>
  <c r="H136" i="6"/>
  <c r="G136" i="6"/>
  <c r="E136" i="6"/>
  <c r="D136" i="6"/>
  <c r="C136" i="6"/>
  <c r="B136" i="6"/>
  <c r="J135" i="6"/>
  <c r="I135" i="6"/>
  <c r="H135" i="6"/>
  <c r="G135" i="6"/>
  <c r="E135" i="6"/>
  <c r="D135" i="6"/>
  <c r="C135" i="6"/>
  <c r="B135" i="6"/>
  <c r="J134" i="6"/>
  <c r="I134" i="6"/>
  <c r="H134" i="6"/>
  <c r="G134" i="6"/>
  <c r="E134" i="6"/>
  <c r="D134" i="6"/>
  <c r="C134" i="6"/>
  <c r="B134" i="6"/>
  <c r="J133" i="6"/>
  <c r="I133" i="6"/>
  <c r="H133" i="6"/>
  <c r="G133" i="6"/>
  <c r="E133" i="6"/>
  <c r="D133" i="6"/>
  <c r="C133" i="6"/>
  <c r="B133" i="6"/>
  <c r="J132" i="6"/>
  <c r="I132" i="6"/>
  <c r="H132" i="6"/>
  <c r="G132" i="6"/>
  <c r="E132" i="6"/>
  <c r="D132" i="6"/>
  <c r="C132" i="6"/>
  <c r="B132" i="6"/>
  <c r="J131" i="6"/>
  <c r="I131" i="6"/>
  <c r="H131" i="6"/>
  <c r="G131" i="6"/>
  <c r="E131" i="6"/>
  <c r="D131" i="6"/>
  <c r="C131" i="6"/>
  <c r="B131" i="6"/>
  <c r="J130" i="6"/>
  <c r="I130" i="6"/>
  <c r="H130" i="6"/>
  <c r="G130" i="6"/>
  <c r="E130" i="6"/>
  <c r="D130" i="6"/>
  <c r="C130" i="6"/>
  <c r="B130" i="6"/>
  <c r="J129" i="6"/>
  <c r="I129" i="6"/>
  <c r="H129" i="6"/>
  <c r="G129" i="6"/>
  <c r="E129" i="6"/>
  <c r="D129" i="6"/>
  <c r="C129" i="6"/>
  <c r="B129" i="6"/>
  <c r="J128" i="6"/>
  <c r="I128" i="6"/>
  <c r="H128" i="6"/>
  <c r="G128" i="6"/>
  <c r="E128" i="6"/>
  <c r="D128" i="6"/>
  <c r="C128" i="6"/>
  <c r="B128" i="6"/>
  <c r="J127" i="6"/>
  <c r="I127" i="6"/>
  <c r="H127" i="6"/>
  <c r="G127" i="6"/>
  <c r="E127" i="6"/>
  <c r="D127" i="6"/>
  <c r="C127" i="6"/>
  <c r="B127" i="6"/>
  <c r="J126" i="6"/>
  <c r="I126" i="6"/>
  <c r="H126" i="6"/>
  <c r="G126" i="6"/>
  <c r="E126" i="6"/>
  <c r="D126" i="6"/>
  <c r="C126" i="6"/>
  <c r="B126" i="6"/>
  <c r="J125" i="6"/>
  <c r="I125" i="6"/>
  <c r="H125" i="6"/>
  <c r="G125" i="6"/>
  <c r="E125" i="6"/>
  <c r="D125" i="6"/>
  <c r="C125" i="6"/>
  <c r="B125" i="6"/>
  <c r="J124" i="6"/>
  <c r="I124" i="6"/>
  <c r="H124" i="6"/>
  <c r="G124" i="6"/>
  <c r="E124" i="6"/>
  <c r="D124" i="6"/>
  <c r="C124" i="6"/>
  <c r="B124" i="6"/>
  <c r="J123" i="6"/>
  <c r="I123" i="6"/>
  <c r="H123" i="6"/>
  <c r="G123" i="6"/>
  <c r="E123" i="6"/>
  <c r="D123" i="6"/>
  <c r="C123" i="6"/>
  <c r="B123" i="6"/>
  <c r="J122" i="6"/>
  <c r="I122" i="6"/>
  <c r="H122" i="6"/>
  <c r="G122" i="6"/>
  <c r="E122" i="6"/>
  <c r="D122" i="6"/>
  <c r="C122" i="6"/>
  <c r="B122" i="6"/>
  <c r="J121" i="6"/>
  <c r="I121" i="6"/>
  <c r="H121" i="6"/>
  <c r="G121" i="6"/>
  <c r="E121" i="6"/>
  <c r="D121" i="6"/>
  <c r="C121" i="6"/>
  <c r="B121" i="6"/>
  <c r="J120" i="6"/>
  <c r="I120" i="6"/>
  <c r="H120" i="6"/>
  <c r="G120" i="6"/>
  <c r="E120" i="6"/>
  <c r="D120" i="6"/>
  <c r="C120" i="6"/>
  <c r="B120" i="6"/>
  <c r="J119" i="6"/>
  <c r="I119" i="6"/>
  <c r="H119" i="6"/>
  <c r="G119" i="6"/>
  <c r="E119" i="6"/>
  <c r="D119" i="6"/>
  <c r="C119" i="6"/>
  <c r="B119" i="6"/>
  <c r="J118" i="6"/>
  <c r="I118" i="6"/>
  <c r="H118" i="6"/>
  <c r="G118" i="6"/>
  <c r="E118" i="6"/>
  <c r="D118" i="6"/>
  <c r="C118" i="6"/>
  <c r="B118" i="6"/>
  <c r="J117" i="6"/>
  <c r="I117" i="6"/>
  <c r="H117" i="6"/>
  <c r="G117" i="6"/>
  <c r="E117" i="6"/>
  <c r="D117" i="6"/>
  <c r="C117" i="6"/>
  <c r="B117" i="6"/>
  <c r="J116" i="6"/>
  <c r="I116" i="6"/>
  <c r="H116" i="6"/>
  <c r="G116" i="6"/>
  <c r="E116" i="6"/>
  <c r="D116" i="6"/>
  <c r="C116" i="6"/>
  <c r="B116" i="6"/>
  <c r="J115" i="6"/>
  <c r="I115" i="6"/>
  <c r="H115" i="6"/>
  <c r="G115" i="6"/>
  <c r="E115" i="6"/>
  <c r="D115" i="6"/>
  <c r="C115" i="6"/>
  <c r="B115" i="6"/>
  <c r="J114" i="6"/>
  <c r="I114" i="6"/>
  <c r="H114" i="6"/>
  <c r="G114" i="6"/>
  <c r="E114" i="6"/>
  <c r="D114" i="6"/>
  <c r="C114" i="6"/>
  <c r="B114" i="6"/>
  <c r="J113" i="6"/>
  <c r="I113" i="6"/>
  <c r="H113" i="6"/>
  <c r="G113" i="6"/>
  <c r="E113" i="6"/>
  <c r="D113" i="6"/>
  <c r="C113" i="6"/>
  <c r="B113" i="6"/>
  <c r="J112" i="6"/>
  <c r="I112" i="6"/>
  <c r="H112" i="6"/>
  <c r="G112" i="6"/>
  <c r="E112" i="6"/>
  <c r="D112" i="6"/>
  <c r="C112" i="6"/>
  <c r="B112" i="6"/>
  <c r="J111" i="6"/>
  <c r="I111" i="6"/>
  <c r="H111" i="6"/>
  <c r="G111" i="6"/>
  <c r="E111" i="6"/>
  <c r="D111" i="6"/>
  <c r="C111" i="6"/>
  <c r="B111" i="6"/>
  <c r="J110" i="6"/>
  <c r="I110" i="6"/>
  <c r="H110" i="6"/>
  <c r="G110" i="6"/>
  <c r="E110" i="6"/>
  <c r="D110" i="6"/>
  <c r="C110" i="6"/>
  <c r="B110" i="6"/>
  <c r="J109" i="6"/>
  <c r="I109" i="6"/>
  <c r="H109" i="6"/>
  <c r="G109" i="6"/>
  <c r="E109" i="6"/>
  <c r="D109" i="6"/>
  <c r="C109" i="6"/>
  <c r="B109" i="6"/>
  <c r="J108" i="6"/>
  <c r="I108" i="6"/>
  <c r="H108" i="6"/>
  <c r="G108" i="6"/>
  <c r="E108" i="6"/>
  <c r="D108" i="6"/>
  <c r="C108" i="6"/>
  <c r="B108" i="6"/>
  <c r="J107" i="6"/>
  <c r="I107" i="6"/>
  <c r="H107" i="6"/>
  <c r="G107" i="6"/>
  <c r="E107" i="6"/>
  <c r="D107" i="6"/>
  <c r="C107" i="6"/>
  <c r="B107" i="6"/>
  <c r="J106" i="6"/>
  <c r="I106" i="6"/>
  <c r="H106" i="6"/>
  <c r="G106" i="6"/>
  <c r="E106" i="6"/>
  <c r="D106" i="6"/>
  <c r="C106" i="6"/>
  <c r="B106" i="6"/>
  <c r="J105" i="6"/>
  <c r="I105" i="6"/>
  <c r="H105" i="6"/>
  <c r="G105" i="6"/>
  <c r="E105" i="6"/>
  <c r="D105" i="6"/>
  <c r="C105" i="6"/>
  <c r="B105" i="6"/>
  <c r="J104" i="6"/>
  <c r="I104" i="6"/>
  <c r="H104" i="6"/>
  <c r="G104" i="6"/>
  <c r="E104" i="6"/>
  <c r="D104" i="6"/>
  <c r="C104" i="6"/>
  <c r="B104" i="6"/>
  <c r="J103" i="6"/>
  <c r="I103" i="6"/>
  <c r="H103" i="6"/>
  <c r="G103" i="6"/>
  <c r="E103" i="6"/>
  <c r="D103" i="6"/>
  <c r="C103" i="6"/>
  <c r="B103" i="6"/>
  <c r="J102" i="6"/>
  <c r="I102" i="6"/>
  <c r="H102" i="6"/>
  <c r="G102" i="6"/>
  <c r="E102" i="6"/>
  <c r="D102" i="6"/>
  <c r="C102" i="6"/>
  <c r="B102" i="6"/>
  <c r="J101" i="6"/>
  <c r="I101" i="6"/>
  <c r="H101" i="6"/>
  <c r="G101" i="6"/>
  <c r="E101" i="6"/>
  <c r="D101" i="6"/>
  <c r="C101" i="6"/>
  <c r="B101" i="6"/>
  <c r="J100" i="6"/>
  <c r="I100" i="6"/>
  <c r="H100" i="6"/>
  <c r="G100" i="6"/>
  <c r="E100" i="6"/>
  <c r="D100" i="6"/>
  <c r="C100" i="6"/>
  <c r="B100" i="6"/>
  <c r="J99" i="6"/>
  <c r="I99" i="6"/>
  <c r="H99" i="6"/>
  <c r="G99" i="6"/>
  <c r="E99" i="6"/>
  <c r="D99" i="6"/>
  <c r="C99" i="6"/>
  <c r="B99" i="6"/>
  <c r="J98" i="6"/>
  <c r="I98" i="6"/>
  <c r="H98" i="6"/>
  <c r="G98" i="6"/>
  <c r="E98" i="6"/>
  <c r="D98" i="6"/>
  <c r="C98" i="6"/>
  <c r="B98" i="6"/>
  <c r="J97" i="6"/>
  <c r="I97" i="6"/>
  <c r="H97" i="6"/>
  <c r="G97" i="6"/>
  <c r="E97" i="6"/>
  <c r="D97" i="6"/>
  <c r="C97" i="6"/>
  <c r="B97" i="6"/>
  <c r="J96" i="6"/>
  <c r="I96" i="6"/>
  <c r="H96" i="6"/>
  <c r="G96" i="6"/>
  <c r="E96" i="6"/>
  <c r="D96" i="6"/>
  <c r="C96" i="6"/>
  <c r="B96" i="6"/>
  <c r="J95" i="6"/>
  <c r="I95" i="6"/>
  <c r="H95" i="6"/>
  <c r="G95" i="6"/>
  <c r="E95" i="6"/>
  <c r="D95" i="6"/>
  <c r="C95" i="6"/>
  <c r="B95" i="6"/>
  <c r="J94" i="6"/>
  <c r="I94" i="6"/>
  <c r="H94" i="6"/>
  <c r="G94" i="6"/>
  <c r="E94" i="6"/>
  <c r="D94" i="6"/>
  <c r="C94" i="6"/>
  <c r="B94" i="6"/>
  <c r="J93" i="6"/>
  <c r="I93" i="6"/>
  <c r="H93" i="6"/>
  <c r="G93" i="6"/>
  <c r="E93" i="6"/>
  <c r="D93" i="6"/>
  <c r="C93" i="6"/>
  <c r="B93" i="6"/>
  <c r="J92" i="6"/>
  <c r="I92" i="6"/>
  <c r="H92" i="6"/>
  <c r="G92" i="6"/>
  <c r="E92" i="6"/>
  <c r="D92" i="6"/>
  <c r="C92" i="6"/>
  <c r="B92" i="6"/>
  <c r="J91" i="6"/>
  <c r="I91" i="6"/>
  <c r="H91" i="6"/>
  <c r="G91" i="6"/>
  <c r="E91" i="6"/>
  <c r="D91" i="6"/>
  <c r="C91" i="6"/>
  <c r="B91" i="6"/>
  <c r="J90" i="6"/>
  <c r="I90" i="6"/>
  <c r="H90" i="6"/>
  <c r="G90" i="6"/>
  <c r="E90" i="6"/>
  <c r="D90" i="6"/>
  <c r="C90" i="6"/>
  <c r="B90" i="6"/>
  <c r="J89" i="6"/>
  <c r="I89" i="6"/>
  <c r="H89" i="6"/>
  <c r="G89" i="6"/>
  <c r="E89" i="6"/>
  <c r="D89" i="6"/>
  <c r="C89" i="6"/>
  <c r="B89" i="6"/>
  <c r="J88" i="6"/>
  <c r="I88" i="6"/>
  <c r="H88" i="6"/>
  <c r="G88" i="6"/>
  <c r="E88" i="6"/>
  <c r="D88" i="6"/>
  <c r="C88" i="6"/>
  <c r="B88" i="6"/>
  <c r="J87" i="6"/>
  <c r="I87" i="6"/>
  <c r="H87" i="6"/>
  <c r="G87" i="6"/>
  <c r="E87" i="6"/>
  <c r="D87" i="6"/>
  <c r="C87" i="6"/>
  <c r="B87" i="6"/>
  <c r="J86" i="6"/>
  <c r="I86" i="6"/>
  <c r="H86" i="6"/>
  <c r="G86" i="6"/>
  <c r="E86" i="6"/>
  <c r="D86" i="6"/>
  <c r="C86" i="6"/>
  <c r="B86" i="6"/>
  <c r="J85" i="6"/>
  <c r="I85" i="6"/>
  <c r="H85" i="6"/>
  <c r="G85" i="6"/>
  <c r="E85" i="6"/>
  <c r="D85" i="6"/>
  <c r="C85" i="6"/>
  <c r="B85" i="6"/>
  <c r="J84" i="6"/>
  <c r="I84" i="6"/>
  <c r="H84" i="6"/>
  <c r="G84" i="6"/>
  <c r="E84" i="6"/>
  <c r="D84" i="6"/>
  <c r="C84" i="6"/>
  <c r="B84" i="6"/>
  <c r="J83" i="6"/>
  <c r="I83" i="6"/>
  <c r="H83" i="6"/>
  <c r="G83" i="6"/>
  <c r="E83" i="6"/>
  <c r="D83" i="6"/>
  <c r="C83" i="6"/>
  <c r="B83" i="6"/>
  <c r="J82" i="6"/>
  <c r="I82" i="6"/>
  <c r="H82" i="6"/>
  <c r="G82" i="6"/>
  <c r="E82" i="6"/>
  <c r="D82" i="6"/>
  <c r="C82" i="6"/>
  <c r="B82" i="6"/>
  <c r="J81" i="6"/>
  <c r="I81" i="6"/>
  <c r="H81" i="6"/>
  <c r="G81" i="6"/>
  <c r="E81" i="6"/>
  <c r="D81" i="6"/>
  <c r="C81" i="6"/>
  <c r="B81" i="6"/>
  <c r="J80" i="6"/>
  <c r="I80" i="6"/>
  <c r="H80" i="6"/>
  <c r="G80" i="6"/>
  <c r="E80" i="6"/>
  <c r="D80" i="6"/>
  <c r="C80" i="6"/>
  <c r="B80" i="6"/>
  <c r="J79" i="6"/>
  <c r="I79" i="6"/>
  <c r="H79" i="6"/>
  <c r="G79" i="6"/>
  <c r="E79" i="6"/>
  <c r="D79" i="6"/>
  <c r="C79" i="6"/>
  <c r="B79" i="6"/>
  <c r="J78" i="6"/>
  <c r="I78" i="6"/>
  <c r="H78" i="6"/>
  <c r="G78" i="6"/>
  <c r="E78" i="6"/>
  <c r="D78" i="6"/>
  <c r="C78" i="6"/>
  <c r="B78" i="6"/>
  <c r="J77" i="6"/>
  <c r="I77" i="6"/>
  <c r="H77" i="6"/>
  <c r="G77" i="6"/>
  <c r="E77" i="6"/>
  <c r="D77" i="6"/>
  <c r="C77" i="6"/>
  <c r="B77" i="6"/>
  <c r="J76" i="6"/>
  <c r="I76" i="6"/>
  <c r="H76" i="6"/>
  <c r="G76" i="6"/>
  <c r="E76" i="6"/>
  <c r="D76" i="6"/>
  <c r="C76" i="6"/>
  <c r="B76" i="6"/>
  <c r="J75" i="6"/>
  <c r="I75" i="6"/>
  <c r="H75" i="6"/>
  <c r="G75" i="6"/>
  <c r="E75" i="6"/>
  <c r="D75" i="6"/>
  <c r="C75" i="6"/>
  <c r="B75" i="6"/>
  <c r="J74" i="6"/>
  <c r="I74" i="6"/>
  <c r="H74" i="6"/>
  <c r="G74" i="6"/>
  <c r="E74" i="6"/>
  <c r="D74" i="6"/>
  <c r="C74" i="6"/>
  <c r="B74" i="6"/>
  <c r="J73" i="6"/>
  <c r="I73" i="6"/>
  <c r="H73" i="6"/>
  <c r="G73" i="6"/>
  <c r="E73" i="6"/>
  <c r="D73" i="6"/>
  <c r="C73" i="6"/>
  <c r="B73" i="6"/>
  <c r="J72" i="6"/>
  <c r="I72" i="6"/>
  <c r="H72" i="6"/>
  <c r="G72" i="6"/>
  <c r="E72" i="6"/>
  <c r="D72" i="6"/>
  <c r="C72" i="6"/>
  <c r="B72" i="6"/>
  <c r="J71" i="6"/>
  <c r="I71" i="6"/>
  <c r="H71" i="6"/>
  <c r="G71" i="6"/>
  <c r="E71" i="6"/>
  <c r="D71" i="6"/>
  <c r="C71" i="6"/>
  <c r="B71" i="6"/>
  <c r="J70" i="6"/>
  <c r="I70" i="6"/>
  <c r="H70" i="6"/>
  <c r="G70" i="6"/>
  <c r="E70" i="6"/>
  <c r="D70" i="6"/>
  <c r="C70" i="6"/>
  <c r="B70" i="6"/>
  <c r="J69" i="6"/>
  <c r="I69" i="6"/>
  <c r="H69" i="6"/>
  <c r="G69" i="6"/>
  <c r="E69" i="6"/>
  <c r="D69" i="6"/>
  <c r="C69" i="6"/>
  <c r="B69" i="6"/>
  <c r="J68" i="6"/>
  <c r="I68" i="6"/>
  <c r="H68" i="6"/>
  <c r="G68" i="6"/>
  <c r="E68" i="6"/>
  <c r="D68" i="6"/>
  <c r="C68" i="6"/>
  <c r="B68" i="6"/>
  <c r="J67" i="6"/>
  <c r="I67" i="6"/>
  <c r="H67" i="6"/>
  <c r="G67" i="6"/>
  <c r="E67" i="6"/>
  <c r="D67" i="6"/>
  <c r="C67" i="6"/>
  <c r="B67" i="6"/>
  <c r="J66" i="6"/>
  <c r="I66" i="6"/>
  <c r="H66" i="6"/>
  <c r="G66" i="6"/>
  <c r="E66" i="6"/>
  <c r="D66" i="6"/>
  <c r="C66" i="6"/>
  <c r="B66" i="6"/>
  <c r="J65" i="6"/>
  <c r="I65" i="6"/>
  <c r="H65" i="6"/>
  <c r="G65" i="6"/>
  <c r="E65" i="6"/>
  <c r="D65" i="6"/>
  <c r="C65" i="6"/>
  <c r="B65" i="6"/>
  <c r="J64" i="6"/>
  <c r="I64" i="6"/>
  <c r="H64" i="6"/>
  <c r="G64" i="6"/>
  <c r="E64" i="6"/>
  <c r="D64" i="6"/>
  <c r="C64" i="6"/>
  <c r="B64" i="6"/>
  <c r="J63" i="6"/>
  <c r="I63" i="6"/>
  <c r="H63" i="6"/>
  <c r="G63" i="6"/>
  <c r="E63" i="6"/>
  <c r="D63" i="6"/>
  <c r="C63" i="6"/>
  <c r="B63" i="6"/>
  <c r="J62" i="6"/>
  <c r="I62" i="6"/>
  <c r="H62" i="6"/>
  <c r="G62" i="6"/>
  <c r="E62" i="6"/>
  <c r="D62" i="6"/>
  <c r="C62" i="6"/>
  <c r="B62" i="6"/>
  <c r="J61" i="6"/>
  <c r="I61" i="6"/>
  <c r="H61" i="6"/>
  <c r="G61" i="6"/>
  <c r="E61" i="6"/>
  <c r="D61" i="6"/>
  <c r="C61" i="6"/>
  <c r="B61" i="6"/>
  <c r="J60" i="6"/>
  <c r="I60" i="6"/>
  <c r="H60" i="6"/>
  <c r="G60" i="6"/>
  <c r="E60" i="6"/>
  <c r="D60" i="6"/>
  <c r="C60" i="6"/>
  <c r="B60" i="6"/>
  <c r="J59" i="6"/>
  <c r="I59" i="6"/>
  <c r="H59" i="6"/>
  <c r="G59" i="6"/>
  <c r="E59" i="6"/>
  <c r="D59" i="6"/>
  <c r="C59" i="6"/>
  <c r="B59" i="6"/>
  <c r="J58" i="6"/>
  <c r="I58" i="6"/>
  <c r="H58" i="6"/>
  <c r="G58" i="6"/>
  <c r="E58" i="6"/>
  <c r="D58" i="6"/>
  <c r="C58" i="6"/>
  <c r="B58" i="6"/>
  <c r="J57" i="6"/>
  <c r="I57" i="6"/>
  <c r="H57" i="6"/>
  <c r="G57" i="6"/>
  <c r="E57" i="6"/>
  <c r="D57" i="6"/>
  <c r="C57" i="6"/>
  <c r="B57" i="6"/>
  <c r="J56" i="6"/>
  <c r="I56" i="6"/>
  <c r="H56" i="6"/>
  <c r="G56" i="6"/>
  <c r="E56" i="6"/>
  <c r="D56" i="6"/>
  <c r="C56" i="6"/>
  <c r="B56" i="6"/>
  <c r="J55" i="6"/>
  <c r="I55" i="6"/>
  <c r="H55" i="6"/>
  <c r="G55" i="6"/>
  <c r="E55" i="6"/>
  <c r="D55" i="6"/>
  <c r="C55" i="6"/>
  <c r="B55" i="6"/>
  <c r="J54" i="6"/>
  <c r="I54" i="6"/>
  <c r="H54" i="6"/>
  <c r="G54" i="6"/>
  <c r="E54" i="6"/>
  <c r="D54" i="6"/>
  <c r="C54" i="6"/>
  <c r="B54" i="6"/>
  <c r="J53" i="6"/>
  <c r="I53" i="6"/>
  <c r="H53" i="6"/>
  <c r="G53" i="6"/>
  <c r="E53" i="6"/>
  <c r="D53" i="6"/>
  <c r="C53" i="6"/>
  <c r="B53" i="6"/>
  <c r="J52" i="6"/>
  <c r="I52" i="6"/>
  <c r="H52" i="6"/>
  <c r="G52" i="6"/>
  <c r="E52" i="6"/>
  <c r="D52" i="6"/>
  <c r="C52" i="6"/>
  <c r="B52" i="6"/>
  <c r="J51" i="6"/>
  <c r="I51" i="6"/>
  <c r="H51" i="6"/>
  <c r="G51" i="6"/>
  <c r="E51" i="6"/>
  <c r="D51" i="6"/>
  <c r="C51" i="6"/>
  <c r="B51" i="6"/>
  <c r="J50" i="6"/>
  <c r="I50" i="6"/>
  <c r="H50" i="6"/>
  <c r="G50" i="6"/>
  <c r="E50" i="6"/>
  <c r="D50" i="6"/>
  <c r="C50" i="6"/>
  <c r="B50" i="6"/>
  <c r="J49" i="6"/>
  <c r="I49" i="6"/>
  <c r="H49" i="6"/>
  <c r="G49" i="6"/>
  <c r="E49" i="6"/>
  <c r="D49" i="6"/>
  <c r="C49" i="6"/>
  <c r="B49" i="6"/>
  <c r="J48" i="6"/>
  <c r="I48" i="6"/>
  <c r="H48" i="6"/>
  <c r="G48" i="6"/>
  <c r="E48" i="6"/>
  <c r="D48" i="6"/>
  <c r="C48" i="6"/>
  <c r="B48" i="6"/>
  <c r="J47" i="6"/>
  <c r="I47" i="6"/>
  <c r="H47" i="6"/>
  <c r="G47" i="6"/>
  <c r="E47" i="6"/>
  <c r="D47" i="6"/>
  <c r="C47" i="6"/>
  <c r="B47" i="6"/>
  <c r="J46" i="6"/>
  <c r="I46" i="6"/>
  <c r="H46" i="6"/>
  <c r="G46" i="6"/>
  <c r="E46" i="6"/>
  <c r="D46" i="6"/>
  <c r="C46" i="6"/>
  <c r="B46" i="6"/>
  <c r="J45" i="6"/>
  <c r="I45" i="6"/>
  <c r="H45" i="6"/>
  <c r="G45" i="6"/>
  <c r="E45" i="6"/>
  <c r="D45" i="6"/>
  <c r="C45" i="6"/>
  <c r="B45" i="6"/>
  <c r="J44" i="6"/>
  <c r="I44" i="6"/>
  <c r="H44" i="6"/>
  <c r="G44" i="6"/>
  <c r="E44" i="6"/>
  <c r="D44" i="6"/>
  <c r="C44" i="6"/>
  <c r="B44" i="6"/>
  <c r="J43" i="6"/>
  <c r="I43" i="6"/>
  <c r="H43" i="6"/>
  <c r="G43" i="6"/>
  <c r="E43" i="6"/>
  <c r="D43" i="6"/>
  <c r="C43" i="6"/>
  <c r="B43" i="6"/>
  <c r="J42" i="6"/>
  <c r="I42" i="6"/>
  <c r="H42" i="6"/>
  <c r="G42" i="6"/>
  <c r="E42" i="6"/>
  <c r="D42" i="6"/>
  <c r="C42" i="6"/>
  <c r="B42" i="6"/>
  <c r="J41" i="6"/>
  <c r="I41" i="6"/>
  <c r="H41" i="6"/>
  <c r="G41" i="6"/>
  <c r="E41" i="6"/>
  <c r="D41" i="6"/>
  <c r="C41" i="6"/>
  <c r="B41" i="6"/>
  <c r="J40" i="6"/>
  <c r="I40" i="6"/>
  <c r="H40" i="6"/>
  <c r="G40" i="6"/>
  <c r="E40" i="6"/>
  <c r="D40" i="6"/>
  <c r="C40" i="6"/>
  <c r="B40" i="6"/>
  <c r="J39" i="6"/>
  <c r="I39" i="6"/>
  <c r="H39" i="6"/>
  <c r="G39" i="6"/>
  <c r="E39" i="6"/>
  <c r="D39" i="6"/>
  <c r="C39" i="6"/>
  <c r="B39" i="6"/>
  <c r="J38" i="6"/>
  <c r="I38" i="6"/>
  <c r="H38" i="6"/>
  <c r="G38" i="6"/>
  <c r="E38" i="6"/>
  <c r="D38" i="6"/>
  <c r="C38" i="6"/>
  <c r="B38" i="6"/>
  <c r="J37" i="6"/>
  <c r="I37" i="6"/>
  <c r="H37" i="6"/>
  <c r="G37" i="6"/>
  <c r="E37" i="6"/>
  <c r="D37" i="6"/>
  <c r="C37" i="6"/>
  <c r="B37" i="6"/>
  <c r="J36" i="6"/>
  <c r="I36" i="6"/>
  <c r="H36" i="6"/>
  <c r="G36" i="6"/>
  <c r="E36" i="6"/>
  <c r="D36" i="6"/>
  <c r="C36" i="6"/>
  <c r="B36" i="6"/>
  <c r="J35" i="6"/>
  <c r="I35" i="6"/>
  <c r="H35" i="6"/>
  <c r="G35" i="6"/>
  <c r="E35" i="6"/>
  <c r="D35" i="6"/>
  <c r="C35" i="6"/>
  <c r="B35" i="6"/>
  <c r="J34" i="6"/>
  <c r="I34" i="6"/>
  <c r="H34" i="6"/>
  <c r="G34" i="6"/>
  <c r="E34" i="6"/>
  <c r="D34" i="6"/>
  <c r="C34" i="6"/>
  <c r="B34" i="6"/>
  <c r="J33" i="6"/>
  <c r="I33" i="6"/>
  <c r="H33" i="6"/>
  <c r="G33" i="6"/>
  <c r="E33" i="6"/>
  <c r="D33" i="6"/>
  <c r="C33" i="6"/>
  <c r="B33" i="6"/>
  <c r="J32" i="6"/>
  <c r="I32" i="6"/>
  <c r="H32" i="6"/>
  <c r="G32" i="6"/>
  <c r="E32" i="6"/>
  <c r="D32" i="6"/>
  <c r="C32" i="6"/>
  <c r="B32" i="6"/>
  <c r="J31" i="6"/>
  <c r="I31" i="6"/>
  <c r="H31" i="6"/>
  <c r="G31" i="6"/>
  <c r="E31" i="6"/>
  <c r="D31" i="6"/>
  <c r="C31" i="6"/>
  <c r="B31" i="6"/>
  <c r="J30" i="6"/>
  <c r="I30" i="6"/>
  <c r="H30" i="6"/>
  <c r="G30" i="6"/>
  <c r="E30" i="6"/>
  <c r="D30" i="6"/>
  <c r="C30" i="6"/>
  <c r="B30" i="6"/>
  <c r="J29" i="6"/>
  <c r="I29" i="6"/>
  <c r="H29" i="6"/>
  <c r="G29" i="6"/>
  <c r="E29" i="6"/>
  <c r="D29" i="6"/>
  <c r="C29" i="6"/>
  <c r="B29" i="6"/>
  <c r="J28" i="6"/>
  <c r="I28" i="6"/>
  <c r="H28" i="6"/>
  <c r="G28" i="6"/>
  <c r="E28" i="6"/>
  <c r="D28" i="6"/>
  <c r="C28" i="6"/>
  <c r="B28" i="6"/>
  <c r="J27" i="6"/>
  <c r="I27" i="6"/>
  <c r="H27" i="6"/>
  <c r="G27" i="6"/>
  <c r="E27" i="6"/>
  <c r="D27" i="6"/>
  <c r="C27" i="6"/>
  <c r="B27" i="6"/>
  <c r="J26" i="6"/>
  <c r="I26" i="6"/>
  <c r="H26" i="6"/>
  <c r="G26" i="6"/>
  <c r="E26" i="6"/>
  <c r="D26" i="6"/>
  <c r="C26" i="6"/>
  <c r="B26" i="6"/>
  <c r="J25" i="6"/>
  <c r="I25" i="6"/>
  <c r="H25" i="6"/>
  <c r="G25" i="6"/>
  <c r="E25" i="6"/>
  <c r="D25" i="6"/>
  <c r="C25" i="6"/>
  <c r="B25" i="6"/>
  <c r="J24" i="6"/>
  <c r="I24" i="6"/>
  <c r="H24" i="6"/>
  <c r="G24" i="6"/>
  <c r="E24" i="6"/>
  <c r="D24" i="6"/>
  <c r="C24" i="6"/>
  <c r="B24" i="6"/>
  <c r="J23" i="6"/>
  <c r="I23" i="6"/>
  <c r="H23" i="6"/>
  <c r="G23" i="6"/>
  <c r="E23" i="6"/>
  <c r="D23" i="6"/>
  <c r="C23" i="6"/>
  <c r="B23" i="6"/>
  <c r="J22" i="6"/>
  <c r="I22" i="6"/>
  <c r="H22" i="6"/>
  <c r="G22" i="6"/>
  <c r="E22" i="6"/>
  <c r="D22" i="6"/>
  <c r="C22" i="6"/>
  <c r="B22" i="6"/>
  <c r="J21" i="6"/>
  <c r="I21" i="6"/>
  <c r="H21" i="6"/>
  <c r="G21" i="6"/>
  <c r="E21" i="6"/>
  <c r="D21" i="6"/>
  <c r="C21" i="6"/>
  <c r="B21" i="6"/>
  <c r="J20" i="6"/>
  <c r="I20" i="6"/>
  <c r="H20" i="6"/>
  <c r="G20" i="6"/>
  <c r="E20" i="6"/>
  <c r="D20" i="6"/>
  <c r="C20" i="6"/>
  <c r="B20" i="6"/>
  <c r="J19" i="6"/>
  <c r="I19" i="6"/>
  <c r="H19" i="6"/>
  <c r="G19" i="6"/>
  <c r="E19" i="6"/>
  <c r="D19" i="6"/>
  <c r="C19" i="6"/>
  <c r="B19" i="6"/>
  <c r="J18" i="6"/>
  <c r="I18" i="6"/>
  <c r="H18" i="6"/>
  <c r="G18" i="6"/>
  <c r="E18" i="6"/>
  <c r="D18" i="6"/>
  <c r="C18" i="6"/>
  <c r="B18" i="6"/>
  <c r="J17" i="6"/>
  <c r="I17" i="6"/>
  <c r="H17" i="6"/>
  <c r="G17" i="6"/>
  <c r="E17" i="6"/>
  <c r="D17" i="6"/>
  <c r="C17" i="6"/>
  <c r="B17" i="6"/>
  <c r="J16" i="6"/>
  <c r="I16" i="6"/>
  <c r="H16" i="6"/>
  <c r="G16" i="6"/>
  <c r="E16" i="6"/>
  <c r="D16" i="6"/>
  <c r="C16" i="6"/>
  <c r="B16" i="6"/>
  <c r="J15" i="6"/>
  <c r="I15" i="6"/>
  <c r="H15" i="6"/>
  <c r="G15" i="6"/>
  <c r="E15" i="6"/>
  <c r="D15" i="6"/>
  <c r="C15" i="6"/>
  <c r="B15" i="6"/>
  <c r="J14" i="6"/>
  <c r="I14" i="6"/>
  <c r="H14" i="6"/>
  <c r="G14" i="6"/>
  <c r="E14" i="6"/>
  <c r="D14" i="6"/>
  <c r="C14" i="6"/>
  <c r="B14" i="6"/>
  <c r="J13" i="6"/>
  <c r="I13" i="6"/>
  <c r="H13" i="6"/>
  <c r="G13" i="6"/>
  <c r="E13" i="6"/>
  <c r="D13" i="6"/>
  <c r="C13" i="6"/>
  <c r="B13" i="6"/>
  <c r="J12" i="6"/>
  <c r="I12" i="6"/>
  <c r="H12" i="6"/>
  <c r="G12" i="6"/>
  <c r="E12" i="6"/>
  <c r="D12" i="6"/>
  <c r="C12" i="6"/>
  <c r="B12" i="6"/>
  <c r="J11" i="6"/>
  <c r="I11" i="6"/>
  <c r="H11" i="6"/>
  <c r="G11" i="6"/>
  <c r="E11" i="6"/>
  <c r="D11" i="6"/>
  <c r="C11" i="6"/>
  <c r="B11" i="6"/>
  <c r="J10" i="6"/>
  <c r="I10" i="6"/>
  <c r="H10" i="6"/>
  <c r="G10" i="6"/>
  <c r="E10" i="6"/>
  <c r="D10" i="6"/>
  <c r="C10" i="6"/>
  <c r="B10" i="6"/>
  <c r="J9" i="6"/>
  <c r="I9" i="6"/>
  <c r="H9" i="6"/>
  <c r="G9" i="6"/>
  <c r="E9" i="6"/>
  <c r="D9" i="6"/>
  <c r="C9" i="6"/>
  <c r="B9" i="6"/>
  <c r="J8" i="6"/>
  <c r="I8" i="6"/>
  <c r="H8" i="6"/>
  <c r="G8" i="6"/>
  <c r="E8" i="6"/>
  <c r="D8" i="6"/>
  <c r="C8" i="6"/>
  <c r="B8" i="6"/>
  <c r="J7" i="6"/>
  <c r="I7" i="6"/>
  <c r="H7" i="6"/>
  <c r="G7" i="6"/>
  <c r="E7" i="6"/>
  <c r="D7" i="6"/>
  <c r="C7" i="6"/>
  <c r="B7" i="6"/>
  <c r="J6" i="6"/>
  <c r="I6" i="6"/>
  <c r="H6" i="6"/>
  <c r="G6" i="6"/>
  <c r="E6" i="6"/>
  <c r="D6" i="6"/>
  <c r="C6" i="6"/>
  <c r="B6" i="6"/>
  <c r="J5" i="6"/>
  <c r="I5" i="6"/>
  <c r="H5" i="6"/>
  <c r="G5" i="6"/>
  <c r="E5" i="6"/>
  <c r="D5" i="6"/>
  <c r="C5" i="6"/>
  <c r="B5" i="6"/>
  <c r="J4" i="6"/>
  <c r="I4" i="6"/>
  <c r="H4" i="6"/>
  <c r="G4" i="6"/>
  <c r="E4" i="6"/>
  <c r="D4" i="6"/>
  <c r="C4" i="6"/>
  <c r="B4" i="6"/>
  <c r="J3" i="6"/>
  <c r="I3" i="6"/>
  <c r="H3" i="6"/>
  <c r="G3" i="6"/>
  <c r="E3" i="6"/>
  <c r="D3" i="6"/>
  <c r="C3" i="6"/>
  <c r="B3" i="6"/>
  <c r="J2" i="6"/>
  <c r="I2" i="6"/>
  <c r="H2" i="6"/>
  <c r="G2" i="6"/>
  <c r="E2" i="6"/>
  <c r="D2" i="6"/>
  <c r="C2" i="6"/>
  <c r="B2" i="6"/>
  <c r="G13" i="3"/>
  <c r="G12" i="3"/>
  <c r="G11" i="3"/>
  <c r="G10" i="3"/>
  <c r="G9" i="3"/>
  <c r="G8" i="3"/>
  <c r="G7" i="3"/>
  <c r="G6" i="3"/>
  <c r="G5" i="3"/>
  <c r="G4" i="3"/>
  <c r="AM180" i="2"/>
  <c r="AS180" i="2" s="1"/>
  <c r="AM179" i="2"/>
  <c r="AT179" i="2" s="1"/>
  <c r="F179" i="6" s="1"/>
  <c r="AM178" i="2"/>
  <c r="AT178" i="2" s="1"/>
  <c r="F178" i="6" s="1"/>
  <c r="AM177" i="2"/>
  <c r="J30" i="24" s="1"/>
  <c r="AM176" i="2"/>
  <c r="J31" i="24" s="1"/>
  <c r="AI176" i="2"/>
  <c r="AM175" i="2"/>
  <c r="AT175" i="2" s="1"/>
  <c r="F175" i="6" s="1"/>
  <c r="AI175" i="2"/>
  <c r="AM174" i="2"/>
  <c r="J28" i="24" s="1"/>
  <c r="AI174" i="2"/>
  <c r="AM173" i="2"/>
  <c r="AS173" i="2" s="1"/>
  <c r="AI173" i="2"/>
  <c r="AM172" i="2"/>
  <c r="AT172" i="2" s="1"/>
  <c r="F172" i="6" s="1"/>
  <c r="AI172" i="2"/>
  <c r="AM171" i="2"/>
  <c r="AS171" i="2" s="1"/>
  <c r="AI171" i="2"/>
  <c r="AM170" i="2"/>
  <c r="AS170" i="2" s="1"/>
  <c r="AI170" i="2"/>
  <c r="AM169" i="2"/>
  <c r="AT169" i="2" s="1"/>
  <c r="F169" i="6" s="1"/>
  <c r="AI169" i="2"/>
  <c r="AM168" i="2"/>
  <c r="AT168" i="2" s="1"/>
  <c r="F168" i="6" s="1"/>
  <c r="AI168" i="2"/>
  <c r="AM167" i="2"/>
  <c r="AS167" i="2" s="1"/>
  <c r="AI167" i="2"/>
  <c r="AM166" i="2"/>
  <c r="AT166" i="2" s="1"/>
  <c r="F166" i="6" s="1"/>
  <c r="AI166" i="2"/>
  <c r="AM165" i="2"/>
  <c r="AT165" i="2" s="1"/>
  <c r="F165" i="6" s="1"/>
  <c r="AI165" i="2"/>
  <c r="AM164" i="2"/>
  <c r="AS164" i="2" s="1"/>
  <c r="AI164" i="2"/>
  <c r="AM163" i="2"/>
  <c r="AT163" i="2" s="1"/>
  <c r="F163" i="6" s="1"/>
  <c r="AI163" i="2"/>
  <c r="AM162" i="2"/>
  <c r="AS162" i="2" s="1"/>
  <c r="AI162" i="2"/>
  <c r="AM161" i="2"/>
  <c r="AS161" i="2" s="1"/>
  <c r="AI161" i="2"/>
  <c r="AM160" i="2"/>
  <c r="AT160" i="2" s="1"/>
  <c r="F160" i="6" s="1"/>
  <c r="AI160" i="2"/>
  <c r="AM159" i="2"/>
  <c r="AT159" i="2" s="1"/>
  <c r="F159" i="6" s="1"/>
  <c r="AI159" i="2"/>
  <c r="AM158" i="2"/>
  <c r="AS158" i="2" s="1"/>
  <c r="AI158" i="2"/>
  <c r="AM157" i="2"/>
  <c r="AT157" i="2" s="1"/>
  <c r="F157" i="6" s="1"/>
  <c r="AI157" i="2"/>
  <c r="AM156" i="2"/>
  <c r="AT156" i="2" s="1"/>
  <c r="F156" i="6" s="1"/>
  <c r="AI156" i="2"/>
  <c r="AM155" i="2"/>
  <c r="AS155" i="2" s="1"/>
  <c r="AI155" i="2"/>
  <c r="AM154" i="2"/>
  <c r="AT154" i="2" s="1"/>
  <c r="F154" i="6" s="1"/>
  <c r="AI154" i="2"/>
  <c r="AM153" i="2"/>
  <c r="AS153" i="2" s="1"/>
  <c r="AI153" i="2"/>
  <c r="AM152" i="2"/>
  <c r="AS152" i="2" s="1"/>
  <c r="AI152" i="2"/>
  <c r="AM151" i="2"/>
  <c r="AT151" i="2" s="1"/>
  <c r="F151" i="6" s="1"/>
  <c r="AI151" i="2"/>
  <c r="AM150" i="2"/>
  <c r="AT150" i="2" s="1"/>
  <c r="F150" i="6" s="1"/>
  <c r="AI150" i="2"/>
  <c r="AM149" i="2"/>
  <c r="AS149" i="2" s="1"/>
  <c r="AI149" i="2"/>
  <c r="AM148" i="2"/>
  <c r="AT148" i="2" s="1"/>
  <c r="F148" i="6" s="1"/>
  <c r="AI148" i="2"/>
  <c r="AM147" i="2"/>
  <c r="AT147" i="2" s="1"/>
  <c r="F147" i="6" s="1"/>
  <c r="AI147" i="2"/>
  <c r="AM146" i="2"/>
  <c r="AT146" i="2" s="1"/>
  <c r="F146" i="6" s="1"/>
  <c r="AI146" i="2"/>
  <c r="AM145" i="2"/>
  <c r="AT145" i="2" s="1"/>
  <c r="F145" i="6" s="1"/>
  <c r="AI145" i="2"/>
  <c r="AM144" i="2"/>
  <c r="AS144" i="2" s="1"/>
  <c r="AI144" i="2"/>
  <c r="AM143" i="2"/>
  <c r="AS143" i="2" s="1"/>
  <c r="AI143" i="2"/>
  <c r="AM142" i="2"/>
  <c r="AS142" i="2" s="1"/>
  <c r="AI142" i="2"/>
  <c r="AM141" i="2"/>
  <c r="AT141" i="2" s="1"/>
  <c r="F141" i="6" s="1"/>
  <c r="AI141" i="2"/>
  <c r="AM140" i="2"/>
  <c r="AS140" i="2" s="1"/>
  <c r="AI140" i="2"/>
  <c r="AM139" i="2"/>
  <c r="AT139" i="2" s="1"/>
  <c r="F139" i="6" s="1"/>
  <c r="AI139" i="2"/>
  <c r="AM138" i="2"/>
  <c r="AS138" i="2" s="1"/>
  <c r="AI138" i="2"/>
  <c r="AM137" i="2"/>
  <c r="AT137" i="2" s="1"/>
  <c r="F137" i="6" s="1"/>
  <c r="AI137" i="2"/>
  <c r="AM136" i="2"/>
  <c r="AT136" i="2" s="1"/>
  <c r="F136" i="6" s="1"/>
  <c r="AI136" i="2"/>
  <c r="AM135" i="2"/>
  <c r="AS135" i="2" s="1"/>
  <c r="AI135" i="2"/>
  <c r="AM123" i="2"/>
  <c r="AS123" i="2" s="1"/>
  <c r="AI123" i="2"/>
  <c r="AM112" i="2"/>
  <c r="AS112" i="2" s="1"/>
  <c r="AI112" i="2"/>
  <c r="AM111" i="2"/>
  <c r="AT111" i="2" s="1"/>
  <c r="F132" i="6" s="1"/>
  <c r="AI111" i="2"/>
  <c r="AM110" i="2"/>
  <c r="AS110" i="2" s="1"/>
  <c r="AI110" i="2"/>
  <c r="AM43" i="2"/>
  <c r="AT43" i="2" s="1"/>
  <c r="F130" i="6" s="1"/>
  <c r="AI43" i="2"/>
  <c r="AM37" i="2"/>
  <c r="AS37" i="2" s="1"/>
  <c r="AI37" i="2"/>
  <c r="AM49" i="2"/>
  <c r="AT49" i="2" s="1"/>
  <c r="F128" i="6" s="1"/>
  <c r="AI49" i="2"/>
  <c r="AM48" i="2"/>
  <c r="AT48" i="2" s="1"/>
  <c r="F127" i="6" s="1"/>
  <c r="AI48" i="2"/>
  <c r="AM47" i="2"/>
  <c r="AS47" i="2" s="1"/>
  <c r="AI47" i="2"/>
  <c r="AM46" i="2"/>
  <c r="AS46" i="2" s="1"/>
  <c r="AI46" i="2"/>
  <c r="AM45" i="2"/>
  <c r="AT45" i="2" s="1"/>
  <c r="F124" i="6" s="1"/>
  <c r="AI45" i="2"/>
  <c r="AM44" i="2"/>
  <c r="AS44" i="2" s="1"/>
  <c r="AI44" i="2"/>
  <c r="AM41" i="2"/>
  <c r="AS41" i="2" s="1"/>
  <c r="AI41" i="2"/>
  <c r="AM40" i="2"/>
  <c r="AT40" i="2" s="1"/>
  <c r="F121" i="6" s="1"/>
  <c r="AI40" i="2"/>
  <c r="AM31" i="2"/>
  <c r="AT31" i="2" s="1"/>
  <c r="F120" i="6" s="1"/>
  <c r="AI31" i="2"/>
  <c r="AM29" i="2"/>
  <c r="AI29" i="2"/>
  <c r="AM27" i="2"/>
  <c r="AT27" i="2" s="1"/>
  <c r="F118" i="6" s="1"/>
  <c r="AI27" i="2"/>
  <c r="AM26" i="2"/>
  <c r="AS26" i="2" s="1"/>
  <c r="AI26" i="2"/>
  <c r="AM42" i="2"/>
  <c r="AS42" i="2" s="1"/>
  <c r="AI42" i="2"/>
  <c r="AM39" i="2"/>
  <c r="AT39" i="2" s="1"/>
  <c r="F115" i="6" s="1"/>
  <c r="AI39" i="2"/>
  <c r="AM38" i="2"/>
  <c r="AT38" i="2" s="1"/>
  <c r="F114" i="6" s="1"/>
  <c r="AI38" i="2"/>
  <c r="AM36" i="2"/>
  <c r="AT36" i="2" s="1"/>
  <c r="F113" i="6" s="1"/>
  <c r="AI36" i="2"/>
  <c r="AM35" i="2"/>
  <c r="AT35" i="2" s="1"/>
  <c r="F112" i="6" s="1"/>
  <c r="AI35" i="2"/>
  <c r="AM34" i="2"/>
  <c r="AT34" i="2" s="1"/>
  <c r="F111" i="6" s="1"/>
  <c r="AI34" i="2"/>
  <c r="AM33" i="2"/>
  <c r="AT33" i="2" s="1"/>
  <c r="F110" i="6" s="1"/>
  <c r="AI33" i="2"/>
  <c r="AM32" i="2"/>
  <c r="AT32" i="2" s="1"/>
  <c r="F109" i="6" s="1"/>
  <c r="AI32" i="2"/>
  <c r="AM28" i="2"/>
  <c r="AS28" i="2" s="1"/>
  <c r="AI28" i="2"/>
  <c r="AM25" i="2"/>
  <c r="AT25" i="2" s="1"/>
  <c r="F107" i="6" s="1"/>
  <c r="AI25" i="2"/>
  <c r="AM106" i="2"/>
  <c r="AT106" i="2" s="1"/>
  <c r="F106" i="6" s="1"/>
  <c r="AI106" i="2"/>
  <c r="AM105" i="2"/>
  <c r="J17" i="24" s="1"/>
  <c r="AI105" i="2"/>
  <c r="AM104" i="2"/>
  <c r="AS104" i="2" s="1"/>
  <c r="AI104" i="2"/>
  <c r="AM103" i="2"/>
  <c r="AT103" i="2" s="1"/>
  <c r="F103" i="6" s="1"/>
  <c r="AI103" i="2"/>
  <c r="AM102" i="2"/>
  <c r="AT102" i="2" s="1"/>
  <c r="F102" i="6" s="1"/>
  <c r="AI102" i="2"/>
  <c r="AM101" i="2"/>
  <c r="AT101" i="2" s="1"/>
  <c r="F101" i="6" s="1"/>
  <c r="AI101" i="2"/>
  <c r="AM100" i="2"/>
  <c r="AT100" i="2" s="1"/>
  <c r="F100" i="6" s="1"/>
  <c r="AI100" i="2"/>
  <c r="AM99" i="2"/>
  <c r="AS99" i="2" s="1"/>
  <c r="AI99" i="2"/>
  <c r="AM98" i="2"/>
  <c r="AS98" i="2" s="1"/>
  <c r="AI98" i="2"/>
  <c r="AM97" i="2"/>
  <c r="AT97" i="2" s="1"/>
  <c r="F97" i="6" s="1"/>
  <c r="AI97" i="2"/>
  <c r="AM96" i="2"/>
  <c r="AT96" i="2" s="1"/>
  <c r="F96" i="6" s="1"/>
  <c r="AI96" i="2"/>
  <c r="AM95" i="2"/>
  <c r="AS95" i="2" s="1"/>
  <c r="AI95" i="2"/>
  <c r="AM94" i="2"/>
  <c r="AT94" i="2" s="1"/>
  <c r="F94" i="6" s="1"/>
  <c r="AI94" i="2"/>
  <c r="AM93" i="2"/>
  <c r="AT93" i="2" s="1"/>
  <c r="F93" i="6" s="1"/>
  <c r="AI93" i="2"/>
  <c r="AM92" i="2"/>
  <c r="AT92" i="2" s="1"/>
  <c r="F92" i="6" s="1"/>
  <c r="AI92" i="2"/>
  <c r="AM91" i="2"/>
  <c r="J13" i="24" s="1"/>
  <c r="AI91" i="2"/>
  <c r="AM90" i="2"/>
  <c r="AS90" i="2" s="1"/>
  <c r="AI90" i="2"/>
  <c r="AM89" i="2"/>
  <c r="AS89" i="2" s="1"/>
  <c r="AI89" i="2"/>
  <c r="AM88" i="2"/>
  <c r="AS88" i="2" s="1"/>
  <c r="AI88" i="2"/>
  <c r="AM87" i="2"/>
  <c r="AT87" i="2" s="1"/>
  <c r="F87" i="6" s="1"/>
  <c r="AI87" i="2"/>
  <c r="AM86" i="2"/>
  <c r="AS86" i="2" s="1"/>
  <c r="AI86" i="2"/>
  <c r="AM85" i="2"/>
  <c r="AT85" i="2" s="1"/>
  <c r="F85" i="6" s="1"/>
  <c r="AI85" i="2"/>
  <c r="AM84" i="2"/>
  <c r="AT84" i="2" s="1"/>
  <c r="F84" i="6" s="1"/>
  <c r="AI84" i="2"/>
  <c r="AM83" i="2"/>
  <c r="AT83" i="2" s="1"/>
  <c r="F83" i="6" s="1"/>
  <c r="AI83" i="2"/>
  <c r="AM82" i="2"/>
  <c r="AT82" i="2" s="1"/>
  <c r="F82" i="6" s="1"/>
  <c r="AI82" i="2"/>
  <c r="AM81" i="2"/>
  <c r="AS81" i="2" s="1"/>
  <c r="AI81" i="2"/>
  <c r="AM80" i="2"/>
  <c r="AS80" i="2" s="1"/>
  <c r="AI80" i="2"/>
  <c r="AM79" i="2"/>
  <c r="AT79" i="2" s="1"/>
  <c r="F79" i="6" s="1"/>
  <c r="AI79" i="2"/>
  <c r="AM78" i="2"/>
  <c r="AT78" i="2" s="1"/>
  <c r="F78" i="6" s="1"/>
  <c r="AI78" i="2"/>
  <c r="AM77" i="2"/>
  <c r="AS77" i="2" s="1"/>
  <c r="AI77" i="2"/>
  <c r="AM76" i="2"/>
  <c r="AT76" i="2" s="1"/>
  <c r="F76" i="6" s="1"/>
  <c r="AI76" i="2"/>
  <c r="AM75" i="2"/>
  <c r="AS75" i="2" s="1"/>
  <c r="AI75" i="2"/>
  <c r="AM74" i="2"/>
  <c r="AT74" i="2" s="1"/>
  <c r="F74" i="6" s="1"/>
  <c r="AI74" i="2"/>
  <c r="AM73" i="2"/>
  <c r="AT73" i="2" s="1"/>
  <c r="F73" i="6" s="1"/>
  <c r="AI73" i="2"/>
  <c r="AM72" i="2"/>
  <c r="AS72" i="2" s="1"/>
  <c r="AI72" i="2"/>
  <c r="AM71" i="2"/>
  <c r="AS71" i="2" s="1"/>
  <c r="AI71" i="2"/>
  <c r="AM70" i="2"/>
  <c r="AS70" i="2" s="1"/>
  <c r="AI70" i="2"/>
  <c r="AM69" i="2"/>
  <c r="AT69" i="2" s="1"/>
  <c r="F69" i="6" s="1"/>
  <c r="AI69" i="2"/>
  <c r="AM68" i="2"/>
  <c r="AS68" i="2" s="1"/>
  <c r="AI68" i="2"/>
  <c r="AM67" i="2"/>
  <c r="AT67" i="2" s="1"/>
  <c r="F67" i="6" s="1"/>
  <c r="AI67" i="2"/>
  <c r="AM66" i="2"/>
  <c r="AT66" i="2" s="1"/>
  <c r="F66" i="6" s="1"/>
  <c r="AI66" i="2"/>
  <c r="AM65" i="2"/>
  <c r="AT65" i="2" s="1"/>
  <c r="F65" i="6" s="1"/>
  <c r="AI65" i="2"/>
  <c r="AM130" i="2"/>
  <c r="AT130" i="2" s="1"/>
  <c r="F64" i="6" s="1"/>
  <c r="AI130" i="2"/>
  <c r="AM64" i="2"/>
  <c r="AS64" i="2" s="1"/>
  <c r="AI64" i="2"/>
  <c r="AM62" i="2"/>
  <c r="AS62" i="2" s="1"/>
  <c r="AI62" i="2"/>
  <c r="AM30" i="2"/>
  <c r="AI30" i="2"/>
  <c r="AM134" i="2"/>
  <c r="AS134" i="2" s="1"/>
  <c r="AI134" i="2"/>
  <c r="AM133" i="2"/>
  <c r="AS133" i="2" s="1"/>
  <c r="AI133" i="2"/>
  <c r="AM128" i="2"/>
  <c r="AT128" i="2" s="1"/>
  <c r="F58" i="6" s="1"/>
  <c r="AI128" i="2"/>
  <c r="AM127" i="2"/>
  <c r="AT127" i="2" s="1"/>
  <c r="F57" i="6" s="1"/>
  <c r="AI127" i="2"/>
  <c r="AM122" i="2"/>
  <c r="AT122" i="2" s="1"/>
  <c r="F56" i="6" s="1"/>
  <c r="AI122" i="2"/>
  <c r="AM121" i="2"/>
  <c r="AT121" i="2" s="1"/>
  <c r="F55" i="6" s="1"/>
  <c r="AI121" i="2"/>
  <c r="AM120" i="2"/>
  <c r="AS120" i="2" s="1"/>
  <c r="AI120" i="2"/>
  <c r="AM119" i="2"/>
  <c r="AS119" i="2" s="1"/>
  <c r="AI119" i="2"/>
  <c r="AM118" i="2"/>
  <c r="AT118" i="2" s="1"/>
  <c r="F52" i="6" s="1"/>
  <c r="AI118" i="2"/>
  <c r="AM117" i="2"/>
  <c r="AT117" i="2" s="1"/>
  <c r="F51" i="6" s="1"/>
  <c r="AI117" i="2"/>
  <c r="AM116" i="2"/>
  <c r="AS116" i="2" s="1"/>
  <c r="AI116" i="2"/>
  <c r="AM115" i="2"/>
  <c r="AT115" i="2" s="1"/>
  <c r="F49" i="6" s="1"/>
  <c r="AI115" i="2"/>
  <c r="AM114" i="2"/>
  <c r="AT114" i="2" s="1"/>
  <c r="F48" i="6" s="1"/>
  <c r="AI114" i="2"/>
  <c r="AM109" i="2"/>
  <c r="AT109" i="2" s="1"/>
  <c r="F47" i="6" s="1"/>
  <c r="AI109" i="2"/>
  <c r="AM108" i="2"/>
  <c r="AT108" i="2" s="1"/>
  <c r="F46" i="6" s="1"/>
  <c r="AI108" i="2"/>
  <c r="AM107" i="2"/>
  <c r="AS107" i="2" s="1"/>
  <c r="AI107" i="2"/>
  <c r="AM61" i="2"/>
  <c r="AS61" i="2" s="1"/>
  <c r="AI61" i="2"/>
  <c r="AM60" i="2"/>
  <c r="AT60" i="2" s="1"/>
  <c r="F43" i="6" s="1"/>
  <c r="AI60" i="2"/>
  <c r="AM56" i="2"/>
  <c r="AT56" i="2" s="1"/>
  <c r="F42" i="6" s="1"/>
  <c r="AI56" i="2"/>
  <c r="AM24" i="2"/>
  <c r="AS24" i="2" s="1"/>
  <c r="AI24" i="2"/>
  <c r="AM23" i="2"/>
  <c r="AT23" i="2" s="1"/>
  <c r="F40" i="6" s="1"/>
  <c r="AI23" i="2"/>
  <c r="AM22" i="2"/>
  <c r="AT22" i="2" s="1"/>
  <c r="F39" i="6" s="1"/>
  <c r="AI22" i="2"/>
  <c r="AM21" i="2"/>
  <c r="AI21" i="2"/>
  <c r="AM20" i="2"/>
  <c r="AT20" i="2" s="1"/>
  <c r="F37" i="6" s="1"/>
  <c r="AI20" i="2"/>
  <c r="AM19" i="2"/>
  <c r="AS19" i="2" s="1"/>
  <c r="AI19" i="2"/>
  <c r="AM18" i="2"/>
  <c r="AS18" i="2" s="1"/>
  <c r="AI18" i="2"/>
  <c r="AM17" i="2"/>
  <c r="AT17" i="2" s="1"/>
  <c r="F34" i="6" s="1"/>
  <c r="AI17" i="2"/>
  <c r="AM16" i="2"/>
  <c r="AS16" i="2" s="1"/>
  <c r="AI16" i="2"/>
  <c r="AM15" i="2"/>
  <c r="AS15" i="2" s="1"/>
  <c r="AI15" i="2"/>
  <c r="AM14" i="2"/>
  <c r="AT14" i="2" s="1"/>
  <c r="F31" i="6" s="1"/>
  <c r="AI14" i="2"/>
  <c r="AM13" i="2"/>
  <c r="AT13" i="2" s="1"/>
  <c r="F30" i="6" s="1"/>
  <c r="AI13" i="2"/>
  <c r="AM12" i="2"/>
  <c r="AS12" i="2" s="1"/>
  <c r="AI12" i="2"/>
  <c r="AM11" i="2"/>
  <c r="AI11" i="2"/>
  <c r="AM132" i="2"/>
  <c r="AS132" i="2" s="1"/>
  <c r="AI132" i="2"/>
  <c r="AM131" i="2"/>
  <c r="AS131" i="2" s="1"/>
  <c r="AI131" i="2"/>
  <c r="AM129" i="2"/>
  <c r="AT129" i="2" s="1"/>
  <c r="F25" i="6" s="1"/>
  <c r="AI129" i="2"/>
  <c r="AM126" i="2"/>
  <c r="AT126" i="2" s="1"/>
  <c r="F24" i="6" s="1"/>
  <c r="AI126" i="2"/>
  <c r="AM125" i="2"/>
  <c r="AS125" i="2" s="1"/>
  <c r="AI125" i="2"/>
  <c r="AM124" i="2"/>
  <c r="AT124" i="2" s="1"/>
  <c r="F22" i="6" s="1"/>
  <c r="AI124" i="2"/>
  <c r="AM113" i="2"/>
  <c r="AS113" i="2" s="1"/>
  <c r="AI113" i="2"/>
  <c r="AM63" i="2"/>
  <c r="AS63" i="2" s="1"/>
  <c r="AI63" i="2"/>
  <c r="AM59" i="2"/>
  <c r="AT59" i="2" s="1"/>
  <c r="F19" i="6" s="1"/>
  <c r="AI59" i="2"/>
  <c r="AM58" i="2"/>
  <c r="AS58" i="2" s="1"/>
  <c r="AI58" i="2"/>
  <c r="AM57" i="2"/>
  <c r="AS57" i="2" s="1"/>
  <c r="AI57" i="2"/>
  <c r="AM55" i="2"/>
  <c r="AT55" i="2" s="1"/>
  <c r="F16" i="6" s="1"/>
  <c r="AI55" i="2"/>
  <c r="AM54" i="2"/>
  <c r="AS54" i="2" s="1"/>
  <c r="AI54" i="2"/>
  <c r="AM53" i="2"/>
  <c r="AS53" i="2" s="1"/>
  <c r="AI53" i="2"/>
  <c r="AM52" i="2"/>
  <c r="AT52" i="2" s="1"/>
  <c r="F13" i="6" s="1"/>
  <c r="AI52" i="2"/>
  <c r="AM51" i="2"/>
  <c r="AS51" i="2" s="1"/>
  <c r="AI51" i="2"/>
  <c r="AM50" i="2"/>
  <c r="AT50" i="2" s="1"/>
  <c r="F11" i="6" s="1"/>
  <c r="AI50" i="2"/>
  <c r="AM10" i="2"/>
  <c r="AT10" i="2" s="1"/>
  <c r="F10" i="6" s="1"/>
  <c r="AI10" i="2"/>
  <c r="AM9" i="2"/>
  <c r="AS9" i="2" s="1"/>
  <c r="AI9" i="2"/>
  <c r="AM8" i="2"/>
  <c r="AS8" i="2" s="1"/>
  <c r="AI8" i="2"/>
  <c r="AM7" i="2"/>
  <c r="AT7" i="2" s="1"/>
  <c r="F7" i="6" s="1"/>
  <c r="AI7" i="2"/>
  <c r="AM6" i="2"/>
  <c r="AT6" i="2" s="1"/>
  <c r="F6" i="6" s="1"/>
  <c r="AI6" i="2"/>
  <c r="AM5" i="2"/>
  <c r="AS5" i="2" s="1"/>
  <c r="AI5" i="2"/>
  <c r="AM4" i="2"/>
  <c r="AT4" i="2" s="1"/>
  <c r="F4" i="6" s="1"/>
  <c r="AI4" i="2"/>
  <c r="AM3" i="2"/>
  <c r="AT3" i="2" s="1"/>
  <c r="F3" i="6" s="1"/>
  <c r="AI3" i="2"/>
  <c r="AM2" i="2"/>
  <c r="AI2" i="2"/>
  <c r="G72" i="21" l="1"/>
  <c r="L37" i="21"/>
  <c r="L26" i="21"/>
  <c r="L13" i="21"/>
  <c r="G76" i="21"/>
  <c r="F22" i="24"/>
  <c r="G74" i="21"/>
  <c r="L18" i="21"/>
  <c r="G7" i="21"/>
  <c r="F27" i="24"/>
  <c r="F30" i="24"/>
  <c r="L69" i="21"/>
  <c r="D8" i="44"/>
  <c r="I32" i="24"/>
  <c r="G66" i="21"/>
  <c r="I12" i="24"/>
  <c r="I23" i="24"/>
  <c r="L72" i="21"/>
  <c r="L64" i="21"/>
  <c r="L8" i="21"/>
  <c r="L7" i="21"/>
  <c r="L31" i="21"/>
  <c r="L42" i="21"/>
  <c r="G16" i="21"/>
  <c r="L33" i="21"/>
  <c r="L27" i="21"/>
  <c r="G20" i="21"/>
  <c r="G48" i="21"/>
  <c r="G79" i="21"/>
  <c r="F4" i="24"/>
  <c r="F11" i="24"/>
  <c r="F16" i="24"/>
  <c r="AS159" i="2"/>
  <c r="G12" i="21"/>
  <c r="G53" i="21"/>
  <c r="AS111" i="2"/>
  <c r="G26" i="24" s="1"/>
  <c r="I26" i="24" s="1"/>
  <c r="G33" i="21"/>
  <c r="G50" i="21"/>
  <c r="L79" i="21"/>
  <c r="AT119" i="2"/>
  <c r="F53" i="6" s="1"/>
  <c r="D7" i="26"/>
  <c r="G38" i="21"/>
  <c r="G58" i="21"/>
  <c r="G65" i="21"/>
  <c r="F15" i="24"/>
  <c r="L41" i="21"/>
  <c r="AT44" i="2"/>
  <c r="F123" i="6" s="1"/>
  <c r="F21" i="24"/>
  <c r="G4" i="21"/>
  <c r="G18" i="21"/>
  <c r="G42" i="21"/>
  <c r="G69" i="21"/>
  <c r="L56" i="21"/>
  <c r="L44" i="21"/>
  <c r="L71" i="21"/>
  <c r="L5" i="21"/>
  <c r="L36" i="21"/>
  <c r="G15" i="21"/>
  <c r="G73" i="21"/>
  <c r="L6" i="21"/>
  <c r="G36" i="21"/>
  <c r="G43" i="21"/>
  <c r="F28" i="24"/>
  <c r="D5" i="26"/>
  <c r="AT120" i="2"/>
  <c r="F54" i="6" s="1"/>
  <c r="AT81" i="2"/>
  <c r="F81" i="6" s="1"/>
  <c r="F8" i="24"/>
  <c r="AT131" i="2"/>
  <c r="F26" i="6" s="1"/>
  <c r="L32" i="21"/>
  <c r="G30" i="21"/>
  <c r="F19" i="24"/>
  <c r="AS6" i="2"/>
  <c r="AT15" i="2"/>
  <c r="F32" i="6" s="1"/>
  <c r="G27" i="21"/>
  <c r="G78" i="21"/>
  <c r="I9" i="24"/>
  <c r="AT140" i="2"/>
  <c r="F140" i="6" s="1"/>
  <c r="G26" i="21"/>
  <c r="F3" i="24"/>
  <c r="F10" i="24"/>
  <c r="F31" i="24"/>
  <c r="G6" i="21"/>
  <c r="G59" i="21"/>
  <c r="AT90" i="2"/>
  <c r="F90" i="6" s="1"/>
  <c r="AT42" i="2"/>
  <c r="F116" i="6" s="1"/>
  <c r="G23" i="21"/>
  <c r="B8" i="44"/>
  <c r="G37" i="21"/>
  <c r="G40" i="21"/>
  <c r="G56" i="21"/>
  <c r="G63" i="21"/>
  <c r="F26" i="24"/>
  <c r="F32" i="24"/>
  <c r="D8" i="26"/>
  <c r="G17" i="21"/>
  <c r="G54" i="21"/>
  <c r="F12" i="24"/>
  <c r="F18" i="24"/>
  <c r="F23" i="24"/>
  <c r="F6" i="24"/>
  <c r="AS168" i="2"/>
  <c r="AT176" i="2"/>
  <c r="F176" i="6" s="1"/>
  <c r="AT134" i="2"/>
  <c r="F60" i="6" s="1"/>
  <c r="G21" i="21"/>
  <c r="G35" i="21"/>
  <c r="G51" i="21"/>
  <c r="G61" i="21"/>
  <c r="G71" i="21"/>
  <c r="L21" i="21"/>
  <c r="G25" i="21"/>
  <c r="F9" i="24"/>
  <c r="F13" i="24"/>
  <c r="F29" i="24"/>
  <c r="D6" i="26"/>
  <c r="L51" i="21"/>
  <c r="L22" i="21"/>
  <c r="AT16" i="2"/>
  <c r="F33" i="6" s="1"/>
  <c r="AT104" i="2"/>
  <c r="F104" i="6" s="1"/>
  <c r="G29" i="21"/>
  <c r="I19" i="24"/>
  <c r="F24" i="24"/>
  <c r="F5" i="24"/>
  <c r="G52" i="21"/>
  <c r="I24" i="24"/>
  <c r="G47" i="21"/>
  <c r="G67" i="21"/>
  <c r="AT144" i="2"/>
  <c r="F144" i="6" s="1"/>
  <c r="AT62" i="2"/>
  <c r="F62" i="6" s="1"/>
  <c r="AT110" i="2"/>
  <c r="F131" i="6" s="1"/>
  <c r="G9" i="21"/>
  <c r="G22" i="21"/>
  <c r="G75" i="21"/>
  <c r="F20" i="24"/>
  <c r="AT68" i="2"/>
  <c r="F68" i="6" s="1"/>
  <c r="AS96" i="2"/>
  <c r="AT152" i="2"/>
  <c r="F152" i="6" s="1"/>
  <c r="G10" i="21"/>
  <c r="G44" i="21"/>
  <c r="AT58" i="2"/>
  <c r="F18" i="6" s="1"/>
  <c r="AT5" i="2"/>
  <c r="F5" i="6" s="1"/>
  <c r="AT89" i="2"/>
  <c r="F89" i="6" s="1"/>
  <c r="AT26" i="2"/>
  <c r="F117" i="6" s="1"/>
  <c r="AT167" i="2"/>
  <c r="F167" i="6" s="1"/>
  <c r="G41" i="21"/>
  <c r="G62" i="21"/>
  <c r="G77" i="21"/>
  <c r="G80" i="21"/>
  <c r="F14" i="24"/>
  <c r="AT24" i="2"/>
  <c r="F41" i="6" s="1"/>
  <c r="AS69" i="2"/>
  <c r="AT46" i="2"/>
  <c r="F125" i="6" s="1"/>
  <c r="AT153" i="2"/>
  <c r="F153" i="6" s="1"/>
  <c r="G14" i="21"/>
  <c r="C8" i="44"/>
  <c r="AT161" i="2"/>
  <c r="F161" i="6" s="1"/>
  <c r="G8" i="21"/>
  <c r="G11" i="21"/>
  <c r="G45" i="21"/>
  <c r="G81" i="21"/>
  <c r="I11" i="24"/>
  <c r="AS105" i="2"/>
  <c r="G17" i="24" s="1"/>
  <c r="I17" i="24" s="1"/>
  <c r="AT53" i="2"/>
  <c r="F14" i="6" s="1"/>
  <c r="AT105" i="2"/>
  <c r="F105" i="6" s="1"/>
  <c r="AT47" i="2"/>
  <c r="F126" i="6" s="1"/>
  <c r="G5" i="21"/>
  <c r="L24" i="21"/>
  <c r="AT132" i="2"/>
  <c r="F27" i="6" s="1"/>
  <c r="AT98" i="2"/>
  <c r="F98" i="6" s="1"/>
  <c r="G39" i="21"/>
  <c r="G57" i="21"/>
  <c r="G60" i="21"/>
  <c r="AT77" i="2"/>
  <c r="F77" i="6" s="1"/>
  <c r="AS56" i="2"/>
  <c r="AT123" i="2"/>
  <c r="F134" i="6" s="1"/>
  <c r="J16" i="24"/>
  <c r="L30" i="21"/>
  <c r="L10" i="21"/>
  <c r="L14" i="21"/>
  <c r="L48" i="21"/>
  <c r="AT116" i="2"/>
  <c r="F50" i="6" s="1"/>
  <c r="AT54" i="2"/>
  <c r="F15" i="6" s="1"/>
  <c r="G24" i="21"/>
  <c r="G34" i="21"/>
  <c r="F17" i="24"/>
  <c r="AT18" i="2"/>
  <c r="F35" i="6" s="1"/>
  <c r="AT64" i="2"/>
  <c r="F63" i="6" s="1"/>
  <c r="AT86" i="2"/>
  <c r="F86" i="6" s="1"/>
  <c r="AS38" i="2"/>
  <c r="L39" i="21"/>
  <c r="L17" i="21"/>
  <c r="L68" i="21"/>
  <c r="L20" i="21"/>
  <c r="L73" i="21"/>
  <c r="AS78" i="2"/>
  <c r="AT71" i="2"/>
  <c r="F71" i="6" s="1"/>
  <c r="AT125" i="2"/>
  <c r="F23" i="6" s="1"/>
  <c r="AS117" i="2"/>
  <c r="AT72" i="2"/>
  <c r="F72" i="6" s="1"/>
  <c r="AS150" i="2"/>
  <c r="G28" i="21"/>
  <c r="G31" i="21"/>
  <c r="G46" i="21"/>
  <c r="G49" i="21"/>
  <c r="G64" i="21"/>
  <c r="G70" i="21"/>
  <c r="AT8" i="2"/>
  <c r="F8" i="6" s="1"/>
  <c r="AT19" i="2"/>
  <c r="F36" i="6" s="1"/>
  <c r="L4" i="21"/>
  <c r="L23" i="21"/>
  <c r="L62" i="21"/>
  <c r="L66" i="21"/>
  <c r="D10" i="40"/>
  <c r="AS141" i="2"/>
  <c r="AT61" i="2"/>
  <c r="F44" i="6" s="1"/>
  <c r="AT41" i="2"/>
  <c r="F122" i="6" s="1"/>
  <c r="AS87" i="2"/>
  <c r="AT158" i="2"/>
  <c r="F158" i="6" s="1"/>
  <c r="G55" i="21"/>
  <c r="AT162" i="2"/>
  <c r="F162" i="6" s="1"/>
  <c r="AT99" i="2"/>
  <c r="F99" i="6" s="1"/>
  <c r="AT149" i="2"/>
  <c r="F149" i="6" s="1"/>
  <c r="AT135" i="2"/>
  <c r="F135" i="6" s="1"/>
  <c r="AT9" i="2"/>
  <c r="F9" i="6" s="1"/>
  <c r="AT133" i="2"/>
  <c r="F59" i="6" s="1"/>
  <c r="AT143" i="2"/>
  <c r="F143" i="6" s="1"/>
  <c r="AT171" i="2"/>
  <c r="F171" i="6" s="1"/>
  <c r="AS126" i="2"/>
  <c r="J8" i="24"/>
  <c r="AT80" i="2"/>
  <c r="F80" i="6" s="1"/>
  <c r="AT28" i="2"/>
  <c r="F108" i="6" s="1"/>
  <c r="AT57" i="2"/>
  <c r="F17" i="6" s="1"/>
  <c r="AT107" i="2"/>
  <c r="F45" i="6" s="1"/>
  <c r="AT95" i="2"/>
  <c r="F95" i="6" s="1"/>
  <c r="AT177" i="2"/>
  <c r="F177" i="6" s="1"/>
  <c r="AT170" i="2"/>
  <c r="F170" i="6" s="1"/>
  <c r="AT180" i="2"/>
  <c r="F180" i="6" s="1"/>
  <c r="G13" i="21"/>
  <c r="G19" i="21"/>
  <c r="AS130" i="2"/>
  <c r="J29" i="24"/>
  <c r="L43" i="21"/>
  <c r="AS10" i="2"/>
  <c r="AS59" i="2"/>
  <c r="AS11" i="2"/>
  <c r="AS20" i="2"/>
  <c r="AS108" i="2"/>
  <c r="AS121" i="2"/>
  <c r="AS73" i="2"/>
  <c r="AS82" i="2"/>
  <c r="AS91" i="2"/>
  <c r="G13" i="24" s="1"/>
  <c r="I13" i="24" s="1"/>
  <c r="AS100" i="2"/>
  <c r="AS32" i="2"/>
  <c r="AS27" i="2"/>
  <c r="AS48" i="2"/>
  <c r="AS136" i="2"/>
  <c r="AS145" i="2"/>
  <c r="AS154" i="2"/>
  <c r="AS163" i="2"/>
  <c r="AS172" i="2"/>
  <c r="AT11" i="2"/>
  <c r="F28" i="6" s="1"/>
  <c r="AT91" i="2"/>
  <c r="F91" i="6" s="1"/>
  <c r="AS177" i="2"/>
  <c r="G30" i="24" s="1"/>
  <c r="I30" i="24" s="1"/>
  <c r="J26" i="24"/>
  <c r="J22" i="24"/>
  <c r="AS21" i="2"/>
  <c r="AS92" i="2"/>
  <c r="AS33" i="2"/>
  <c r="AS146" i="2"/>
  <c r="C10" i="40"/>
  <c r="B10" i="40"/>
  <c r="B11" i="26"/>
  <c r="AS83" i="2"/>
  <c r="AS2" i="2"/>
  <c r="AS50" i="2"/>
  <c r="AS74" i="2"/>
  <c r="AS101" i="2"/>
  <c r="AS137" i="2"/>
  <c r="AS178" i="2"/>
  <c r="AS7" i="2"/>
  <c r="AS55" i="2"/>
  <c r="AS17" i="2"/>
  <c r="L16" i="21"/>
  <c r="G4" i="37"/>
  <c r="AS109" i="2"/>
  <c r="J10" i="24"/>
  <c r="AT164" i="2"/>
  <c r="F164" i="6" s="1"/>
  <c r="AS179" i="2"/>
  <c r="G68" i="21"/>
  <c r="AT63" i="2"/>
  <c r="F20" i="6" s="1"/>
  <c r="AT155" i="2"/>
  <c r="F155" i="6" s="1"/>
  <c r="AS30" i="2"/>
  <c r="AS39" i="2"/>
  <c r="AT30" i="2"/>
  <c r="F61" i="6" s="1"/>
  <c r="AT70" i="2"/>
  <c r="F70" i="6" s="1"/>
  <c r="AT88" i="2"/>
  <c r="F88" i="6" s="1"/>
  <c r="AS13" i="2"/>
  <c r="AS114" i="2"/>
  <c r="AS84" i="2"/>
  <c r="AS102" i="2"/>
  <c r="G32" i="21"/>
  <c r="J6" i="24"/>
  <c r="AS29" i="2"/>
  <c r="AS129" i="2"/>
  <c r="AS106" i="2"/>
  <c r="AS45" i="2"/>
  <c r="J25" i="24"/>
  <c r="AT112" i="2"/>
  <c r="F133" i="6" s="1"/>
  <c r="AT142" i="2"/>
  <c r="F142" i="6" s="1"/>
  <c r="AS22" i="2"/>
  <c r="AS127" i="2"/>
  <c r="AS66" i="2"/>
  <c r="AS93" i="2"/>
  <c r="AS34" i="2"/>
  <c r="AS147" i="2"/>
  <c r="AS174" i="2"/>
  <c r="G28" i="24" s="1"/>
  <c r="I28" i="24" s="1"/>
  <c r="AT113" i="2"/>
  <c r="F21" i="6" s="1"/>
  <c r="AT75" i="2"/>
  <c r="F75" i="6" s="1"/>
  <c r="AT37" i="2"/>
  <c r="F129" i="6" s="1"/>
  <c r="AT138" i="2"/>
  <c r="F138" i="6" s="1"/>
  <c r="AT174" i="2"/>
  <c r="F174" i="6" s="1"/>
  <c r="F7" i="24"/>
  <c r="AT12" i="2"/>
  <c r="F29" i="6" s="1"/>
  <c r="AT29" i="2"/>
  <c r="F119" i="6" s="1"/>
  <c r="AT173" i="2"/>
  <c r="F173" i="6" s="1"/>
  <c r="AS60" i="2"/>
  <c r="AS118" i="2"/>
  <c r="AS79" i="2"/>
  <c r="AS97" i="2"/>
  <c r="AS151" i="2"/>
  <c r="AS160" i="2"/>
  <c r="AS169" i="2"/>
  <c r="J4" i="24"/>
  <c r="AS3" i="2"/>
  <c r="AS31" i="2"/>
  <c r="AS156" i="2"/>
  <c r="AS165" i="2"/>
  <c r="AT51" i="2"/>
  <c r="F12" i="6" s="1"/>
  <c r="J18" i="24"/>
  <c r="C11" i="26"/>
  <c r="H4" i="37"/>
  <c r="AS25" i="2"/>
  <c r="J21" i="24"/>
  <c r="AS122" i="2"/>
  <c r="AT21" i="2"/>
  <c r="F38" i="6" s="1"/>
  <c r="J3" i="24"/>
  <c r="AS4" i="2"/>
  <c r="AS52" i="2"/>
  <c r="AS124" i="2"/>
  <c r="AS14" i="2"/>
  <c r="AS23" i="2"/>
  <c r="AS115" i="2"/>
  <c r="AS128" i="2"/>
  <c r="AS67" i="2"/>
  <c r="AS76" i="2"/>
  <c r="AS85" i="2"/>
  <c r="AS94" i="2"/>
  <c r="AS103" i="2"/>
  <c r="AS35" i="2"/>
  <c r="AS40" i="2"/>
  <c r="AS43" i="2"/>
  <c r="G25" i="24" s="1"/>
  <c r="I25" i="24" s="1"/>
  <c r="AS139" i="2"/>
  <c r="AS148" i="2"/>
  <c r="AS157" i="2"/>
  <c r="AS166" i="2"/>
  <c r="AS175" i="2"/>
  <c r="F25" i="24"/>
  <c r="J14" i="24"/>
  <c r="B12" i="44"/>
  <c r="AS65" i="2"/>
  <c r="AS49" i="2"/>
  <c r="L25" i="21"/>
  <c r="J5" i="24"/>
  <c r="C12" i="44"/>
  <c r="J15" i="24"/>
  <c r="AT2" i="2"/>
  <c r="F2" i="6" s="1"/>
  <c r="J7" i="24"/>
  <c r="I4" i="37"/>
  <c r="J27" i="24"/>
  <c r="J20" i="24"/>
  <c r="AS36" i="2"/>
  <c r="AS176" i="2"/>
  <c r="G31" i="24" s="1"/>
  <c r="I31" i="24" s="1"/>
  <c r="D12" i="44"/>
  <c r="G10" i="24" l="1"/>
  <c r="I10" i="24" s="1"/>
  <c r="H7" i="24"/>
  <c r="G20" i="24"/>
  <c r="I20" i="24" s="1"/>
  <c r="G27" i="24"/>
  <c r="I27" i="24" s="1"/>
  <c r="G21" i="24"/>
  <c r="I21" i="24" s="1"/>
  <c r="H4" i="24"/>
  <c r="G22" i="24"/>
  <c r="I22" i="24" s="1"/>
  <c r="G15" i="24"/>
  <c r="I15" i="24" s="1"/>
  <c r="D11" i="40"/>
  <c r="H6" i="24"/>
  <c r="G6" i="24"/>
  <c r="B10" i="26"/>
  <c r="G7" i="24"/>
  <c r="H5" i="24"/>
  <c r="G5" i="24"/>
  <c r="H14" i="24"/>
  <c r="G14" i="24"/>
  <c r="G16" i="24"/>
  <c r="I16" i="24" s="1"/>
  <c r="H3" i="24"/>
  <c r="G3" i="24"/>
  <c r="B9" i="26"/>
  <c r="C11" i="40"/>
  <c r="B11" i="40"/>
  <c r="G29" i="24"/>
  <c r="I29" i="24" s="1"/>
  <c r="D11" i="26"/>
  <c r="G4" i="24"/>
  <c r="H8" i="24"/>
  <c r="G8" i="24"/>
  <c r="G18" i="24"/>
  <c r="I18" i="24" s="1"/>
  <c r="C10" i="26"/>
  <c r="C9" i="26"/>
  <c r="I7" i="24" l="1"/>
  <c r="D9" i="26"/>
  <c r="I4" i="24"/>
  <c r="I5" i="24"/>
  <c r="I3" i="24"/>
  <c r="I8" i="24"/>
  <c r="D10" i="26"/>
  <c r="I6" i="24"/>
  <c r="I14" i="24"/>
</calcChain>
</file>

<file path=xl/sharedStrings.xml><?xml version="1.0" encoding="utf-8"?>
<sst xmlns="http://schemas.openxmlformats.org/spreadsheetml/2006/main" count="47371" uniqueCount="12972">
  <si>
    <t>Task Id</t>
  </si>
  <si>
    <t>Milestone Id</t>
  </si>
  <si>
    <t>Phase Id</t>
  </si>
  <si>
    <t>Task Name</t>
  </si>
  <si>
    <t>Module</t>
  </si>
  <si>
    <t>Sub-module</t>
  </si>
  <si>
    <t>Priority</t>
  </si>
  <si>
    <t>Task Description</t>
  </si>
  <si>
    <t>Task Validation</t>
  </si>
  <si>
    <t>Hours</t>
  </si>
  <si>
    <t>Status</t>
  </si>
  <si>
    <t>AI Agent Owner</t>
  </si>
  <si>
    <t>Depends On (IDs only)</t>
  </si>
  <si>
    <t>Must Precede (IDs only)</t>
  </si>
  <si>
    <t>Delivery Target</t>
  </si>
  <si>
    <t>Release Criticality</t>
  </si>
  <si>
    <t>AI Execution Class</t>
  </si>
  <si>
    <t>AI Guarded Time P80 (h)</t>
  </si>
  <si>
    <t>AI Sequence Wave</t>
  </si>
  <si>
    <t>AI Start / Dependency Gate</t>
  </si>
  <si>
    <t>File / Subsystem Lock</t>
  </si>
  <si>
    <t>No-Rework Handoff Ruling</t>
  </si>
  <si>
    <t>Product Track</t>
  </si>
  <si>
    <t>Tech-Lead Ruling</t>
  </si>
  <si>
    <t>Commit String</t>
  </si>
  <si>
    <t>Commit Date</t>
  </si>
  <si>
    <t>Primary Capability ID</t>
  </si>
  <si>
    <t>Primary Capability Name</t>
  </si>
  <si>
    <t>Secondary Capability IDs</t>
  </si>
  <si>
    <t>Capability Contribution</t>
  </si>
  <si>
    <t>Completeness Dimensions Targeted</t>
  </si>
  <si>
    <t>Capability Requirement Class</t>
  </si>
  <si>
    <t>Release Scope</t>
  </si>
  <si>
    <t>Capability Closure Effect</t>
  </si>
  <si>
    <t>Capability Evidence</t>
  </si>
  <si>
    <t>Estimate Basis</t>
  </si>
  <si>
    <t>Design Package</t>
  </si>
  <si>
    <t>UI Companion Reference</t>
  </si>
  <si>
    <t>Usable scope estimate (1/0)</t>
  </si>
  <si>
    <t>Contract-ready predecessors (not completion)</t>
  </si>
  <si>
    <t>Evidence State</t>
  </si>
  <si>
    <t>Closure Evidence Basis</t>
  </si>
  <si>
    <t>Parent Commit</t>
  </si>
  <si>
    <t>Estimate Status</t>
  </si>
  <si>
    <t>Usable planning hours</t>
  </si>
  <si>
    <t>Usable planning P80 h</t>
  </si>
  <si>
    <t>Source review coverage</t>
  </si>
  <si>
    <t>Proposed remaining LOW h</t>
  </si>
  <si>
    <t>Proposed remaining BASE h</t>
  </si>
  <si>
    <t>Proposed remaining HIGH h</t>
  </si>
  <si>
    <t>Remaining estimate confidence</t>
  </si>
  <si>
    <t>Remaining estimate basis</t>
  </si>
  <si>
    <t>Source locations</t>
  </si>
  <si>
    <t>Source as-of / evidence boundary</t>
  </si>
  <si>
    <t>Release</t>
  </si>
  <si>
    <t>Phase</t>
  </si>
  <si>
    <t>Owner</t>
  </si>
  <si>
    <t>Usable P80 h</t>
  </si>
  <si>
    <t>Depends On</t>
  </si>
  <si>
    <t>Must Precede</t>
  </si>
  <si>
    <t>Gate</t>
  </si>
  <si>
    <t>Contract-ready predecessors</t>
  </si>
  <si>
    <t>T-086</t>
  </si>
  <si>
    <t>T-087</t>
  </si>
  <si>
    <t>T-088</t>
  </si>
  <si>
    <t>T-089</t>
  </si>
  <si>
    <t>T-090</t>
  </si>
  <si>
    <t>T-091</t>
  </si>
  <si>
    <t>T-092</t>
  </si>
  <si>
    <t>T-093</t>
  </si>
  <si>
    <t>T-094</t>
  </si>
  <si>
    <t>T-201</t>
  </si>
  <si>
    <t>T-202</t>
  </si>
  <si>
    <t>T-203</t>
  </si>
  <si>
    <t>T-204</t>
  </si>
  <si>
    <t>T-205</t>
  </si>
  <si>
    <t>T-206</t>
  </si>
  <si>
    <t>T-208</t>
  </si>
  <si>
    <t>T-209</t>
  </si>
  <si>
    <t>T-210</t>
  </si>
  <si>
    <t>T-216</t>
  </si>
  <si>
    <t>T-231</t>
  </si>
  <si>
    <t>T-250</t>
  </si>
  <si>
    <t>T-251</t>
  </si>
  <si>
    <t>T-252</t>
  </si>
  <si>
    <t>T-256</t>
  </si>
  <si>
    <t>T-259</t>
  </si>
  <si>
    <t>T-260</t>
  </si>
  <si>
    <t>T-095</t>
  </si>
  <si>
    <t>T-096</t>
  </si>
  <si>
    <t>T-097</t>
  </si>
  <si>
    <t>T-098</t>
  </si>
  <si>
    <t>T-099</t>
  </si>
  <si>
    <t>T-100</t>
  </si>
  <si>
    <t>T-101</t>
  </si>
  <si>
    <t>T-102</t>
  </si>
  <si>
    <t>T-103</t>
  </si>
  <si>
    <t>T-104</t>
  </si>
  <si>
    <t>T-106</t>
  </si>
  <si>
    <t>T-107</t>
  </si>
  <si>
    <t>T-108</t>
  </si>
  <si>
    <t>T-109</t>
  </si>
  <si>
    <t>T-207</t>
  </si>
  <si>
    <t>T-212</t>
  </si>
  <si>
    <t>T-213</t>
  </si>
  <si>
    <t>T-224</t>
  </si>
  <si>
    <t>T-225</t>
  </si>
  <si>
    <t>T-226</t>
  </si>
  <si>
    <t>T-232</t>
  </si>
  <si>
    <t>T-233</t>
  </si>
  <si>
    <t>T-235</t>
  </si>
  <si>
    <t>T-241</t>
  </si>
  <si>
    <t>T-242</t>
  </si>
  <si>
    <t>T-243</t>
  </si>
  <si>
    <t>T-244</t>
  </si>
  <si>
    <t>T-245</t>
  </si>
  <si>
    <t>T-247</t>
  </si>
  <si>
    <t>T-253</t>
  </si>
  <si>
    <t>T-254</t>
  </si>
  <si>
    <t>T-261</t>
  </si>
  <si>
    <t>T-262</t>
  </si>
  <si>
    <t>T-148</t>
  </si>
  <si>
    <t>T-215</t>
  </si>
  <si>
    <t>T-222</t>
  </si>
  <si>
    <t>T-258</t>
  </si>
  <si>
    <t>T-137</t>
  </si>
  <si>
    <t>T-168</t>
  </si>
  <si>
    <t>T-169</t>
  </si>
  <si>
    <t>T-170</t>
  </si>
  <si>
    <t>T-171</t>
  </si>
  <si>
    <t>T-172</t>
  </si>
  <si>
    <t>T-173</t>
  </si>
  <si>
    <t>T-174</t>
  </si>
  <si>
    <t>T-175</t>
  </si>
  <si>
    <t>T-176</t>
  </si>
  <si>
    <t>T-177</t>
  </si>
  <si>
    <t>T-178</t>
  </si>
  <si>
    <t>T-179</t>
  </si>
  <si>
    <t>T-180</t>
  </si>
  <si>
    <t>T-181</t>
  </si>
  <si>
    <t>T-182</t>
  </si>
  <si>
    <t>T-211</t>
  </si>
  <si>
    <t>T-214</t>
  </si>
  <si>
    <t>T-217</t>
  </si>
  <si>
    <t>T-218</t>
  </si>
  <si>
    <t>T-219</t>
  </si>
  <si>
    <t>T-220</t>
  </si>
  <si>
    <t>T-221</t>
  </si>
  <si>
    <t>T-223</t>
  </si>
  <si>
    <t>T-234</t>
  </si>
  <si>
    <t>T-236</t>
  </si>
  <si>
    <t>T-237</t>
  </si>
  <si>
    <t>T-112</t>
  </si>
  <si>
    <t>T-113</t>
  </si>
  <si>
    <t>T-114</t>
  </si>
  <si>
    <t>T-115</t>
  </si>
  <si>
    <t>T-119</t>
  </si>
  <si>
    <t>T-120</t>
  </si>
  <si>
    <t>T-121</t>
  </si>
  <si>
    <t>T-123</t>
  </si>
  <si>
    <t>T-124</t>
  </si>
  <si>
    <t>T-125</t>
  </si>
  <si>
    <t>T-126</t>
  </si>
  <si>
    <t>T-150</t>
  </si>
  <si>
    <t>T-227</t>
  </si>
  <si>
    <t>T-255</t>
  </si>
  <si>
    <t>T-257</t>
  </si>
  <si>
    <t>T-110</t>
  </si>
  <si>
    <t>T-122</t>
  </si>
  <si>
    <t>T-151</t>
  </si>
  <si>
    <t>T-152</t>
  </si>
  <si>
    <t>T-153</t>
  </si>
  <si>
    <t>T-154</t>
  </si>
  <si>
    <t>T-155</t>
  </si>
  <si>
    <t>T-159</t>
  </si>
  <si>
    <t>T-160</t>
  </si>
  <si>
    <t>T-163</t>
  </si>
  <si>
    <t>T-116</t>
  </si>
  <si>
    <t>T-117</t>
  </si>
  <si>
    <t>T-127</t>
  </si>
  <si>
    <t>T-149</t>
  </si>
  <si>
    <t>T-161</t>
  </si>
  <si>
    <t>T-162</t>
  </si>
  <si>
    <t>T-194</t>
  </si>
  <si>
    <t>T-196</t>
  </si>
  <si>
    <t>T-197</t>
  </si>
  <si>
    <t>T-198</t>
  </si>
  <si>
    <t>T-199</t>
  </si>
  <si>
    <t>T-200</t>
  </si>
  <si>
    <t>T-156</t>
  </si>
  <si>
    <t>T-166</t>
  </si>
  <si>
    <t>T-228</t>
  </si>
  <si>
    <t>T-229</t>
  </si>
  <si>
    <t>T-230</t>
  </si>
  <si>
    <t>T-248</t>
  </si>
  <si>
    <t>T-263</t>
  </si>
  <si>
    <t>T-128</t>
  </si>
  <si>
    <t>T-129</t>
  </si>
  <si>
    <t>T-130</t>
  </si>
  <si>
    <t>T-131</t>
  </si>
  <si>
    <t>T-132</t>
  </si>
  <si>
    <t>T-133</t>
  </si>
  <si>
    <t>T-134</t>
  </si>
  <si>
    <t>T-135</t>
  </si>
  <si>
    <t>T-136</t>
  </si>
  <si>
    <t>T-138</t>
  </si>
  <si>
    <t>T-139</t>
  </si>
  <si>
    <t>T-140</t>
  </si>
  <si>
    <t>T-141</t>
  </si>
  <si>
    <t>T-142</t>
  </si>
  <si>
    <t>T-143</t>
  </si>
  <si>
    <t>T-144</t>
  </si>
  <si>
    <t>T-145</t>
  </si>
  <si>
    <t>T-146</t>
  </si>
  <si>
    <t>T-147</t>
  </si>
  <si>
    <t>T-157</t>
  </si>
  <si>
    <t>T-158</t>
  </si>
  <si>
    <t>T-164</t>
  </si>
  <si>
    <t>T-165</t>
  </si>
  <si>
    <t>T-183</t>
  </si>
  <si>
    <t>T-184</t>
  </si>
  <si>
    <t>T-185</t>
  </si>
  <si>
    <t>T-186</t>
  </si>
  <si>
    <t>T-187</t>
  </si>
  <si>
    <t>T-188</t>
  </si>
  <si>
    <t>T-189</t>
  </si>
  <si>
    <t>T-190</t>
  </si>
  <si>
    <t>T-191</t>
  </si>
  <si>
    <t>T-192</t>
  </si>
  <si>
    <t>T-193</t>
  </si>
  <si>
    <t>T-195</t>
  </si>
  <si>
    <t>T-238</t>
  </si>
  <si>
    <t>T-239</t>
  </si>
  <si>
    <t>T-240</t>
  </si>
  <si>
    <t>T-246</t>
  </si>
  <si>
    <t>T-264</t>
  </si>
  <si>
    <t>T-167</t>
  </si>
  <si>
    <t>T-249</t>
  </si>
  <si>
    <t>T-265</t>
  </si>
  <si>
    <t>T-266</t>
  </si>
  <si>
    <t>T-267</t>
  </si>
  <si>
    <t>Historical / Superseded Task Evidence — not current execution authority</t>
  </si>
  <si>
    <t>Historical status</t>
  </si>
  <si>
    <t>Evidence / Commit</t>
  </si>
  <si>
    <t>Archive ruling</t>
  </si>
  <si>
    <t>Column1</t>
  </si>
  <si>
    <t>Column2</t>
  </si>
  <si>
    <t>T-001</t>
  </si>
  <si>
    <t>Build the six-beat Design Traceability Matrix</t>
  </si>
  <si>
    <t>Done</t>
  </si>
  <si>
    <t>Historical baseline evidence only; not current execution authority.</t>
  </si>
  <si>
    <t>T-002</t>
  </si>
  <si>
    <t>Audit every presented route and control against the Chapter 3 page inventory</t>
  </si>
  <si>
    <t>T-003</t>
  </si>
  <si>
    <t>Lock the presentation profile as a data profile, not a branch</t>
  </si>
  <si>
    <t>T-004</t>
  </si>
  <si>
    <t>Create the M1 acceptance checklist and evidence folder</t>
  </si>
  <si>
    <t>T-005</t>
  </si>
  <si>
    <t>Rebuild ppiq_presentation into scratch and diff against live</t>
  </si>
  <si>
    <t>T-006</t>
  </si>
  <si>
    <t>Convert every diff finding into a seed or migration script</t>
  </si>
  <si>
    <t>T-007</t>
  </si>
  <si>
    <t>Presentation Phenomena and Widget Coverage Matrix, 
part 1: inventory and the 36-chart blueprint</t>
  </si>
  <si>
    <t>T-008</t>
  </si>
  <si>
    <t>Presentation Phenomena and Widget Coverage Matrix, part 2: map, classify, close</t>
  </si>
  <si>
    <t>T-009</t>
  </si>
  <si>
    <t>Downtime two-quantity contract: final schema and domain slice</t>
  </si>
  <si>
    <t>T-010</t>
  </si>
  <si>
    <t>Run the canonical semantic path end to end through the M1 compatibility boundaries</t>
  </si>
  <si>
    <t>T-011</t>
  </si>
  <si>
    <t>Establish and fix the architecture test pool reliability</t>
  </si>
  <si>
    <t>T-012</t>
  </si>
  <si>
    <t>Canonicalise the JourneyRail to J1 to J15</t>
  </si>
  <si>
    <t>T-013</t>
  </si>
  <si>
    <t>Three-way source reconciliation: KEEP, EXTEND or ADD</t>
  </si>
  <si>
    <t>T-014</t>
  </si>
  <si>
    <t>Capture the current source-shaped donor schemas in a committed generator</t>
  </si>
  <si>
    <t>T-015</t>
  </si>
  <si>
    <t>Presentation Fleet v2 target specification</t>
  </si>
  <si>
    <t>T-016</t>
  </si>
  <si>
    <t>Extend the generator: defect catalogue and chemistry elements</t>
  </si>
  <si>
    <t>T-017</t>
  </si>
  <si>
    <t>Extend the generator: grade specification, and shift as BEHAVIOUR</t>
  </si>
  <si>
    <t>T-018</t>
  </si>
  <si>
    <t>Extend the generator: downtime two quantities and buffer posture</t>
  </si>
  <si>
    <t>T-019</t>
  </si>
  <si>
    <t>Shift and crew operating-practice regimes</t>
  </si>
  <si>
    <t>T-020</t>
  </si>
  <si>
    <t>Post-maintenance recovery and campaign-ageing regimes</t>
  </si>
  <si>
    <t>T-021</t>
  </si>
  <si>
    <t>Equipment personality and temporal regime changes</t>
  </si>
  <si>
    <t>T-022</t>
  </si>
  <si>
    <t>Merge the best existing material into one Fleet v2 truth</t>
  </si>
  <si>
    <t>T-023</t>
  </si>
  <si>
    <t>Scale Fleet v2 to the target plant size</t>
  </si>
  <si>
    <t>T-024</t>
  </si>
  <si>
    <t>Emit and populate the presentation canonical operational entities</t>
  </si>
  <si>
    <t>T-025</t>
  </si>
  <si>
    <t>Compute and populate the presentation analysis entities with the real engines</t>
  </si>
  <si>
    <t>T-026</t>
  </si>
  <si>
    <t>Phenomenon test harness: manifest schema and runner</t>
  </si>
  <si>
    <t>T-027</t>
  </si>
  <si>
    <t>Populate the manifest and prove every phenomenon</t>
  </si>
  <si>
    <t>T-028</t>
  </si>
  <si>
    <t>Verify the confounded correlation and the insufficient-support refusal</t>
  </si>
  <si>
    <t>T-029</t>
  </si>
  <si>
    <t>Five-layer realism audit of the emulated plant</t>
  </si>
  <si>
    <t>T-030</t>
  </si>
  <si>
    <t>Emit and populate the presentation staging representation, source-shaped</t>
  </si>
  <si>
    <t>T-031</t>
  </si>
  <si>
    <t>Certify cross-layer consistency and retire the obsolete donor state</t>
  </si>
  <si>
    <t>T-032</t>
  </si>
  <si>
    <t>Shared Authoring Shell, part 1: the shell contract and the four regions</t>
  </si>
  <si>
    <t>T-033</t>
  </si>
  <si>
    <t>Shared Authoring Shell, part 2: relational block grammar on the board</t>
  </si>
  <si>
    <t>T-034</t>
  </si>
  <si>
    <t>Registry-driven schema, table and attribute tree</t>
  </si>
  <si>
    <t>T-035</t>
  </si>
  <si>
    <t>Compiled-SQL pane and debug log with rows and cost</t>
  </si>
  <si>
    <t>T-036</t>
  </si>
  <si>
    <t>SQL mode: safe editor, run test, returned columns and the reconstructability rule</t>
  </si>
  <si>
    <t>T-037</t>
  </si>
  <si>
    <t>Certify returned-column role mapping inside the S2 shell</t>
  </si>
  <si>
    <t>T-038</t>
  </si>
  <si>
    <t>Add Widget and Edit Widget open the shared shell in S2 mode</t>
  </si>
  <si>
    <t>T-039</t>
  </si>
  <si>
    <t>Final definition service interface with a compatibility adapter</t>
  </si>
  <si>
    <t>T-040</t>
  </si>
  <si>
    <t>Authoring states, keyboard path, RTL and error wording</t>
  </si>
  <si>
    <t>T-041</t>
  </si>
  <si>
    <t>D2 Page Builder, part 1: create a page and reach the shared shell</t>
  </si>
  <si>
    <t>T-042</t>
  </si>
  <si>
    <t>D2 Page Builder, part 2: arrange, save layout and publish</t>
  </si>
  <si>
    <t>T-043</t>
  </si>
  <si>
    <t>Bring the workspace to the final D1 anatomy</t>
  </si>
  <si>
    <t>T-044</t>
  </si>
  <si>
    <t>Certify the three operational dashboards and fix their bindings</t>
  </si>
  <si>
    <t>f966719f functional/data closure + 55157a98 EF/runtime migration parity</t>
  </si>
  <si>
    <t>T-045</t>
  </si>
  <si>
    <t>Certify the analysis and model dashboards and choose the six shown</t>
  </si>
  <si>
    <t>T-045-R1 closed: c56008c0 / dd9a6b04 / 39ce59ef / 283aae2c</t>
  </si>
  <si>
    <t>T-046</t>
  </si>
  <si>
    <t>Register the final chart grammar and implement the presentation subset</t>
  </si>
  <si>
    <t>56ade951 R1 generic heatmap/combo; prior grammar fc146483</t>
  </si>
  <si>
    <t>T-047</t>
  </si>
  <si>
    <t>Give the seven pages distinct visual grammars from the registered grammar</t>
  </si>
  <si>
    <t>4b431463 semantic/data certification + 3cdd3a23 frontend conformance</t>
  </si>
  <si>
    <t>T-048</t>
  </si>
  <si>
    <t>Associative model, part 1: the alternative state and registry-driven fields</t>
  </si>
  <si>
    <t>b687cba4 associative selection states</t>
  </si>
  <si>
    <t>T-049</t>
  </si>
  <si>
    <t>Certify layout drag, resize, save, reload and responsive behaviour</t>
  </si>
  <si>
    <t>16-Aug-2026 R1–R4: auth/license + canonical persistence green; current work is final test isolation/oracle convergence, not backend persistence.</t>
  </si>
  <si>
    <t>F-070 — Each viewport must snapshot/restore its original layout in finally, mutate relative to its starting state, use PATCH canonical as authoritative changed state, poll DOM to converge after save/reload, and then restore baseline. No more diagnostic-only packs.</t>
  </si>
  <si>
    <t>T-050</t>
  </si>
  <si>
    <t>Drill to population, provenance and evidence</t>
  </si>
  <si>
    <t>T-051</t>
  </si>
  <si>
    <t>Widget failure isolation and the seven states</t>
  </si>
  <si>
    <t>T-052</t>
  </si>
  <si>
    <t>Remove the hardcoded parameter default from the API client</t>
  </si>
  <si>
    <t>T-053</t>
  </si>
  <si>
    <t>Reduce the demonstration navigation and add the inventory ratchet</t>
  </si>
  <si>
    <t>Frozen</t>
  </si>
  <si>
    <t>Do not continue as M1 content. Preserve generic correctness findings only; execute them through named M2-P0/product-truth owners. | M1 programme scope frozen after the successful 21-Aug-2026 customer presentation. Prior live status was Not Started. Do not schedule this presentation-era task. Any reusable generic requirement must be owned by an M2 task.</t>
  </si>
  <si>
    <t>T-054</t>
  </si>
  <si>
    <t>J4 Connections: read-only proof and load budget made visible</t>
  </si>
  <si>
    <t>T-055</t>
  </si>
  <si>
    <t>J5 and J6 Dataset registry browse and watermark suggestion</t>
  </si>
  <si>
    <t>T-056</t>
  </si>
  <si>
    <t>J6 Import progress visibility</t>
  </si>
  <si>
    <t>T-057</t>
  </si>
  <si>
    <t>J7 Relationship model vertical slice, part 1: publish one relationship</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</si>
  <si>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t>
  </si>
  <si>
    <t>T-058</t>
  </si>
  <si>
    <t>J7 Relationship model vertical slice, part 2: one resolver consumer</t>
  </si>
  <si>
    <t>T-059</t>
  </si>
  <si>
    <t>Associative model, part 2: cross-source state through the published relationship</t>
  </si>
  <si>
    <t>Frozen as M1. Cross-widget selection correctness is re-owned by T-204 Customer-session associative state-machine certification. | M1 programme scope frozen after the successful 21-Aug-2026 customer presentation. Prior live status was Not Started. Do not schedule this presentation-era task. Any reusable generic requirement must be owned by an M2 task.</t>
  </si>
  <si>
    <t>T-060</t>
  </si>
  <si>
    <t>C6 Relationship Browser, minimal read-only slice</t>
  </si>
  <si>
    <t>Do not continue as M1 content. Preserve generic correctness findings only; execute them through named M2-P0/product-truth owners. | M1 programme scope frozen after the successful 21-Aug-2026 customer presentation. Prior live status was In Progress. Do not schedule this presentation-era task. Any reusable generic requirement must be owned by an M2 task.</t>
  </si>
  <si>
    <t>T-061</t>
  </si>
  <si>
    <t>C2 Mapping Health, part 1: the typed issue contract and the reprocess API</t>
  </si>
  <si>
    <t>T-062</t>
  </si>
  <si>
    <t>C2 Mapping Health, part 2: the final visible page</t>
  </si>
  <si>
    <t>T-063</t>
  </si>
  <si>
    <t>C5 Genealogy: converge the legacy workbench onto the final two-state surface</t>
  </si>
  <si>
    <t>T-064</t>
  </si>
  <si>
    <t>Add job_definitions.target_definition_id and the JB error codes</t>
  </si>
  <si>
    <t>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F-061 — T-064 owns the M1 functional/public contract and compatibility semantics. T-106 owns canonical physical convergence after definition_store exists plus job_dependencies/DAG/cycle validation; it must not redesign the visible target/version contract.</t>
  </si>
  <si>
    <t>T-065</t>
  </si>
  <si>
    <t>J12 Analysis authoring: converge onto D3 Analysis Toolbox in S3 mode</t>
  </si>
  <si>
    <t>T-066</t>
  </si>
  <si>
    <t>One visible readiness authority on Home and Analysis</t>
  </si>
  <si>
    <t>T-067</t>
  </si>
  <si>
    <t>Findings evidence panel, registry-driven throughout</t>
  </si>
  <si>
    <t>Do not plan downstream work on T-067 as Done until explicit commit/runtime evidence exists. | M1 programme scope frozen after the successful 21-Aug-2026 customer presentation. Prior live status was Not Started. Do not schedule this presentation-era task. Any reusable generic requirement must be owned by an M2 task.</t>
  </si>
  <si>
    <t>T-068</t>
  </si>
  <si>
    <t>Retire the hardcoded outcome and grain arrays</t>
  </si>
  <si>
    <t>F-056 — T-068 must consume a stable analysis-options/outcome-registry service contract, not a physical table or temporary route. Release 1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F-062 — Dependency order is T-068 -&gt; T-065. T-065 consumes registry-driven outcome/grain options from first implementation.</t>
  </si>
  <si>
    <t>T-069</t>
  </si>
  <si>
    <t>Website, part 1: the five-product information architecture</t>
  </si>
  <si>
    <t>T-070</t>
  </si>
  <si>
    <t>Website, part 2: polish the presentation routes</t>
  </si>
  <si>
    <t>T-071</t>
  </si>
  <si>
    <t>Build the G1 persistent assistant dock</t>
  </si>
  <si>
    <t>T-072</t>
  </si>
  <si>
    <t>Page and widget context envelope</t>
  </si>
  <si>
    <t>T-073</t>
  </si>
  <si>
    <t>Add the page and widget chunk family to the retrieval corpus</t>
  </si>
  <si>
    <t>T-074</t>
  </si>
  <si>
    <t>Registry-typed quantity guard on assistant answers</t>
  </si>
  <si>
    <t>T-075</t>
  </si>
  <si>
    <t>Citation chips, evidence strip and suggested questions</t>
  </si>
  <si>
    <t>T-076</t>
  </si>
  <si>
    <t>Certified question pack and offline fallback</t>
  </si>
  <si>
    <t>T-077</t>
  </si>
  <si>
    <t>One Playwright journey covering all six beats</t>
  </si>
  <si>
    <t>Frozen as M1. Reusable release acceptance is absorbed by T-202/T-203/T-204/T-205; no more presentation-only gate work. | M1 programme scope frozen after the successful 21-Aug-2026 customer presentation. Prior live status was Not Started. Do not schedule this presentation-era task. Any reusable generic requirement must be owned by an M2 task.</t>
  </si>
  <si>
    <t>T-078</t>
  </si>
  <si>
    <t>Execute visual regression and accessibility on the presented routes</t>
  </si>
  <si>
    <t>T-079</t>
  </si>
  <si>
    <t>Failure injection suite</t>
  </si>
  <si>
    <t>T-080</t>
  </si>
  <si>
    <t>Capture the Customer Contract Continuity snapshots</t>
  </si>
  <si>
    <t>T-081</t>
  </si>
  <si>
    <t>Write the screen-by-screen demonstration script</t>
  </si>
  <si>
    <t>T-082</t>
  </si>
  <si>
    <t>Presentation environment preparation and clean-start verification</t>
  </si>
  <si>
    <t>T-083</t>
  </si>
  <si>
    <t>Three rehearsals, hostile hands and the fallback package</t>
  </si>
  <si>
    <t>T-084</t>
  </si>
  <si>
    <t>Emit the frozen Fleet v2 into native customer-source fixtures</t>
  </si>
  <si>
    <t>Superseded</t>
  </si>
  <si>
    <t>Removed from the current release roadmap. Generic fixture authority T-208 supersedes Fleet-v2-specific rebuild work.</t>
  </si>
  <si>
    <t>T-085</t>
  </si>
  <si>
    <t>Clean-room rebuild of the Fleet v2 emulator sources from source control</t>
  </si>
  <si>
    <t>T-118</t>
  </si>
  <si>
    <t>J1 to J3 commissioning built for real</t>
  </si>
  <si>
    <t>SUPERSEDED / removed from active v2.20.0</t>
  </si>
  <si>
    <t>08-Sep-2026 final review ruling: commissioning umbrella duplicated T-120 Users/Roles, T-121 licence, T-123 install/upgrade, T-126 runbook/UAT and T-150 final certification. No task depended on T-118, so active scope is retired without deleting historical evidence.</t>
  </si>
  <si>
    <t>HISTORICAL SNAPSHOT — NOT CURRENT AUTHORITY | Task ID</t>
  </si>
  <si>
    <t>Worker</t>
  </si>
  <si>
    <t>Nominal h</t>
  </si>
  <si>
    <t>Backlog Status</t>
  </si>
  <si>
    <t>Verified Status</t>
  </si>
  <si>
    <t>Closed h</t>
  </si>
  <si>
    <t>Remaining h</t>
  </si>
  <si>
    <t>Active Scope h</t>
  </si>
  <si>
    <t>M2</t>
  </si>
  <si>
    <t>P1</t>
  </si>
  <si>
    <t>Worker 1</t>
  </si>
  <si>
    <t>Freeze the legacy Fleet v2 controlled regression oracle</t>
  </si>
  <si>
    <t>77a8ea4f — T-086: freeze the legacy regression oracle and gate generic surfaces against its vocabulary</t>
  </si>
  <si>
    <t>T-087; T-088; T-131</t>
  </si>
  <si>
    <t>Release 1 MUST</t>
  </si>
  <si>
    <t>M2 P1 — Product Foundation &amp; Release Truth. Release 1 is genuine early production / first-week customer work.</t>
  </si>
  <si>
    <t>Physical three-schema migration</t>
  </si>
  <si>
    <t>e7d82f078d7dfa4c1ca4ec6e88d0dbc7e1ecd6ba — subject not recovered</t>
  </si>
  <si>
    <t>T-086; T-088</t>
  </si>
  <si>
    <t>T-061; T-089; T-099; T-102; T-112; T-114; T-128; T-196; T-233</t>
  </si>
  <si>
    <t>Canonical migration order and legacy script archival</t>
  </si>
  <si>
    <t>6a62c9d6 — Establish canonical database migration authority</t>
  </si>
  <si>
    <t>T-087; T-089; T-112; T-128</t>
  </si>
  <si>
    <t>definition_store, definition_versions and definition_dependencies</t>
  </si>
  <si>
    <t>0fd79e5e3516cdfd0ab5a73a02e16638fd02693a — subject not recovered</t>
  </si>
  <si>
    <t>T-087; T-088</t>
  </si>
  <si>
    <t>T-061; T-090; T-092; T-095; T-099; T-106; T-114; T-128; T-183; T-243; T-244</t>
  </si>
  <si>
    <t>Move all five definition kinds onto the store</t>
  </si>
  <si>
    <t>a6399d9c — subject not recovered</t>
  </si>
  <si>
    <t>T-061; T-091; T-092; T-095; T-099; T-104; T-106; T-114; T-128; T-134; T-147; T-183; T-195; T-210; T-221; T-228; T-231; T-232; T-233; T-235; T-239; T-243; T-244</t>
  </si>
  <si>
    <t>CENTRAL 30-Aug-2026: canonical definition convergence remains full scope. Deliver the standard executable PowerShell pack; no Task-ID-less changes.</t>
  </si>
  <si>
    <t>Impact preview, export and import</t>
  </si>
  <si>
    <t>c6d64289 — subject not recovered</t>
  </si>
  <si>
    <t>T-128; T-183</t>
  </si>
  <si>
    <t>Registry authority: dimensions and measures as rows</t>
  </si>
  <si>
    <t>ab2962a4; 7cad36e4 — registry authority closure commits</t>
  </si>
  <si>
    <t>T-089; T-090; T-210; T-231</t>
  </si>
  <si>
    <t>T-093; T-094; T-128; T-183; T-212; T-215; T-228; T-237; T-247</t>
  </si>
  <si>
    <t>Plant-vocabulary sweep, part 1: build the term list and the architecture test</t>
  </si>
  <si>
    <t>4e2e0f654b93ceed2ecdfbce4d3c1768550b3079 — T-093 govern plant vocabulary as data-driven genericity debt</t>
  </si>
  <si>
    <t>T-092; T-206</t>
  </si>
  <si>
    <t>T-094; T-128; T-183</t>
  </si>
  <si>
    <t>Plant-vocabulary sweep, part 2: remove hardcoded universal grain and industry vocabulary</t>
  </si>
  <si>
    <t>377aabdffb27d651d30537ce5228ee4afe268526; 6ab97ee2; e74ecd1c; 5a967f1b0ab45961c8b8a880bb4fdec53a783134 — final: T-094 close keyed declared-dimension cutover and genericity reconciliation</t>
  </si>
  <si>
    <t>T-092; T-093; T-209</t>
  </si>
  <si>
    <t>T-095; T-128; T-183; T-196</t>
  </si>
  <si>
    <t>CENTRAL 04-Sep-2026: T-094 remains open. Scope is formally amended from one wire to both declared-dimension execution surfaces. No new task is created while T-094 is open; after closure any new surface requires a new Task ID.</t>
  </si>
  <si>
    <t>Freeze the successful M1 presentation baseline and transfer programme authority to M2</t>
  </si>
  <si>
    <t>BASELINE HEAD 7da9d46ed29545f1c4f4686fa82c117c08b9fc86; TAG m1-presentation-baseline-2026-08-21 — no task commit; tag is closure artifact</t>
  </si>
  <si>
    <t>T-086; T-202; T-203; T-204; T-205; T-206; T-207; T-208; T-213; T-241</t>
  </si>
  <si>
    <t>Worker 2</t>
  </si>
  <si>
    <t>Persisted page/widget definition replay gate</t>
  </si>
  <si>
    <t>ad37c324 — Add persisted definition replay gate for release truth</t>
  </si>
  <si>
    <t>T-150; T-212</t>
  </si>
  <si>
    <t>Customer-route network, console and widget-state invariant</t>
  </si>
  <si>
    <t>cd1a450e — Add customer route invariant gate with durable evidence</t>
  </si>
  <si>
    <t>T-150; T-222</t>
  </si>
  <si>
    <t>Associative cross-filter state-machine certification</t>
  </si>
  <si>
    <t>c6491e2d — closure-state HEAD; exact task commit subject not independently recovered</t>
  </si>
  <si>
    <t>Frontend global suite termination and machine-readable gate</t>
  </si>
  <si>
    <t>b7fcc890 — Gate the frontend suite on deterministic termination and machine-readable evidence</t>
  </si>
  <si>
    <t>T-150; T-250</t>
  </si>
  <si>
    <t>CENTRAL 30-Aug-2026: T-205 CLOSED GREEN at b7fcc890. The gate correctly reports suite truth; bounded corrections are a separate explicit task.</t>
  </si>
  <si>
    <t>Worker 3</t>
  </si>
  <si>
    <t>Scope-aware genericity architecture gate</t>
  </si>
  <si>
    <t>Not recovered from reviewed sessions</t>
  </si>
  <si>
    <t>T-093; T-150; T-213</t>
  </si>
  <si>
    <t>Generic controlled validation fixture authority and continuous-process known-answer pack</t>
  </si>
  <si>
    <t>969c767c — T-208: generic controlled validation fixture and continuous-process known answers</t>
  </si>
  <si>
    <t>T-150; T-209; T-211; T-216; T-217; T-218; T-234; T-238</t>
  </si>
  <si>
    <t>Analysis Subject and Grain contract + schema-independent resolution kernel</t>
  </si>
  <si>
    <t>f2bafdb4 — subject not recovered</t>
  </si>
  <si>
    <t>T-094; T-210; T-214; T-231; T-234</t>
  </si>
  <si>
    <t>Canonical signal and aggregation semantics authority</t>
  </si>
  <si>
    <t>92a655e1ddc4becedbaf89a3db96dc0d0f1eaf94 — subject not recovered</t>
  </si>
  <si>
    <t>T-090; T-209</t>
  </si>
  <si>
    <t>T-092; T-128; T-211; T-212; T-242</t>
  </si>
  <si>
    <t>Source Time Authority contract and timestamp-semantics kernel</t>
  </si>
  <si>
    <t>ea9103fd — Establish source time authority for plant timestamps</t>
  </si>
  <si>
    <t>T-200; T-217; T-233</t>
  </si>
  <si>
    <t>Persist Analysis Subject and Grain authority in canonical definition store</t>
  </si>
  <si>
    <t>c930af079502aa1660ef2bd5c50756d3fc3cf8f3 — Persist-T231-canonical-analysis-subject-grain-authority</t>
  </si>
  <si>
    <t>T-092; T-128; T-139; T-232; T-235</t>
  </si>
  <si>
    <t>P2</t>
  </si>
  <si>
    <t>Relationship members, cardinality, grain conversion and preferred paths</t>
  </si>
  <si>
    <t>554d1ac02af122fdeb7ca54b1dd35bac0c76f23e — subject not recovered</t>
  </si>
  <si>
    <t>T-057; T-089; T-090; T-094</t>
  </si>
  <si>
    <t>T-096; T-098; T-102; T-103; T-104; T-107; T-109; T-114; T-128; T-134; T-183; T-196; T-221</t>
  </si>
  <si>
    <t>M2 P2 — Day-1 Data Workbench — DB Link, Canvas, Jobs &amp; OPC. Release 1 is genuine early production / first-week customer work.</t>
  </si>
  <si>
    <t>Path resolver, part 1: resolver core and the first eight consumers</t>
  </si>
  <si>
    <t>de243027073fc5e492d65e9f9845255342517510 — T-096 relationship resolver consumer convergence</t>
  </si>
  <si>
    <t>T-097; T-098; T-107; T-109; T-128; T-134; T-183; T-221</t>
  </si>
  <si>
    <t>Path resolver, part 2: the remaining eight consumers and the regression suite</t>
  </si>
  <si>
    <t>95220d1804493f8e7b80347fe3ed4de24741f9ec — T-097 relationship consumer barrier across all sixteen families</t>
  </si>
  <si>
    <t>T-098; T-107; T-109; T-128; T-183</t>
  </si>
  <si>
    <t>Relationship Browser page and path evidence</t>
  </si>
  <si>
    <t>Not Started</t>
  </si>
  <si>
    <t>T-095; T-096; T-097</t>
  </si>
  <si>
    <t>T-107; T-109; T-128; T-183</t>
  </si>
  <si>
    <t>Quarantine, part 1: the table, the reprocess API and the first eight PV classes</t>
  </si>
  <si>
    <t>T-087; T-089; T-090</t>
  </si>
  <si>
    <t>T-061; T-100; T-101; T-104; T-107; T-109; T-114; T-128; T-183</t>
  </si>
  <si>
    <t>Quarantine, part 2: the remaining seven PV classes and per-class tests</t>
  </si>
  <si>
    <t>T-101; T-107; T-109; T-128; T-183</t>
  </si>
  <si>
    <t>Quarantine retry, reprocess and Mapping Health completion</t>
  </si>
  <si>
    <t>T-099; T-100</t>
  </si>
  <si>
    <t>Identity resolution across sources</t>
  </si>
  <si>
    <t>T-087; T-095</t>
  </si>
  <si>
    <t>T-103; T-107; T-109; T-128; T-183</t>
  </si>
  <si>
    <t>Genealogy bidirectional walk hardening and weight proof</t>
  </si>
  <si>
    <t>T-095; T-102</t>
  </si>
  <si>
    <t>Projection through the versioned mapping, with version stamping</t>
  </si>
  <si>
    <t>T-090; T-095; T-099</t>
  </si>
  <si>
    <t>T-105; T-107; T-109; T-128; T-183</t>
  </si>
  <si>
    <t>T-105</t>
  </si>
  <si>
    <t>Idempotent reprojection and mapping-version regression</t>
  </si>
  <si>
    <t>Job target/version policy, executor capability registry and dependency DAG</t>
  </si>
  <si>
    <t>T-064; T-089; T-090</t>
  </si>
  <si>
    <t>T-107; T-122; T-245; T-125</t>
  </si>
  <si>
    <t>Dual-predicate admission, bounded worker pools and the three ML execution lanes</t>
  </si>
  <si>
    <t>T-095; T-096; T-097; T-098; T-099; T-100; T-101; T-102; T-103; T-104; T-105; T-106</t>
  </si>
  <si>
    <t>T-122; T-141; T-187; T-192; T-125</t>
  </si>
  <si>
    <t>stage_watermarks and delta-scoped projection</t>
  </si>
  <si>
    <t>Delta-scoped feature refresh and analysis, with telemetry and ML hand-off</t>
  </si>
  <si>
    <t>T-095; T-096; T-097; T-098; T-099; T-100; T-101; T-102; T-103; T-104; T-105; T-108</t>
  </si>
  <si>
    <t>T-136; T-187</t>
  </si>
  <si>
    <t>Chunk manifests, checkpoint, resume and deterministic merge</t>
  </si>
  <si>
    <t>T-111</t>
  </si>
  <si>
    <t>Scan budget and the Scan Amplification metric</t>
  </si>
  <si>
    <t>Connector capability truth: stop advertising unimplemented browse/read/subscription</t>
  </si>
  <si>
    <t>T-150; T-224</t>
  </si>
  <si>
    <t>Integrate aggregation semantics into Layer-A widget/query execution</t>
  </si>
  <si>
    <t>T-202; T-210; T-211; T-092; T-234; T-235; T-236</t>
  </si>
  <si>
    <t>Customer Data Intake and Capability Assessment authority</t>
  </si>
  <si>
    <t>2748c7fba8a5c4763bc19112ce57e484cea5b9bb — subject not recovered</t>
  </si>
  <si>
    <t>T-201; T-206</t>
  </si>
  <si>
    <t>T-227; T-247</t>
  </si>
  <si>
    <t>Production OPC UA edge runtime: endpoint security, certificates and session lifecycle</t>
  </si>
  <si>
    <t>T-153; T-225</t>
  </si>
  <si>
    <t>CENTRAL 04-Sep-2026: remove the contradictory 'after 30-Sep demo' gate. M2 is genuine early production and its P2 outcome includes real read-only OPC UA runtime.</t>
  </si>
  <si>
    <t>Production OPC UA edge runtime: browse, tag registration, subscription and monitored items</t>
  </si>
  <si>
    <t>T-153; T-226</t>
  </si>
  <si>
    <t>Production OPC UA edge runtime: quality/timestamps, recovery and spool-to-canonical proof</t>
  </si>
  <si>
    <t>T-225; T-233</t>
  </si>
  <si>
    <t>Persist Performance Reference authority and projections</t>
  </si>
  <si>
    <t>T-090; T-231; T-214</t>
  </si>
  <si>
    <t>Persist Source Time Authority and observation timestamp provenance</t>
  </si>
  <si>
    <t>T-087; T-090; T-216</t>
  </si>
  <si>
    <t>T-221; T-226</t>
  </si>
  <si>
    <t>Persist transition/stabilisation authority and regime context</t>
  </si>
  <si>
    <t>T-090; T-231; T-234</t>
  </si>
  <si>
    <t>T-164; T-212; T-237</t>
  </si>
  <si>
    <t>Canvas executable block contract, typed ports and graph validation</t>
  </si>
  <si>
    <t>eb7fb2ab — subject not recovered</t>
  </si>
  <si>
    <t>T-032; T-201</t>
  </si>
  <si>
    <t>T-242; T-243</t>
  </si>
  <si>
    <t>Canvas production block library: relational, arithmetic, logic, window and governed aggregate</t>
  </si>
  <si>
    <t>b93c7a58; fc029aa44ac0079be05d623c73414b7fd9f05590; aa57a503411abeeff38ef346ba8801c7742c7926 — final: T-242 close governed aggregate and window block contracts</t>
  </si>
  <si>
    <t>T-241; T-210</t>
  </si>
  <si>
    <t>CENTRAL 04-Sep-2026: remove 'After 30-Sep MUST lane'. A Release-1-MUST task cannot be scheduled after its own release date.</t>
  </si>
  <si>
    <t>Canvas persistence, immutable versioning and reopen/edit round-trip</t>
  </si>
  <si>
    <t>T-241; T-242; T-089; T-090; T-253</t>
  </si>
  <si>
    <t>T-245; T-246</t>
  </si>
  <si>
    <t>CENTRAL v2.20.2 measured-source correction: current main has zero T-243 product-source work. Status is Not Started; begin fresh only after T-253 closes.</t>
  </si>
  <si>
    <t>SQL-mode production convergence: compile, validate, bounded dry-run and definition persistence</t>
  </si>
  <si>
    <t>4d32c6b10b4605aeb6e0705ad03537d563125652 — T-244 close canonical Canvas lifecycle and selection model</t>
  </si>
  <si>
    <t>T-035; T-036; T-089; T-090</t>
  </si>
  <si>
    <t>Canvas-to-job compilation, binding, run monitor and per-block evidence</t>
  </si>
  <si>
    <t>T-243; T-244; T-106</t>
  </si>
  <si>
    <t>Canvas governed model/intelligence block invocation</t>
  </si>
  <si>
    <t>T-243; T-130; T-137</t>
  </si>
  <si>
    <t>First-customer Day-1 Golden Journey and same-binary onboarding proof</t>
  </si>
  <si>
    <t>T-092; T-207; T-212; T-213; T-241; T-242; T-243; T-244; T-245; T-253; T-254; T-256; T-258</t>
  </si>
  <si>
    <t>Shared authoring governed output-target canonical-content contract</t>
  </si>
  <si>
    <t>In Progress</t>
  </si>
  <si>
    <t>T-094; T-209; T-241; T-244</t>
  </si>
  <si>
    <t>T-243; T-245; T-247; T-150</t>
  </si>
  <si>
    <t>CENTRAL v2.20.3: canonical output identity = ICanonicalEntityCatalog CLR canonical name. Projection-target eligibility is separate and MUST use the `ICanonicalProjectionTarget` marker interface on mapped entity types; do not enumerate all mapped entities, do not use schema-only eligibility, and do not add a new string allowlist. New root outputTarget is hashed for Graph+SQL; legacy Graph derives from graph.targetEntity, legacy SQL missing target stays null; minimal catalog enumeration/read endpoint allowed; path-scoped comment-stripped guard only. T-243 remains Not Started.</t>
  </si>
  <si>
    <t>Customer-facing connector capability truth convergence</t>
  </si>
  <si>
    <t>T-247; T-150; T-153</t>
  </si>
  <si>
    <t>Narrow truth-regression task; T-207 remains closed.</t>
  </si>
  <si>
    <t>P3</t>
  </si>
  <si>
    <t>Frontend material-surface genericity convergence and presentation compatibility</t>
  </si>
  <si>
    <t>T-094; T-250; T-256</t>
  </si>
  <si>
    <t>T-247; T-150</t>
  </si>
  <si>
    <t>v2.20.1 ownership split: created to prevent Worker 1 T-256 from crossing into Worker-2 frontend ownership while still closing generic-binary material residue.</t>
  </si>
  <si>
    <t>Map the 108 page files onto the 40 target pages</t>
  </si>
  <si>
    <t>T-196; T-197; T-198; T-199; T-200</t>
  </si>
  <si>
    <t>M2 P3 — Enterprise BI &amp; Customer Experience. Release 1 is genuine early production / first-week customer work.</t>
  </si>
  <si>
    <t>Reference gap, attainment and envelope measures in registry/BI</t>
  </si>
  <si>
    <t>T-092; T-214; T-232</t>
  </si>
  <si>
    <t>D1/D4 reconciliation evidence surface and reference overlay</t>
  </si>
  <si>
    <t>T-219; T-220; T-215; T-203; T-204</t>
  </si>
  <si>
    <t>P4</t>
  </si>
  <si>
    <t>CLOSED</t>
  </si>
  <si>
    <t>ModelServingRuntime and model-gateway adapter, isolated from the presentation dock</t>
  </si>
  <si>
    <t>T-122; T-138; T-246</t>
  </si>
  <si>
    <t>M2 P4 — Industrial Intelligence — Reference, Reconciliation &amp; Assistant. Release 1 is genuine early production / first-week customer work.</t>
  </si>
  <si>
    <t>Versioned C#↔Python ML job protocol and isolated runtime harness</t>
  </si>
  <si>
    <t>16ea041a; 94ab4e40; 723b9434; 6aef283f; ef588f0c — multi-commit runtime/protocol/CI closure</t>
  </si>
  <si>
    <t>T-122; T-175; T-187</t>
  </si>
  <si>
    <t>Typed columnar training-artifact library and B-03 harness</t>
  </si>
  <si>
    <t>a887c554 — T-169 Pack 1: typed columnar artifact contract, Parquet and Arrow IPC adapters, two hashes, B-03 hook</t>
  </si>
  <si>
    <t>T-175; T-184; T-187</t>
  </si>
  <si>
    <t>Chunked sequence-artifact library and bounded loader</t>
  </si>
  <si>
    <t>5a216483 — T-170 Chunked sequence-artifact library and bounded loader</t>
  </si>
  <si>
    <t>T-185; T-187</t>
  </si>
  <si>
    <t>Capability Profiler and eligibility/refusal kernel</t>
  </si>
  <si>
    <t>95cc019c — Capability Profiler Pack 2</t>
  </si>
  <si>
    <t>T-131; T-186; T-187</t>
  </si>
  <si>
    <t>MF-01 Process Encoder runtime behind a replaceable contract</t>
  </si>
  <si>
    <t>d4321856 — T-172 MF-01 Process Encoder runtime behind a replaceable contract</t>
  </si>
  <si>
    <t>MF-02 VectorSimilarityIndex with exact-Flat recall baseline</t>
  </si>
  <si>
    <t>00a14286 — T-173 MF-02 VectorSimilarityIndex with exact-Flat recall baseline</t>
  </si>
  <si>
    <t>T-140; T-187</t>
  </si>
  <si>
    <t>MF-03 novelty-model runtime and honest refusal semantics</t>
  </si>
  <si>
    <t>db033796 — T-174 MF-03 novelty runtime and honest refusal semantics</t>
  </si>
  <si>
    <t>MF-04 supervised-outcome training runtime and mandatory simple baseline</t>
  </si>
  <si>
    <t>2413c6e1 — T-175 MF-04 supervised training runtime and mandatory simple baseline</t>
  </si>
  <si>
    <t>T-168; T-169</t>
  </si>
  <si>
    <t>Calibration, explanation stability and three-dimensional promotion kernel</t>
  </si>
  <si>
    <t>08b54b61; 0a61ccfb — Calibration/explanation stability/promotion kernel + real TreeSHAP Pack 2</t>
  </si>
  <si>
    <t>T-140; T-187; T-191</t>
  </si>
  <si>
    <t>Production statistical-method kernel, including Numeric×Categorical</t>
  </si>
  <si>
    <t>502f8ca3; 502e0da9; bb4c5686 — T-177 multi-commit statistical-kernel closure</t>
  </si>
  <si>
    <t>T-146; T-147</t>
  </si>
  <si>
    <t>Pure remediation eligibility and can_accept decision kernel</t>
  </si>
  <si>
    <t>b8792516; b5dbf232 — remediation eligibility/can_accept kernel + corrective canonical precedence</t>
  </si>
  <si>
    <t>Deterministic Assistant tool planner</t>
  </si>
  <si>
    <t>d2bf1834 — T-179: deterministic Assistant tool planner</t>
  </si>
  <si>
    <t>T-138; T-223; T-228</t>
  </si>
  <si>
    <t>Permission-first hybrid retrieval and evidence packer</t>
  </si>
  <si>
    <t>87428c512c6d6d1ca2bf70a6a8b04aadc7a4cc3b — T-180: permission-first hybrid retrieval and deterministic evidence packer</t>
  </si>
  <si>
    <t>Deterministic answer verifier and Q-01..Q-11 evaluation harness</t>
  </si>
  <si>
    <t>eaa82b8b45fb1fdb4b406abfbe2809c5f6fc9cd5 — T-181: deterministic answer verifier and Q-01..Q-11 evaluation harness</t>
  </si>
  <si>
    <t>Benchmark harness and result manifest for B-01..B-09</t>
  </si>
  <si>
    <t>Aggregation semantics execution kernel with continuous known answers</t>
  </si>
  <si>
    <t>T-208; T-210</t>
  </si>
  <si>
    <t>Performance Reference contract, precedence and scoring-semantics kernel</t>
  </si>
  <si>
    <t>T-215; T-223; T-232; T-238; T-239</t>
  </si>
  <si>
    <t>Temporal evidence alignment kernel</t>
  </si>
  <si>
    <t>T-208; T-216</t>
  </si>
  <si>
    <t>T-219; T-236</t>
  </si>
  <si>
    <t>Fact Evidence Authority resolution kernel</t>
  </si>
  <si>
    <t>Operational Evidence Reconciliation kernel and seven-state taxonomy</t>
  </si>
  <si>
    <t>T-217; T-218; T-236</t>
  </si>
  <si>
    <t>T-220; T-221; T-222; T-223</t>
  </si>
  <si>
    <t>Causal Confidence Ladder and root-cause hypothesis evaluator</t>
  </si>
  <si>
    <t>T-221; T-222; T-223</t>
  </si>
  <si>
    <t>Canonical reconciliation persistence, evidence handles and bindable source</t>
  </si>
  <si>
    <t>T-112; T-114; T-090; T-095; T-096; T-219; T-220; T-233</t>
  </si>
  <si>
    <t>Grounded Assistant tool for reconciliation and Performance Reference explanation</t>
  </si>
  <si>
    <t>T-179; T-180; T-181; T-214; T-219; T-220</t>
  </si>
  <si>
    <t>Operational Transition and Stabilisation contract/kernel</t>
  </si>
  <si>
    <t>T-208; T-209</t>
  </si>
  <si>
    <t>T-212; T-235; T-236</t>
  </si>
  <si>
    <t>Transition-aware aggregation, statistics and reconciliation guard</t>
  </si>
  <si>
    <t>T-217; T-234</t>
  </si>
  <si>
    <t>T-212; T-219</t>
  </si>
  <si>
    <t>Operational Period Driver Decomposition exact API and evidence tool</t>
  </si>
  <si>
    <t>T-092; T-235</t>
  </si>
  <si>
    <t>P5</t>
  </si>
  <si>
    <t>Force RLS on every tenant-owned table with an architecture test</t>
  </si>
  <si>
    <t>T-087; T-088; T-251; T-252</t>
  </si>
  <si>
    <t>T-122; T-128; T-129; T-130; T-135; T-183; T-184; T-185; T-187; T-195; T-198; T-221; T-230</t>
  </si>
  <si>
    <t>M2 P5 — Release Hardening &amp; Week-1 Production Acceptance. Release 1 is genuine early production / first-week customer work.</t>
  </si>
  <si>
    <t>Secret and configuration hygiene</t>
  </si>
  <si>
    <t>T-122; T-200</t>
  </si>
  <si>
    <t>Tenant keys, tenant-aware uniqueness and canonical namespace on new APIs</t>
  </si>
  <si>
    <t>T-087; T-089; T-090; T-095; T-099</t>
  </si>
  <si>
    <t>Fresh-install Rule 2 acceptance test, ephemeral</t>
  </si>
  <si>
    <t>Eight-role catalogue convergence, one-to-one wire mapping and three enforcement layers</t>
  </si>
  <si>
    <t>T-121; T-197; T-198; T-200</t>
  </si>
  <si>
    <t>Users and Roles administration surface</t>
  </si>
  <si>
    <t>Licence and entitlement enforcement</t>
  </si>
  <si>
    <t>Install package, migration runner, upgrade and rollback</t>
  </si>
  <si>
    <t>Backup with a tested restore acceptance procedure</t>
  </si>
  <si>
    <t>Minimum monitoring, health and alerting</t>
  </si>
  <si>
    <t>T-106; T-107</t>
  </si>
  <si>
    <t>Support runbook and UAT dataset and configuration import</t>
  </si>
  <si>
    <t>Release 1 final production gate: Day-1 workbench, BI, OPC, intelligence and hardening</t>
  </si>
  <si>
    <t>T-115; T-123; T-124; T-125; T-126; T-205; T-207; T-212; T-215; T-222; T-223; T-226; T-227; T-247; T-250; T-251; T-252; T-253; T-254; T-255; T-256; T-257; T-258; T-259</t>
  </si>
  <si>
    <t>CENTRAL 04-Sep-2026: T-150 release completeness is generated from Release Criticality, not inferred from transitive Depends-On. A green T-150 with any Release-1-MUST row unproven is mechanically impossible.</t>
  </si>
  <si>
    <t>Release 1 production acceptance scorecard and evidence policy</t>
  </si>
  <si>
    <t>T-213; T-259</t>
  </si>
  <si>
    <t>Frontend suite truth convergence: Journey routing and design-system corrections</t>
  </si>
  <si>
    <t>6615481b — Converge frontend journey and design-system truth</t>
  </si>
  <si>
    <t>CENTRAL 30-Aug-2026: no Task ID = no repository mutation. T-250 is the sole owner of these six findings; bounded correction only, narrow tests first, one final normal suite.</t>
  </si>
  <si>
    <t>Physical database catalogue, naming authority and zero-unknown schema dictionary</t>
  </si>
  <si>
    <t>T-115; T-123; T-150</t>
  </si>
  <si>
    <t>CENTRAL 04-Sep-2026: table count is not a defect; unknown authority is. This task establishes zero-unknown physical schema governance before any cleanup.</t>
  </si>
  <si>
    <t>Release evidence envelope v1 machine-readable contract</t>
  </si>
  <si>
    <t>T-252; T-257; T-227; T-150</t>
  </si>
  <si>
    <t>v2.20.2 Option-A ruling from Worker-1 consistency review: split schema contract ahead of producers rather than pulling full T-227 P5 scorecard into P1.</t>
  </si>
  <si>
    <t>Disposable database lifecycle and integration-test database isolation</t>
  </si>
  <si>
    <t>T-087; T-088; T-251; T-259</t>
  </si>
  <si>
    <t>T-150; T-256</t>
  </si>
  <si>
    <t>CENTRAL v2.20.0 08-Sep-2026: promoted from P5 to P1. Certification DB isolation is foundational; Worker-1 sequence is T-251 → T-252 → T-256.</t>
  </si>
  <si>
    <t>Runtime genericity and three-schema consumer convergence</t>
  </si>
  <si>
    <t>T-088; T-094; T-251; T-252; T-253</t>
  </si>
  <si>
    <t>T-247; T-150; T-116; T-258</t>
  </si>
  <si>
    <t>New P1 convergence task; closed T-093/T-094 stay closed and act as regression authorities.</t>
  </si>
  <si>
    <t>Repository authority and audit-truth hygiene ratchet</t>
  </si>
  <si>
    <t>T-205; T-250</t>
  </si>
  <si>
    <t>T-150; T-249</t>
  </si>
  <si>
    <t>Created from merged v1/v2 Developer-persona review; source authority, not cosmetic cleanup.</t>
  </si>
  <si>
    <t>Frontend execution-truth and release-profile skip-zero gate</t>
  </si>
  <si>
    <t>T-205; T-250; T-259</t>
  </si>
  <si>
    <t>T-150; T-248</t>
  </si>
  <si>
    <t>Created because the 08-Sep audit still has real --list enumeration signals outside the canonical blocking Jenkins stages.</t>
  </si>
  <si>
    <t>HISTORICAL SNAPSHOT — NOT CURRENT AUTHORITY | M2 v2.20.4 — Dynamic Phase × Worker Scoreboard</t>
  </si>
  <si>
    <t>Scope h</t>
  </si>
  <si>
    <t>Active h</t>
  </si>
  <si>
    <t>Progress %</t>
  </si>
  <si>
    <t>Open tasks</t>
  </si>
  <si>
    <t>Central interpretation</t>
  </si>
  <si>
    <t>T-251 → T-259 → T-252 → T-256. Physical catalogue, evidence-envelope contract, disposable certification DBs, then backend runtime genericity.</t>
  </si>
  <si>
    <t>T-253 expanded to canonical-content contract; T-243 measured Not Started; T-245 waits for T-243 + T-106.</t>
  </si>
  <si>
    <t>Release-1 enterprise BI core unchanged. Full comparative BI parity remains Release 2 / T-248.</t>
  </si>
  <si>
    <t>No duplicate task added; T-223 absorbs Assistant genericity/context convergence.</t>
  </si>
  <si>
    <t>T-118 retired; T-255/T-257 added. Security/licence/deploy/monitoring scopes sharpened.</t>
  </si>
  <si>
    <t>HISTORICAL SNAPSHOT — NOT CURRENT AUTHORITY | PlantProcess IQ — M2 v2.20.4 Governance Dashboard | 09-Sep-2026</t>
  </si>
  <si>
    <t>v2.20.4 adds T-260: correct the incomplete fresh acceptance DB builder before T-251 classification continues.</t>
  </si>
  <si>
    <t>M2 Scope h</t>
  </si>
  <si>
    <t>Formal Progress</t>
  </si>
  <si>
    <t>Centrally governed next sequence</t>
  </si>
  <si>
    <t>Lane</t>
  </si>
  <si>
    <t>Now</t>
  </si>
  <si>
    <t>State</t>
  </si>
  <si>
    <t>Then</t>
  </si>
  <si>
    <t>Waits for</t>
  </si>
  <si>
    <t>Why</t>
  </si>
  <si>
    <t>Central ruling</t>
  </si>
  <si>
    <t>Resume T-251 → T-259 → T-252</t>
  </si>
  <si>
    <t>T-088 authority</t>
  </si>
  <si>
    <t>Fix fresh acceptance DB build path first; do not classify old 106/81 queue.</t>
  </si>
  <si>
    <t>T-251 machine is valid and remains installed.</t>
  </si>
  <si>
    <t>T-243 → T-254</t>
  </si>
  <si>
    <t>T-244 ancestry</t>
  </si>
  <si>
    <t>Continue implementation, not more architecture review.</t>
  </si>
  <si>
    <t>Single standard runner.</t>
  </si>
  <si>
    <t>Start now</t>
  </si>
  <si>
    <t>T-255 if T-107 blocked</t>
  </si>
  <si>
    <t>—</t>
  </si>
  <si>
    <t>Canonical job authority remains T-245 prerequisite.</t>
  </si>
  <si>
    <t>No Canvas-private scheduler.</t>
  </si>
  <si>
    <t>Gated</t>
  </si>
  <si>
    <t>After T-252 + T-253</t>
  </si>
  <si>
    <t>T-252; T-253</t>
  </si>
  <si>
    <t>Backend convergence only after both foundations.</t>
  </si>
  <si>
    <t>If blocked, CENTRAL assigns disjoint work.</t>
  </si>
  <si>
    <t>Metric</t>
  </si>
  <si>
    <t>v2.20.1</t>
  </si>
  <si>
    <t>v2.20.2</t>
  </si>
  <si>
    <t>Change</t>
  </si>
  <si>
    <t>Interpretation</t>
  </si>
  <si>
    <t>M2 scope h</t>
  </si>
  <si>
    <t>T-253 measured expansion + T-259 evidence contract; no valid closure changed.</t>
  </si>
  <si>
    <t>M2 closed h</t>
  </si>
  <si>
    <t>Valid closures stay frozen.</t>
  </si>
  <si>
    <t>M2 remaining h</t>
  </si>
  <si>
    <t>Previously hidden canonical-content/evidence-contract work is now explicit.</t>
  </si>
  <si>
    <t>M2 formal progress</t>
  </si>
  <si>
    <t>Denominator correction only.</t>
  </si>
  <si>
    <t>Active task truth</t>
  </si>
  <si>
    <t>T-243 In Progress</t>
  </si>
  <si>
    <t>T-253 In Progress / T-243 Not Started</t>
  </si>
  <si>
    <t>Measured-source correction</t>
  </si>
  <si>
    <t>Current main has no T-243 product source changes.</t>
  </si>
  <si>
    <t>Phase Total</t>
  </si>
  <si>
    <t>TOTAL</t>
  </si>
  <si>
    <t>Task mapping and closure counts only. A closed task is not D1–D5 product certification.</t>
  </si>
  <si>
    <t>ID</t>
  </si>
  <si>
    <t>Layer</t>
  </si>
  <si>
    <t>Capability</t>
  </si>
  <si>
    <t>Class</t>
  </si>
  <si>
    <t>Primary tasks</t>
  </si>
  <si>
    <t>Done primary</t>
  </si>
  <si>
    <t>Open primary</t>
  </si>
  <si>
    <t>M2 primary</t>
  </si>
  <si>
    <t>M3 primary</t>
  </si>
  <si>
    <t>Primary task IDs</t>
  </si>
  <si>
    <t>Secondary tasks</t>
  </si>
  <si>
    <t>Done secondary</t>
  </si>
  <si>
    <t>Secondary task IDs</t>
  </si>
  <si>
    <t>Meaning</t>
  </si>
  <si>
    <t>L1.1</t>
  </si>
  <si>
    <t>L1</t>
  </si>
  <si>
    <t>Read-only connection and source access</t>
  </si>
  <si>
    <t>Core</t>
  </si>
  <si>
    <t>Existing primary mapping preserved; secondary ownership amended only where acceptance names the capability.</t>
  </si>
  <si>
    <t>L1.2</t>
  </si>
  <si>
    <t>Dataset registration and source selection</t>
  </si>
  <si>
    <t>L1.3</t>
  </si>
  <si>
    <t>Incremental import into staging</t>
  </si>
  <si>
    <t>L1.4</t>
  </si>
  <si>
    <t>Connector capability truth</t>
  </si>
  <si>
    <t>L1.5</t>
  </si>
  <si>
    <t>Acquisition provenance and source lineage</t>
  </si>
  <si>
    <t>L1.6</t>
  </si>
  <si>
    <t>Source schema drift and mapping-health signalling</t>
  </si>
  <si>
    <t>L1.7</t>
  </si>
  <si>
    <t>Import monitoring, recovery and dead-letter visibility</t>
  </si>
  <si>
    <t>L1.8</t>
  </si>
  <si>
    <t>L2.1</t>
  </si>
  <si>
    <t>L2</t>
  </si>
  <si>
    <t>Three-schema platform and placement law</t>
  </si>
  <si>
    <t>L2.2</t>
  </si>
  <si>
    <t>Transformation authoring and relationship publication</t>
  </si>
  <si>
    <t>L2.3</t>
  </si>
  <si>
    <t>Canonical projection with validation, quarantine and reprocessing</t>
  </si>
  <si>
    <t>L2.4</t>
  </si>
  <si>
    <t>Genealogy resolution and attribution</t>
  </si>
  <si>
    <t>L2.5</t>
  </si>
  <si>
    <t>Unified definition store and immutable target/version governance</t>
  </si>
  <si>
    <t>L2.6</t>
  </si>
  <si>
    <t>Job definition, scheduling, execution monitor and history</t>
  </si>
  <si>
    <t>L2.7</t>
  </si>
  <si>
    <t>Job dependency DAG</t>
  </si>
  <si>
    <t>L2.8</t>
  </si>
  <si>
    <t>Delta propagation law</t>
  </si>
  <si>
    <t>L3.1</t>
  </si>
  <si>
    <t>L3</t>
  </si>
  <si>
    <t>Analysis page anatomy, layout and visual standard</t>
  </si>
  <si>
    <t>L3.2</t>
  </si>
  <si>
    <t>Associative engine and selection strip</t>
  </si>
  <si>
    <t>L3.3</t>
  </si>
  <si>
    <t>Dynamic filter authoring</t>
  </si>
  <si>
    <t>L3.4</t>
  </si>
  <si>
    <t>Widget catalogue and intelligence visualisation</t>
  </si>
  <si>
    <t>L3.5</t>
  </si>
  <si>
    <t>One authoring shell, five purposes, two modes</t>
  </si>
  <si>
    <t>L3.6</t>
  </si>
  <si>
    <t>Board semantics, typed ports and property inspection</t>
  </si>
  <si>
    <t>L3.7</t>
  </si>
  <si>
    <t>Authoring professionalism</t>
  </si>
  <si>
    <t>L3.8</t>
  </si>
  <si>
    <t>Canvas -&gt; compile -&gt; governed job -&gt; run -&gt; per-block evidence</t>
  </si>
  <si>
    <t>L3.9</t>
  </si>
  <si>
    <t>Master items, bookmarks and saved views</t>
  </si>
  <si>
    <t>L4.1</t>
  </si>
  <si>
    <t>L4</t>
  </si>
  <si>
    <t>Readiness gate and statistical discipline chain</t>
  </si>
  <si>
    <t>L4.2</t>
  </si>
  <si>
    <t>Statistical engines MF-05 / MF-06</t>
  </si>
  <si>
    <t>L4.3</t>
  </si>
  <si>
    <t>Feature engineering and incremental feature refresh</t>
  </si>
  <si>
    <t>L4.4</t>
  </si>
  <si>
    <t>Learned models MF-01 / MF-03 / MF-04</t>
  </si>
  <si>
    <t>L4.5</t>
  </si>
  <si>
    <t>Retrieval and similarity index MF-02</t>
  </si>
  <si>
    <t>L4.6</t>
  </si>
  <si>
    <t>Practice learning MF-07</t>
  </si>
  <si>
    <t>L4.7</t>
  </si>
  <si>
    <t>Prediction, drivers, explainability and remediation candidates</t>
  </si>
  <si>
    <t>L4.8</t>
  </si>
  <si>
    <t>Model registry, promotion, serving and fallback</t>
  </si>
  <si>
    <t>L5.1</t>
  </si>
  <si>
    <t>L5</t>
  </si>
  <si>
    <t>Canonical entity catalogue</t>
  </si>
  <si>
    <t>L5.2</t>
  </si>
  <si>
    <t>Permanent relationship model</t>
  </si>
  <si>
    <t>L5.3</t>
  </si>
  <si>
    <t>Analysis Subject, grain and signal aggregation authority</t>
  </si>
  <si>
    <t>L5.4</t>
  </si>
  <si>
    <t>Regime correctness</t>
  </si>
  <si>
    <t>L5.5</t>
  </si>
  <si>
    <t>Provenance, evidence chain, claim guard and refusal integrity</t>
  </si>
  <si>
    <t>L5.6</t>
  </si>
  <si>
    <t>Unified definition-store semantics</t>
  </si>
  <si>
    <t>L5.7</t>
  </si>
  <si>
    <t>Physical database governance and zero-unknown catalogue</t>
  </si>
  <si>
    <t>L5.8</t>
  </si>
  <si>
    <t>Truth contracts and claim boundaries</t>
  </si>
  <si>
    <t>L6.1</t>
  </si>
  <si>
    <t>L6</t>
  </si>
  <si>
    <t>Persistent Assistant dock and context envelope</t>
  </si>
  <si>
    <t>L6.2</t>
  </si>
  <si>
    <t>Governed Assistant runtime</t>
  </si>
  <si>
    <t>L6.3</t>
  </si>
  <si>
    <t>Supervisor and governed improvement proposals</t>
  </si>
  <si>
    <t>L6.4</t>
  </si>
  <si>
    <t>Alert routing and escalation</t>
  </si>
  <si>
    <t>L6.5</t>
  </si>
  <si>
    <t>Reports, export and scheduled delivery</t>
  </si>
  <si>
    <t>L6.6</t>
  </si>
  <si>
    <t>Plant data log, audit, log channels, retention and archival</t>
  </si>
  <si>
    <t>L6.7</t>
  </si>
  <si>
    <t>Global shell components G1-G6</t>
  </si>
  <si>
    <t>L6.8</t>
  </si>
  <si>
    <t>Settings, time zone, units, localisation and translation</t>
  </si>
  <si>
    <t>L7.1</t>
  </si>
  <si>
    <t>L7</t>
  </si>
  <si>
    <t>Users, roles, permissions, MFA and enterprise identity</t>
  </si>
  <si>
    <t>L7.2</t>
  </si>
  <si>
    <t>Tenant isolation</t>
  </si>
  <si>
    <t>L7.3</t>
  </si>
  <si>
    <t>Licence and feature entitlement</t>
  </si>
  <si>
    <t>L7.4</t>
  </si>
  <si>
    <t>Authoring quota and capacity guardrail</t>
  </si>
  <si>
    <t>L7.5</t>
  </si>
  <si>
    <t>Secret and credential management</t>
  </si>
  <si>
    <t>L7.6</t>
  </si>
  <si>
    <t>Commercial capacity model and licence-price function</t>
  </si>
  <si>
    <t>L7.7</t>
  </si>
  <si>
    <t>Infrastructure cost formula</t>
  </si>
  <si>
    <t>L7.8</t>
  </si>
  <si>
    <t>Sales Administration and sales-to-engineering handover</t>
  </si>
  <si>
    <t>L8.1</t>
  </si>
  <si>
    <t>L8</t>
  </si>
  <si>
    <t>Fresh install and upgrade authority</t>
  </si>
  <si>
    <t>L8.2</t>
  </si>
  <si>
    <t>Test architecture with disposable isolated databases</t>
  </si>
  <si>
    <t>L8.3</t>
  </si>
  <si>
    <t>Deployment topologies</t>
  </si>
  <si>
    <t>L8.4</t>
  </si>
  <si>
    <t>Execution lanes, admission and resource isolation</t>
  </si>
  <si>
    <t>L8.5</t>
  </si>
  <si>
    <t>Sizing model and calibrated performance constants</t>
  </si>
  <si>
    <t>L8.6</t>
  </si>
  <si>
    <t>Monitoring, observability, health and readiness</t>
  </si>
  <si>
    <t>L8.7</t>
  </si>
  <si>
    <t>Backup, restore, PITR, DR and HA</t>
  </si>
  <si>
    <t>L8.8</t>
  </si>
  <si>
    <t>C1-C4 performance certification and golden-journey release gate</t>
  </si>
  <si>
    <t>L9.1</t>
  </si>
  <si>
    <t>L9</t>
  </si>
  <si>
    <t>Performance Reference</t>
  </si>
  <si>
    <t>L9.2</t>
  </si>
  <si>
    <t>Suggestion generation from findings</t>
  </si>
  <si>
    <t>L9.3</t>
  </si>
  <si>
    <t>Decision capture</t>
  </si>
  <si>
    <t>L9.4</t>
  </si>
  <si>
    <t>Action tracking</t>
  </si>
  <si>
    <t>L9.5</t>
  </si>
  <si>
    <t>Canonical outcome capture</t>
  </si>
  <si>
    <t>L9.6</t>
  </si>
  <si>
    <t>Effectiveness evaluation</t>
  </si>
  <si>
    <t>L9.7</t>
  </si>
  <si>
    <t>Value engine</t>
  </si>
  <si>
    <t>L9.8</t>
  </si>
  <si>
    <t>Feedback quality and poisoning prevention</t>
  </si>
  <si>
    <t>L10.1</t>
  </si>
  <si>
    <t>L10</t>
  </si>
  <si>
    <t>Internal benchmarking</t>
  </si>
  <si>
    <t>L10.2</t>
  </si>
  <si>
    <t>Period driver decomposition</t>
  </si>
  <si>
    <t>L10.3</t>
  </si>
  <si>
    <t>Operational evidence reconciliation</t>
  </si>
  <si>
    <t>Advanced</t>
  </si>
  <si>
    <t>L10.4</t>
  </si>
  <si>
    <t>Scenario simulation</t>
  </si>
  <si>
    <t>L10.5</t>
  </si>
  <si>
    <t>Insight Board Composer</t>
  </si>
  <si>
    <t>Secondary links are a normalized generated view of Backlog column AC. Regenerate this view when capability assignments change; status/release values recalculate from task-ID lookups.</t>
  </si>
  <si>
    <t>Retired ID</t>
  </si>
  <si>
    <t>Disposition</t>
  </si>
  <si>
    <t>Merged responsibilities</t>
  </si>
  <si>
    <t>Prior task name</t>
  </si>
  <si>
    <t>Prior description</t>
  </si>
  <si>
    <t>Prior acceptance</t>
  </si>
  <si>
    <t>Prior hours</t>
  </si>
  <si>
    <t>Prior status</t>
  </si>
  <si>
    <t>Retired / merged</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</si>
  <si>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</si>
  <si>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</si>
  <si>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T-110 (runtime); T-155 (calibration); T-159 (certification)</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</si>
  <si>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</si>
  <si>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</si>
  <si>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Task / view</t>
  </si>
  <si>
    <t>Field / operation</t>
  </si>
  <si>
    <t>Previous</t>
  </si>
  <si>
    <t>New</t>
  </si>
  <si>
    <t>Reason</t>
  </si>
  <si>
    <t>Complete the DF5 contract: source-shaped staging projects into the canonical plant model through the customer-authored versioned mapping, and every projected row records the mapping version that produced it.</t>
  </si>
  <si>
    <t>Complete the DF5 contract: source-shaped staging projects into the canonical plant model through the customer-authored versioned mapping, and every projected row records the mapping version that produced it.
v2.22.0 — Absorbs T-105: Make reprojection idempotent and add the regression suite: reprojecting the same batch must not duplicate rows, and rolling a mapping back to a previous version must produce the earlier result exactly. T-261 owns the executor. This task owns canonical row-level definition/version provenance and replay effects, using that executor; it does not implement a competing MappingDefinition runtime.</t>
  </si>
  <si>
    <t>Merge with acceptance conservation</t>
  </si>
  <si>
    <t>Project a batch, change the mapping version, project again, and confirm each row records the version that produced it. No row may carry a null mapping version.</t>
  </si>
  <si>
    <t>Project a batch, change the mapping version, project again, and confirm each row records the version that produced it. No row may carry a null mapping version.
v2.22.0 — Reproject the same batch three times and confirm row counts are unchanged. Roll a mapping back and confirm the canonical output matches the earlier snapshot byte for byte. Assert exact resolved Transformation version/hash per run and row, tenant/dataset/batch source lineage, no duplicate accepted effect and byte-identical deterministic business output on rollback. Clock/run metadata is compared separately from business-result equivalence.</t>
  </si>
  <si>
    <t>Merge T105 validation</t>
  </si>
  <si>
    <t>Projection provenance, exact-version stamping and idempotent reprojection</t>
  </si>
  <si>
    <t>Merge T105</t>
  </si>
  <si>
    <t>Preserve summed baseline estimates; not a re-estimate</t>
  </si>
  <si>
    <t>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
v2.20.0 EXECUTION-PLANE EXPANSION — replace the central job-type switch as the authority for manual execution. Each executable job family registers an executor capability through DI/registry metadata: supported/unsupported state, target definition kind, version policy, input contract and run capability. A new executor family must be addable without editing a central switch. Unsupported families refuse at definition/save or capability discovery with a typed reason rather than surviving until RunNow.
v2.20.0 LAYER-B PLACEMENT RULING — scheduling count, repetition, iteration windows and control flow belong to governed Job orchestration. Do not add new FOR/WHILE-style board execution semantics. Existing T-242 saved definitions remain readable through compatibility handling, but new orchestration authority is the Job plane.</t>
  </si>
  <si>
    <t>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
v2.20.0 EXECUTION-PLANE EXPANSION — replace the central job-type switch as the authority for manual execution. Each executable job family registers an executor capability through DI/registry metadata: supported/unsupported state, target definition kind, version policy, input contract and run capability. A new executor family must be addable without editing a central switch. Unsupported families refuse at definition/save or capability discovery with a typed reason rather than surviving until RunNow.
v2.20.0 LAYER-B PLACEMENT RULING — scheduling count, repetition, iteration windows and control flow belong to governed Job orchestration. Do not add new FOR/WHILE-style board execution semantics. Existing T-242 saved definitions remain readable through compatibility handling, but new orchestration authority is the Job plane.
v2.22.0 — Deliver one canonical Job authority for target/version/capability, schedule grammar and occurrence identity, due scheduling, dependency resolution, cooperative cancellation and terminal-status truth. Implement Design v4.10.3 Ch4 5.3.2a / 5.3.6. The scheduler produces due requests; existing admission admits them. T-107 owns bounded pools; T-261 owns the actual Transformation executor. Keep these as separately testable sub-deliverables inside T-106 rather than additional task IDs. An executor supplied by tests proves orchestration before T-261 is commissioned, so T-106 must not depend on T-261 or T-107 closure.</t>
  </si>
  <si>
    <t>Approved scope expansion, avoid dependency cycle</t>
  </si>
  <si>
    <t>Declare a three-job chain, run it, and confirm order. Introduce a cycle and confirm it is refused at save time with a named code. Enumerate every job family exposed by the product and prove each is either backed by a registered executor or explicitly unavailable by typed reason. Register a test executor through DI and prove it runs without editing the orchestrator switch. The current 'no manual executor'/'not implemented yet' runtime fall-through is no longer reachable for an advertised executable job.
Newly authored execution schedules express repetition/window/control-flow in the Job contract rather than creating a new Canvas FOR/WHILE node. A compatibility fixture for an existing T-242 loop definition remains readable and produces an explicit compatibility interpretation rather than data loss.</t>
  </si>
  <si>
    <t>Declare a three-job chain, run it, and confirm order. Introduce a cycle and confirm it is refused at save time with a named code. Enumerate every job family exposed by the product and prove each is either backed by a registered executor or explicitly unavailable by typed reason. Register a test executor through DI and prove it runs without editing the orchestrator switch. The current 'no manual executor'/'not implemented yet' runtime fall-through is no longer reachable for an advertised executable job.
Newly authored execution schedules express repetition/window/control-flow in the Job contract rather than creating a new Canvas FOR/WHILE node. A compatibility fixture for an existing T-242 loop definition remains readable and produces an explicit compatibility interpretation rather than data loss.
v2.22.0 — Prove canonical schedule parsing/normalisation and UI next-occurrence parity; UTC/timezone and DST gap/fold rules; one atomic admission per tenant/job/schedule-revision/occurrence under racing workers; restart/missed ticks; invalid or unsupported schedule typed refusal; paused state persists. Cancel API is tenant/role-scoped, idempotent, reaches executor and records exactly one final outcome. Cancellation request is not completion acknowledgement. Define all-success, mixed, all-failed, no-work, cancelled and interrupted outcomes; one failed import batch cannot be hidden in an Ok run in either manual or worker path. Current-cycle and earlier-success reuse follow explicit allow_stale_reuse and age ceiling, with timestamps, policy and watermark in job_run_dependencies. Trigger-fires, wrong-kind/surface and actual orchestration evidence use disposable DB fixtures. Keep existing historical closure evidence; certify newly widened obligations separately.</t>
  </si>
  <si>
    <t>Scheduler, outcome and freshness acceptance</t>
  </si>
  <si>
    <t>Canonical jobs: target/version, scheduling, dependencies, cancellation and outcome truth</t>
  </si>
  <si>
    <t>Approved scope expansion</t>
  </si>
  <si>
    <t>Source exists; expanded closure remains unproven</t>
  </si>
  <si>
    <t>L2.5; L2.7</t>
  </si>
  <si>
    <t>L2.5; L2.7; L1.7</t>
  </si>
  <si>
    <t>Traceability coverage</t>
  </si>
  <si>
    <t>T-064; T-089; T-090; T-252</t>
  </si>
  <si>
    <t>Dependency aligned to owning producer</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</si>
  <si>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</si>
  <si>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
v2.22.0 — Own acquisition-to-projection delta correctness: typed total-order cursor with source-stable tie-break for non-unique watermarks; one invariant provider-native ordering contract; durable cursor/staging/receipt atomicity; replay-safe accepted effects; per-dataset/profile budget resolution constrained by installation/source ceilings; apply pre-read budget/window/rate/concurrency/timeout checks on incremental as well as preview reads. Do not replace a stricter parent ceiling with a looser child override. Source native ordering and source-version identity govern legitimate updates. Retain existing stage-watermark and delta-projection duties; T-110 owns the advanced M3 parallel chunk engine.</t>
  </si>
  <si>
    <t>Absorb acquisition defects into existing delta owner</t>
  </si>
  <si>
    <t>Change one source row and confirm projection processes a bounded delta rather than a full scan, evidenced by rows-scanned telemetry.</t>
  </si>
  <si>
    <t>Change one source row and confirm projection processes a bounded delta rather than a full scan, evidenced by rows-scanned telemetry.
v2.22.0 — Use more equal-watermark records than three page limits, numeric/timestamp/composite cursors, declared key changes, source updates, no change, de-DE/en-US serialization, crash before and after commit and racing workers. Prove no missed rows/no duplicate accepted source revision, and checkpoint advanced only with durable effects. Over-budget incremental reads issue no source query. Replay of a partially failed import preserves legitimate later versions of the same business key. One changed source row produces bounded downstream work with recorded counts.</t>
  </si>
  <si>
    <t>Total-order, replay and source-load acceptance</t>
  </si>
  <si>
    <t>End-to-end delta correctness: source cursor, load protection, replay and projection watermark</t>
  </si>
  <si>
    <t>Approved delta scope expansion</t>
  </si>
  <si>
    <t>L1.3; L1.1; L1.7</t>
  </si>
  <si>
    <t>T-099; T-104</t>
  </si>
  <si>
    <t>Implement Chapter 4 5.3.9.6a: bounded chunks with receipts, checkpoint and resume after interruption, and a deterministic merge so a resumed run produces the same result as an uninterrupted one.</t>
  </si>
  <si>
    <t>Implement Chapter 4 5.3.9.6a: bounded chunks with receipts, checkpoint and resume after interruption, and a deterministic merge so a resumed run produces the same result as an uninterrupted one.
v2.22.0 — Absorb T-111 runtime scan-budget enforcement: bounded row/byte chunks, receipts, checkpoint/resume, deterministic merge, explicit scan mode, cumulative scan budget and abort/finding. T-155 owns calibrated constants/Scan Amplification bands; T-159 owns C1-C4 certification. M2 T-108/T-109 must still deliver safe bounded delta execution and replay; moving advanced chunk machinery does not waive Day-1 source limits or safe cancellation.</t>
  </si>
  <si>
    <t>Merge T111 runtime into scale execution</t>
  </si>
  <si>
    <t>Kill a running job at 60 percent, restart it, and confirm the final result is byte-identical to an uninterrupted run over the same input.</t>
  </si>
  <si>
    <t>Kill a running job at 60 percent, restart it, and confirm the final result is byte-identical to an uninterrupted run over the same input.
v2.22.0 — Record a baseline, then deliberately remove a delta scope and confirm the gate goes red. Restore and confirm green. Prove chunk parallelism 1 vs 8 business output parity; abort above cumulative scan budget; uncommitted chunk rolls back; resumes exactly from committed receipts; preserved input/version pins.</t>
  </si>
  <si>
    <t>Conserve T111 negative control</t>
  </si>
  <si>
    <t>Bounded delta execution: chunks, resume, deterministic merge and scan budgets</t>
  </si>
  <si>
    <t>Merge and move</t>
  </si>
  <si>
    <t>Conservative combined baseline estimate; calibration allocations need re-estimation</t>
  </si>
  <si>
    <t>T-108; T-109</t>
  </si>
  <si>
    <t>M3</t>
  </si>
  <si>
    <t>Owner-approved release placement</t>
  </si>
  <si>
    <t>Release 2 MUST</t>
  </si>
  <si>
    <t>R1</t>
  </si>
  <si>
    <t>R2</t>
  </si>
  <si>
    <t>T-243; T-130; T-137; T-187</t>
  </si>
  <si>
    <t>T-148; T-202; T-203; T-204; T-205; T-228; T-241; T-243; T-244; T-245; T-246; T-257</t>
  </si>
  <si>
    <t>T-148; T-202; T-203; T-204; T-205; T-228; T-241; T-243; T-244; T-245; T-257</t>
  </si>
  <si>
    <t>Authoring grammar closure is not dependent on commissioned model family</t>
  </si>
  <si>
    <t>Complete the C2 Mapping Health page against Chapter 3 4.4 C2: issues grouped by code, example rows, and Reprocess after the mapping is corrected. The M1 version delivered the shape; this delivers the full class set and the retry semantics.</t>
  </si>
  <si>
    <t>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t>
  </si>
  <si>
    <t>Approved audit correction</t>
  </si>
  <si>
    <t>Quarantine rows under three different codes, correct one mapping, reprocess, and confirm only the affected rows clear. The M1 continuity snapshot of this page must still match.</t>
  </si>
  <si>
    <t>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t>
  </si>
  <si>
    <t>Named acceptance conservation/extension</t>
  </si>
  <si>
    <t>Confirm the genealogy layer walks both directions on the customer's own keys and that attribution weights are enforced to sum to exactly 1.0 per child by the database trigger on genealogy_edges.contribution_weight numeric(9,6).</t>
  </si>
  <si>
    <t>Confirm the genealogy layer walks both directions on the customer's own keys and that attribution weights are enforced to sum to exactly 1.0 per child by the database trigger on genealogy_edges.contribution_weight numeric(9,6).
v2.22.0 — Retain genealogy semantics and add explicit cyclic/self-edge protection at service and database boundaries.</t>
  </si>
  <si>
    <t>Walk a chain backward and forward and confirm the same edges are traversed. Attempt an insert whose weights sum to 0.99 inside a transaction and confirm the trigger rejects it, then roll back.</t>
  </si>
  <si>
    <t>Walk a chain backward and forward and confirm the same edges are traversed. Attempt an insert whose weights sum to 0.99 inside a transaction and confirm the trigger rejects it, then roll back.
v2.22.0 — Negative controls: self-edge, two-node and longer cycles refused; ordered weighted genealogy valid paths remain accepted; no silent deletion of lineage.</t>
  </si>
  <si>
    <t>Persist the shared canvas graph through the unified definition_store/definition_versions authority. Save block positions, typed connections, parameters and purpose; reopen and edit a published/draft version under the existing lifecycle. No canvas-specific shadow store.</t>
  </si>
  <si>
    <t>Persist the shared canvas graph through the unified definition_store/definition_versions authority. Save block positions, typed connections, parameters and purpose; reopen and edit a published/draft version under the existing lifecycle. No canvas-specific shadow store.
v2.22.0 — Extend the existing saved-board lifecycle to transactional relationship publication. Publish via existing IRelationshipPublicationService; derive only customer-declared joins/grains/attribution, not every arbitrary join inferred as a business relation. No shadow store. Legacy VisualMapper must route through canonical lifecycle or be retired compatibility-safely.</t>
  </si>
  <si>
    <t>Create/save/reopen/edit round-trip preserves semantic graph content; version history is immutable; rollback selects an existing version; no second definition lifecycle/table is introduced. The governed output target/Analysis Subject identity introduced by T-253 is part of the semantic round-trip and cannot collapse to a hardcoded material target.</t>
  </si>
  <si>
    <t>Create/save/reopen/edit round-trip preserves semantic graph content; version history is immutable; rollback selects an existing version; no second definition lifecycle/table is introduced. The governed output target/Analysis Subject identity introduced by T-253 is part of the semantic round-trip and cannot collapse to a hardcoded material target.
v2.22.0 — Publish a declared multi-member relationship and verify resolver consumption; republish supersedes not deletes; rollback/history remains explainable; simulated failure leaves neither a partially published definition nor a partially retired/emitted relationship set. Retain existing board/hash/Graph-SQL/reopen evidence; unproven new requirements do not erase previous implementation.</t>
  </si>
  <si>
    <t>Eliminate independent frontend/website capability claims for connectors and source systems. Availability, browse/read/subscription/import certification, Planned/Unavailable/Certified state and descriptive capability text are rendered from the backend connector truth snapshot or a generated artifact derived from it. Remove static 'live source' counts/claims that are not backed by current executed certification evidence.</t>
  </si>
  <si>
    <t>Eliminate independent frontend/website capability claims for connectors and source systems. Availability, browse/read/subscription/import certification, Planned/Unavailable/Certified state and descriptive capability text are rendered from the backend connector truth snapshot or a generated artifact derived from it. Remove static 'live source' counts/claims that are not backed by current executed certification evidence.
v2.22.0 — Converge backend provider validation and customer-facing truth on one authority; no independent provider capability list. Unimplemented SAP/REST remain explicitly non-executable; OPC metadata must equal runtime facts. This is bounded newly reviewed scope, not blanket reopening of earlier closures.</t>
  </si>
  <si>
    <t>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t>
  </si>
  <si>
    <t>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
v2.22.0 — Profile create validation, /provider-types, UI, website and execution capability agree; architecture and behavioral test enumerate unsupported families; changing one authority is reflected by all consumers; preserve valid T-207/T-254 historical proof.</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</si>
  <si>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
v2.20.0 REVIEW ADDENDUM — remove the dead PPIQ_RUN_E2E runtime-env knob now that canonical Jenkins E2E is unconditionally blocking. Production administration must require MFA by default (or require an explicit, auditable production exception); Release-1 evidence must include one MFA-enabled admin path.</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</si>
  <si>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
v2.20.0 REVIEW ADDENDUM — remove the dead PPIQ_RUN_E2E runtime-env knob now that canonical Jenkins E2E is unconditionally blocking. Production administration must require MFA by default (or require an explicit, auditable production exception); Release-1 evidence must include one MFA-enabled admin path.
v2.22.0 — Enforce release-profile secret/configuration and unsafe legacy route boundary. Secrets only through references; reject/migrate secret-bearing options, protect logs/backups; release profile disables bootstrap defaults, seeds/dev minting and hand-entered-outcome runtime exposure.</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</si>
  <si>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 Confirm no executable production/runtime script supplies the retired server IP as a fallback. Confirm PPIQ_RUN_E2E is absent from runtime profile generation. A Production profile with privileged-admin MFA disabled fails the configuration gate unless an explicit governed exception fixture is supplied. Run one privileged-admin E2E path with MFA enabled.</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</si>
  <si>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 Confirm no executable production/runtime script supplies the retired server IP as a fallback. Confirm PPIQ_RUN_E2E is absent from runtime profile generation. A Production profile with privileged-admin MFA disabled fails the configuration gate unless an explicit governed exception fixture is supplied. Run one privileged-admin E2E path with MFA enabled.
v2.22.0 — Harmless sentinel round trip on create/update/get/list and logs; test setup failures fail tests; no secrets in profile row/response/log; no demo seed on production path; release-profile negative probes for dev/legacy routes; secret-scan evidence without printing secrets.</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</si>
  <si>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
v2.20.0 TRUST-ROOT RULING — production licence issuance/signing authority is vendor-side. Customer databases contain verification/public-key material and licence artifacts, not a production private signing key capable of minting a valid licence. Any development-only local signing key is explicitly non-production and either truly encrypted at rest or stored under a truthful non-encrypted name; an `_encrypted` column may not contain raw PEM.</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</si>
  <si>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
v2.20.0 TRUST-ROOT RULING — production licence issuance/signing authority is vendor-side. Customer databases contain verification/public-key material and licence artifacts, not a production private signing key capable of minting a valid licence. Any development-only local signing key is explicitly non-production and either truly encrypted at rest or stored under a truthful non-encrypted name; an `_encrypted` column may not contain raw PEM.
v2.22.0 — Preserve vendor-only signing and existing F2/F3 quota ownership. Remove shadow ILicenseService registrations; dev signing storage/naming truthful and non-production.</t>
  </si>
  <si>
    <t>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 Issue a production-shaped licence outside the customer database, verify it on the customer installation, tamper and prove refusal. Prove the customer database alone cannot mint a valid production licence. Inspect signing-key persistence and prove no raw private PEM is stored in a field/schema claiming encryption.</t>
  </si>
  <si>
    <t>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 Issue a production-shaped licence outside the customer database, verify it on the customer installation, tamper and prove refusal. Prove the customer database alone cannot mint a valid production licence. Inspect signing-key persistence and prove no raw private PEM is stored in a field/schema claiming encryption.
v2.22.0 — Exactly one effective registration; valid/tampered/expired licenses; no production signing secret; dev mint endpoint denied/unmapped in release profile; keep quota 80%/100%, role/user override and no lost draft acceptance.</t>
  </si>
  <si>
    <t>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
v2.20.0 DEPLOYMENT HARDENING — Release-1 production containers run with explicit non-root runtime users, and customer/public hostnames/IPs come from selected configuration profiles; executable install/smoke scripts have no legacy-server IP fallback. Do not wait for M3 isolated-ML container work to establish these minimum production properties.</t>
  </si>
  <si>
    <t>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
v2.20.0 DEPLOYMENT HARDENING — Release-1 production containers run with explicit non-root runtime users, and customer/public hostnames/IPs come from selected configuration profiles; executable install/smoke scripts have no legacy-server IP fallback. Do not wait for M3 isolated-ML container work to establish these minimum production properties.
v2.22.0 — Keep deterministic install/upgrade/rollback. Production schema migration and demo/presentation seed authorities are separated; operational profile values are external to product source.</t>
  </si>
  <si>
    <t>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 Inspect every Release-1 runtime image and prove its effective UID is non-root. Provision two different host/domain profiles without editing repository files and complete install/upgrade/smoke on both. A missing required production host value fails configuration rather than falling back to the historical server.</t>
  </si>
  <si>
    <t>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 Inspect every Release-1 runtime image and prove its effective UID is non-root. Provision two different host/domain profiles without editing repository files and complete install/upgrade/smoke on both. A missing required production host value fails configuration rather than falling back to the historical server.
v2.22.0 — Fresh production install has no demo/customer facts, no automatic presentation seed, external host/secret config, and restart/upgrade/rollback proof. Non-root process/container checks apply to the deployment profile actually shipped.</t>
  </si>
  <si>
    <t>Persist process_transition_definitions and process_transition_events plus effective-dated stabilisation policy, provenance and query API under the canonical definition/tenant authority. Do not model changeover as downtime by default; overlap is allowed and explicit.</t>
  </si>
  <si>
    <t>Persist process_transition_definitions and process_transition_events plus effective-dated stabilisation policy, provenance and query API under the canonical definition/tenant authority. Do not model changeover as downtime by default; overlap is allowed and explicit.
v2.22.0 — Wire existing TransitionAwarePoolingGuard into production statistics/correlation using persisted regime authority. This is M2 correctness, not a claim that every customer necessarily has transitions.</t>
  </si>
  <si>
    <t>Fresh migration/replay green. A customer-authored transition definition and event round-trip with scope/from-to context/stabilisation rule; no shipped industry values. Querying an interval returns exact transition/stabilisation overlaps and evidence.</t>
  </si>
  <si>
    <t>Fresh migration/replay green. A customer-authored transition definition and event round-trip with scope/from-to context/stabilisation rule; no shipped industry values. Querying an interval returns exact transition/stabilisation overlaps and evidence.
v2.22.0 — Declared transitions/stabilisation are excluded or stratified per policy; undefined required regime context refuses rather than pooling; declared no-transition case supported with evidence; known-answer production-path test and provenance.</t>
  </si>
  <si>
    <t>Capture observed outcomes, prediction/remediation evaluation and escalation records. Intervened instances are reported separately from ordinary prediction-accuracy metrics. Escalation is a record, never an automatic decision.</t>
  </si>
  <si>
    <t>Capture observed outcomes, prediction/remediation evaluation and escalation records. Intervened instances are reported separately from ordinary prediction-accuracy metrics. Escalation is a record, never an automatic decision.
v2.22.0 — Own canonical outcome, effectiveness and feedback quality/poisoning boundary. Retire the parallel hand-entered Phase-8 outcome authority with T-190; do not delete historical evidence unsafely.</t>
  </si>
  <si>
    <t>Accept a candidate, let the outcome arrive and prove evaluation closes the loop with intervention state preserved. Confirm intervened instances are excluded from ordinary accuracy calculation and an escalation creates no action automatically.</t>
  </si>
  <si>
    <t>Accept a candidate, let the outcome arrive and prove evaluation closes the loop with intervention state preserved. Confirm intervened instances are excluded from ordinary accuracy calculation and an escalation creates no action automatically.
v2.22.0 — Canonical-only outcome (DC03), complete action record before eligible feedback, actor concentration DC07 evidence, eligible-only supervisor proposals, feedback IDs retained and no auto-retraining. M2 unsafe route denial belongs to T-113.</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</si>
  <si>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</si>
  <si>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
v2.22.0 — Converge production statistical methods and discipline onto the accepted authorities; absorb/retire duplicate StatisticalDiscipline code only after all consumer and test obligations move. No performance/style-only rewrite.</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</si>
  <si>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</si>
  <si>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
v2.22.0 — One production discipline path; known-answer regression and required FDR/effect/stratification/refusal outputs survive. Reuse accepted kernel evidence; absence of callers alone is not justification to erase future integration work.</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</si>
  <si>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</si>
  <si>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
v2.22.0 — Persist and integrate CapabilityProfiler while preserving one readiness decision authority; coordinate T-146 consumers so a second production readiness result cannot disagree.</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</si>
  <si>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</si>
  <si>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
v2.22.0 — Same population/definition/manifest yields same gate decision at all consumers; values/thresholds/refusal evidence visible; missing data fail-closed.</t>
  </si>
  <si>
    <t>Validate the real user, page, job, DB-link and data bands against measured infrastructure, and build the Sales Administration and capacity calculator from Chapter 6 6.3.8.</t>
  </si>
  <si>
    <t>Validate the real user, page, job, DB-link and data bands against measured infrastructure, and build the Sales Administration and capacity calculator from Chapter 6 6.3.8.
v2.22.0 — Explicitly deliver infrastructure-cost formula Ch6 6.3.5 and licence-price function 6.3.6 with their separate assumptions and units; avoid conflating entitlement with commercial price.</t>
  </si>
  <si>
    <t>A quote produced by the calculator matches the measured server class for the same inputs.</t>
  </si>
  <si>
    <t>A quote produced by the calculator matches the measured server class for the same inputs.
v2.22.0 — Known-answer cost and price inputs/outputs; unit/currency/time basis; invalid/missing assumptions refuse; customer figures not fabricated.</t>
  </si>
  <si>
    <t>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
v2.20.0 ENTERPRISE-BI PARITY EXPANSION — the 75-item matrix explicitly includes context-sensitive property inspection, named selections/bookmarks, pivot/crosstab or governed PPIQ-equivalent, conditional formatting, export/print fidelity, design-token/theme governance, accessibility/keyboard authoring, and removal of localStorage as a fallback for server-owned page/widget layout state.
v2.20.0 AUTHORING-SEMANTICS CONVERGENCE — close the historical T-242/Layer-B placement contradiction without reopening T-242. For newly authored definitions, arithmetic/comparison/logic are expression configuration inside the block they configure, while FOR/WHILE-style control flow is Job orchestration. Existing persisted T-242 definitions remain reopenable through an explicit compatibility translation/representation; do not strand customer-authored history.</t>
  </si>
  <si>
    <t>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
v2.20.0 ENTERPRISE-BI PARITY EXPANSION — the 75-item matrix explicitly includes context-sensitive property inspection, named selections/bookmarks, pivot/crosstab or governed PPIQ-equivalent, conditional formatting, export/print fidelity, design-token/theme governance, accessibility/keyboard authoring, and removal of localStorage as a fallback for server-owned page/widget layout state.
v2.20.0 AUTHORING-SEMANTICS CONVERGENCE — close the historical T-242/Layer-B placement contradiction without reopening T-242. For newly authored definitions, arithmetic/comparison/logic are expression configuration inside the block they configure, while FOR/WHILE-style control flow is Job orchestration. Existing persisted T-242 definitions remain reopenable through an explicit compatibility translation/representation; do not strand customer-authored history.
v2.22.0 — Add G3 global search/command palette and G6 activity tray, preserving role/tenant scope, keyboard/focus, cross-page progress and reconnection. Use UI/Figma companion frames as visual implementation reference, not new behavior authority.</t>
  </si>
  <si>
    <t>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t>
  </si>
  <si>
    <t>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</si>
  <si>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
v2.20.0 ORDERING — perform namespace renaming after T-256 has decided which material/legacy runtime surfaces remain legitimate compatibility surfaces. Do not preserve a semantically invalid endpoint merely to give it a cleaner URL.</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</si>
  <si>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
v2.20.0 ORDERING — perform namespace renaming after T-256 has decided which material/legacy runtime surfaces remain legitimate compatibility surfaces. Do not preserve a semantically invalid endpoint merely to give it a cleaner URL.
v2.22.0 — Maintain bounded-compatibility consumer register. Move live canon/public consumers to governed authorities before retiring compatibility objects; no delete-probes-first hotfix.</t>
  </si>
  <si>
    <t>Every one of the 544 routes appears exactly once in the mapping table. Both the old and the new path return identical responses for a sample of twenty routes.</t>
  </si>
  <si>
    <t>Every one of the 544 routes appears exactly once in the mapping table. Both the old and the new path return identical responses for a sample of twenty routes.
v2.22.0 — Inventory each consumer/object, positive and negative parity tests, old history remains readable, retirement only after no active dependency remains; upgrade/fresh install agree.</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</si>
  <si>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</si>
  <si>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
v2.22.0 — Retire Phase8SuggestionOutcomeLoopEndpoints as an alternate decision/outcome authority during canonical cutover; preserve relevant historical records and route compatibility only where semantically lawful.</t>
  </si>
  <si>
    <t>Run continuity snapshots. Attempt client-side manipulation to enable a forbidden decision and prove the server refuses it. Exercise actionable/evidence_only/exploratory/suppressed cases and confirm only allowed states appear with evidence and actor/reason history.</t>
  </si>
  <si>
    <t>Run continuity snapshots. Attempt client-side manipulation to enable a forbidden decision and prove the server refuses it. Exercise actionable/evidence_only/exploratory/suppressed cases and confirm only allowed states appear with evidence and actor/reason history.
v2.22.0 — No new hand-entered actual outcomes; canonical feedback loop with actor/time/provenance; disabled legacy routes cannot mutate production state.</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</si>
  <si>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</si>
  <si>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
v2.22.0 — Absorb T-111 measured Scan Amplification baseline/calibrated bands. T-110 owns runtime enforcement.</t>
  </si>
  <si>
    <t>Record hardware, commit and load profile. Saturate training/batch and prove online p95 remains inside the actionable budget. Publish measured lane values and before/after Scan Amplification with no starvation.</t>
  </si>
  <si>
    <t>Record hardware, commit and load profile. Saturate training/batch and prove online p95 remains inside the actionable budget. Publish measured lane values and before/after Scan Amplification with no starvation.
v2.22.0 — Measure under declared profiles and record formula, numerator/denominator and scope; known missing delta predicate triggers breach, not a tuned threshold.</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</si>
  <si>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</si>
  <si>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
v2.22.0 — Absorb T-111 capacity/regression certification; verify T-110 runtime scan guard using C1-C4 proofs.</t>
  </si>
  <si>
    <t>Every worked sizing example recomputes from measured constants; C1-C4 profiles pass their promised envelope. The certification bundle records hardware, commit, dataset, benchmark outputs and sign-off.</t>
  </si>
  <si>
    <t>Every worked sizing example recomputes from measured constants; C1-C4 profiles pass their promised envelope. The certification bundle records hardware, commit, dataset, benchmark outputs and sign-off.
v2.22.0 — Known negative control exceeds scan band/aborts; restored predicate passes; results, workload, topology and sampled period pinned.</t>
  </si>
  <si>
    <t>L1.6; L1.2</t>
  </si>
  <si>
    <t>L9.6; L6.4</t>
  </si>
  <si>
    <t>L9.6; L6.4; L9.8</t>
  </si>
  <si>
    <t>L3.1; L3.3; L3.4; L3.5; L3.6; L3.9</t>
  </si>
  <si>
    <t>L3.1; L3.3; L3.4; L3.5; L3.6; L3.9; L6.7</t>
  </si>
  <si>
    <t>L3.5; L3.6</t>
  </si>
  <si>
    <t>L3.5; L3.6; L2.2</t>
  </si>
  <si>
    <t>Source present; newly expanded publication acceptance unproven</t>
  </si>
  <si>
    <t>Queued until producer closures, preserve existing binding work evidence</t>
  </si>
  <si>
    <t>T-106; T-241; T-242; T-243</t>
  </si>
  <si>
    <t>T-106; T-241; T-242; T-243; T-099; T-262</t>
  </si>
  <si>
    <t>T-090; T-095; T-099; T-261</t>
  </si>
  <si>
    <t>Replace retired dependencies</t>
  </si>
  <si>
    <t>T-095; T-096; T-097; T-098; T-099; T-100; T-101; T-102; T-103; T-104; T-106</t>
  </si>
  <si>
    <t>T-095; T-096; T-097; T-098; T-099; T-100; T-101; T-102; T-103; T-104; T-108</t>
  </si>
  <si>
    <t>T-087; T-088; T-089; T-090; T-091; T-092; T-093; T-094; T-095; T-096; T-097; T-098; T-099; T-100; T-101; T-102; T-103; T-104; T-105; T-112; T-114; T-231; T-210</t>
  </si>
  <si>
    <t>T-087; T-088; T-089; T-090; T-091; T-092; T-093; T-094; T-095; T-096; T-097; T-098; T-099; T-100; T-101; T-102; T-103; T-104; T-112; T-114; T-231; T-210</t>
  </si>
  <si>
    <t>T-089; T-090; T-091; T-092; T-093; T-094; T-095; T-096; T-097; T-098; T-099; T-100; T-101; T-102; T-103; T-104; T-105; T-112; T-114</t>
  </si>
  <si>
    <t>T-089; T-090; T-091; T-092; T-093; T-094; T-095; T-096; T-097; T-098; T-099; T-100; T-101; T-102; T-103; T-104; T-112; T-114</t>
  </si>
  <si>
    <t>ADD</t>
  </si>
  <si>
    <t>Governed projection declaration and canonical field-binding contract</t>
  </si>
  <si>
    <t>Owner-authorised task; hours not fabricated</t>
  </si>
  <si>
    <t>Governed reports, export and scheduled delivery</t>
  </si>
  <si>
    <t>Registry-driven internal benchmarking</t>
  </si>
  <si>
    <t>T-153; T-159; T-160; T-161; T-162; T-163; T-164; T-167; T-193; T-230; T-240; T-248</t>
  </si>
  <si>
    <t>T-153; T-159; T-160; T-161; T-162; T-163; T-164; T-167; T-193; T-230; T-240; T-248; T-263; T-264; T-246; T-110</t>
  </si>
  <si>
    <t>T-092; T-207; T-212; T-213; T-241; T-242; T-243; T-244; T-245; T-253; T-254; T-256; T-258; T-104; T-108; T-211; T-235</t>
  </si>
  <si>
    <t>2026-09-30 Release 1</t>
  </si>
  <si>
    <t>M2: ~1 month from owner planning checkpoint; exact date not committed</t>
  </si>
  <si>
    <t>Latest owner planning supersedes old calendar targets</t>
  </si>
  <si>
    <t>WAIT for Presentation RC freeze/tag + clean index/worktree. Then: T-064 functional contract + T-089 + T-090 canonical definition authority.</t>
  </si>
  <si>
    <t>Consume accepted producer contracts; remaining dependencies: T-064; T-089; T-090; T-252. No private scheduler/definition authority. Source-present is not closure proof.</t>
  </si>
  <si>
    <t>Replace stale contradictory gate</t>
  </si>
  <si>
    <t>v2.22.0 owner-approved scope and release disposition; original evidence remains in change log/archive.</t>
  </si>
  <si>
    <t>Current ruling replaces superseded active notes</t>
  </si>
  <si>
    <t>WAIT for Presentation RC freeze/tag + clean index/worktree. Then: Release 1 dependency order</t>
  </si>
  <si>
    <t>Consume accepted producer contracts; remaining dependencies: T-099; T-104. No private scheduler/definition authority. Source-present is not closure proof.</t>
  </si>
  <si>
    <t>M3: 45 days after M2 completion</t>
  </si>
  <si>
    <t>M2-P2</t>
  </si>
  <si>
    <t>M3-P1</t>
  </si>
  <si>
    <t>Release/phase synchronization</t>
  </si>
  <si>
    <t>Day-1 Data Workbench — DB Link, Canvas, Jobs &amp; OPC</t>
  </si>
  <si>
    <t>Scale &amp; OT Resilience</t>
  </si>
  <si>
    <t>Consume accepted producer contracts; remaining dependencies: T-108; T-109. No private scheduler/definition authority. Source-present is not closure proof.</t>
  </si>
  <si>
    <t>NOT STARTED — measured 08-Sep current main HEAD is T-242 closure with zero T-243 product-source changes. Start fresh only after T-253 is CLOSED GREEN/committed; consume its canonical outputTarget contract rather than re-investigating target identity.</t>
  </si>
  <si>
    <t>Consume accepted producer contracts; remaining dependencies: T-241; T-242; T-089; T-090; T-253. No private scheduler/definition authority. Source-present is not closure proof.</t>
  </si>
  <si>
    <t>QUEUED — start only after T-243, T-106 and T-261 are CLOSED GREEN; T-244 is already closed. T-245 consumes the governed Transformation executor and canonical job target/version authority; it must not invent a private Canvas scheduler.</t>
  </si>
  <si>
    <t>Consume accepted producer contracts; remaining dependencies: T-243; T-244; T-106; T-261. No private scheduler/definition authority. Source-present is not closure proof.</t>
  </si>
  <si>
    <t>M3-P4</t>
  </si>
  <si>
    <t>Advanced ML, Optimisation &amp; Value</t>
  </si>
  <si>
    <t>Release 1 MUST — execute after T-243 and governed model/intelligence contracts. Not a prerequisite of T-247 unless T-247 acceptance is amended to invoke a model block.</t>
  </si>
  <si>
    <t>Consume accepted producer contracts; remaining dependencies: T-243; T-130; T-137; T-187. No private scheduler/definition authority. Source-present is not closure proof.</t>
  </si>
  <si>
    <t>Industrial Intelligence — Reference, Reconciliation &amp; Assistant</t>
  </si>
  <si>
    <t>Industrial Intelligence — References, Reconciliation &amp; Assistant</t>
  </si>
  <si>
    <t>2026-10-30 Release 2</t>
  </si>
  <si>
    <t>Start only after T-106, T-241, T-242 and T-243 are CLOSED GREEN. Close T-261 as a separate semantic commit before resuming T-245.</t>
  </si>
  <si>
    <t>Consume accepted producer contracts; remaining dependencies: T-106; T-241; T-242; T-243; T-099; T-262. No private scheduler/definition authority. Source-present is not closure proof.</t>
  </si>
  <si>
    <t>CENTRAL 11-Sep-2026: new Release-1 prerequisite created from measured T-245 preflight. Binding already exists; this task commissions honest governed Transformation execution.</t>
  </si>
  <si>
    <t>Use producer contracts; close only after listed dependencies and targeted evidence.</t>
  </si>
  <si>
    <t>Consume accepted producer contracts; remaining dependencies: T-253; T-243. No private scheduler/definition authority. Source-present is not closure proof.</t>
  </si>
  <si>
    <t>Advanced BI, Authoring &amp; Insight Boards</t>
  </si>
  <si>
    <t>Consume accepted producer contracts; remaining dependencies: T-106; T-248. No private scheduler/definition authority. Source-present is not closure proof.</t>
  </si>
  <si>
    <t>Consume accepted producer contracts; remaining dependencies: T-214; T-240. No private scheduler/definition authority. Source-present is not closure proof.</t>
  </si>
  <si>
    <t>T-089; T-099; T-102; T-233; T-112; T-114; T-196; T-128; T-251; T-252</t>
  </si>
  <si>
    <t>Derived reverse dependency, not second authority</t>
  </si>
  <si>
    <t>T-087; T-089; T-112; T-128; T-251; T-260; T-252; T-256</t>
  </si>
  <si>
    <t>T-090; T-092; T-095; T-099; T-106; T-243; T-244; T-114; T-128; T-183</t>
  </si>
  <si>
    <t>T-091; T-092; T-210; T-231; T-095; T-099; T-104; T-106; T-232; T-233; T-235; T-243; T-244; T-221; T-114; T-228; T-128; T-134; T-147; T-183; T-195; T-239</t>
  </si>
  <si>
    <t>T-093; T-094; T-212; T-247; T-215; T-237; T-228; T-128; T-183</t>
  </si>
  <si>
    <t>T-095; T-253; T-258; T-196; T-128; T-183; T-256</t>
  </si>
  <si>
    <t>T-086; T-202; T-203; T-204; T-205; T-206; T-208; T-207; T-213; T-241</t>
  </si>
  <si>
    <t>T-212; T-248</t>
  </si>
  <si>
    <t>T-222; T-248</t>
  </si>
  <si>
    <t>T-150; T-248; T-250; T-255; T-257</t>
  </si>
  <si>
    <t>T-093; T-213</t>
  </si>
  <si>
    <t>T-209; T-216; T-211; T-217; T-218; T-234; T-238</t>
  </si>
  <si>
    <t>T-094; T-210; T-231; T-253; T-214; T-234</t>
  </si>
  <si>
    <t>T-092; T-212; T-242; T-211; T-128</t>
  </si>
  <si>
    <t>T-233; T-217; T-200</t>
  </si>
  <si>
    <t>T-092; T-232; T-235; T-128; T-139</t>
  </si>
  <si>
    <t>T-096; T-098; T-102; T-103; T-104; T-107; T-109; T-221; T-114; T-196; T-128; T-134; T-183</t>
  </si>
  <si>
    <t>T-097; T-098; T-107; T-109; T-221; T-128; T-134; T-183</t>
  </si>
  <si>
    <t>T-100; T-101; T-104; T-107; T-108; T-109; T-114; T-128; T-183; T-261</t>
  </si>
  <si>
    <t>T-107; T-108; T-109; T-247; T-128; T-183</t>
  </si>
  <si>
    <t>T-107; T-122; T-245; T-125; T-261</t>
  </si>
  <si>
    <t>T-107; T-245; T-125; T-122; T-261; T-263</t>
  </si>
  <si>
    <t>T-125; T-122; T-141; T-187; T-192</t>
  </si>
  <si>
    <t>T-109; T-110; T-247</t>
  </si>
  <si>
    <t>T-110; T-136; T-187</t>
  </si>
  <si>
    <t>T-224; T-247; T-254; T-150</t>
  </si>
  <si>
    <t>T-247; T-227</t>
  </si>
  <si>
    <t>T-225; T-153</t>
  </si>
  <si>
    <t>T-226; T-153</t>
  </si>
  <si>
    <t>T-150; T-153</t>
  </si>
  <si>
    <t>T-226; T-221</t>
  </si>
  <si>
    <t>T-212; T-247; T-237; T-164</t>
  </si>
  <si>
    <t>T-242; T-243; T-261</t>
  </si>
  <si>
    <t>T-242; T-243; T-247; T-253; T-248; T-261</t>
  </si>
  <si>
    <t>T-243; T-261</t>
  </si>
  <si>
    <t>T-243; T-247; T-261</t>
  </si>
  <si>
    <t>T-245; T-246; T-261</t>
  </si>
  <si>
    <t>T-245; T-246; T-247; T-248; T-261; T-262</t>
  </si>
  <si>
    <t>T-245; T-247; T-253; T-248</t>
  </si>
  <si>
    <t>T-247; T-248</t>
  </si>
  <si>
    <t>T-243; T-247; T-150; T-256; T-262</t>
  </si>
  <si>
    <t>T-222; T-150</t>
  </si>
  <si>
    <t>T-246; T-122; T-138</t>
  </si>
  <si>
    <t>T-175; T-122; T-187</t>
  </si>
  <si>
    <t>T-223; T-228; T-138</t>
  </si>
  <si>
    <t>T-212; T-247</t>
  </si>
  <si>
    <t>T-232; T-215; T-223; T-238; T-239; T-264</t>
  </si>
  <si>
    <t>T-222; T-220; T-221; T-223</t>
  </si>
  <si>
    <t>T-222; T-221; T-223</t>
  </si>
  <si>
    <t>T-221; T-122; T-198; T-230; T-128; T-129; T-130; T-135; T-183; T-184; T-185; T-187; T-195</t>
  </si>
  <si>
    <t>T-150; T-122</t>
  </si>
  <si>
    <t>T-150; T-199</t>
  </si>
  <si>
    <t>T-127; T-148</t>
  </si>
  <si>
    <t>T-148; T-127</t>
  </si>
  <si>
    <t>T-127; T-148; T-197; T-199</t>
  </si>
  <si>
    <t>T-148; T-127; T-197; T-199</t>
  </si>
  <si>
    <t>T-229; T-248</t>
  </si>
  <si>
    <t>T-249; T-263</t>
  </si>
  <si>
    <t>T-134; T-135; T-139; T-188; T-191; T-193; T-246</t>
  </si>
  <si>
    <t>T-246; T-134; T-135; T-139; T-188; T-191; T-193</t>
  </si>
  <si>
    <t>T-138; T-228; T-229</t>
  </si>
  <si>
    <t>T-228; T-229; T-138</t>
  </si>
  <si>
    <t>T-139; T-141; T-191; T-192; T-193</t>
  </si>
  <si>
    <t>T-246; T-139; T-141; T-191; T-192; T-193</t>
  </si>
  <si>
    <t>T-066; T-186; T-187; T-188</t>
  </si>
  <si>
    <t>T-186; T-187; T-188</t>
  </si>
  <si>
    <t>T-249; T-264</t>
  </si>
  <si>
    <t>T-258; T-150; T-255; T-257</t>
  </si>
  <si>
    <t>T-112; T-150; T-259; T-252; T-256</t>
  </si>
  <si>
    <t>T-251; T-259</t>
  </si>
  <si>
    <t>T-150; T-227; T-252; T-257</t>
  </si>
  <si>
    <t>T-106; T-112; T-150; T-256</t>
  </si>
  <si>
    <t>T-247; T-258; T-150; T-116</t>
  </si>
  <si>
    <t>T-104; T-245</t>
  </si>
  <si>
    <t>Completion vs contract dependency</t>
  </si>
  <si>
    <t>T-196; T-197; T-198; T-199; T-200 (contract-ready only)</t>
  </si>
  <si>
    <t>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</si>
  <si>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Active tasks</t>
  </si>
  <si>
    <t>Done tasks</t>
  </si>
  <si>
    <t>Usable scope h</t>
  </si>
  <si>
    <t>Done scope h</t>
  </si>
  <si>
    <t>Open scope h</t>
  </si>
  <si>
    <t>Estimate unresolved</t>
  </si>
  <si>
    <t>Row</t>
  </si>
  <si>
    <t>Cell contents — preserved as historical evidence</t>
  </si>
  <si>
    <t>Current Authority</t>
  </si>
  <si>
    <t>["PPIQ Backlog v2.21.0 — Product Capability Traceability + Governed Projection Executor", null, null, null]</t>
  </si>
  <si>
    <t>[null, null, null, null]</t>
  </si>
  <si>
    <t>["Authority", "Current value", "Date", "Meaning"]</t>
  </si>
  <si>
    <t>["Master Design", "v4.10.1", "2026-09-04", "Six design chapters only"]</t>
  </si>
  <si>
    <t>["Execution Backlog", "v2.21.0", 46276, "This workbook is the v2.21.0 execution authority. Capability traceability and T-261 are current; legacy summary sheets retaining v220 labels are preserved as prior generated views and are not the source of task/capability truth."]</t>
  </si>
  <si>
    <t>["Release 1", "M2 — 30 Sep 2026", null, "Early production / customer first-week ready"]</t>
  </si>
  <si>
    <t>["Release 2", "M3 — 30 Oct 2026", null, "Heavy production / more users / more data"]</t>
  </si>
  <si>
    <t>["Phase vocabulary", "P1 · P2 · P3 · P4 · P5", null, "No alternative milestone/phase codes are current authority"]</t>
  </si>
  <si>
    <t>["Mirror law", "100% traceability required", null, "Every design requirement maps to backlog acceptance; every task maps to design"]</t>
  </si>
  <si>
    <t>["Historical work", "Archive only", null, "Prior M1/Fleet-specific work is evidence, not current execution scope"]</t>
  </si>
  <si>
    <t>["Latest revision", "T-261 added as the governed Transformation/Projection executor prerequisite for T-245. Product Capability Traceability Standard v1.1 mapped every backlog task to a stable capability point.", 46276, "v2.21.0 is a semantic version change because T-261 is a genuine new task. Capability mapping itself changes traceability/reporting only and does not redefine existing task scope."]</t>
  </si>
  <si>
    <t>Governance</t>
  </si>
  <si>
    <t>["Execution Governance &amp; Vocabulary", null, null]</t>
  </si>
  <si>
    <t>[null, null, null]</t>
  </si>
  <si>
    <t>["Rule", "Current authority", "Why"]</t>
  </si>
  <si>
    <t>["Release vocabulary", "Only M2 and M3", "No alternative roadmap names are current authority"]</t>
  </si>
  <si>
    <t>["Phase vocabulary", "Only P1/P2/P3/P4/P5", "Immediately shows before/after and product purpose"]</t>
  </si>
  <si>
    <t>["M2 meaning", "Release 1 — real early production", "Not demo, not pilot-only, not presentation branch"]</t>
  </si>
  <si>
    <t>["M3 meaning", "Release 2 — heavy production", "More users, more data, sustained runtime and deeper capability"]</t>
  </si>
  <si>
    <t>["One task / one owner", "Mandatory", "No cross-worker implementation ownership"]</t>
  </si>
  <si>
    <t>["Dependencies", "IDs only", "Machine-readable semicolon-separated Task IDs"]</t>
  </si>
  <si>
    <t>["Release truth", "Browser walk is final confirmation", "Basic defects must fail automated gates before browser walk"]</t>
  </si>
  <si>
    <t>["Genericity", "Same binary; customer changes configuration, not product", "Customer-specific product code fails onboarding"]</t>
  </si>
  <si>
    <t>["Canvas expression / control-flow placement", "Layer-B is final semantic authority: arithmetic/comparison/logic are expression configuration; FOR/WHILE are Job orchestration. T-242 closed artifacts are compatibility inputs only; no new board-level expansion.", "Preserves valid T-242 closure while preventing the backlog/design contradiction from propagating into S3/S4 and Release 2."]</t>
  </si>
  <si>
    <t>["OPC", "Read-only/outbound edge", "No control/writeback path"]</t>
  </si>
  <si>
    <t>["Assistant", "Evidence-first", "No invented numbers or unsupported root-cause certainty"]</t>
  </si>
  <si>
    <t>["Value", "Bounded and evidenced", "Potential value ≠ realised value"]</t>
  </si>
  <si>
    <t>["Repository mutation ownership", "No Task ID = no repository mutation", "Every code/test/config change or corrective finding maps to an existing task or a newly created task; closed tasks stay closed."]</t>
  </si>
  <si>
    <t>["Test execution economy", "Narrow affected tests first; expensive full certification only at the owning gate or when that gate changes", "Prevents repeated hour-scale reruns while preserving final release truth."]</t>
  </si>
  <si>
    <t>["Release gate completeness", "T-150 enumerates every M2 row with Release Criticality = Release 1 MUST", "Direct Depends-On is sequencing metadata, never a substitute for complete release acceptance."]</t>
  </si>
  <si>
    <t>["Physical database authority", "Zero unknown product tables/columns on fresh certification DB", "Every object has schema, family, lifecycle, owner, design clause and generated dictionary entry."]</t>
  </si>
  <si>
    <t>["Disposable database lifecycle", "CREATE DATABASE implies owner + finally DROP unless explicitly declared persistent", "Prevents probe/scratch/backup debris and cross-worker shared-DB contamination."]</t>
  </si>
  <si>
    <t>["Database naming", "Forward snake_case + no customer vocabulary + no redundant ppiq_ prefix in governed schemas", "Existing names are grandfathered; no mass rename without owned compatibility proof."]</t>
  </si>
  <si>
    <t>["Authority precedence", "Current Master Design / frozen Layer-B semantic rulings &gt; current Backlog execution wording &gt; historical task prose.", "When two current documents conflict semantically, Central must rule and amend future scope; workers are not blamed for following the then-current backlog."]</t>
  </si>
  <si>
    <t>["Closed-task regression handling", "Do not broadly reopen closed tasks. A newly discovered concrete regression receives a narrow new Task ID unless the original closure evidence itself is proven false.", "Prevents scope erosion and preserves auditability."]</t>
  </si>
  <si>
    <t>["Release evidence envelope", "T-227 owns one canonical machine-readable schema; T-252/T-257 emit producer-specific evidence into it; T-150 aggregates it.", "Prevents duplicated skip-count formats and keeps final release gate from redefining evidence semantics late."]</t>
  </si>
  <si>
    <t>["Cross-worker genericity handoff", "Backend runtime convergence and frontend material-surface convergence have separate owners: T-256 Worker 1, T-258 Worker 2.", "Worker 1 must not repair Worker-2 frontend files; compatibility must remain green across the handoff."]</t>
  </si>
  <si>
    <t>["Canvas output-target namespace", "Canonical entity name from ICanonicalEntityCatalog; never physical relation name and never an overloaded Analysis Subject key.", "Graph and SQL share one governed output identity while Analysis Subject remains a separate semantic authority."]</t>
  </si>
  <si>
    <t>["Canvas output-target hashing", "New Graph/SQL saves carry root `outputTarget` in hashed canonical content. Legacy Graph may derive from graph.targetEntity; legacy SQL missing target returns null, never fabricated.", "Hash change on re-save legitimately creates a new immutable version; prior version remains untouched."]</t>
  </si>
  <si>
    <t>["Release evidence envelope v1", "T-259 owns the small shared machine-readable envelope contract. T-252/T-257 produce it; T-227 owns scorecard/policy; T-150 aggregates.", "Removes the impossible dependency where producers needed a P5 schema that did not yet exist."]</t>
  </si>
  <si>
    <t>["Release evidence count semantics", "total_count = executed_count + skipped_count; executed_count = passed_count + failed_count; skipped work is never counted as executed.", "Prevents an all-skipped suite from appearing fully exercised."]</t>
  </si>
  <si>
    <t>["Canonical projection-target eligibility", "Canonical entity identity and projection-target eligibility are separate facts. Eligibility is an explicit model/type-sourced capability, not 'all mapped entities' and not schema-only.", "Prevents ImportBatch/JobRunHistory/etc. from becoming Canvas/mapping targets while preserving valid reference targets outside ppiq_plant."]</t>
  </si>
  <si>
    <t>["Schema role in target eligibility", "ppiq_plant/ppiq_meta topology is a consistency/governance signal, not the sole target predicate.", "ParameterDefinition/DefectCatalog are valid current targets outside ppiq_plant; ppiq_plant also contains analytical outputs."]</t>
  </si>
  <si>
    <t>["T-256 synchronization", "T-253 is a hard dependency of T-256. If Worker 1 reaches the gate first, CENTRAL assigns a disjoint lane rather than allowing duplicate target-classification work.", "Correctness and single authority take precedence over keeping P1 locally wait-free."]</t>
  </si>
  <si>
    <t>["Fresh certification DB authority", "A database called ppiq_acceptance_empty is not authoritative merely by name; it must be constructed by the complete canonical migration-order authority.", "Prevents catalogue/adjudication against a partial fresh build."]</t>
  </si>
  <si>
    <t>["T-251/T-260 split", "T-251 owns read-only physical truth; T-260 owns correction of the fresh certification DB builder discovered by T-251.", "Avoids violating T-251's read-only lock while preventing false classification work."]</t>
  </si>
  <si>
    <t>["Adjudication order", "Do not classify the old 106/81 fresh-DB queue. Correct/rebuild first, rerun census second, adjudicate only the remaining true queue.", "Avoids spending governance effort on objects stranded by an incomplete build path."]</t>
  </si>
  <si>
    <t>Method &amp; Notes</t>
  </si>
  <si>
    <t>["Method, evidence hierarchy, and v2.20.4 reconciliation", null]</t>
  </si>
  <si>
    <t>[null, null]</t>
  </si>
  <si>
    <t>["Topic", "Rule / interpretation"]</t>
  </si>
  <si>
    <t>["Execution authority", "PPIQ Backlog v2.20.2 dated 08-Sep-2026. It supersedes v2.20.1 after Worker-2 current-tree measurement and Worker-1 evidence-envelope dependency review."]</t>
  </si>
  <si>
    <t>["Hours denominator", "Nominal Hours remain the progress denominator. The review added real uncovered scope and retired one duplicate task, so M2 scope changes from 993h to 1035h."]</t>
  </si>
  <si>
    <t>["Strict completion", "In Progress receives zero closed-hour credit. Only Verified/Backlog Status = Done earns the task's full nominal hours."]</t>
  </si>
  <si>
    <t>["Regression law", "Valid closed tasks stay closed. Concrete regressions discovered after closure receive narrow new Task IDs unless closure evidence itself is invalidated."]</t>
  </si>
  <si>
    <t>["T-245 ruling", "T-245 is Not Started / QUEUED. It starts only after T-243 and T-106 are CLOSED GREEN; T-244 is already closed."]</t>
  </si>
  <si>
    <t>["T-252 ruling", "T-252 is M2-P1 and explicitly depends on T-251 in the dependency cell. Worker-1 P1 sequence is mechanically T-251 → T-252 → T-256."]</t>
  </si>
  <si>
    <t>["T-118 ruling", "T-118 is retired from active scope as a duplicate commissioning umbrella. Historical evidence is preserved in Prior Baseline Archive."]</t>
  </si>
  <si>
    <t>["Canvas semantic ruling", "Layer-B governs placement: arithmetic/comparison/logic are expression configuration and FOR/WHILE are Job orchestration. T-242 remains closed; existing persisted artifacts are compatibility inputs and future authoring converges without data loss."]</t>
  </si>
  <si>
    <t>["CI correction", "Worker-1 review correction accepted: the live canonical Jenkinsfile has blocking E2E. Historical gated copies exist only in backups. Remaining test-truth work concerns enumeration-only --list scripts, skips and release-profile evidence."]</t>
  </si>
  <si>
    <t>["Commit date", "A Commit Date may be exact Git date or closure-session date depending on evidence. Missing subject/date is left unrecovered rather than guessed."]</t>
  </si>
  <si>
    <t>["Audit package safety", "The 08-Sep UltimateAudit package was generated with Mask Secrets=False and is internal engineering evidence only; external evidence must be regenerated masked."]</t>
  </si>
  <si>
    <t>["Evidence hierarchy", "Current runtime/source path + executed tests &gt; current source trace &gt; commit/closure &gt; handover &gt; backlog/design prose. Backup/archive copies never override the live path."]</t>
  </si>
  <si>
    <t>["Evidence-envelope ownership", "T-227 owns the canonical Release-1 machine-readable evidence-envelope schema. T-252 and T-257 are producers for DB-fixture and frontend/E2E results respectively. T-150 only aggregates/validates the shared envelope."]</t>
  </si>
  <si>
    <t>["T-256/T-258 ownership split", "T-256 is backend/API/DB-runtime only. Frontend MaterialAnalytics/routes/types are Worker-2 T-258. T-256 must preserve a bounded compatibility handoff so it does not leave the generic frontend red."]</t>
  </si>
  <si>
    <t>["Fresh certification DB", "The named fresh canonical certification database for T-251 is `ppiq_acceptance_empty`; do not invent ad-hoc fresh database names before T-252 lifecycle authority."]</t>
  </si>
  <si>
    <t>["T-253 measured ruling", "Current main HEAD is T-242 (`aa57a503`) with zero T-243 product-source changes. T-253 is current; T-243 is Not Started and begins fresh after T-253."]</t>
  </si>
  <si>
    <t>["T-253 target identity", "Persist canonical entity name. New hashed root `outputTarget` is representation-independent; graph.targetEntity remains compatibility data and must match on new graph writes."]</t>
  </si>
  <si>
    <t>["T-253 legacy compatibility", "Legacy Graph lacking root outputTarget may derive it from graph.targetEntity; legacy SQL lacking it returns null. Re-save under the new content schema creates a new immutable version."]</t>
  </si>
  <si>
    <t>["T-253 picker", "Enumerate ICanonicalEntityCatalog through a minimal existing-authoring-support read endpoint. Do not use MappingDefinitionService.AllowedTargetEntities and do not add MaterialUnit as global UA-08 vocabulary."]</t>
  </si>
  <si>
    <t>["T-259 ruling", "Option A accepted: 2h P1 Release Evidence Envelope v1 contract after T-251 and before T-252/T-257. T-227 stays P5 scorecard/policy owner."]</t>
  </si>
  <si>
    <t>["Dirty-tree checkpoint", "Unrelated Documentation/audit dirt does not mean T-243 source exists. T-253 may proceed only with clean owned product paths, strict path staging and T-244 ancestor proof; task-number preflight filename must be renamed semantically before commit."]</t>
  </si>
  <si>
    <t>["T-259 count correction", "Skipped tests are not executed. Envelope v1 requires total_count=executed_count+skipped_count and executed_count=passed_count+failed_count."]</t>
  </si>
  <si>
    <t>["T-227 ownership check", "v2.20.2 already removed the accidental schema ownership from T-227. Its 6h remains because that was the original scorecard/policy task size; no funded hours were transferred out. Stale T-252/T-257 references to T-227 fields are corrected to T-259."]</t>
  </si>
  <si>
    <t>["Projection-target predicate", "Do not enumerate every mapped entity and do not use schema-only eligibility. T-253 creates one explicit model/type-sourced projection-target capability; catalog identity stays CLR canonical name."]</t>
  </si>
  <si>
    <t>["T-251 relationship", "T-251 logical-family catalogue later cross-checks the projection-target capability but does not define runtime target eligibility; T-253 can proceed independently."]</t>
  </si>
  <si>
    <t>["T-256 dependency", "T-253 is intentionally hard in T-256 Depends On. If T-253 is late, Worker 1 stops after T-252 and CENTRAL selects a disjoint lane."]</t>
  </si>
  <si>
    <t>["T-260 trigger", "T-251 runner is valid/deterministic, but its fresh reference DB exposed an incomplete builder path (EF+scripts without required topology/views)."]</t>
  </si>
  <si>
    <t>["T-260 execution", "Build a disposable candidate using the canonical order first; only replace/recreate ppiq_acceptance_empty after candidate GREEN. Never mutate ppiq_app/ppiq_presentation."]</t>
  </si>
  <si>
    <t>["T-251 resume", "After T-260, rerun catalogue from scratch. The old 106 unclassified / 81 public-offender counts are diagnostic history, not classification input."]</t>
  </si>
  <si>
    <t>["Platform allowlist", "`public.__EFMigrationsHistory` is platform migration bookkeeping and may be allowlisted in T-251 after the corrected rebuild; dead assumed-pattern rules should be removed rather than preserved."]</t>
  </si>
  <si>
    <t>["Capability standard", "Product capability mapping follows PPIQ_Product_Analysis_and_Evaluation_Standard_v1.1 (10 layers, 78 capability points)."]</t>
  </si>
  <si>
    <t>["Primary mapping law", "Every product task has one Primary Capability ID. Secondary IDs are used only where task acceptance genuinely advances another capability."]</t>
  </si>
  <si>
    <t>["Task closure law", "Closing mapped tasks does not make a capability 5/5. D1–D5 product evidence remains the completeness authority."]</t>
  </si>
  <si>
    <t>["Non-capability work", "Pure execution instruments may use NO-CAP — Execution Tooling; product-boundary work is labelled explicitly rather than forced into a PPIQ capability."]</t>
  </si>
  <si>
    <t>["Summary-sheet authority", "Backlog + Current Authority + Capability Map v1.1 are current for v2.21.0. Existing v220 dashboard/phase summary sheets are preserved snapshots and must not override task rows or capability mapping."]</t>
  </si>
  <si>
    <t>Requirement Traceability</t>
  </si>
  <si>
    <t>["Design ↔ Backlog Mirror — Product Requirement Traceability", null, null, null, null, null, null, null, null, null]</t>
  </si>
  <si>
    <t>[null, null, null, null, null, null, null, null, null, null]</t>
  </si>
  <si>
    <t>["Requirement family", "Design authority", "M2 Release 1", "M3 Release 2", "Primary tasks", "M2 acceptance", "M3 acceptance", "Customer use", "Mirror state", "Ruling"]</t>
  </si>
  <si>
    <t>["DB Link / external databases", "Ch3 4.5 + Ch4 5.0.0", "Day-1 production", "Scale/certification", "T-207; T-247; T-254; T-095..105", "Connect→browse→preview→map→import→canonical with no product-code diff; capability/certification copy comes from one executable truth", "Real-source endurance and complex relationship certification", "Customer IT day 1", "MIRRORED", "M2 first priority"]</t>
  </si>
  <si>
    <t>["Canvas / SQL / data preparation", "Ch4 5.0.0 + 5.2", "Day-1 production core", "Advanced authoring parity", "T-241..246; T-253; T-248", "Typed Canvas/SQL, governed output target, validate/dry-run, save/version, Job bind; no hardcoded plant/material output identity", "Scoped measure, named states, advanced story/export/subflow parity", "Customer IT day 1", "MIRRORED", "No unbounded loops"]</t>
  </si>
  <si>
    <t>["Jobs / scheduling / logs", "Ch4 5.3 + Ch6 runtime", "Day-1 run/schedule/monitor/log", "High-volume lanes/capacity", "T-106..111; T-125; T-245; T-227", "Registered executors, target/version, DAG, bounded admission/parallelism, run/monitor/log with mandatory run identity", "Capacity, scan amplification, checkpoint/resume under heavy load", "Customer IT day 1", "MIRRORED", "Core in M2, scale in M3"]</t>
  </si>
  <si>
    <t>["Enterprise BI/HMI", "Ch3 pages + Ch4 5.0.0/5.1", "Enterprise core", "Advanced parity", "T-148; T-202..205; T-212; T-215; T-222; T-250; T-257; T-258; T-248", "Associative/persisted enterprise core, frontend execution truth, and generic customer HMI with material-specific surfaces bounded to presentation compatibility; advanced BI parity in Release 2.", "75-item matrix fully closed incl advanced states/story/export", "All users day 1", "MIRRORED", "Qlik-class outcome, PPIQ semantics"]</t>
  </si>
  <si>
    <t>["Production OPC UA", "Ch2 OT boundary + Ch6 edge", "Read-only production path", "Endurance/certification", "T-207; T-224..226; T-153", "Real session/browse/subscription/quality/timestamps/spool-to-canonical", "Real-source endurance and site certification", "Operations week 1", "MIRRORED", "No fake sample claim"]</t>
  </si>
  <si>
    <t>["Performance Reference", "Ch3/Ch4 reference authority", "Visible and usable", "Deeper scale/authoring", "T-214; T-232; T-215", "Customer standard/target/envelope visible with correct scoring direction", "Advanced authoring and large-scale governance", "Operations/Quality", "MIRRORED", "Reference can be 100% aim"]</t>
  </si>
  <si>
    <t>["Reconciliation / root cause", "Ch3/Ch4 evidence authority", "Historical + live evidence", "Persisted/advanced", "T-217..223; T-221", "Seven evidence states + causal confidence + grounded explanation", "Canonical persistence at scale and richer workflows", "Operations/Quality", "MIRRORED", "Never claim human intent/lie"]</t>
  </si>
  <si>
    <t>["Assistant / LLM", "Ch4 Layer-B + Assistant contracts", "Grounded investigation", "InsightBoard composition", "T-179..181; T-223; T-138; T-228..230", "Governed tools/evidence; no material-specific KPI authority; provider labels require concrete adapters/conformance", "Auto-generated governed investigation boards", "All analytical users", "MIRRORED", "LLM never invents plant numbers"]</t>
  </si>
  <si>
    <t>["Multi-objective best practice", "Ch4 practice intelligence", "Foundation available", "Full Pareto/product integration", "T-171..176; T-238..240", "Underlying kernels available; not Release-1 blocker", "Objective sets, Pareto/non-dominance, trade-off explanation", "Operations/CEO", "MIRRORED", "No hidden weights"]</t>
  </si>
  <si>
    <t>["Transition / stabilisation", "Ch3/Ch4 regime context", "Correctness gate", "Scale/learning integration", "T-234..236; T-235", "Findings state stable/transition/stabilising/mixed and refuse unsafe pooling", "Extended real-data calibration", "Operations/Quality", "MIRRORED", "Prevents confident wrong correlation"]</t>
  </si>
  <si>
    <t>["Financial value / ROI", "Ch1 value promise + Ch4/Ch6 Value Engine", "Existing potential-value evidence may be shown bounded", "Customer-grade realised ROI", "T-164; existing value engine + T-237", "No ungoverned monetary promise", "Real assumptions, realised-value ledger, heavy-use value certification", "CEO", "MIRRORED", "M3 owns customer-certified €/$ value"]</t>
  </si>
  <si>
    <t>["Users / roles / licence / security", "Ch3/Ch6 administration/security", "Minimum production-safe controls", "Deep enterprise administration", "T-112..121; T-161..162; T-198..200", "RLS behavioral proof, fail-closed eight-role mapping, vendor-held licence trust root, secret/config/MFA hygiene", "SSO, advanced admin/logging/retention/site hardening", "Admin/IT", "MIRRORED", "Important but not allowed to starve Day-1 workbench"]</t>
  </si>
  <si>
    <t>["Database schema authority / physical dictionary", "Ch3 4.5.2/4.5.5b/4.5.20a", "Zero-unknown fresh schema + upgrade reconciliation", "Heavy-use schema evolution and compatibility-safe convergence", "T-087; T-088; T-115; T-123; T-251; T-252; T-256; T-258", "Zero-unknown physical catalogue + disposable certification DBs + backend runtime three-schema/genericity convergence + frontend consumer handoff with no cross-owner mutation.", "Schema evolution remains generated, reversible where possible and customer-operable at scale", "Developer + Customer IT", "MIRRORED", "Table count is not a defect; unowned/undocumented authority is."]</t>
  </si>
  <si>
    <t>["Repository / audit / release-truth source authority", "Governance + Ch6 release truth", "Forward-clean source authority and truthful executed gates", "Sustained release governance", "T-205; T-250; T-255; T-257; T-150; T-249", "Root allowlist; no transient run-state/pack payload; audit severity excludes self/backups/generated; gate scripts execute, release profile zero unapproved skips", "Same rules remain green under Release-2 production certification", "Developer / Customer IT", "MIRRORED", "No mass-renaming of grandfathered task-ID files; forward gate prevents new violations"]</t>
  </si>
  <si>
    <t>15Sep2026 evidence/cell review • historical closure separated from widened scope • source-history review incomplete</t>
  </si>
  <si>
    <t>Total</t>
  </si>
  <si>
    <t>176 repaired baseline tasks + 3 UI design tasks</t>
  </si>
  <si>
    <t>T-099 final terminal transcript corroborated</t>
  </si>
  <si>
    <t>In progress</t>
  </si>
  <si>
    <t>Partial current scopes; see baseline/extension evidence</t>
  </si>
  <si>
    <t>Not started</t>
  </si>
  <si>
    <t>No inferred implementation completion</t>
  </si>
  <si>
    <t>Usable scope estimates</t>
  </si>
  <si>
    <t>Partial estimate sum; stale and missing figures excluded</t>
  </si>
  <si>
    <t>Usable open estimates</t>
  </si>
  <si>
    <t>Scope estimates, not measured hours remaining</t>
  </si>
  <si>
    <t>Estimates unresolved</t>
  </si>
  <si>
    <t>27:8 missing/withdrawn +19 stale-scope figures</t>
  </si>
  <si>
    <t>CRITICAL HANDOFF — T-262</t>
  </si>
  <si>
    <t>Depends: T-253; T-243   →   Must precede: T-261; T-245; T-247</t>
  </si>
  <si>
    <t>T-099: task CLOSED GREEN; Gate O keeps 1 exact inherited DefinitionKind RED. Follow-up is T-115, not reopening T-099.</t>
  </si>
  <si>
    <t>v2.23.0 • reviewed15Sep2026. Cell checks do not replace ten-session evidence; see Review15Sep.</t>
  </si>
  <si>
    <t>B4 monitoring: T-101 UI + T-125 operational API. Fixture/BOM/known-red follow-up: T-115.</t>
  </si>
  <si>
    <t>Column</t>
  </si>
  <si>
    <t>Field</t>
  </si>
  <si>
    <t>Rejected v2.22.0</t>
  </si>
  <si>
    <t>Corrected v2.22.1</t>
  </si>
  <si>
    <t>AO</t>
  </si>
  <si>
    <t>Recorded closed — inherited evidence</t>
  </si>
  <si>
    <t>Add explicit evidence / estimation provenance in repair revision.</t>
  </si>
  <si>
    <t>AP</t>
  </si>
  <si>
    <t>Inherited v2.22.0 intended record; no new runtime certification in this repair.</t>
  </si>
  <si>
    <t>AR</t>
  </si>
  <si>
    <t>INHERITED ESTIMATE</t>
  </si>
  <si>
    <t>M</t>
  </si>
  <si>
    <t>Repair positional corruption using task-keyed baseline and approved edit dataset.</t>
  </si>
  <si>
    <t>N</t>
  </si>
  <si>
    <t>T-150; T-255; T-257; T-258</t>
  </si>
  <si>
    <t>T-087; T-088; T-260</t>
  </si>
  <si>
    <t>T-112; T-150; T-252; T-256; T-259</t>
  </si>
  <si>
    <t>T-116; T-150; T-247; T-258</t>
  </si>
  <si>
    <t>T-107; T-108; T-109; T-128; T-183; T-247</t>
  </si>
  <si>
    <t>Not started — no completion claimed</t>
  </si>
  <si>
    <t>K</t>
  </si>
  <si>
    <t>Owner reports final CLOSED GREEN / COMMITTED closure.</t>
  </si>
  <si>
    <t>T-107; T-122; T-125; T-245; T-261; T-263</t>
  </si>
  <si>
    <t>X</t>
  </si>
  <si>
    <t>M2 P2 — Day-1 Data Workbench — DB Link, Canvas, Jobs &amp; OPC. Release 1 is genuine early production / first-week customer work.
v2.22.1 — CLOSED GREEN / COMMITTED at ca02b40ea1b69050a45cb35a3e1d64f15b1f66af (parent 86e1b677212195f191697ecdca7e9441b3dbde33). Preserve this closure unless a concrete later regression is demonstrated. Gate O has one exact inherited DefinitionKind RED and canonical replay limitations remain; this is not Release-wide GREEN.</t>
  </si>
  <si>
    <t>Supersede stale build-state wording without rewriting original acceptance or replaying the task.</t>
  </si>
  <si>
    <t>Y</t>
  </si>
  <si>
    <t>ca02b40ea1b69050a45cb35a3e1d64f15b1f66af</t>
  </si>
  <si>
    <t>Exact SHA supplied by owner.</t>
  </si>
  <si>
    <t>AI</t>
  </si>
  <si>
    <t>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t>
  </si>
  <si>
    <t>Preserve positive closure and known-red caveat separately.</t>
  </si>
  <si>
    <t>CLOSED GREEN / COMMITTED — owner-reported</t>
  </si>
  <si>
    <t>Owner final runner verdict; no automatic reopening.</t>
  </si>
  <si>
    <t>Evidence provenance explicitly reported, not newly executed.</t>
  </si>
  <si>
    <t>AQ</t>
  </si>
  <si>
    <t>86e1b677212195f191697ecdca7e9441b3dbde33</t>
  </si>
  <si>
    <t>Exact parent SHA supplied by owner.</t>
  </si>
  <si>
    <t>T-122; T-125; T-141; T-187; T-192</t>
  </si>
  <si>
    <t>H</t>
  </si>
  <si>
    <t>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
v2.22.1 — Own the M2 B4 Importing monitoring surface as well as C2 quarantine/Mapping Health: show each real batch status, failure code/reason, progress/counts, last committed cursor and its watermark range; drill into durable batch/run evidence. Use the existing canonical import/job contracts. T-106 owns terminal-status truth; T-108 owns durable cursor/replay; T-125 owns operational metrics/API observability. No second status or cursor authority and no advanced M3 recovery UI is introduced.</t>
  </si>
  <si>
    <t>Close explicitly reported B4 monitoring ownership gap in the existing Worker-2 UI task.</t>
  </si>
  <si>
    <t>I</t>
  </si>
  <si>
    <t>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
v2.22.1 — Drive B4 against a successful batch, a failed batch and a capped/partial batch; displayed outcome, counts, error and last committed cursor equal the canonical response after reload. A failed batch is never green; a retry/correction links to the same durable evidence. Tenant denial and empty/loading/failure states are asserted. Consume frozen T-106/T-108/T-125 response contracts for parallel UI work; final live integration is certified by T-247/T-150, not by a mock-only result.</t>
  </si>
  <si>
    <t>Substantive M2 monitoring acceptance; integration proof does not create a completion cycle.</t>
  </si>
  <si>
    <t>AC</t>
  </si>
  <si>
    <t>L1.6; L1.2; L1.7</t>
  </si>
  <si>
    <t>Map the actual additional acceptance obligation.</t>
  </si>
  <si>
    <t>AJ</t>
  </si>
  <si>
    <t>Inherited estimate; scope changed — re-estimation required</t>
  </si>
  <si>
    <t>Inherited estimate; scope changed — re-estimation required v2.22.1 acceptance/ownership clarification; owner to review planning impact.</t>
  </si>
  <si>
    <t>T-150; T-224; T-247; T-254</t>
  </si>
  <si>
    <t>J</t>
  </si>
  <si>
    <t>Old estimate no longer represents enlarged scope; preserve prior value in Estimate Review.</t>
  </si>
  <si>
    <t>T-150; T-247</t>
  </si>
  <si>
    <t>R</t>
  </si>
  <si>
    <t>Derived planning time is also invalid until re-estimated.</t>
  </si>
  <si>
    <t>RE-ESTIMATE REQUIRED — prior Hours/P80 preserved in Estimate Review; not zero remaining effort.</t>
  </si>
  <si>
    <t>Prevent inflated confidence in inherited estimate.</t>
  </si>
  <si>
    <t>AM</t>
  </si>
  <si>
    <t>Has estimate</t>
  </si>
  <si>
    <t>In progress — closure not recorded</t>
  </si>
  <si>
    <t>RE-ESTIMATE REQUIRED</t>
  </si>
  <si>
    <t>T-164; T-212; T-237; T-247</t>
  </si>
  <si>
    <t>T-242; T-243; T-247; T-248; T-253; T-261</t>
  </si>
  <si>
    <t>T-245; T-247; T-248; T-253</t>
  </si>
  <si>
    <t>T-243; T-244; T-106; T-261</t>
  </si>
  <si>
    <t>T-150; T-243; T-247; T-256; T-262</t>
  </si>
  <si>
    <t>T-150; T-153; T-247</t>
  </si>
  <si>
    <t>T-243; T-244; T-106; T-261; T-262</t>
  </si>
  <si>
    <t>Restore explicit T-262 handoff stated in the approved proposal; also mirror in Must Precede.</t>
  </si>
  <si>
    <t>T</t>
  </si>
  <si>
    <t>Consume accepted producer contracts; remaining dependencies: T-243; T-244; T-106; T-261. No private scheduler/definition authority. Source-present is not closure proof.
v2.22.1 — Completion prerequisites are the task IDs in column M; contract-only predecessors, if any, are exclusively in column AN. Do not use the rejected v2.22.0 positional columns.</t>
  </si>
  <si>
    <t>Align consumer start gate with repaired task-keyed columns.</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</si>
  <si>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</si>
  <si>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t>
  </si>
  <si>
    <t>T-092; T-207; T-212; T-213; T-241; T-242; T-243; T-244; T-245; T-253; T-254; T-256; T-258; T-104; T-108; T-211; T-235; T-262; T-125</t>
  </si>
  <si>
    <t>B4 end-to-end acceptance waits for operational observability; T-101 may implement against the contract first.</t>
  </si>
  <si>
    <t>R1 route inventory and six shell contracts frozen. Contract-ready handoffs from T-196/T-197/T-198/T-199/T-200 are recorded separately in column AN. Do not wait for the entire M3 implementation or ship a simulated M3 page.</t>
  </si>
  <si>
    <t>T-213 complete + T-092 green.
v2.22.1 — Completion prerequisites are the task IDs in column M; contract-only predecessors, if any, are exclusively in column AN. Do not use the rejected v2.22.0 positional columns.</t>
  </si>
  <si>
    <t>V</t>
  </si>
  <si>
    <t>Commit before downstream consumer starts; consumer must use the contract, not redesign producer-owned semantics.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</si>
  <si>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If onboarding requires C#/TypeScript/product-SQL changes, stop and raise a generic product gap; do not patch around it.</t>
  </si>
  <si>
    <t>AN</t>
  </si>
  <si>
    <t>Consume accepted producer contracts; remaining dependencies: T-106; T-241; T-242; T-243; T-099; T-262. No private scheduler/definition authority. Source-present is not closure proof.
v2.22.1 — Completion prerequisites are the task IDs in column M; contract-only predecessors, if any, are exclusively in column AN. Do not use the rejected v2.22.0 positional columns.</t>
  </si>
  <si>
    <t>T-253; T-243</t>
  </si>
  <si>
    <t>T-245; T-247; T-261</t>
  </si>
  <si>
    <t>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t>
  </si>
  <si>
    <t>Estimate pending owner calibration; no completion or runtime proof inferred from this row.</t>
  </si>
  <si>
    <t>Source present / unclosed. Exact accepted closure commit and runtime acceptance are not supplied; existing implementation must not be recreated merely because closure is unverified.</t>
  </si>
  <si>
    <t>Do not conflate estimate note with closure evidence.</t>
  </si>
  <si>
    <t>UNESTIMATED — new row; no hours inferred from source presence</t>
  </si>
  <si>
    <t>UNESTIMATED — new/recognized task; owner calibration pending.</t>
  </si>
  <si>
    <t>Blank is unknown effort, not zero.</t>
  </si>
  <si>
    <t>SOURCE PRESENT / UNCLOSED — closure unverified</t>
  </si>
  <si>
    <t>Distinguish existing source from accepted closure.</t>
  </si>
  <si>
    <t>14-Sep source export and current review establish source presence. No accepted closure SHA/run supplied; not counted Done.</t>
  </si>
  <si>
    <t>Clarify source-present state.</t>
  </si>
  <si>
    <t>UNESTIMATED</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</si>
  <si>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</si>
  <si>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</si>
  <si>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Restore the contract-only ruling to T-148; reject its misplaced copy on T-247.</t>
  </si>
  <si>
    <t>M1 continuity frozen + all target-route implementation owners available, incl...</t>
  </si>
  <si>
    <t>Commit before downstream consumer starts; consumer must use the contract, not redesign producer-owned semantics.</t>
  </si>
  <si>
    <t>T-215; T-223; T-232; T-238; T-239; T-264</t>
  </si>
  <si>
    <t>T-122; T-150</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</si>
  <si>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</si>
  <si>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
v2.22.1 — Own the bounded backend acceptance-hygiene follow-up reported in the 04-Sep audit: first inspect the current T-210 fixture and the named migration byte-order marks, then fix only reproduced issues. Reuse T-252 disposable-DB policy and T-259 evidence envelope; do not reopen their proven closures. The inherited DefinitionKind mismatch reported with T-099 is a separate test-authority convergence obligation, not a T-099 regression.</t>
  </si>
  <si>
    <t>Assign historical fixture/BOM and inherited known-red follow-up to an existing Worker-1 acceptance task.</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</si>
  <si>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</si>
  <si>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
v2.22.1 — Verify actual current file bytes before calling the historical five-BOM finding still present; keep before/after hashes when a byte repair is required. A local intentionally absent external probe may skip only with the approved named reason; Release-1 certification provisions its own disposable database and a missing fixture is RED, never a passing skip. Reconcile the inherited DefinitionKind assertion with the current canonical kind authority and assert all required members rather than merely deleting or weakening the test. Keep T-099 closed; full-release GREEN remains forbidden while its independently tracked known-red or canonical replay limitations remain unresolved.</t>
  </si>
  <si>
    <t>Make findings conditional on current proof and preserve release skip-zero policy.</t>
  </si>
  <si>
    <t>Inherited baseline estimate</t>
  </si>
  <si>
    <t>Inherited baseline estimate v2.22.1 acceptance/ownership clarification; owner to review planning impact.</t>
  </si>
  <si>
    <t>T-106; T-107; T-112; T-113; T-114; T-117; T-137; T-168; T-123</t>
  </si>
  <si>
    <t>T-141; T-185; T-192</t>
  </si>
  <si>
    <t>Trigger each alert condition deliberately and confirm it fires with the correct severity and reaches the configured channel. Execute jobs through at least two families and prove every log/diagnostic row carries the same non-null run identity end-to-end. Induce queue saturation and show queued count/oldest age/wait time and pool utilisation change predictably. A component failure changes the canonical health state and alert; duplicate feature-specific /health routes are not required as separate authorities.</t>
  </si>
  <si>
    <t>Trigger each alert condition deliberately and confirm it fires with the correct severity and reaches the configured channel. Execute jobs through at least two families and prove every log/diagnostic row carries the same non-null run identity end-to-end. Induce queue saturation and show queued count/oldest age/wait time and pool utilisation change predictably. A component failure changes the canonical health state and alert; duplicate feature-specific /health routes are not required as separate authorities.
v2.22.1 — The existing operational API/log projection exposes durable batch outcome, error/code, progress/counts and last committed cursor for B4, with run/batch correlation and tenant scoping. T-101 owns the consuming UI. No view computes a replacement status from message text. Final T-247/T-150 evidence joins UI observation to these source facts.</t>
  </si>
  <si>
    <t>Explicit backend observability handoff for B4, without duplicating T-106 outcome authority.</t>
  </si>
  <si>
    <t>T-224; T-225; T-226; T-254</t>
  </si>
  <si>
    <t>T-122; T-194</t>
  </si>
  <si>
    <t>T-196; T-197; T-198; T-199; T-200; T-121</t>
  </si>
  <si>
    <t>T-117; T-127</t>
  </si>
  <si>
    <t>T-087; T-094; T-095</t>
  </si>
  <si>
    <t>T-119; T-198</t>
  </si>
  <si>
    <t>T-112; T-114; T-119</t>
  </si>
  <si>
    <t>T-127; T-197; T-199</t>
  </si>
  <si>
    <t>T-124; T-198</t>
  </si>
  <si>
    <t>T-113; T-119; T-216</t>
  </si>
  <si>
    <t>T-090; T-092; T-134; T-179; T-180; T-181</t>
  </si>
  <si>
    <t>T-228; T-134</t>
  </si>
  <si>
    <t>T-229; T-112; T-114</t>
  </si>
  <si>
    <t>T-129; T-130; T-131; T-135; T-146; T-147; T-184; T-186</t>
  </si>
  <si>
    <t>T-128; T-183; T-112; T-114</t>
  </si>
  <si>
    <t>T-134; T-135; T-146; T-147; T-186; T-188</t>
  </si>
  <si>
    <t>T-086; T-128; T-171</t>
  </si>
  <si>
    <t>T-132; T-133; T-136; T-142; T-240</t>
  </si>
  <si>
    <t>T-133; T-136; T-142; T-240</t>
  </si>
  <si>
    <t>T-131; T-132; T-183</t>
  </si>
  <si>
    <t>T-134; T-136; T-240</t>
  </si>
  <si>
    <t>T-090; T-095; T-096; T-129; T-130; T-133; T-186; T-139</t>
  </si>
  <si>
    <t>T-112; T-114; T-128; T-129; T-130; T-183</t>
  </si>
  <si>
    <t>T-184; T-185; T-186; T-187</t>
  </si>
  <si>
    <t>T-131; T-132; T-133; T-109</t>
  </si>
  <si>
    <t>T-179; T-180; T-181; T-137; T-134; T-188</t>
  </si>
  <si>
    <t>T-106; T-248</t>
  </si>
  <si>
    <t>T-130; T-187; T-231</t>
  </si>
  <si>
    <t>T-134; T-140; T-141; T-142; T-189; T-193</t>
  </si>
  <si>
    <t>T-139; T-173; T-176</t>
  </si>
  <si>
    <t>T-142; T-189</t>
  </si>
  <si>
    <t>T-107; T-122; T-139; T-187</t>
  </si>
  <si>
    <t>T-131; T-132; T-139; T-140</t>
  </si>
  <si>
    <t>T-143; T-189; T-190</t>
  </si>
  <si>
    <t>T-178; T-142</t>
  </si>
  <si>
    <t>T-144; T-189; T-190</t>
  </si>
  <si>
    <t>T-145; T-190</t>
  </si>
  <si>
    <t>T-190; T-193</t>
  </si>
  <si>
    <t>T-147; T-177; T-128; T-129</t>
  </si>
  <si>
    <t>T-090; T-128; T-129; T-177</t>
  </si>
  <si>
    <t>T-237; T-235</t>
  </si>
  <si>
    <t>T-129; T-130; T-133; T-135; T-184; T-185; T-186; T-187; T-192</t>
  </si>
  <si>
    <t>T-128; T-169; T-183; T-112; T-114; T-135</t>
  </si>
  <si>
    <t>T-187; T-192</t>
  </si>
  <si>
    <t>T-170; T-183; T-122; T-112; T-114; T-135</t>
  </si>
  <si>
    <t>T-171; T-183; T-128; T-129; T-195; T-135</t>
  </si>
  <si>
    <t>T-134; T-187; T-188; T-192</t>
  </si>
  <si>
    <t>T-168; T-169; T-170; T-171; T-172; T-173; T-174; T-175; T-176; T-183; T-184; T-185; T-186; T-107; T-109; T-112; T-114; T-135; T-195</t>
  </si>
  <si>
    <t>T-139; T-141; T-191; T-192; T-193; T-246</t>
  </si>
  <si>
    <t>T-129; T-130; T-186; T-195</t>
  </si>
  <si>
    <t>T-138; T-192</t>
  </si>
  <si>
    <t>T-139; T-140; T-141; T-142; T-143</t>
  </si>
  <si>
    <t>T-142; T-143; T-144; T-145</t>
  </si>
  <si>
    <t>T-130; T-176; T-187</t>
  </si>
  <si>
    <t>T-183; T-184; T-185; T-186; T-187; T-188; T-189; T-190; T-191; T-107; T-122</t>
  </si>
  <si>
    <t>T-130; T-187; T-139; T-145</t>
  </si>
  <si>
    <t>T-090; T-112; T-114</t>
  </si>
  <si>
    <t>T-208; T-214</t>
  </si>
  <si>
    <t>T-239; T-240</t>
  </si>
  <si>
    <t>T-090; T-214; T-238</t>
  </si>
  <si>
    <t>T-131; T-132; T-133; T-238; T-239</t>
  </si>
  <si>
    <t>T-214; T-240</t>
  </si>
  <si>
    <t>Type</t>
  </si>
  <si>
    <t>Used by active tasks</t>
  </si>
  <si>
    <t>Evidence boundary</t>
  </si>
  <si>
    <t>Historical baseline prerequisite</t>
  </si>
  <si>
    <t>Retained from v2.21.0; not recreated or recertified in this repair.</t>
  </si>
  <si>
    <t>Capability ID</t>
  </si>
  <si>
    <t>Current status</t>
  </si>
  <si>
    <t>Current release</t>
  </si>
  <si>
    <t>Task ID</t>
  </si>
  <si>
    <t>Before</t>
  </si>
  <si>
    <t>After</t>
  </si>
  <si>
    <t>NEW TASK</t>
  </si>
  <si>
    <t>Release-1 UI design depth, workflow and illustrated-companion convergence</t>
  </si>
  <si>
    <t>Adopt Fable's proposed ID with bounded release scope, semantic/interaction acceptance and preserved runtime ownership.</t>
  </si>
  <si>
    <t>Release-1 OPC-UA UI workflows and capability-truth design</t>
  </si>
  <si>
    <t>Release-2 interface depth and enterprise BI/authoring parity design</t>
  </si>
  <si>
    <t>T-092; T-207; T-212; T-213; T-241; T-242; T-243; T-244; T-245; T-253; T-254; T-256; T-258; T-104; T-108; T-211; T-235; T-262; T-125; T-265; T-266</t>
  </si>
  <si>
    <t>Require accepted UI delivery at integration acceptance</t>
  </si>
  <si>
    <t>T-148; T-202; T-203; T-204; T-205; T-228; T-241; T-243; T-244; T-245; T-257; T-267</t>
  </si>
  <si>
    <t>T-153; T-159; T-160; T-161; T-162; T-163; T-164; T-167; T-193; T-230; T-240; T-248; T-263; T-264; T-246; T-110; T-267</t>
  </si>
  <si>
    <t>T-196; T-197; T-198; T-199; T-200; T-265; T-266</t>
  </si>
  <si>
    <t>Explicit UI handoff, not runtime completion</t>
  </si>
  <si>
    <t>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
v2.23.0 — T-265/T-266 designs are accepted before the release walkthrough. Re-run the same-binary customer journey against real governed services after UI integration: source test/cursor/import, authored field map and relationship publish, exact version execution/cancel/failure, quarantine evidence and reprocess, selected/possible/excluded propagation, applicable table navigation/export and grounded Assistant. Screenshots must identify actual runtime versus prototype. Live acceptance cannot be satisfied by a Figma import, label-presence script or template count.</t>
  </si>
  <si>
    <t>Close visual-to-runtime acceptance seam, preserving the existing producer prerequisites.</t>
  </si>
  <si>
    <t>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
v2.23.0 — Use the accepted T-267 semantic/interaction matrix and per-scene handoffs for the existing 75-item parity contract. Do not reimplement or defer the M2 associative engine/selection behavior already accepted under T-204. A visual omission creates a design obligation, not a reopened product task without regression.</t>
  </si>
  <si>
    <t>Keep M2 baseline separate from M3 parity.</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</si>
  <si>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v2.23.0 — Consume per-surface approved route/control/state handoffs from T-265/T-266; do not wait for entire backend tasks merely to draft UI. Bind chapter control IDs to actual reachable controls and screen variants. Shared shell/component geometry is required consistency, not a defect. A control-label match alone is not a workflow test. Complete all current M2 route content and record explicitly deferred M3 behavior under its named implementation owner.</t>
  </si>
  <si>
    <t>Replace mechanical geometry/text-only notions of UI completeness.</t>
  </si>
  <si>
    <t>PPIQ_UI_Figma_Design_Spec_v4.10.3.md</t>
  </si>
  <si>
    <t>PPIQ_UI_Figma_Design_Spec_v4.10.3.md
v2.23.0 — T-265 owns B4/C2/C3 visual depth. Implement its applicable batch outcome/error/committed cursor and catalogue-driven quarantine list/detail/refusal/reprocess states under the existing T-101 scope; all row actions and counts use canonical tenant-scoped payloads. Do not limit the renderer to eight PV codes.</t>
  </si>
  <si>
    <t>Explicit design-to-implementation handoff within existing functional scope.</t>
  </si>
  <si>
    <t>PPIQ_UI_Figma_Design_Spec_v4.10.3.md
v2.23.0 — T-265 receives the frozen B4/B5 operational payload. Preserve T-101 UI versus T-125 API/metrics ownership already assigned in v2.22.1; prototype figures never replace persisted evidence.</t>
  </si>
  <si>
    <t>PPIQ_UI_Figma_Design_Spec_v4.10.3.md
v2.23.0 — Use T-265 C1/S1 selected-block, inspector, typed-port, validation/publish/reopen and SQL-mode handoffs. Shared C1/S1 shell is valid; prove semantic mode behavior rather than arbitrary visual differences. No change to canonical definition/relationship authorities.</t>
  </si>
  <si>
    <t>PPIQ_UI_Figma_Design_Spec_v4.10.3.md
v2.23.0 — Use T-265 run/schedule/cancellation UI handoffs; cancellation acknowledgement is not a terminal Cancelled result until the executor/runtime records it. Render exact resolved version, failure counts and evidence, not a browser-derived success.</t>
  </si>
  <si>
    <t>PPIQ_UI_Figma_Design_Spec_v4.10.3.md
v2.23.0 — Use T-265 C6 relationship list/detail/member/cardinality/path-validation handoffs. Trace every applicable Chapter 3 control to a reachable UI variant and keep resolver behavior under its existing authority.</t>
  </si>
  <si>
    <t>PPIQ_UI_Figma_Design_Spec_v4.10.3.md
v2.23.0 — T-266 supplies OPC profile/session/trust target and refusal designs, with Worker 1 technical review. This is a contract handoff, not a full-design completion prerequisite for backend implementation.</t>
  </si>
  <si>
    <t>PPIQ_UI_Figma_Design_Spec_v4.10.3.md
v2.23.0 — T-266 supplies browse tree, tag registration, bounded-read/subscription and keyboard/validation designs. Backend development follows frozen contracts in parallel; capability flags still require runtime proof.</t>
  </si>
  <si>
    <t>PPIQ_UI_Figma_Design_Spec_v4.10.3.md
v2.23.0 — T-266 supplies quality/time/spool/reconnect/replay evidence presentation. The source-time and idempotency rules are unchanged; labelled design fixtures are not test-server proof.</t>
  </si>
  <si>
    <t>PPIQ_UI_Figma_Design_Spec_v4.10.3.md
v2.23.0 — T-267 supplies E5 report-definition/generation/history/delivery interaction design. Generation remains a governed job; preserve period/filter/permission context and the existing source-evidence boundary.</t>
  </si>
  <si>
    <t>PPIQ_UI_Figma_Design_Spec_v4.10.3.md
v2.23.0 — T-267 supplies D12 comparison/direction/sample-refusal/normalisation design. BM01/BM02 behavior and result evidence remain implementation acceptance, not illustrated proof.</t>
  </si>
  <si>
    <t>PPIQ_UI_Figma_Design_Spec_v4.10.3.md
v2.23.0 — T-265 covers only the existing M2 user/role safety slice; T-267 covers deferred administration depth. Render permissions/refusals from the current canonical role contract.</t>
  </si>
  <si>
    <t>PPIQ_UI_Figma_Design_Spec_v4.10.3.md
v2.23.0 — Use T-265 for existing M2 licence/quota states and T-267 for full administration depth. Entitlement, role and runtime capability are different inputs; no drawing enables a capability.</t>
  </si>
  <si>
    <t>PPIQ_UI_Figma_Design_Spec_v4.10.3.md
v2.23.0 — T-265 provides the active M2 reference/measure direction and bound-result UI; T-267 expands the deferred authoring depth. Do not introduce a second Performance Reference authority.</t>
  </si>
  <si>
    <t>PPIQ_UI_Figma_Design_Spec_v4.10.3.md
v2.23.0 — T-265 provides the Release-1 reconciliation evidence/result/refusal surfaces. Use the canonical result envelope and citation references, not local display calculations.</t>
  </si>
  <si>
    <t>T-150; T-224; T-247; T-254; T-266</t>
  </si>
  <si>
    <t>Derived reciprocal completion dependencies, keyed by Task ID.</t>
  </si>
  <si>
    <t>T-247; T-267</t>
  </si>
  <si>
    <t>T-248; T-249</t>
  </si>
  <si>
    <t>Task</t>
  </si>
  <si>
    <t>Current implementation</t>
  </si>
  <si>
    <t>Remaining work</t>
  </si>
  <si>
    <t>Original scope hours</t>
  </si>
  <si>
    <t>Remaining LOW h</t>
  </si>
  <si>
    <t>Remaining BASE h</t>
  </si>
  <si>
    <t>Remaining HIGH h</t>
  </si>
  <si>
    <t>Estimate confidence</t>
  </si>
  <si>
    <t>Original closure / later scope</t>
  </si>
  <si>
    <t>Source references</t>
  </si>
  <si>
    <t>Shared-work boundary</t>
  </si>
  <si>
    <t>Evidence limit</t>
  </si>
  <si>
    <t>RelationshipService already validates ordered composite members, join/cardinality vocabulary and grain attribution, publishes through the store and returns read-back. The existing relationship infrastructure is real and must not be recreated.</t>
  </si>
  <si>
    <t>No new implementation within the accepted original task scope is established here. Canvas publication wiring is owned by the later T-243 addition, not reopening this foundation.</t>
  </si>
  <si>
    <t>REVIEW PROPOSAL — NOT CONFIRMED / NOT P80</t>
  </si>
  <si>
    <t>Backend/PlantProcess.Application/Relationships/RelationshipService.cs:145-217 — PublishAsync
Backend/PlantProcess.Application/Relationships/RelationshipService.cs:218-260 — ValidateDeclaration</t>
  </si>
  <si>
    <t>T-243 consumes existing publication authority.</t>
  </si>
  <si>
    <t>14-Sep-2026 supplied repository snapshot; later verified session evidence cited separately; No .NET/product DB/browser suite executed in this continuation; test source and cited historical executions distinguished.</t>
  </si>
  <si>
    <t>RelationshipResolver reads the published model, finds deterministic shortest/preferred paths, refuses ambiguous or missing paths and prevents automated use of unvalidated relationships. Existing join-planner consumers should be retained.</t>
  </si>
  <si>
    <t>No new work is assigned to this closed convergence slice. Live downstream execution remains a separate consumer acceptance and is not proven by this source read.</t>
  </si>
  <si>
    <t>Backend/PlantProcess.Application/Relationships/RelationshipResolver.cs:34-113 — ResolveAsync
Backend/tests/PlantProcess.Architecture.Tests/RelationshipConsumerBarrierTests.cs:55-96 — ConsumerFamilies</t>
  </si>
  <si>
    <t>The permanent consumer barrier names sixteen families and forbids private path authority while allowing intrinsic owning-key navigation. It explicitly covers future engine directories too: a barrier is not proof that all engines are commissioned.</t>
  </si>
  <si>
    <t>Keep the original barrier task closed. New consumers must pass it; their runtime wiring belongs to their own integration tasks.</t>
  </si>
  <si>
    <t>Backend/tests/PlantProcess.Architecture.Tests/RelationshipConsumerBarrierTests.cs:12-44 — barrier semantics
Backend/tests/PlantProcess.Architecture.Tests/RelationshipConsumerBarrierTests.cs:55-114 — consumer and forbidden-authority inventory</t>
  </si>
  <si>
    <t>The relationship API already exposes list, entities, detail and validation, and the resolver/publication services exist. The reviewed frontend route/page sources contain no canonical Relationship Browser implementation. This is a UI/consumer task, not new relationship storage.</t>
  </si>
  <si>
    <t>Build C6 list/detail/path/validation views against existing services, including ambiguity, preferred-path and refusal evidence; add frontend/API-contract tests and one runtime acceptance.</t>
  </si>
  <si>
    <t>Backend/PlantProcess.Api/Endpoints/Relationships/RelationshipEndpoints.cs:21-92 — MapRelationshipEndpoints
Backend/PlantProcess.Application/Relationships/RelationshipResolver.cs:62-113 — path results</t>
  </si>
  <si>
    <t>Do not duplicate T-095..T-097 or charge their work here.</t>
  </si>
  <si>
    <t>MappingRowProjector contains PV01–PV08 row classification, existing-row replay behavior, shared mapping context and quarantine reprocess integration. Later owner-supplied closure and recovered transcript report the exact semantic commit and live targeted tests.</t>
  </si>
  <si>
    <t>Zero remaining inside T-099's closed first-eight-PV scope. PV09–PV15, full replay/update semantics, monitoring and exact weight semantics remain with T-100/T-101/T-104/T-103.</t>
  </si>
  <si>
    <t>ca02b40ea1b69050a45cb35a3e1d64f15b1f66af; parent 86e1b677212195f191697ecdca7e9441b3dbde33; 49/49,5/5,19/19; Gate O 899+1 inherited.</t>
  </si>
  <si>
    <t>Backend/PlantProcess.Application/Integration/Services/Mapping/MappingRowProjector.cs:141-181 — MapMaterialUnitAsync
Backend/PlantProcess.Api/Endpoints/Quarantine/QuarantineEndpoints.cs:8-33 — bounded reprocess surface
Backend/database/scripts/841_genealogy_edge_weight_guard_topology_parity.sql:3-20 — narrow topology correction</t>
  </si>
  <si>
    <t>Reported Runner 1 v1.0.5 completed: Backend build GREEN, integration-project build GREEN, 20/20 targeted unit tests, PPIQ_T100_RUNNER1_HANDOFF.json written; no staging, commit or DB mutation in Runner 1. Later certification reportedly executed 110/110 canonical SQL scripts, built a fresh disposable DB with 264 tables, and verified the constraint is exactly PV01..PV15. That run failed in harness setup BEFORE live classification; its disposable certification DB was cleaned up. No T-100 commit or live PV01..PV15 pass has been supplied.</t>
  </si>
  <si>
    <t>Use the issued Resume v1.0.1 against the existing verified Runner-1 handoff/postimages; do not rerun Runner 1. Rebuild the cleaned disposable certification DB, verify all actual fixture PPIQ_* environment inputs, execute live PV01..PV15 coverage (additional same-code regression fixtures allowed), prove PV15 quarantine→reference arrival→bounded reprocess, and prove the PV13 .60+.40 valid case. Run the completeness and canonical-migration-order gates; prove named disposable cleanup/zero survivors and protected-database safety; exact owned staging, one semantic commit, expected-parent/path-set/index/owned/unrelated proof. Resume outcome is NOT YET REPORTED.</t>
  </si>
  <si>
    <t>UNCONFIRMED — closure-only; 6/10/16 h superseded</t>
  </si>
  <si>
    <t>Runner 1 reported GREEN; later fresh DB/constraint passed; live harness failed before classification; final commit not yet supplied.</t>
  </si>
  <si>
    <t>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t>
  </si>
  <si>
    <t>Worker 1/CENTRAL lock → T-100 final SHA → Worker 2 T-261 → T-245.</t>
  </si>
  <si>
    <t>Latest owner-supplied conversation update, received 15-Sep-2026; runner/host logs and script bytes were not independently inspected in this workbook update. This supersedes the earlier 14-Sep source-only T-100 estimate, not the frozen Design.</t>
  </si>
  <si>
    <t>POST /api/quarantine/reprocess and row-level reprocess service exist; the endpoint explicitly leaves list/detail/Mapping Health to T-101. Existing C2/import views are reusable scaffolding, not the complete PV/drift/retry monitoring flow.</t>
  </si>
  <si>
    <t>Add bounded list/detail by code/dataset/batch and source lineage, extend the existing reprocess path, persist/display mapped-column drift, and B4 batch/error/durable-cursor monitoring. Validate API, UI and failure recovery.</t>
  </si>
  <si>
    <t>Backend/PlantProcess.Api/Endpoints/Quarantine/QuarantineEndpoints.cs:8-33 — MapQuarantineEndpoints
Backend/PlantProcess.Application/Integration/Services/Staging/StagingRecordService.cs:85-110 — durable staging identity</t>
  </si>
  <si>
    <t>T-106 owns run-outcome semantics; T-125 owns operational data/health; do not bill those twice.</t>
  </si>
  <si>
    <t>material_aliases storage and uniqueness exist. MappingRowProjector creates aliases and resolves a supplied alias, but resolves by AliasCode alone and selects the first material; material-code lookup similarly omits SiteId despite per-site uniqueness. Automatic collision-safe cross-source identity is not complete.</t>
  </si>
  <si>
    <t>Reuse alias persistence; resolve by governed tenant/site/source/key scope, refuse ambiguity, reconcile two source identifiers into one material and prove idempotent re-import with same alias text across sources/sites.</t>
  </si>
  <si>
    <t>Backend/PlantProcess.Application/Integration/Services/Mapping/MappingRowProjector.cs:244-264 — MapMaterialAliasAsync
Backend/PlantProcess.Application/Integration/Services/Mapping/MappingRowProjector.cs:721-744 — ResolveMaterialIdAsync
Backend/PlantProcess.Infrastructure/Persistence/Configurations/Materials/MaterialAliasConfiguration.cs:27-36 — composite unique
Backend/PlantProcess.Infrastructure/Persistence/Configurations/Materials/MaterialUnitConfiguration.cs:43-47 — site/source uniqueness</t>
  </si>
  <si>
    <t>Do not recreate alias tables or the full row projector.</t>
  </si>
  <si>
    <t>GenealogyService already rejects self-edges, duplicate edges and cycles by traversal. Migration 841 repairs the deferred weight trigger's schema binding while deliberately preserving its old tolerance. The effective predicate uses abs(sum-1)&gt;0.015, so 0.99 passes that predicate although this task requires rejection.</t>
  </si>
  <si>
    <t>Retain cycle/self-edge implementation; prove DB direct-write cycle controls and both traversal directions, then reconcile exact declared weight semantics with the 0.015 inherited tolerance and add the explicit 0.99 negative case.</t>
  </si>
  <si>
    <t>Backend/PlantProcess.Application/Services/Materials/GenealogyService.cs:27-69 — CreateEdgeAsync
Backend/PlantProcess.Application/Services/Materials/GenealogyService.cs:95-124 — WouldCreateCycleAsync
Backend/database/scripts/841_genealogy_edge_weight_guard_topology_parity.sql:55-68 — deferred weight check</t>
  </si>
  <si>
    <t>Weight semantics/negative acceptance stay T-103; 841 topology repair remains accepted.</t>
  </si>
  <si>
    <t>The current projector skips an already existing MaterialUnit by site/code; it is not a proof that a changed mapping re-materializes previous output. Run history has resolved-target storage, but the existing orchestrator discards the resolver result before dispatch.</t>
  </si>
  <si>
    <t>On top of the T-261 executor, prove canonical row/run version provenance, idempotent accepted effects and rollback-to-version business equivalence. Reuse first-eight-PV/quarantine infrastructure; do not implement a second executor.</t>
  </si>
  <si>
    <t>Backend/PlantProcess.Application/Integration/Services/Mapping/MappingRowProjector.cs:168-181 — existing-row skip
Backend/PlantProcess.Application/Integration/Services/Jobs/JobRunOrchestratorService.cs:210-249 — ResolveDeclaredTargetAsync</t>
  </si>
  <si>
    <t>T-261 owns first resolved-target runtime call and executor; T-104 owns row effects and rollback proof after it.</t>
  </si>
  <si>
    <t>Target capability admission, target resolver, real blocked-run evidence, dependency traversal and historical foundation/corrective commits exist. Current source still validates schedules only as nonblank text, runs fixed worker loops, lacks Cancelled in the enum/runtime completion switch, accepts freshness without an age argument and can mark mixed failed batches Ok.</t>
  </si>
  <si>
    <t>Implement the v4.10.3 schedule contract/parser/due dispatch, explicit freshness policy, truthful aggregate outcomes and cancellation coordination. Reuse the original target/DAG work; T-261 commissions the shared executor/cancellation seam and this task consumes it, not a competing runtime.</t>
  </si>
  <si>
    <t>UNCONFIRMED</t>
  </si>
  <si>
    <t>Original target/dependency contract has 8b3eb5c8 foundation and a5451dba corrective; their closure scope is not new schedule/cancel/freshness implementation. Preserve historical evidence; evaluate the later expanded scope separately.</t>
  </si>
  <si>
    <t>Backend/PlantProcess.Application/Integration/Services/Jobs/JobDefinitionService.cs:275-297 — schedule validation
Backend/PlantProcess.Workers/Worker.cs:72-108 — fixed cadence loops
Backend/PlantProcess.Application/Jobs/Dependencies/JobDependencyEvaluator.cs:33-39 — no age/tolerance input
Backend/PlantProcess.Application/Jobs/Dependencies/JobDependencyEvaluator.cs:85-91 — Satisfied result
Backend/PlantProcess.Application/Integration/Services/Jobs/JobRuntimeService.cs:127-146 — terminal-state switch
Backend/PlantProcess.Application/Integration/Services/Jobs/JobRunOrchestratorService.cs:262-276 — import result mapping</t>
  </si>
  <si>
    <t>T-261 owns executor implementation, first RecordResolvedTarget and common cancellation seam. T-106 owns schedule/DAG/outcome semantics; no double estimate of executor.</t>
  </si>
  <si>
    <t>The Worker has staggered timers and sequential awaits for import, data-quality, risk and delta. Separate telemetry buffers use bounded channels, but are not weighted job pools. Existing capability admission decides executability, not job-slot AND resource-capacity admission.</t>
  </si>
  <si>
    <t>Add actual bounded job queues/pool slots and dual-predicate resource admission, isolation of three ML lanes, backpressure and exact cancellation/release behavior; test saturation and interactive reservation without inventing production capacity constants.</t>
  </si>
  <si>
    <t>Backend/PlantProcess.Workers/Worker.cs:72-108 — ExecuteAsync cadence
Backend/PlantProcess.Application/Jobs/Execution/JobExecutionCapability.cs:76-107 — family capability vs capacity</t>
  </si>
  <si>
    <t>T-155/T-159 calibrate heavy-production constants later; no retraining or new scheduler here.</t>
  </si>
  <si>
    <t>A real delta reader/importer, row envelope and cursor persistence already exist; generic bulk staging rejects duplicate batch/source/row entries. The delta path directly creates a fresh batch/rows and uses a scalar cursor. The PostgreSQL query uses strict &gt; plus LIMIT, MaxCursor parses under ambient culture, and incremental reads bypass the wrapper budget while GetBudget ignores profile/dataset.</t>
  </si>
  <si>
    <t>Implement total-order cursor/tie-key semantics for every supported incremental reader, typed invariant comparisons, per-source effective budget on incremental calls, durable checkpoint/replay identity and projection watermark handoff. Do not recreate source/staging infrastructure already present.</t>
  </si>
  <si>
    <t>Backend/PlantProcess.Application/Integration/Services/SourceSystems/DeltaImportExecutionService.cs:120-151 — read-path selection
Backend/PlantProcess.Application/Integration/Services/SourceSystems/DeltaImportExecutionService.cs:173-205 — row/cursor handling
Backend/PlantProcess.Application/Integration/Services/SourceSystems/DeltaImportExecutionService.cs:236-280 — source identity and MaxCursor
Backend/PlantProcess.Infrastructure/Connectors/PostgreSql/PostgreSqlConnector.cs:181-206 — scalar LIMIT query
Backend/PlantProcess.Application/Integration/Protection/ThrottlingDataSourceReader.cs:36-70 — unequal protection
Backend/PlantProcess.Infrastructure/Integration/Protection/OptionsSourceLoadBudgetProvider.cs:21-24 — global budget
Backend/PlantProcess.Infrastructure/Persistence/Configurations/Integration/StagingRecordConfiguration.cs:31-42 — existing within-batch uniqueness
Backend/tests/PlantProcess.Api.IntegrationTests/Import/DeltaImportResumabilityTests.cs:58-73 — current weak continuation assertions</t>
  </si>
  <si>
    <t>T-106 owns Job aggregate status; T-101 B4 UI; T-109 consumes this watermark; no duplicate billing for those consumers.</t>
  </si>
  <si>
    <t>The repository has source-delta infrastructure, ML refresh paths and pure analytical kernels, but the inspected analytical service paths do not show a commissioned consumer of the designed feature_refresh/analysis_scope watermark chain. Existing calculation code is reusable, not proof of bounded changed-entity execution.</t>
  </si>
  <si>
    <t>Consume T-108's committed batch/delta token, materialize changed subjects through governed relations, refresh bounded feature/analysis scope and telemetry, and emit the ML handoff. Prove late data and interrupted retries without a second cursor store.</t>
  </si>
  <si>
    <t>Backend/PlantProcess.Application/Integration/Services/SourceSystems/DeltaImportExecutionService.cs:173-217 — available source delta boundary
Backend/PlantProcess.Application/Relationships/RelationshipResolver.cs:85-113 — governed automated path</t>
  </si>
  <si>
    <t>T-108 owns source/projection checkpoint; M3 materializers own full training artifacts.</t>
  </si>
  <si>
    <t>HistorianConnectorCapabilities explicitly declares real browse/read/subscription/session operations unavailable and returns named capability truth. This is a real honest-refusal foundation, not a production OPC implementation.</t>
  </si>
  <si>
    <t>No original T-207 reimplementation. New backend provider-list convergence belongs to expanded T-254; live OPC operations belong to T-224..T-226.</t>
  </si>
  <si>
    <t>Backend/PlantProcess.Api/PlantConnectors/V5GaHistorianConnectorEndpoints.cs:61-108 — HistorianConnectorCapabilities</t>
  </si>
  <si>
    <t>SignalSemanticsResolver already resolves aggregation through the governed database function with AG01/type refusal and a DI registration. Current production reference census finds its definition/implementation/registration, but no widget/query service injection/call. Frontend aggregate binding copies declared metadata; it performs no analytics.</t>
  </si>
  <si>
    <t>Wire the existing semantics authority into Layer-A widget/query execution and consume the T-211 arithmetic contract. Preserve declared weighting/sampling/null rules, typed refusals and result evidence; do not implement a new aggregation authority.</t>
  </si>
  <si>
    <t>Backend/PlantProcess.Infrastructure/Definitions/Semantics/SignalSemanticsResolver.cs:30-74 — ResolveAsync
Frontend/PlantProcess.Web/src/authoring/governedBlockBinding.ts:1-9 — not analytics mathematics</t>
  </si>
  <si>
    <t>T-211 computes math; T-210 governs semantics; T-212 wires actual queries.</t>
  </si>
  <si>
    <t>CustomerAssessmentEndpoints exposes authorized assess/latest/version/diff operations and resolves tenant identity before service work. The service/normalization/history migration and tests are present. This is a reusable assessment authority, not an autonomous ingestion/projection executor.</t>
  </si>
  <si>
    <t>No new work within the accepted T-213 authority scope. Customer intake use within the real UI journey remains the consumer's acceptance, not reopening this producer.</t>
  </si>
  <si>
    <t>Backend/PlantProcess.Api/Endpoints/CustomerAssessmentEndpoints.cs:86-125 — assessment routes and tenant gate</t>
  </si>
  <si>
    <t>The current OPC connector only validates supplied endpoint/read-only configuration and explicitly refuses a requested live handshake. The separate capability authority says session security/certificate/trust handling is not implemented; there is no evidence that the advertised target session is commissioned.</t>
  </si>
  <si>
    <t>Implement real read-only OPC endpoint/session/certificate lifecycle on the customer-side collector, with governed trust references, security-policy rejection, reconnect and safe telemetry. Reuse configuration/capability contracts, not their success text as handshake proof.</t>
  </si>
  <si>
    <t>Backend/PlantProcess.Infrastructure/Connectors/Historian/OpcUaHistorianConnector.cs:24-72 — configuration test
Backend/PlantProcess.Api/PlantConnectors/V5GaHistorianConnectorEndpoints.cs:84-95 — live capability declarations</t>
  </si>
  <si>
    <t>T-225 browse/subscription; T-226 end-to-end data/recovery; T-266 design. No M3 deferral.</t>
  </si>
  <si>
    <t>Current truth explicitly marks tag browse, bounded value read and subscriptions unimplemented. The UI and supplied-tag hints do not establish real namespace traversal or monitored-item persistence. Session support is T-224's prerequisite.</t>
  </si>
  <si>
    <t>Build namespace browse, stable node identities, tag registration, bounded read/subscriptions and monitored-item lifecycle using the T-224 session and source-load policy; test partial browse, disconnect and invalid intervals.</t>
  </si>
  <si>
    <t>Backend/PlantProcess.Api/PlantConnectors/V5GaHistorianConnectorEndpoints.cs:76-95 — browse/read/subscription capability state
Backend/PlantProcess.Infrastructure/Connectors/Historian/OpcUaHistorianConnector.cs:53-70 — metadata-only legacy claim</t>
  </si>
  <si>
    <t>Do not recreate session security or count T-266 graphics as real read proof.</t>
  </si>
  <si>
    <t>Historian mapping/legacy tag-history and edge-spool scaffolding exist, while real upstream OPC read/subscription operations remain unavailable. Those existing interfaces are useful but do not prove quality/timestamp preservation or replay into canonical data from a live session.</t>
  </si>
  <si>
    <t>Integrate source/server/ingest time and quality handling, spool/ack/reconnect/gap recovery and idempotent canonical replay using T-233/T-224/T-225; run controlled interruption and real-source evidence.</t>
  </si>
  <si>
    <t>Backend/PlantProcess.Api/PlantConnectors/V5GaHistorianConnectorEndpoints.cs:84-95 — upstream live-operation boundary
Backend/PlantProcess.Analytics.Core/Kernel/Time/SourceTimeAuthorityKernel.cs:26-66 — existing time kernel</t>
  </si>
  <si>
    <t>No new time-authority kernel; no reuse of demo telemetry as customer-source proof.</t>
  </si>
  <si>
    <t>The supplied snapshot includes signal semantics and ordinary limits/parameter storage, but no production Performance Reference authority was located by class/table/name and consumer search. Existing semantics infrastructure is reusable; it is not the effective-dated reference precedence contract.</t>
  </si>
  <si>
    <t>Implement effective-dated reference persistence, precedence/provenance and governed projections consuming T-214; test overlapping definitions, missing direction/unit and deterministic read-back. Do not reimplement the T-214 decision kernel.</t>
  </si>
  <si>
    <t>Backend/PlantProcess.Infrastructure/Definitions/Semantics/SignalSemanticsResolver.cs:30-74 — existing semantic infrastructure only</t>
  </si>
  <si>
    <t>T-214 owns reference decision kernel; T-215 consumes BI projections; a negative symbol search alone is not live absence proof.</t>
  </si>
  <si>
    <t>SourceTimeAuthorityKernel already resolves declared source/signal timestamps to uncertainty-bearing instants and refuses unauthorized time roles. The reviewed Domain/Infrastructure models do not contain the corresponding source/server timestamp authority fields/adapter, so kernel completion is not persistence completion.</t>
  </si>
  <si>
    <t>Persist declared time authority and observation provenance, bind acquisition/projector consumers to the existing kernel, and prove zone/offset/uncertainty conflict handling without machine-locale fallback.</t>
  </si>
  <si>
    <t>Backend/PlantProcess.Analytics.Core/Kernel/Time/SourceTimeAuthorityKernel.cs:26-97 — Resolve / ResolveAs
Backend/PlantProcess.Application/Integration/Services/Mapping/MappingRowProjector.cs:184-210 — current material time fields</t>
  </si>
  <si>
    <t>Do not charge T-216 kernel work again; OPC T-226 consumes the approved time contract.</t>
  </si>
  <si>
    <t>OperationalTransitionKernel and TransitionAwarePoolingGuard contain actual regime classification and uncertainty-aware pooling refusal. Direct production reference census only finds kernel-to-kernel calls; it does not establish a persisted regime authority consumed by live statistics.</t>
  </si>
  <si>
    <t>Persist transition/stabilisation declarations and wire current M2 statistical/correlation pooling to the existing guard. Include source-time uncertainty and explicit undeclared-regime handling; prove the live path refuses mixed/uncertain populations.</t>
  </si>
  <si>
    <t>Backend/PlantProcess.Analytics.Core/Kernel/Regime/TransitionAwarePoolingGuard.cs:24-79 — Admit
Backend/PlantProcess.Analytics.Core/Kernel/Time/SourceTimeAuthorityKernel.cs:26-66 — time interpretation</t>
  </si>
  <si>
    <t>Do not redo T-234/T-236; later broad engine convergence stays T-146.</t>
  </si>
  <si>
    <t>The shared graph semantics imports typed ports and one block-contract registry; the registry distinguishes implemented/evaluable/persistable capabilities. Those executable validation contracts are real foundation code, not proof of a commissioned job executor.</t>
  </si>
  <si>
    <t>Retain original typed-port/graph-validation closure. Any actual execution or visual-depth remainder belongs to T-245/T-261/T-265, not recreation of the T-241 graph model.</t>
  </si>
  <si>
    <t>Frontend/PlantProcess.Web/src/authoring/graphSemantics.ts:22-40 — typed-port authority
Frontend/PlantProcess.Web/src/authoring/blockRegistry.ts:13-45 — capability separation</t>
  </si>
  <si>
    <t>The block catalogue is centralized, typed and explicit about evaluable versus persistable behavior. Governed aggregation copies canonical metadata and refuses missing semantics; it deliberately computes no analytics. Non-placeable families must not be described as already commissioned product execution.</t>
  </si>
  <si>
    <t>Original algebra/catalogue/validation closure remains closed. Persistence/compilation/runtime integration is the relevant downstream work and must retain honest unavailable states until accepted.</t>
  </si>
  <si>
    <t>Frontend/PlantProcess.Web/src/authoring/blockRegistry.ts:13-45 — one catalogue and separate capabilities
Frontend/PlantProcess.Web/src/authoring/governedBlockBinding.ts:1-9 — handoff boundary
Frontend/PlantProcess.Web/src/authoring/governedBlockBinding.ts:49-77 — AG01 behavior</t>
  </si>
  <si>
    <t>The authored board, governed output target, version history and reopen logic exist; the September 9 closure proves mocked-server reopen/edit behavior. Canvas publish calls the canonical definition writer and compatibility projector in a transaction, but does not call the existing relationship-publication authority.</t>
  </si>
  <si>
    <t>Only the added relationship-emission/atomicity/legacy-path convergence remains: derive declared relationships, publish through the existing service in the correct unit of work, and prove rollback/read-back. Preserve the saved-board implementation and its closure.</t>
  </si>
  <si>
    <t>Original save/reopen journey committed 6f65bba186ecaccc8dbbdfc5eba830a9e1b3e933; executed tests drove the shell against mocked canonical responses. New relationship emission integration is later scope, not proof the original reopen task never completed.</t>
  </si>
  <si>
    <t>Backend/PlantProcess.Application/Definitions/Canvas/CanvasDefinitionContent.cs:106-163 — canonical graph/board content
Backend/PlantProcess.Infrastructure/Definitions/Canvas/CanvasDefinitionLifecycleService.cs:265-333 — publish transaction
Backend/PlantProcess.Application/Relationships/RelationshipService.cs:145-217 — existing publication seam</t>
  </si>
  <si>
    <t>Do not implement a second relationship store. T-262 save-mapping concern is tracked once there, not charged again.</t>
  </si>
  <si>
    <t>The current SQL-mode save uses canonical content and the shared safe-SQL/lifecycle path, and SQL publication derives a compatibility projection within the same transaction. This substantiates the earlier persistence/convergence foundation; it does not execute a governed projection job.</t>
  </si>
  <si>
    <t>Keep the original T-244 closure. The later projection-binding callback concern belongs to the T-262 consumer boundary, and runtime transformation execution belongs to T-261.</t>
  </si>
  <si>
    <t>Backend/PlantProcess.Application/Definitions/Canvas/CanvasDefinitionContent.cs:173-205 — ForSql
Backend/PlantProcess.Infrastructure/Definitions/Canvas/CanvasDefinitionLifecycleService.cs:297-333 — SQL publish path
Frontend/PlantProcess.Web/src/api/canvasApi.ts:118-155 — SQL run/save API adapter</t>
  </si>
  <si>
    <t>Canvas has draft save, SQL preview, publish and reopen adapters; the job target resolver/capability descriptors exist. The current shell/API adapter has no commissioned bind-and-run flow consuming exact version/per-block runtime evidence, and CanonicalRefresh is explicitly unavailable.</t>
  </si>
  <si>
    <t>Implement the thin Canvas-to-job binding/launch/monitor/error/cancel surface over T-261's real executor, carry exact version and stable block IDs, and test unavailable-family refusal before launch.</t>
  </si>
  <si>
    <t>Frontend/PlantProcess.Web/src/api/canvasApi.ts:111-155 — current save/preview/publish surface
Backend/PlantProcess.Application/Jobs/Execution/JobExecutionCapability.cs:109-124 — non-executable target families</t>
  </si>
  <si>
    <t>T-245 is QUEUED after T-261 accepted closure; no separate executor, block-evidence model or capability authority.</t>
  </si>
  <si>
    <t>Individual source/import/Canvas/BI surfaces and earlier demo/journey tests exist, but the supplied production snapshot explicitly refuses governed Transformation execution. The required same-binary customer path cannot be certified by the present source or Figma output alone.</t>
  </si>
  <si>
    <t>After producer closures, execute one customer-shaped real-source-to-canonical-to-BI/Assistant journey with immutable-version/retry/cancel/refusal/isolation evidence and zero customer-specific product diff. Budget acceptance coordination only; bugs remain with their owning tasks.</t>
  </si>
  <si>
    <t>Backend/PlantProcess.Application/Jobs/Execution/JobExecutionCapability.cs:109-115 — concrete broken journey seam
Backend/tests/PlantProcess.Api.IntegrationTests/Import/DeltaImportResumabilityTests.cs:32-73 — earlier tests are not full new journey proof</t>
  </si>
  <si>
    <t>No source-code or drawing count can close runtime acceptance; no duplicate budget for T-106/T-108/T-261 fixes.</t>
  </si>
  <si>
    <t>Canonical content carries one outputTarget; model marker/catalogue authority determines eligible targets and exposes fields. Existing graph/SQL hash and read-back behaviors are real. This is independent of current job executor availability.</t>
  </si>
  <si>
    <t>No new original output-target work. Preserve original 7a6f91f9 closure; downstream publication and executor consume that authority.</t>
  </si>
  <si>
    <t>None</t>
  </si>
  <si>
    <t>Backend/PlantProcess.Application/Definitions/Canvas/CanvasDefinitionContent.cs:106-163 — ForGraph outputTarget/board
Backend/PlantProcess.Application/Definitions/Canvas/ProjectionTypeCompatibility.cs:128-145 — strict compatibility</t>
  </si>
  <si>
    <t>The frontend/website runtime-truth convergence was closed at f8a35725. Current backend still has a separate ConnectorConfigurationService provider DTO list beside ConnectorProviderCatalog. Their OPC browse flags and membership/descriptions differ; configuration reads the former.</t>
  </si>
  <si>
    <t>Complete only the widened backend validation/catalogue convergence and regression tests ensuring profile validation, API truth, UI and website consume one result. Retain frontend/website original closure and absence-of-fallback evidence.</t>
  </si>
  <si>
    <t>f8a35725c9b0d7fb5a0515c0103a72807a704a97, historical accepted freeze. New scope is not a regression claim against the original.</t>
  </si>
  <si>
    <t>Backend/PlantProcess.Application/Integration/Services/Connectors/ConnectorConfigurationService.ProviderTypes.001.GetProviderTypes.cs:17-39 — duplicate provider DTO source
Backend/PlantProcess.Application/Integration/Services/Connectors/ConnectorConfigurationService.ProviderTypes.001.GetProviderTypes.cs:81-102 — OPC flags
Backend/PlantProcess.Application/Integration/Connectors/ConnectorProviderCatalog.cs:72-104 — second catalog OPC/SAP entries</t>
  </si>
  <si>
    <t>No rewrite of T-207, no source availability invented from a certification flag.</t>
  </si>
  <si>
    <t>Governed Transformation/Projection job executor and per-block runtime evidence seam</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</si>
  <si>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t>
  </si>
  <si>
    <t>Extract/reuse the compiler; implement resolver+executor, carry the pre-admission target into the real run, canonical row effects/idempotency/provenance and stable block evidence, common cancellation/status wiring; run Graph/SQL and failure/cancel proof on disposable DB. Include T-262 live Gate 0 once.</t>
  </si>
  <si>
    <t>Pasted markdown(20260914-190300).md:1-239 assigns first RecordResolvedTarget, cancellation seam and T-262 live Gate0 to T-261. No post-ca02b40e executor commit retrieved.</t>
  </si>
  <si>
    <t>Backend/PlantProcess.Application/Integration/Services/Jobs/JobRunOrchestratorService.cs:61-85 — admission before real run
Backend/PlantProcess.Application/Integration/Services/Jobs/JobRunOrchestratorService.cs:210-276 — discarded resolution/dispatch
Backend/PlantProcess.Application/Jobs/Execution/JobExecutionCapability.cs:109-115 — uncommissioned executor
Backend/PlantProcess.Application/Integration/Services/Jobs/JobRuntimeService.cs:127-149 — terminal lifecycle</t>
  </si>
  <si>
    <t>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t>
  </si>
  <si>
    <t>The declaration, field catalogue, server type checker and Graph/SQL hash persistence exist and were committed GREEN at 86e1b677. A current consumer concern remains: doSaveSql reads projection/projectionBlocked but omits both from its useCallback dependency list; a mapping-only edit needs a direct shell regression test. Unknown-type/narrowing acceptance finding remains withdrawn.</t>
  </si>
  <si>
    <t>Do not rebuild the declaration. Reproduce the mapping-only SQL-save transition against the real shell, fix only any demonstrated stale callback, and run targeted field-map tests. Live definition-store Gate 0 is already assigned to T-261 Runner2, so it is not estimated again here. Final status remains current-scope open until this correction/acceptance is resolved.</t>
  </si>
  <si>
    <t>Original declaration delivered GREEN/COMMITTED at 86e1b677212195f191697ecdca7e9441b3dbde33. 12-Sep output: 24/24 declaration, 8/8 catalogue fields, 39/39 content, 404/404 authoring. Live definition-store integration explicitly not claimed. Later 14-Sep coordination assigns that proof to T-261 Runner 2 Gate 0.</t>
  </si>
  <si>
    <t>Backend/PlantProcess.Application/Definitions/Canvas/CanvasDefinitionContent.cs:118-163 — immutable projection content
Backend/PlantProcess.Application/Definitions/Canvas/ProjectionTypeCompatibility.cs:128-145 — unknown/narrowing refusal
Frontend/PlantProcess.Web/src/authoring/SharedAuthoringShell.tsx:898-925 — doSaveSql callback inputs/dependencies</t>
  </si>
  <si>
    <t>Do not reimplement the immutable declaration. Live definition-store Gate 0 is carried once in T-261 acceptance/estimate. This task's proposed 1/3/6h is the mapping-only SQL save concern and bounded verification, not another executor. Current composite status retained; closure ownership needs explicit reconciliation, not a fake missing-commit claim.</t>
  </si>
  <si>
    <t>The source has historian configuration UI/API scaffolding and truthful unavailable operations, while the delivered visual package is a derived design. No native Figma execution or full target/current capability state interaction is established by current repository source.</t>
  </si>
  <si>
    <t>Design the named OPC profile/browse/read/subscription/quality/time/spool/replay flow and its unavailable states against T-224..T-226 contracts, integrate into Chapter3/4 and embedded Word images, and execute one observed design import/prototype check without claiming live OPC.</t>
  </si>
  <si>
    <t>No implementation or native-Figma closure claimed.</t>
  </si>
  <si>
    <t>Backend/PlantProcess.Api/PlantConnectors/V5GaHistorianConnectorEndpoints.cs:61-108 — actual unavailable contract
Backend/PlantProcess.Infrastructure/Connectors/Historian/OpcUaHistorianConnector.cs:24-72 — configuration interface</t>
  </si>
  <si>
    <t>T-224..T-226 implement/live-certify; T-233 time authority; native design execution availability is a separate uncertainty.</t>
  </si>
  <si>
    <t>PLANTPROCESS IQ | BACKLOG CELL &amp; EVIDENCE REVIEW</t>
  </si>
  <si>
    <t>v2.23.0 retained •15September2026 • one workbook only • no Design, task-ID, release, scope or dependency-edge additions</t>
  </si>
  <si>
    <t>LIMIT: the complete ten named sessions were not recovered. Source-bound corrections below are real; all statuses are not thereby fully verified.</t>
  </si>
  <si>
    <t>All</t>
  </si>
  <si>
    <t>Basis</t>
  </si>
  <si>
    <t>OPEN THE NAMED WORKSHEET TAB</t>
  </si>
  <si>
    <t>Task set / releases preserved</t>
  </si>
  <si>
    <t>Task-ID comparison against input</t>
  </si>
  <si>
    <t>M2-P2 Review — 34 M2-P2 tasks: current vs historical delivery and hours</t>
  </si>
  <si>
    <t>Task closure ≠ release certification</t>
  </si>
  <si>
    <t>T-099 preserved; no wholesale completion inference</t>
  </si>
  <si>
    <t>Task Evidence 15Sep — All179 task decisions with source and unresolved action</t>
  </si>
  <si>
    <t>Partial current scope; not proof worker active now</t>
  </si>
  <si>
    <t>T-254 original closed baseline + unproven extension</t>
  </si>
  <si>
    <t>Estimate Review — Prior estimates and why they are no longer usable</t>
  </si>
  <si>
    <t>Preflight alone is not implementation</t>
  </si>
  <si>
    <t>Other uncorroborated statuses retained explicitly</t>
  </si>
  <si>
    <t>Cell Changes 15Sep — Before/after cell records and structural changes</t>
  </si>
  <si>
    <t>Unusable/missing estimate</t>
  </si>
  <si>
    <t>8 missing/withdrawn +19 stale scope</t>
  </si>
  <si>
    <t>Historical estimates retained. New UNCONFIRMED remaining proposals in Source Review/Backlog AV:AX.</t>
  </si>
  <si>
    <t>Source Summary / Source Review — current implementation and remaining work, not just session claims.</t>
  </si>
  <si>
    <t>Non-withdrawn scope hours</t>
  </si>
  <si>
    <t>Partial planning sum, not actual/remaining effort</t>
  </si>
  <si>
    <t>Other inherited estimates not recalibrated by this review</t>
  </si>
  <si>
    <t>Status: green Done • amber In Progress • grey Not Started • red Blocked. Amber hours: missing/stale/unconfirmed, not zero. Violet P80: historic forecast not supplied.</t>
  </si>
  <si>
    <t>No open completion predecessor is not automatic permission to start: contract-ready handoffs, evidence and scoped start gates still apply.</t>
  </si>
  <si>
    <t>EXACT TEN-SESSION COVERAGE — DO NOT CONFUSE FRAGMENTS WITH COMPLETE TRANSCRIPTS</t>
  </si>
  <si>
    <t>Requested #</t>
  </si>
  <si>
    <t>Exact session title</t>
  </si>
  <si>
    <t>Complete transcript read?</t>
  </si>
  <si>
    <t>Available material</t>
  </si>
  <si>
    <t>Read operation / limit</t>
  </si>
  <si>
    <t>Remaining requirement</t>
  </si>
  <si>
    <t>استكمال جلسة 10 سبتمبر</t>
  </si>
  <si>
    <t>NO</t>
  </si>
  <si>
    <t>No complete transcript with this exact title was retrieved. Current workbook and fragments are not substitutes.</t>
  </si>
  <si>
    <t>Files exact-title/content search + local inventory. Conversation-history retrieval returned an error. Source files.read/find worked for the listed attachments.</t>
  </si>
  <si>
    <t>Obtain full exact transcript, then check later superseding decisions and scope before certifying every task status.</t>
  </si>
  <si>
    <t>10-Sept-2026</t>
  </si>
  <si>
    <t>Dated10Sep attachments:064052,102642,105308; contains selected session forwards, run outputs and instructions, not complete named session.</t>
  </si>
  <si>
    <t>حالة المشروع الحالية</t>
  </si>
  <si>
    <t>Selected excerpts exist in the current conversation; full original session not available.</t>
  </si>
  <si>
    <t>تحليل الجلسات الثماني</t>
  </si>
  <si>
    <t>Exact-title file found: تحليل الجلسات الثماني.txt;709bytes, only an earlier access-failure message. Not the session body.</t>
  </si>
  <si>
    <t>8-Sept-2026</t>
  </si>
  <si>
    <t>تحليل الجلسات بالتفصيل</t>
  </si>
  <si>
    <t>نصائح وتعديلات التمرين</t>
  </si>
  <si>
    <t>إصلاح وتشغيل السكربت المركزي</t>
  </si>
  <si>
    <t>تحليل قواعد البيانات</t>
  </si>
  <si>
    <t>حكم مهمة T205</t>
  </si>
  <si>
    <t>ALL ORIGINAL WORKSHEETS: EVERY STORED CELL SCANNED — SEMANTIC COVERAGE IS NOT IMPLIED</t>
  </si>
  <si>
    <t>Worksheet</t>
  </si>
  <si>
    <t>Stored cells</t>
  </si>
  <si>
    <t>Populated cells</t>
  </si>
  <si>
    <t>Formula cells</t>
  </si>
  <si>
    <t>Review classification</t>
  </si>
  <si>
    <t>Coverage / limitation</t>
  </si>
  <si>
    <t>CURRENT — STRUCTURAL/FIELD CHECKS</t>
  </si>
  <si>
    <t>Values, formula references, styles, used ranges, metadata and cross-field consistency scanned; historical events not re-certified.</t>
  </si>
  <si>
    <t>Backlog</t>
  </si>
  <si>
    <t>179 rows / all44 original fields scanned. Evidence corrections source-bound for named tasks; all10-session semantics unresolved.</t>
  </si>
  <si>
    <t>Release Plan</t>
  </si>
  <si>
    <t>Worker Tracks</t>
  </si>
  <si>
    <t>Dependency Graph</t>
  </si>
  <si>
    <t>Prior Baseline Archive</t>
  </si>
  <si>
    <t>HISTORICAL — PRESERVED</t>
  </si>
  <si>
    <t>Commit Ledger</t>
  </si>
  <si>
    <t>Backlog Change Log</t>
  </si>
  <si>
    <t>Verified Task Ledger</t>
  </si>
  <si>
    <t>Phase Worker v220</t>
  </si>
  <si>
    <t>Dashboard v220</t>
  </si>
  <si>
    <t>Capability Map v1.1</t>
  </si>
  <si>
    <t>Retired Tasks v222</t>
  </si>
  <si>
    <t>Revision Changes v222</t>
  </si>
  <si>
    <t>Phase Worker v222</t>
  </si>
  <si>
    <t>Prior Notes v222</t>
  </si>
  <si>
    <t>Dashboard v222</t>
  </si>
  <si>
    <t>Contract Handoffs</t>
  </si>
  <si>
    <t>Estimate Review</t>
  </si>
  <si>
    <t>Repair Changes v2221</t>
  </si>
  <si>
    <t>External Prerequisites</t>
  </si>
  <si>
    <t>Secondary Capability Links</t>
  </si>
  <si>
    <t>UI Coverage v223</t>
  </si>
  <si>
    <t>UI Controls v223</t>
  </si>
  <si>
    <t>Changes v223</t>
  </si>
  <si>
    <t>UI Delivery v223</t>
  </si>
  <si>
    <t>Book Register</t>
  </si>
  <si>
    <t>Book Validation</t>
  </si>
  <si>
    <t>Original14Sep consolidation results explicitly labelled historical; current15Sep checks are below.</t>
  </si>
  <si>
    <t>RESIDUAL EVIDENCE / GOVERNANCE LIMITS</t>
  </si>
  <si>
    <t>Full ten sessions</t>
  </si>
  <si>
    <t>NOT COMPLETE</t>
  </si>
  <si>
    <t>Exact titles retained in rows17–26. Accessible dated fragments are not substitutes for the missing transcripts.</t>
  </si>
  <si>
    <t>T-262 current status</t>
  </si>
  <si>
    <t>UNRESOLVED DISPOSITION</t>
  </si>
  <si>
    <t>Producer contract GREEN/commit is proven; current row also requests integration closure. The incomplete integration cannot be silently waived or the prior GREEN erased.</t>
  </si>
  <si>
    <t>Time estimates</t>
  </si>
  <si>
    <t>27 NOT USABLE</t>
  </si>
  <si>
    <t>8 missing/withdrawn/unconfirmed;19 have numeric old-scope figures that need re-estimation. No remaining-time guarantee.</t>
  </si>
  <si>
    <t>Start gate prose</t>
  </si>
  <si>
    <t>15 OPEN TEXT GAPS</t>
  </si>
  <si>
    <t>17 original gate strings were truncated;2 belong to already-closed tasks,15 open tasks still need omitted text resolved. Full fragments preserved.</t>
  </si>
  <si>
    <t>Task-ID epoch</t>
  </si>
  <si>
    <t>REQUIRED CHECK</t>
  </si>
  <si>
    <t>Older exports reuse task numbers for different programme scopes. Match identity plus semantic scope/date; a same-number old Done entry does not close today's task.</t>
  </si>
  <si>
    <t>Runtime / Git</t>
  </si>
  <si>
    <t>NOT EXECUTED</t>
  </si>
  <si>
    <t>Reviewed source and stored executed outputs. No live product/test/database/browser certification or current Git ancestry executed here.</t>
  </si>
  <si>
    <t>Status colors</t>
  </si>
  <si>
    <t>FORMULA-DRIVEN</t>
  </si>
  <si>
    <t>Colors map the current status field. They do not imply that all current statuses were freshly verified against ten complete sessions.</t>
  </si>
  <si>
    <t>SAVED-WORKBOOK VALIDATION •22 PASS /3 OPEN • SOURCE-HISTORY GAPS ARE NOT PASSES</t>
  </si>
  <si>
    <t>Check</t>
  </si>
  <si>
    <t>Count</t>
  </si>
  <si>
    <t>Result</t>
  </si>
  <si>
    <t>Meaning / evidence boundary</t>
  </si>
  <si>
    <t>Input workbook identity</t>
  </si>
  <si>
    <t>PASS</t>
  </si>
  <si>
    <t>Current book v2.23.0 bytes; SHA in row108, not an older rejected fork.</t>
  </si>
  <si>
    <t>Original worksheets scanned</t>
  </si>
  <si>
    <t>39185 stored /30558 populated cells;5486 formula cells. Structural scan, not full external factual verification.</t>
  </si>
  <si>
    <t>Active task identities</t>
  </si>
  <si>
    <t>Exact Task ID set preserved.</t>
  </si>
  <si>
    <t>Release allocation</t>
  </si>
  <si>
    <t>M2=107/M3=72; no task moved.</t>
  </si>
  <si>
    <t>Description/acceptance scope</t>
  </si>
  <si>
    <t>Original H/I text retained, not silently rewritten from generic knowledge.</t>
  </si>
  <si>
    <t>Dependency triples M/N/AN</t>
  </si>
  <si>
    <t>No row-shift or unilateral dependency edit.</t>
  </si>
  <si>
    <t>Graph invariants</t>
  </si>
  <si>
    <t>No self edges/cycles/undeclared dangling/M2-&gt;M3 completion edges; exact reverse precedences.</t>
  </si>
  <si>
    <t>Dependency Graph cache matches</t>
  </si>
  <si>
    <t>All179 rows; task/owner/status/dependencies/gate/contract fields checked.</t>
  </si>
  <si>
    <t>Worker Tracks cache matches</t>
  </si>
  <si>
    <t>All179 task-ID keyed views checked.</t>
  </si>
  <si>
    <t>Capability map formulas/membership</t>
  </si>
  <si>
    <t>Every primary/secondary/status/release count and listed-ID set checked.</t>
  </si>
  <si>
    <t>Duplicate primary-secondary</t>
  </si>
  <si>
    <t>Removed redundant T-254/L1.4 self-secondary; no scope dropped.</t>
  </si>
  <si>
    <t>Numeric hours preserved</t>
  </si>
  <si>
    <t>No fabricated estimate;19 stale originals remain visible, excluded from planning.</t>
  </si>
  <si>
    <t>Estimate unresolved explicitly</t>
  </si>
  <si>
    <t>8 initially missing +19 stale. Future confirmed estimate state supported.</t>
  </si>
  <si>
    <t>T-099 closure preserved</t>
  </si>
  <si>
    <t>Final transcript now corroborated; inherited RED retained separately.</t>
  </si>
  <si>
    <t>Status categorical values</t>
  </si>
  <si>
    <t>58Done/5InProgress/116NotStarted; only T-254 progress category corrected.</t>
  </si>
  <si>
    <t>All saved cell style IDs</t>
  </si>
  <si>
    <t>Every saved cell resolves to a valid style definition.</t>
  </si>
  <si>
    <t>Status CF full extent</t>
  </si>
  <si>
    <t>One exact status rule group; obsolete overlap removed.</t>
  </si>
  <si>
    <t>Dropdown/numeric validation extent</t>
  </si>
  <si>
    <t>No overlapping stale validation ranges; final rows covered.</t>
  </si>
  <si>
    <t>Any saved Excel error cells</t>
  </si>
  <si>
    <t>All cell types checked, not just a #REF regex. Unsupported HYPERLINK removed.</t>
  </si>
  <si>
    <t>Historical archives unchanged</t>
  </si>
  <si>
    <t>Original values/formula expressions preserved in history-only worksheets.</t>
  </si>
  <si>
    <t>Table names</t>
  </si>
  <si>
    <t>Unique Excel table names; current Backlog extent A1:AT180.</t>
  </si>
  <si>
    <t>Validator negative controls</t>
  </si>
  <si>
    <t>Injected self-edge, cross-release edge and broken reciprocal precedence each rejected.</t>
  </si>
  <si>
    <t>Full requested session review</t>
  </si>
  <si>
    <t>OPEN</t>
  </si>
  <si>
    <t>Zero complete exact-title transcripts read. Selected attached execution evidence is clearly separated; rows17–26.</t>
  </si>
  <si>
    <t>Current T-262 final disposition</t>
  </si>
  <si>
    <t>Contract GREEN recovered; needed integration acceptance still unexecuted/undispositioned. No false Done or no-SHA claim.</t>
  </si>
  <si>
    <t>Open truncated gate text</t>
  </si>
  <si>
    <t>Omitted wording not manufactured. Exact fragments retained for resolution.</t>
  </si>
  <si>
    <t>Input SHA256: 730b1c671f68790b47748a2bfbe885e06e9fc1ed3b2fb35376b5853af55c29a2</t>
  </si>
  <si>
    <t>Net original-sheet value/formula differences: 2166; formatting/rule log records:539. All prior values are preserved in this workbook's log.</t>
  </si>
  <si>
    <t>Cell/range</t>
  </si>
  <si>
    <t>Reason (net differences, not product findings)</t>
  </si>
  <si>
    <t>Evidence/basis</t>
  </si>
  <si>
    <t>A1</t>
  </si>
  <si>
    <t>PPIQ BACKLOG v2.23.0 — UI design/workflow convergence</t>
  </si>
  <si>
    <t>PPIQ BACKLOG v2.23.0 — cell/evidence review15Sep2026</t>
  </si>
  <si>
    <t>Current authority statement must match this specific review and its limits.</t>
  </si>
  <si>
    <t>C4</t>
  </si>
  <si>
    <t>2026-09-14</t>
  </si>
  <si>
    <t>2026-09-15</t>
  </si>
  <si>
    <t>D4</t>
  </si>
  <si>
    <t>Supersedes both divergent v2.22.1 files. Baseline is the repaired 176-task workbook; adds T-265..T-267 without regressing closure or estimates.</t>
  </si>
  <si>
    <t>Same task/scope version. This review corrects evidence, current labels, estimate usability and formatting; no tasks/releases/dependency edges added or removed.</t>
  </si>
  <si>
    <t>C9</t>
  </si>
  <si>
    <t>Owner report received 2026-09-14</t>
  </si>
  <si>
    <t>Final14Sep terminal transcript inspected15Sep</t>
  </si>
  <si>
    <t>D9</t>
  </si>
  <si>
    <t>CLOSED GREEN / COMMITTED; task-level closure, not release-wide GREEN.</t>
  </si>
  <si>
    <t>CLOSED GREEN/COMMITTED; exact transcript corroborated. DefinitionKind known-red remains; not release-wideGREEN.</t>
  </si>
  <si>
    <t>B10</t>
  </si>
  <si>
    <t>SOURCE PRESENT / UNCLOSED</t>
  </si>
  <si>
    <t>CONTRACT GREEN COMMIT86e1b677; INTEGRATION UNVERIFIED</t>
  </si>
  <si>
    <t>C10</t>
  </si>
  <si>
    <t>Evidence from12Sep; reviewed15Sep</t>
  </si>
  <si>
    <t>D10</t>
  </si>
  <si>
    <t>Status remains In Progress; no accepted closure SHA has been supplied.</t>
  </si>
  <si>
    <t>Producer declaration is committed with backend24/24, catalogue8/8, content39/39 and authoring404/404; parent36de9370 (short). Live definition-store integration is explicitly not executed. Current row asks for needed integration closure: retain In Progress pending that disposition, but withdraw the false 'no accepted SHA/run supplied' statement. No producer rewrite. Pasted text(20260912-074928).txt | lines1229-1243; T-262 GREEN committed86e1b677212195f191697ecdca7e9441b3dbde33; parent36de9370; live definition-store integration explicitly unexecuted.</t>
  </si>
  <si>
    <t>B11</t>
  </si>
  <si>
    <t>8 rows unestimated / withdrawn / unconfirmed</t>
  </si>
  <si>
    <t>27 unresolved estimates:8 missing/withdrawn/unconfirmed +19 stale scope</t>
  </si>
  <si>
    <t>C11</t>
  </si>
  <si>
    <t>D11</t>
  </si>
  <si>
    <t>T-106/T-108 remain blank; T-262..T-264 remain unestimated; T-265..T-267 proposals are not accepted Hours or P80.</t>
  </si>
  <si>
    <t>J/R preserve supplied historical values. AS/AT supply usable partial planning totals; AM=0 for missing/stale/unconfirmed values. No fabricated actual hours or remaining effort.</t>
  </si>
  <si>
    <t>B12</t>
  </si>
  <si>
    <t>Backlog!A1:AR180</t>
  </si>
  <si>
    <t>Backlog!A1:AT180</t>
  </si>
  <si>
    <t>B14</t>
  </si>
  <si>
    <t>Workbook structure, formulas and dependency invariants</t>
  </si>
  <si>
    <t>All-sheet cell/formula/style scan; bounded historical-source reconciliation</t>
  </si>
  <si>
    <t>C14</t>
  </si>
  <si>
    <t>D14</t>
  </si>
  <si>
    <t>Not a new product runtime, live DB, repository or full-release certification.</t>
  </si>
  <si>
    <t>All original31 worksheets structurally inspected. Full ten named session transcripts not recovered; current task statuses not all externally re-proven. See Review15Sep/Task Evidence15Sep.</t>
  </si>
  <si>
    <t>A17</t>
  </si>
  <si>
    <t>15Sep detailed review</t>
  </si>
  <si>
    <t>Add a visible in-workbook entry, not an external file.</t>
  </si>
  <si>
    <t>B17</t>
  </si>
  <si>
    <t>Review 15Sep — open the worksheet tab</t>
  </si>
  <si>
    <t>Avoid an unsupported cached HYPERLINK formula; keep navigation usable by explicit tab name.</t>
  </si>
  <si>
    <t>C17</t>
  </si>
  <si>
    <t>Review date, not a delivery commitment.</t>
  </si>
  <si>
    <t>D17</t>
  </si>
  <si>
    <t>M2-P2 view + all-task evidence + exact session coverage + cell changes are inside this workbook. No extra file in the Design Book.</t>
  </si>
  <si>
    <t>Honor the single-backlog-file standard.</t>
  </si>
  <si>
    <t>AM1</t>
  </si>
  <si>
    <t>A numeric old-scope estimate is not automatically usable.</t>
  </si>
  <si>
    <t>AS1</t>
  </si>
  <si>
    <t>Exclude withdrawn/stale/unconfirmed scope figures from live planning.</t>
  </si>
  <si>
    <t>AT1</t>
  </si>
  <si>
    <t>P80 is not regenerated from a nominal multiplier.</t>
  </si>
  <si>
    <t>T2</t>
  </si>
  <si>
    <t>CLOSED BASELINE — no new start gate and no re-execution implied. Preserve accepted closure and clean owned scope; reopen only on a concrete, separately recorded regression. Downstream consumes the frozen contract.</t>
  </si>
  <si>
    <t>A closed task must not show a current instruction to wait for historical Presentation RC.</t>
  </si>
  <si>
    <t>Current accepted Backlog status; existing no-reopen governance.</t>
  </si>
  <si>
    <t>AM2</t>
  </si>
  <si>
    <t>=IF(ISNUMBER(J2),1,0)</t>
  </si>
  <si>
    <t>=IF(AND(ISNUMBER(J2),OR(AR2="INHERITED ESTIMATE",AR2="CONFIRMED ESTIMATE")),1,0)</t>
  </si>
  <si>
    <t>Derived-view/estimate membership or explicitly added review metadata; no task-order join.</t>
  </si>
  <si>
    <t>See Review15Sep and source-bound Task Evidence15Sep.</t>
  </si>
  <si>
    <t>AS2</t>
  </si>
  <si>
    <t>=IF(AM2=1,J2,"")</t>
  </si>
  <si>
    <t>AT2</t>
  </si>
  <si>
    <t>=IF(AND(AM2=1,ISNUMBER(R2)),R2,"")</t>
  </si>
  <si>
    <t>T3</t>
  </si>
  <si>
    <t>WAIT for Presentation RC freeze/tag + clean index/worktree. Then: T-086 + T-088 canonical migration order/runner/truth gate established FIRST.</t>
  </si>
  <si>
    <t>AM3</t>
  </si>
  <si>
    <t>=IF(ISNUMBER(J3),1,0)</t>
  </si>
  <si>
    <t>=IF(AND(ISNUMBER(J3),OR(AR3="INHERITED ESTIMATE",AR3="CONFIRMED ESTIMATE")),1,0)</t>
  </si>
  <si>
    <t>AS3</t>
  </si>
  <si>
    <t>=IF(AM3=1,J3,"")</t>
  </si>
  <si>
    <t>AT3</t>
  </si>
  <si>
    <t>=IF(AND(AM3=1,ISNUMBER(R3)),R3,"")</t>
  </si>
  <si>
    <t>T4</t>
  </si>
  <si>
    <t>WAIT for Presentation RC freeze/tag + clean index/worktree. Then: T-086 frozen M2 reference dataset; define canonical migration order before T-...</t>
  </si>
  <si>
    <t>AM4</t>
  </si>
  <si>
    <t>=IF(ISNUMBER(J4),1,0)</t>
  </si>
  <si>
    <t>=IF(AND(ISNUMBER(J4),OR(AR4="INHERITED ESTIMATE",AR4="CONFIRMED ESTIMATE")),1,0)</t>
  </si>
  <si>
    <t>AS4</t>
  </si>
  <si>
    <t>=IF(AM4=1,J4,"")</t>
  </si>
  <si>
    <t>AT4</t>
  </si>
  <si>
    <t>=IF(AND(AM4=1,ISNUMBER(R4)),R4,"")</t>
  </si>
  <si>
    <t>T5</t>
  </si>
  <si>
    <t>WAIT for Presentation RC freeze/tag + clean index/worktree. Then: T-087 + T-088 canonical three-schema/migration authority green.</t>
  </si>
  <si>
    <t>AM5</t>
  </si>
  <si>
    <t>=IF(ISNUMBER(J5),1,0)</t>
  </si>
  <si>
    <t>=IF(AND(ISNUMBER(J5),OR(AR5="INHERITED ESTIMATE",AR5="CONFIRMED ESTIMATE")),1,0)</t>
  </si>
  <si>
    <t>AS5</t>
  </si>
  <si>
    <t>=IF(AM5=1,J5,"")</t>
  </si>
  <si>
    <t>AT5</t>
  </si>
  <si>
    <t>=IF(AND(AM5=1,ISNUMBER(R5)),R5,"")</t>
  </si>
  <si>
    <t>T6</t>
  </si>
  <si>
    <t>IN PROGRESS — T-089 complete. Full T-090 remains one task and one final commit. Worker 1 must deliver one self-contained standard PowerShell apply pack; no scope split and no manual .cs/SQL installation.</t>
  </si>
  <si>
    <t>AM6</t>
  </si>
  <si>
    <t>=IF(ISNUMBER(J6),1,0)</t>
  </si>
  <si>
    <t>=IF(AND(ISNUMBER(J6),OR(AR6="INHERITED ESTIMATE",AR6="CONFIRMED ESTIMATE")),1,0)</t>
  </si>
  <si>
    <t>AS6</t>
  </si>
  <si>
    <t>=IF(AM6=1,J6,"")</t>
  </si>
  <si>
    <t>AT6</t>
  </si>
  <si>
    <t>=IF(AND(AM6=1,ISNUMBER(R6)),R6,"")</t>
  </si>
  <si>
    <t>T7</t>
  </si>
  <si>
    <t>WAIT for Presentation RC freeze/tag + clean index/worktree. Then: T-090 all definition kinds bound to the canonical store.</t>
  </si>
  <si>
    <t>AM7</t>
  </si>
  <si>
    <t>=IF(ISNUMBER(J7),1,0)</t>
  </si>
  <si>
    <t>=IF(AND(ISNUMBER(J7),OR(AR7="INHERITED ESTIMATE",AR7="CONFIRMED ESTIMATE")),1,0)</t>
  </si>
  <si>
    <t>AS7</t>
  </si>
  <si>
    <t>=IF(AM7=1,J7,"")</t>
  </si>
  <si>
    <t>AT7</t>
  </si>
  <si>
    <t>=IF(AND(AM7=1,ISNUMBER(R7)),R7,"")</t>
  </si>
  <si>
    <t>T8</t>
  </si>
  <si>
    <t>WAIT for Presentation RC freeze/tag + clean index/worktree. Then: T-089 + T-090 canonical definition authority.</t>
  </si>
  <si>
    <t>AM8</t>
  </si>
  <si>
    <t>=IF(ISNUMBER(J8),1,0)</t>
  </si>
  <si>
    <t>=IF(AND(ISNUMBER(J8),OR(AR8="INHERITED ESTIMATE",AR8="CONFIRMED ESTIMATE")),1,0)</t>
  </si>
  <si>
    <t>AS8</t>
  </si>
  <si>
    <t>=IF(AM8=1,J8,"")</t>
  </si>
  <si>
    <t>AT8</t>
  </si>
  <si>
    <t>=IF(AND(AM8=1,ISNUMBER(R8)),R8,"")</t>
  </si>
  <si>
    <t>T9</t>
  </si>
  <si>
    <t>WAIT for Presentation RC freeze/tag + clean index/worktree. Then: T-092 registry/definition authority available; architecture term list is comm...</t>
  </si>
  <si>
    <t>AM9</t>
  </si>
  <si>
    <t>=IF(ISNUMBER(J9),1,0)</t>
  </si>
  <si>
    <t>=IF(AND(ISNUMBER(J9),OR(AR9="INHERITED ESTIMATE",AR9="CONFIRMED ESTIMATE")),1,0)</t>
  </si>
  <si>
    <t>AS9</t>
  </si>
  <si>
    <t>=IF(AM9=1,J9,"")</t>
  </si>
  <si>
    <t>AT9</t>
  </si>
  <si>
    <t>=IF(AND(AM9=1,ISNUMBER(R9)),R9,"")</t>
  </si>
  <si>
    <t>T10</t>
  </si>
  <si>
    <t>IN PROGRESS — T-092/T-093/T-209 authorities are green. Three part-commits exist but no closure. Finish the second wire, frontend consumers and Wave-C proof under the same T-094 scope; do not reopen after closure.</t>
  </si>
  <si>
    <t>AM10</t>
  </si>
  <si>
    <t>=IF(ISNUMBER(J10),1,0)</t>
  </si>
  <si>
    <t>=IF(AND(ISNUMBER(J10),OR(AR10="INHERITED ESTIMATE",AR10="CONFIRMED ESTIMATE")),1,0)</t>
  </si>
  <si>
    <t>AS10</t>
  </si>
  <si>
    <t>=IF(AM10=1,J10,"")</t>
  </si>
  <si>
    <t>AT10</t>
  </si>
  <si>
    <t>=IF(AND(AM10=1,ISNUMBER(R10)),R10,"")</t>
  </si>
  <si>
    <t>T11</t>
  </si>
  <si>
    <t>Start immediately. No later M2 mutating work begins on the shared tree before this close.</t>
  </si>
  <si>
    <t>AM11</t>
  </si>
  <si>
    <t>=IF(ISNUMBER(J11),1,0)</t>
  </si>
  <si>
    <t>=IF(AND(ISNUMBER(J11),OR(AR11="INHERITED ESTIMATE",AR11="CONFIRMED ESTIMATE")),1,0)</t>
  </si>
  <si>
    <t>AS11</t>
  </si>
  <si>
    <t>=IF(AM11=1,J11,"")</t>
  </si>
  <si>
    <t>AT11</t>
  </si>
  <si>
    <t>=IF(AND(AM11=1,ISNUMBER(R11)),R11,"")</t>
  </si>
  <si>
    <t>T12</t>
  </si>
  <si>
    <t>T-201 committed/frozen baseline.</t>
  </si>
  <si>
    <t>AM12</t>
  </si>
  <si>
    <t>=IF(ISNUMBER(J12),1,0)</t>
  </si>
  <si>
    <t>=IF(AND(ISNUMBER(J12),OR(AR12="INHERITED ESTIMATE",AR12="CONFIRMED ESTIMATE")),1,0)</t>
  </si>
  <si>
    <t>AS12</t>
  </si>
  <si>
    <t>=IF(AM12=1,J12,"")</t>
  </si>
  <si>
    <t>AT12</t>
  </si>
  <si>
    <t>=IF(AND(AM12=1,ISNUMBER(R12)),R12,"")</t>
  </si>
  <si>
    <t>T13</t>
  </si>
  <si>
    <t>T-201; may run in parallel with T-202 on non-overlapping test files.</t>
  </si>
  <si>
    <t>AM13</t>
  </si>
  <si>
    <t>=IF(ISNUMBER(J13),1,0)</t>
  </si>
  <si>
    <t>=IF(AND(ISNUMBER(J13),OR(AR13="INHERITED ESTIMATE",AR13="CONFIRMED ESTIMATE")),1,0)</t>
  </si>
  <si>
    <t>AS13</t>
  </si>
  <si>
    <t>=IF(AM13=1,J13,"")</t>
  </si>
  <si>
    <t>AT13</t>
  </si>
  <si>
    <t>=IF(AND(AM13=1,ISNUMBER(R13)),R13,"")</t>
  </si>
  <si>
    <t>T14</t>
  </si>
  <si>
    <t>T-201; resolve current associative ownership first.</t>
  </si>
  <si>
    <t>AM14</t>
  </si>
  <si>
    <t>=IF(ISNUMBER(J14),1,0)</t>
  </si>
  <si>
    <t>=IF(AND(ISNUMBER(J14),OR(AR14="INHERITED ESTIMATE",AR14="CONFIRMED ESTIMATE")),1,0)</t>
  </si>
  <si>
    <t>AS14</t>
  </si>
  <si>
    <t>=IF(AM14=1,J14,"")</t>
  </si>
  <si>
    <t>AT14</t>
  </si>
  <si>
    <t>=IF(AND(AM14=1,ISNUMBER(R14)),R14,"")</t>
  </si>
  <si>
    <t>T15</t>
  </si>
  <si>
    <t>CLOSED GREEN 2026-08-30 at b7fcc890. Infrastructure gate certified. Do not rerun full T-205 Certify unless the T-205 gate/validator/watchdog/reaper/evidence contract itself changes.</t>
  </si>
  <si>
    <t>AM15</t>
  </si>
  <si>
    <t>=IF(ISNUMBER(J15),1,0)</t>
  </si>
  <si>
    <t>=IF(AND(ISNUMBER(J15),OR(AR15="INHERITED ESTIMATE",AR15="CONFIRMED ESTIMATE")),1,0)</t>
  </si>
  <si>
    <t>AS15</t>
  </si>
  <si>
    <t>=IF(AM15=1,J15,"")</t>
  </si>
  <si>
    <t>AT15</t>
  </si>
  <si>
    <t>=IF(AND(AM15=1,ISNUMBER(R15)),R15,"")</t>
  </si>
  <si>
    <t>T16</t>
  </si>
  <si>
    <t>T-201. Isolated architecture test files only until each product owner consumes findings.</t>
  </si>
  <si>
    <t>AM16</t>
  </si>
  <si>
    <t>=IF(ISNUMBER(J16),1,0)</t>
  </si>
  <si>
    <t>=IF(AND(ISNUMBER(J16),OR(AR16="INHERITED ESTIMATE",AR16="CONFIRMED ESTIMATE")),1,0)</t>
  </si>
  <si>
    <t>AS16</t>
  </si>
  <si>
    <t>=IF(AM16=1,J16,"")</t>
  </si>
  <si>
    <t>AT16</t>
  </si>
  <si>
    <t>=IF(AND(AM16=1,ISNUMBER(R16)),R16,"")</t>
  </si>
  <si>
    <t>T17</t>
  </si>
  <si>
    <t>T-201. May run in parallel with T-206; no production DB migration/DI.</t>
  </si>
  <si>
    <t>AM17</t>
  </si>
  <si>
    <t>=IF(ISNUMBER(J17),1,0)</t>
  </si>
  <si>
    <t>=IF(AND(ISNUMBER(J17),OR(AR17="INHERITED ESTIMATE",AR17="CONFIRMED ESTIMATE")),1,0)</t>
  </si>
  <si>
    <t>AS17</t>
  </si>
  <si>
    <t>=IF(AM17=1,J17,"")</t>
  </si>
  <si>
    <t>AT17</t>
  </si>
  <si>
    <t>=IF(AND(AM17=1,ISNUMBER(R17)),R17,"")</t>
  </si>
  <si>
    <t>T18</t>
  </si>
  <si>
    <t>T-208 only; no production DB dependency.</t>
  </si>
  <si>
    <t>AM18</t>
  </si>
  <si>
    <t>=IF(ISNUMBER(J18),1,0)</t>
  </si>
  <si>
    <t>=IF(AND(ISNUMBER(J18),OR(AR18="INHERITED ESTIMATE",AR18="CONFIRMED ESTIMATE")),1,0)</t>
  </si>
  <si>
    <t>AS18</t>
  </si>
  <si>
    <t>=IF(AM18=1,J18,"")</t>
  </si>
  <si>
    <t>AT18</t>
  </si>
  <si>
    <t>=IF(AND(AM18=1,ISNUMBER(R18)),R18,"")</t>
  </si>
  <si>
    <t>T19</t>
  </si>
  <si>
    <t>T-209 + T-090. Complete before T-092 exposes measures and before T-211 integration.</t>
  </si>
  <si>
    <t>AM19</t>
  </si>
  <si>
    <t>=IF(ISNUMBER(J19),1,0)</t>
  </si>
  <si>
    <t>=IF(AND(ISNUMBER(J19),OR(AR19="INHERITED ESTIMATE",AR19="CONFIRMED ESTIMATE")),1,0)</t>
  </si>
  <si>
    <t>AS19</t>
  </si>
  <si>
    <t>=IF(AM19=1,J19,"")</t>
  </si>
  <si>
    <t>AT19</t>
  </si>
  <si>
    <t>=IF(AND(AM19=1,ISNUMBER(R19)),R19,"")</t>
  </si>
  <si>
    <t>T20</t>
  </si>
  <si>
    <t>T-208 fixture; no canonical DB dependency.</t>
  </si>
  <si>
    <t>AM20</t>
  </si>
  <si>
    <t>=IF(ISNUMBER(J20),1,0)</t>
  </si>
  <si>
    <t>=IF(AND(ISNUMBER(J20),OR(AR20="INHERITED ESTIMATE",AR20="CONFIRMED ESTIMATE")),1,0)</t>
  </si>
  <si>
    <t>AS20</t>
  </si>
  <si>
    <t>=IF(AM20=1,J20,"")</t>
  </si>
  <si>
    <t>AT20</t>
  </si>
  <si>
    <t>=IF(AND(AM20=1,ISNUMBER(R20)),R20,"")</t>
  </si>
  <si>
    <t>T21</t>
  </si>
  <si>
    <t>T-090 + committed T-209 contract.</t>
  </si>
  <si>
    <t>AM21</t>
  </si>
  <si>
    <t>=IF(ISNUMBER(J21),1,0)</t>
  </si>
  <si>
    <t>=IF(AND(ISNUMBER(J21),OR(AR21="INHERITED ESTIMATE",AR21="CONFIRMED ESTIMATE")),1,0)</t>
  </si>
  <si>
    <t>AS21</t>
  </si>
  <si>
    <t>=IF(AM21=1,J21,"")</t>
  </si>
  <si>
    <t>AT21</t>
  </si>
  <si>
    <t>=IF(AND(AM21=1,ISNUMBER(R21)),R21,"")</t>
  </si>
  <si>
    <t>T22</t>
  </si>
  <si>
    <t>T-205 CLOSED GREEN at b7fcc890. Two read-only adjudication extracts are sufficient; no third diagnostic runner. Build one corrective pack, run narrow tests, then one normal full frontend suite.</t>
  </si>
  <si>
    <t>AM22</t>
  </si>
  <si>
    <t>=IF(ISNUMBER(J22),1,0)</t>
  </si>
  <si>
    <t>=IF(AND(ISNUMBER(J22),OR(AR22="INHERITED ESTIMATE",AR22="CONFIRMED ESTIMATE")),1,0)</t>
  </si>
  <si>
    <t>AS22</t>
  </si>
  <si>
    <t>=IF(AM22=1,J22,"")</t>
  </si>
  <si>
    <t>AT22</t>
  </si>
  <si>
    <t>=IF(AND(AM22=1,ISNUMBER(R22)),R22,"")</t>
  </si>
  <si>
    <t>T23</t>
  </si>
  <si>
    <t>PAUSED AFTER MACHINE INSTALL/CENSUS. T-260 is the immediate blocker because the designated fresh certification DB was proven to be built from an incomplete canonical path. Do not adjudicate the current fresh-DB 106/81 queue. Resume T-251 only after T-260 rebuilds `ppiq_acceptance_empty` correctly and produces a new census.</t>
  </si>
  <si>
    <t>Y23</t>
  </si>
  <si>
    <t>7ba31f96f3810bdac734bd1850275a601503d34d</t>
  </si>
  <si>
    <t>Recover an explicitly supplied closure anchor, not a guessed commit.</t>
  </si>
  <si>
    <t>Pasted text(20260910-064052).txt lines139-146: CENTRAL states T-251 CLOSED GREEN7ba31f96f3810bdac734bd1850275a601503d34d; later T-245 preflight observes its catalogue changes.</t>
  </si>
  <si>
    <t>AM23</t>
  </si>
  <si>
    <t>=IF(ISNUMBER(J23),1,0)</t>
  </si>
  <si>
    <t>=IF(AND(ISNUMBER(J23),OR(AR23="INHERITED ESTIMATE",AR23="CONFIRMED ESTIMATE")),1,0)</t>
  </si>
  <si>
    <t>AP23</t>
  </si>
  <si>
    <t>Original catalogue closure explicitly frozen by CENTRAL. Retain Done; later catalogue/build changes do not retroactively erase this producer closure. Pasted text(20260910-064052).txt lines139-146: CENTRAL states T-251 CLOSED GREEN7ba31f96f3810bdac734bd1850275a601503d34d; later T-245 preflight observes its catalogue changes.</t>
  </si>
  <si>
    <t>Restore omitted historical closure evidence.</t>
  </si>
  <si>
    <t>AS23</t>
  </si>
  <si>
    <t>=IF(AM23=1,J23,"")</t>
  </si>
  <si>
    <t>AT23</t>
  </si>
  <si>
    <t>=IF(AND(AM23=1,ISNUMBER(R23)),R23,"")</t>
  </si>
  <si>
    <t>T24</t>
  </si>
  <si>
    <t>P1 PROMOTION IN v2.20.0 — start immediately after T-251 closes. Certification infrastructure must stop touching shared/live databases before further database/runtime closure work. One task, one disposable-DB lifecycle; no mutation of ppiq_app/ppiq_presentation as fixtures.</t>
  </si>
  <si>
    <t>AM24</t>
  </si>
  <si>
    <t>=IF(ISNUMBER(J24),1,0)</t>
  </si>
  <si>
    <t>=IF(AND(ISNUMBER(J24),OR(AR24="INHERITED ESTIMATE",AR24="CONFIRMED ESTIMATE")),1,0)</t>
  </si>
  <si>
    <t>AS24</t>
  </si>
  <si>
    <t>=IF(AM24=1,J24,"")</t>
  </si>
  <si>
    <t>AT24</t>
  </si>
  <si>
    <t>=IF(AND(AM24=1,ISNUMBER(R24)),R24,"")</t>
  </si>
  <si>
    <t>T25</t>
  </si>
  <si>
    <t>Worker-1 local P1 sequence is T-251 → T-259 → T-252. T-256 starts only when BOTH T-252 and Worker-2 T-253 are CLOSED GREEN. If T-252 finishes first and T-253 is still open, STOP and return to CENTRAL for a disjoint Worker-1 lane; do not start T-256 partially and do not duplicate the projection-target predicate.</t>
  </si>
  <si>
    <t>Y25</t>
  </si>
  <si>
    <t>36de9370</t>
  </si>
  <si>
    <t>T-262 terminal closure identifies its parent as T-256; preserve short evidence only.</t>
  </si>
  <si>
    <t>Pasted text(20260912-074928).txt | lines1229-1243; T-262 GREEN committed86e1b677212195f191697ecdca7e9441b3dbde33; parent36de9370; live definition-store integration explicitly unexecuted.</t>
  </si>
  <si>
    <t>AM25</t>
  </si>
  <si>
    <t>=IF(ISNUMBER(J25),1,0)</t>
  </si>
  <si>
    <t>=IF(AND(ISNUMBER(J25),OR(AR25="INHERITED ESTIMATE",AR25="CONFIRMED ESTIMATE")),1,0)</t>
  </si>
  <si>
    <t>AP25</t>
  </si>
  <si>
    <t>Inherited accepted Done state retained. T-262's terminal summary identifies parent36de9370 as T-256. This corroborates a commit anchor, not a rerun of T-256 gates. Pasted text(20260912-074928).txt | lines1229-1243; T-262 GREEN committed86e1b677212195f191697ecdca7e9441b3dbde33; parent36de9370; live definition-store integration explicitly unexecuted.</t>
  </si>
  <si>
    <t>Separate short ancestry corroboration from full task runtime proof.</t>
  </si>
  <si>
    <t>AS25</t>
  </si>
  <si>
    <t>=IF(AM25=1,J25,"")</t>
  </si>
  <si>
    <t>AT25</t>
  </si>
  <si>
    <t>=IF(AND(AM25=1,ISNUMBER(R25)),R25,"")</t>
  </si>
  <si>
    <t>T26</t>
  </si>
  <si>
    <t>Worker-1 P1 sequence is now T-251 → T-259 → T-252 → T-256. Start only after T-251 closes; contract-only bounded task.</t>
  </si>
  <si>
    <t>AM26</t>
  </si>
  <si>
    <t>=IF(ISNUMBER(J26),1,0)</t>
  </si>
  <si>
    <t>=IF(AND(ISNUMBER(J26),OR(AR26="INHERITED ESTIMATE",AR26="CONFIRMED ESTIMATE")),1,0)</t>
  </si>
  <si>
    <t>AS26</t>
  </si>
  <si>
    <t>=IF(AM26=1,J26,"")</t>
  </si>
  <si>
    <t>AT26</t>
  </si>
  <si>
    <t>=IF(AND(AM26=1,ISNUMBER(R26)),R26,"")</t>
  </si>
  <si>
    <t>T27</t>
  </si>
  <si>
    <t>START NOW as the narrow blocker discovered by T-251. Pause catalogue adjudication; do not hand-classify the current 106/81 fresh-DB queue. Build/fix the canonical acceptance DB first, then resume T-251 on the corrected census.</t>
  </si>
  <si>
    <t>AM27</t>
  </si>
  <si>
    <t>=IF(ISNUMBER(J27),1,0)</t>
  </si>
  <si>
    <t>=IF(AND(ISNUMBER(J27),OR(AR27="INHERITED ESTIMATE",AR27="CONFIRMED ESTIMATE")),1,0)</t>
  </si>
  <si>
    <t>AS27</t>
  </si>
  <si>
    <t>=IF(AM27=1,J27,"")</t>
  </si>
  <si>
    <t>AT27</t>
  </si>
  <si>
    <t>=IF(AND(AM27=1,ISNUMBER(R27)),R27,"")</t>
  </si>
  <si>
    <t>T28</t>
  </si>
  <si>
    <t>WAIT for Presentation RC freeze/tag + clean index/worktree. Then: T-057 M1 relationship contract + T-089 + T-090 + T-094.</t>
  </si>
  <si>
    <t>AM28</t>
  </si>
  <si>
    <t>=IF(ISNUMBER(J28),1,0)</t>
  </si>
  <si>
    <t>=IF(AND(ISNUMBER(J28),OR(AR28="INHERITED ESTIMATE",AR28="CONFIRMED ESTIMATE")),1,0)</t>
  </si>
  <si>
    <t>AS28</t>
  </si>
  <si>
    <t>=IF(AM28=1,J28,"")</t>
  </si>
  <si>
    <t>AT28</t>
  </si>
  <si>
    <t>=IF(AND(AM28=1,ISNUMBER(R28)),R28,"")</t>
  </si>
  <si>
    <t>T29</t>
  </si>
  <si>
    <t>WAIT for Presentation RC freeze/tag + clean index/worktree. Then: T-095 canonical relationship publication/model complete.</t>
  </si>
  <si>
    <t>AM29</t>
  </si>
  <si>
    <t>=IF(ISNUMBER(J29),1,0)</t>
  </si>
  <si>
    <t>=IF(AND(ISNUMBER(J29),OR(AR29="INHERITED ESTIMATE",AR29="CONFIRMED ESTIMATE")),1,0)</t>
  </si>
  <si>
    <t>AS29</t>
  </si>
  <si>
    <t>=IF(AM29=1,J29,"")</t>
  </si>
  <si>
    <t>AT29</t>
  </si>
  <si>
    <t>=IF(AND(AM29=1,ISNUMBER(R29)),R29,"")</t>
  </si>
  <si>
    <t>T30</t>
  </si>
  <si>
    <t>WAIT for Presentation RC freeze/tag + clean index/worktree. Then: T-096 first resolver consumers green.</t>
  </si>
  <si>
    <t>AM30</t>
  </si>
  <si>
    <t>=IF(ISNUMBER(J30),1,0)</t>
  </si>
  <si>
    <t>=IF(AND(ISNUMBER(J30),OR(AR30="INHERITED ESTIMATE",AR30="CONFIRMED ESTIMATE")),1,0)</t>
  </si>
  <si>
    <t>AS30</t>
  </si>
  <si>
    <t>=IF(AM30=1,J30,"")</t>
  </si>
  <si>
    <t>AT30</t>
  </si>
  <si>
    <t>=IF(AND(AM30=1,ISNUMBER(R30)),R30,"")</t>
  </si>
  <si>
    <t>T31</t>
  </si>
  <si>
    <t>WAIT for Presentation RC freeze/tag + clean index/worktree. Then: T-060 M1 C6 surface + T-095 + T-096 + T-097.</t>
  </si>
  <si>
    <t>Use the accepted M1 regression baseline; require empty index and clean owned paths, preserving unrelated user work. Then: T-060 M1 C6 surface + T-095 + T-096 + T-097.</t>
  </si>
  <si>
    <t>Historical Presentation RC is not a new blocking workstream; preserve explicit producer requirements and clean-tree safety.</t>
  </si>
  <si>
    <t>Current M2 scope; original T-086 baseline retained; Pasted text(20260910-105308).txt shows ancestry with unrelated non-product dirt retained.</t>
  </si>
  <si>
    <t>AM31</t>
  </si>
  <si>
    <t>=IF(ISNUMBER(J31),1,0)</t>
  </si>
  <si>
    <t>=IF(AND(ISNUMBER(J31),OR(AR31="INHERITED ESTIMATE",AR31="CONFIRMED ESTIMATE")),1,0)</t>
  </si>
  <si>
    <t>AS31</t>
  </si>
  <si>
    <t>=IF(AM31=1,J31,"")</t>
  </si>
  <si>
    <t>AT31</t>
  </si>
  <si>
    <t>=IF(AND(AM31=1,ISNUMBER(R31)),R31,"")</t>
  </si>
  <si>
    <t>T32</t>
  </si>
  <si>
    <t>WAIT for Presentation RC freeze/tag + clean index/worktree. Then: T-087 canonical staging schema + T-089/T-090 definition_versions authority.</t>
  </si>
  <si>
    <t>AM32</t>
  </si>
  <si>
    <t>=IF(ISNUMBER(J32),1,0)</t>
  </si>
  <si>
    <t>=IF(AND(ISNUMBER(J32),OR(AR32="INHERITED ESTIMATE",AR32="CONFIRMED ESTIMATE")),1,0)</t>
  </si>
  <si>
    <t>AO32</t>
  </si>
  <si>
    <t>CLOSED GREEN / COMMITTED — FINAL TRANSCRIPT CORROBORATED</t>
  </si>
  <si>
    <t>No reopening and no release-wide claim.</t>
  </si>
  <si>
    <t>Pasted text(20260914-134548).txt | lines430-450; final gatesQ/R; COMMITca02b40ea1b69050a45cb35a3e1d64f15b1f66af; PARENT86e1b677212195f191697ecdca7e9441b3dbde33; live49/49, catalogue5/5, owned19/19; not release-wideGREEN.</t>
  </si>
  <si>
    <t>AP32</t>
  </si>
  <si>
    <t>Final executed terminal transcript corroborates the owner-reported closure: 49/49 live,5/5 catalogue,19/19 owned;6/6 disposable DBs dropped;0survivors. GateO900=899passed+1exact inheritedDefinitionKindRED. Exact staging and one semantic commit proven. No live rerun performed in this review; no release-wideGREEN. Pasted text(20260914-134548).txt | lines430-450; final gatesQ/R; COMMITca02b40ea1b69050a45cb35a3e1d64f15b1f66af; PARENT86e1b677212195f191697ecdca7e9441b3dbde33; live49/49, catalogue5/5, owned19/19; not release-wideGREEN.</t>
  </si>
  <si>
    <t>Upgrade attribution from owner summary only to an available executed transcript; preserve SHA,parent,status and caveat.</t>
  </si>
  <si>
    <t>AS32</t>
  </si>
  <si>
    <t>=IF(AM32=1,J32,"")</t>
  </si>
  <si>
    <t>AT32</t>
  </si>
  <si>
    <t>=IF(AND(AM32=1,ISNUMBER(R32)),R32,"")</t>
  </si>
  <si>
    <t>T33</t>
  </si>
  <si>
    <t>WAIT for Presentation RC freeze/tag + clean index/worktree. Then: T-099 canonical quarantine table/API and first eight PV classes.</t>
  </si>
  <si>
    <t>Use the accepted M1 regression baseline; require empty index and clean owned paths, preserving unrelated user work. Then: T-099 canonical quarantine table/API and first eight PV classes.</t>
  </si>
  <si>
    <t>AM33</t>
  </si>
  <si>
    <t>=IF(ISNUMBER(J33),1,0)</t>
  </si>
  <si>
    <t>=IF(AND(ISNUMBER(J33),OR(AR33="INHERITED ESTIMATE",AR33="CONFIRMED ESTIMATE")),1,0)</t>
  </si>
  <si>
    <t>AS33</t>
  </si>
  <si>
    <t>=IF(AM33=1,J33,"")</t>
  </si>
  <si>
    <t>AT33</t>
  </si>
  <si>
    <t>=IF(AND(AM33=1,ISNUMBER(R33)),R33,"")</t>
  </si>
  <si>
    <t>T34</t>
  </si>
  <si>
    <t>WAIT for Presentation RC freeze/tag + clean index/worktree. Then: T-061 final M1 API/page contract + T-099 + T-100 canonical quarantine impleme...</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</si>
  <si>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T-061 final M1 API/page contract + T-099 + T-100 canonical quarantine impleme...</t>
  </si>
  <si>
    <t>Do not silently complete truncated engineering requirements.</t>
  </si>
  <si>
    <t>Literal trailing ellipsis in original Backlog columnT; original preserved.</t>
  </si>
  <si>
    <t>AJ34</t>
  </si>
  <si>
    <t>RE-ESTIMATE REQUIRED — J/R retain the prior-scope figures for traceability; excluded from usable planning totals. New full-scope and remaining-work estimates are not supplied.</t>
  </si>
  <si>
    <t>Preserve historical figures without presenting them as current widened-scope estimates.</t>
  </si>
  <si>
    <t>Current row explicitly records a v2.22 scope change.</t>
  </si>
  <si>
    <t>AM34</t>
  </si>
  <si>
    <t>=IF(ISNUMBER(J34),1,0)</t>
  </si>
  <si>
    <t>=IF(AND(ISNUMBER(J34),OR(AR34="INHERITED ESTIMATE",AR34="CONFIRMED ESTIMATE")),1,0)</t>
  </si>
  <si>
    <t>AR34</t>
  </si>
  <si>
    <t>AJ already declares changed scope; AR and totals must reflect that.</t>
  </si>
  <si>
    <t>Backlog!AJ34 vs AR34</t>
  </si>
  <si>
    <t>AS34</t>
  </si>
  <si>
    <t>=IF(AM34=1,J34,"")</t>
  </si>
  <si>
    <t>AT34</t>
  </si>
  <si>
    <t>=IF(AND(AM34=1,ISNUMBER(R34)),R34,"")</t>
  </si>
  <si>
    <t>T35</t>
  </si>
  <si>
    <t>WAIT for Presentation RC freeze/tag + clean index/worktree. Then: T-087 canonical plant schema + T-095 relationship/material identity authority.</t>
  </si>
  <si>
    <t>Use the accepted M1 regression baseline; require empty index and clean owned paths, preserving unrelated user work. Then: T-087 canonical plant schema + T-095 relationship/material identity authority.</t>
  </si>
  <si>
    <t>AM35</t>
  </si>
  <si>
    <t>=IF(ISNUMBER(J35),1,0)</t>
  </si>
  <si>
    <t>=IF(AND(ISNUMBER(J35),OR(AR35="INHERITED ESTIMATE",AR35="CONFIRMED ESTIMATE")),1,0)</t>
  </si>
  <si>
    <t>AS35</t>
  </si>
  <si>
    <t>=IF(AM35=1,J35,"")</t>
  </si>
  <si>
    <t>AT35</t>
  </si>
  <si>
    <t>=IF(AND(AM35=1,ISNUMBER(R35)),R35,"")</t>
  </si>
  <si>
    <t>T36</t>
  </si>
  <si>
    <t>WAIT for Presentation RC freeze/tag + clean index/worktree. Then: T-095 + T-102 canonical relationship/identity authority.</t>
  </si>
  <si>
    <t>Use the accepted M1 regression baseline; require empty index and clean owned paths, preserving unrelated user work. Then: T-095 + T-102 canonical relationship/identity authority.</t>
  </si>
  <si>
    <t>AJ36</t>
  </si>
  <si>
    <t>AM36</t>
  </si>
  <si>
    <t>=IF(ISNUMBER(J36),1,0)</t>
  </si>
  <si>
    <t>=IF(AND(ISNUMBER(J36),OR(AR36="INHERITED ESTIMATE",AR36="CONFIRMED ESTIMATE")),1,0)</t>
  </si>
  <si>
    <t>AR36</t>
  </si>
  <si>
    <t>Backlog!AJ36 vs AR36</t>
  </si>
  <si>
    <t>AS36</t>
  </si>
  <si>
    <t>=IF(AM36=1,J36,"")</t>
  </si>
  <si>
    <t>AT36</t>
  </si>
  <si>
    <t>=IF(AND(AM36=1,ISNUMBER(R36)),R36,"")</t>
  </si>
  <si>
    <t>T37</t>
  </si>
  <si>
    <t>WAIT for Presentation RC freeze/tag + clean index/worktree. Then: T-090 canonical versioned mapping definitions + T-095 relationship authority ...</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</si>
  <si>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T-090 canonical versioned mapping definitions + T-095 relationship authority ...</t>
  </si>
  <si>
    <t>AJ37</t>
  </si>
  <si>
    <t>AM37</t>
  </si>
  <si>
    <t>=IF(ISNUMBER(J37),1,0)</t>
  </si>
  <si>
    <t>=IF(AND(ISNUMBER(J37),OR(AR37="INHERITED ESTIMATE",AR37="CONFIRMED ESTIMATE")),1,0)</t>
  </si>
  <si>
    <t>AR37</t>
  </si>
  <si>
    <t>Backlog!AJ37 vs AR37</t>
  </si>
  <si>
    <t>AS37</t>
  </si>
  <si>
    <t>=IF(AM37=1,J37,"")</t>
  </si>
  <si>
    <t>AT37</t>
  </si>
  <si>
    <t>=IF(AND(AM37=1,ISNUMBER(R37)),R37,"")</t>
  </si>
  <si>
    <t>Y38</t>
  </si>
  <si>
    <t>8b3eb5c89352a2779d87f9205700f19e7c9b3e25; a5451dbaf6b55183fe65e2c626c49fdef85bd986</t>
  </si>
  <si>
    <t>Exact full commits recovered from the final corrective transcript.</t>
  </si>
  <si>
    <t>Pasted text(20260910-102642).txt | lines244-261, T-106 FINAL RESULT: corrective COMMITTED GREEN a5451dbaf6b55183fe65e2c626c49fdef85bd986; foundation8b3eb5c89352a2779d87f9205700f19e7c9b3e25;22corrective,26foundation,84target-regression,15architecture tests;24owned paths;CENTRAL freeze after review.</t>
  </si>
  <si>
    <t>AI38</t>
  </si>
  <si>
    <t>Original corrective run returned GREEN with22 corrective,26 foundation,84 target-regression and15 architecture tests in24 owned paths;CENTRAL freeze after review. Later v2.22 schedule/cancel/freshness/outcome-truth scope is not closed by a10Sep run. Pasted text(20260910-102642).txt | lines244-261, T-106 FINAL RESULT: corrective COMMITTED GREEN a5451dbaf6b55183fe65e2c626c49fdef85bd986; foundation8b3eb5c89352a2779d87f9205700f19e7c9b3e25;22corrective,26foundation,84target-regression,15architecture tests;24owned paths;CENTRAL freeze after review.</t>
  </si>
  <si>
    <t>Keep capability evidence consistent with the recovered final output.</t>
  </si>
  <si>
    <t>AM38</t>
  </si>
  <si>
    <t>=IF(ISNUMBER(J38),1,0)</t>
  </si>
  <si>
    <t>=IF(AND(ISNUMBER(J38),OR(AR38="INHERITED ESTIMATE",AR38="CONFIRMED ESTIMATE")),1,0)</t>
  </si>
  <si>
    <t>AO38</t>
  </si>
  <si>
    <t>BASELINE COMMITS PROVEN; CURRENT WIDENED ACCEPTANCE OPEN</t>
  </si>
  <si>
    <t>Separate historical producer evidence from current outstanding scope.</t>
  </si>
  <si>
    <t>Pasted text(20260910-105308).txt | executed preflight at 2026-09-10 13:30:05, lines39-58; T-243 closure 6f65bba1 is an ancestor; T-106 a5451dba and 8b3eb5c8 also ancestors.</t>
  </si>
  <si>
    <t>AP38</t>
  </si>
  <si>
    <t>Do not lose a real committed baseline or promote it to closure of later scope.</t>
  </si>
  <si>
    <t>AS38</t>
  </si>
  <si>
    <t>=IF(AM38=1,J38,"")</t>
  </si>
  <si>
    <t>AT38</t>
  </si>
  <si>
    <t>=IF(AND(AM38=1,ISNUMBER(R38)),R38,"")</t>
  </si>
  <si>
    <t>T39</t>
  </si>
  <si>
    <t>WAIT for Presentation RC freeze/tag + clean index/worktree. Then: T-106 canonical job contract + T-095..T-105 canonical data/relationship path;...</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</si>
  <si>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canonical job contract + T-095..T-105 canonical data/relationship path;...</t>
  </si>
  <si>
    <t>AM39</t>
  </si>
  <si>
    <t>=IF(ISNUMBER(J39),1,0)</t>
  </si>
  <si>
    <t>=IF(AND(ISNUMBER(J39),OR(AR39="INHERITED ESTIMATE",AR39="CONFIRMED ESTIMATE")),1,0)</t>
  </si>
  <si>
    <t>AS39</t>
  </si>
  <si>
    <t>=IF(AM39=1,J39,"")</t>
  </si>
  <si>
    <t>AT39</t>
  </si>
  <si>
    <t>=IF(AND(AM39=1,ISNUMBER(R39)),R39,"")</t>
  </si>
  <si>
    <t>AM40</t>
  </si>
  <si>
    <t>=IF(ISNUMBER(J40),1,0)</t>
  </si>
  <si>
    <t>=IF(AND(ISNUMBER(J40),OR(AR40="INHERITED ESTIMATE",AR40="CONFIRMED ESTIMATE")),1,0)</t>
  </si>
  <si>
    <t>AS40</t>
  </si>
  <si>
    <t>=IF(AM40=1,J40,"")</t>
  </si>
  <si>
    <t>AT40</t>
  </si>
  <si>
    <t>=IF(AND(AM40=1,ISNUMBER(R40)),R40,"")</t>
  </si>
  <si>
    <t>T41</t>
  </si>
  <si>
    <t>WAIT for Presentation RC freeze/tag + clean index/worktree. Then: T-095..T-105; T-108</t>
  </si>
  <si>
    <t>Use the accepted M1 regression baseline; require empty index and clean owned paths, preserving unrelated user work. Then: T-095..T-105; T-108</t>
  </si>
  <si>
    <t>AM41</t>
  </si>
  <si>
    <t>=IF(ISNUMBER(J41),1,0)</t>
  </si>
  <si>
    <t>=IF(AND(ISNUMBER(J41),OR(AR41="INHERITED ESTIMATE",AR41="CONFIRMED ESTIMATE")),1,0)</t>
  </si>
  <si>
    <t>AS41</t>
  </si>
  <si>
    <t>=IF(AM41=1,J41,"")</t>
  </si>
  <si>
    <t>AT41</t>
  </si>
  <si>
    <t>=IF(AND(AM41=1,ISNUMBER(R41)),R41,"")</t>
  </si>
  <si>
    <t>T42</t>
  </si>
  <si>
    <t>T-201. Does not implement production OPC; truth-corrects the current connector contract only.</t>
  </si>
  <si>
    <t>AM42</t>
  </si>
  <si>
    <t>=IF(ISNUMBER(J42),1,0)</t>
  </si>
  <si>
    <t>=IF(AND(ISNUMBER(J42),OR(AR42="INHERITED ESTIMATE",AR42="CONFIRMED ESTIMATE")),1,0)</t>
  </si>
  <si>
    <t>AS42</t>
  </si>
  <si>
    <t>=IF(AM42=1,J42,"")</t>
  </si>
  <si>
    <t>AT42</t>
  </si>
  <si>
    <t>=IF(AND(AM42=1,ISNUMBER(R42)),R42,"")</t>
  </si>
  <si>
    <t>AM43</t>
  </si>
  <si>
    <t>=IF(ISNUMBER(J43),1,0)</t>
  </si>
  <si>
    <t>=IF(AND(ISNUMBER(J43),OR(AR43="INHERITED ESTIMATE",AR43="CONFIRMED ESTIMATE")),1,0)</t>
  </si>
  <si>
    <t>AS43</t>
  </si>
  <si>
    <t>=IF(AM43=1,J43,"")</t>
  </si>
  <si>
    <t>AT43</t>
  </si>
  <si>
    <t>=IF(AND(AM43=1,ISNUMBER(R43)),R43,"")</t>
  </si>
  <si>
    <t>T44</t>
  </si>
  <si>
    <t>External gate: customer data structure received (expected 2-Sep-2026) + T-201/T-206 green.</t>
  </si>
  <si>
    <t>AM44</t>
  </si>
  <si>
    <t>=IF(ISNUMBER(J44),1,0)</t>
  </si>
  <si>
    <t>=IF(AND(ISNUMBER(J44),OR(AR44="INHERITED ESTIMATE",AR44="CONFIRMED ESTIMATE")),1,0)</t>
  </si>
  <si>
    <t>AS44</t>
  </si>
  <si>
    <t>=IF(AM44=1,J44,"")</t>
  </si>
  <si>
    <t>AT44</t>
  </si>
  <si>
    <t>=IF(AND(AM44=1,ISNUMBER(R44)),R44,"")</t>
  </si>
  <si>
    <t>AM45</t>
  </si>
  <si>
    <t>=IF(ISNUMBER(J45),1,0)</t>
  </si>
  <si>
    <t>=IF(AND(ISNUMBER(J45),OR(AR45="INHERITED ESTIMATE",AR45="CONFIRMED ESTIMATE")),1,0)</t>
  </si>
  <si>
    <t>AS45</t>
  </si>
  <si>
    <t>=IF(AM45=1,J45,"")</t>
  </si>
  <si>
    <t>AT45</t>
  </si>
  <si>
    <t>=IF(AND(AM45=1,ISNUMBER(R45)),R45,"")</t>
  </si>
  <si>
    <t>AM46</t>
  </si>
  <si>
    <t>=IF(ISNUMBER(J46),1,0)</t>
  </si>
  <si>
    <t>=IF(AND(ISNUMBER(J46),OR(AR46="INHERITED ESTIMATE",AR46="CONFIRMED ESTIMATE")),1,0)</t>
  </si>
  <si>
    <t>AS46</t>
  </si>
  <si>
    <t>=IF(AM46=1,J46,"")</t>
  </si>
  <si>
    <t>AT46</t>
  </si>
  <si>
    <t>=IF(AND(AM46=1,ISNUMBER(R46)),R46,"")</t>
  </si>
  <si>
    <t>AM47</t>
  </si>
  <si>
    <t>=IF(ISNUMBER(J47),1,0)</t>
  </si>
  <si>
    <t>=IF(AND(ISNUMBER(J47),OR(AR47="INHERITED ESTIMATE",AR47="CONFIRMED ESTIMATE")),1,0)</t>
  </si>
  <si>
    <t>AS47</t>
  </si>
  <si>
    <t>=IF(AM47=1,J47,"")</t>
  </si>
  <si>
    <t>AT47</t>
  </si>
  <si>
    <t>=IF(AND(AM47=1,ISNUMBER(R47)),R47,"")</t>
  </si>
  <si>
    <t>AM48</t>
  </si>
  <si>
    <t>=IF(ISNUMBER(J48),1,0)</t>
  </si>
  <si>
    <t>=IF(AND(ISNUMBER(J48),OR(AR48="INHERITED ESTIMATE",AR48="CONFIRMED ESTIMATE")),1,0)</t>
  </si>
  <si>
    <t>AS48</t>
  </si>
  <si>
    <t>=IF(AM48=1,J48,"")</t>
  </si>
  <si>
    <t>AT48</t>
  </si>
  <si>
    <t>=IF(AND(AM48=1,ISNUMBER(R48)),R48,"")</t>
  </si>
  <si>
    <t>AM49</t>
  </si>
  <si>
    <t>=IF(ISNUMBER(J49),1,0)</t>
  </si>
  <si>
    <t>=IF(AND(ISNUMBER(J49),OR(AR49="INHERITED ESTIMATE",AR49="CONFIRMED ESTIMATE")),1,0)</t>
  </si>
  <si>
    <t>AS49</t>
  </si>
  <si>
    <t>=IF(AM49=1,J49,"")</t>
  </si>
  <si>
    <t>AT49</t>
  </si>
  <si>
    <t>=IF(AND(AM49=1,ISNUMBER(R49)),R49,"")</t>
  </si>
  <si>
    <t>AJ50</t>
  </si>
  <si>
    <t>AM50</t>
  </si>
  <si>
    <t>=IF(ISNUMBER(J50),1,0)</t>
  </si>
  <si>
    <t>=IF(AND(ISNUMBER(J50),OR(AR50="INHERITED ESTIMATE",AR50="CONFIRMED ESTIMATE")),1,0)</t>
  </si>
  <si>
    <t>AR50</t>
  </si>
  <si>
    <t>Backlog!AJ50 vs AR50</t>
  </si>
  <si>
    <t>AS50</t>
  </si>
  <si>
    <t>=IF(AM50=1,J50,"")</t>
  </si>
  <si>
    <t>AT50</t>
  </si>
  <si>
    <t>=IF(AND(AM50=1,ISNUMBER(R50)),R50,"")</t>
  </si>
  <si>
    <t>T51</t>
  </si>
  <si>
    <t>CLOSED — Release-1 Canvas prerequisite. Preserve evidence; do not reopen absent contradictory regression evidence.</t>
  </si>
  <si>
    <t>AM51</t>
  </si>
  <si>
    <t>=IF(ISNUMBER(J51),1,0)</t>
  </si>
  <si>
    <t>=IF(AND(ISNUMBER(J51),OR(AR51="INHERITED ESTIMATE",AR51="CONFIRMED ESTIMATE")),1,0)</t>
  </si>
  <si>
    <t>AS51</t>
  </si>
  <si>
    <t>=IF(AM51=1,J51,"")</t>
  </si>
  <si>
    <t>AT51</t>
  </si>
  <si>
    <t>=IF(AND(AM51=1,ISNUMBER(R51)),R51,"")</t>
  </si>
  <si>
    <t>T52</t>
  </si>
  <si>
    <t>Release 1 MUST — execute after T-241 and T-210; must close before T-243/T-247.</t>
  </si>
  <si>
    <t>AM52</t>
  </si>
  <si>
    <t>=IF(ISNUMBER(J52),1,0)</t>
  </si>
  <si>
    <t>=IF(AND(ISNUMBER(J52),OR(AR52="INHERITED ESTIMATE",AR52="CONFIRMED ESTIMATE")),1,0)</t>
  </si>
  <si>
    <t>AS52</t>
  </si>
  <si>
    <t>=IF(AM52=1,J52,"")</t>
  </si>
  <si>
    <t>AT52</t>
  </si>
  <si>
    <t>=IF(AND(AM52=1,ISNUMBER(R52)),R52,"")</t>
  </si>
  <si>
    <t>Y53</t>
  </si>
  <si>
    <t>6f65bba1</t>
  </si>
  <si>
    <t>Replace missing/incorrect commit evidence with retrieved source; short hashes remain short.</t>
  </si>
  <si>
    <t>AI53</t>
  </si>
  <si>
    <t>Executed ancestry proves the original board/history/reopen closure. Later v2.22 transactional relationship publication remains a separate outstanding acceptance slice. Do not reimplement the saved-board baseline. Exact full SHA/date not recovered. Pasted text(20260910-105308).txt | executed preflight at 2026-09-10 13:30:05, lines39-58; T-243 closure 6f65bba1 is an ancestor; T-106 a5451dba and 8b3eb5c8 also ancestors.</t>
  </si>
  <si>
    <t>Capability/task evidence must not continue saying the source is only present.</t>
  </si>
  <si>
    <t>AJ53</t>
  </si>
  <si>
    <t>AM53</t>
  </si>
  <si>
    <t>=IF(ISNUMBER(J53),1,0)</t>
  </si>
  <si>
    <t>=IF(AND(ISNUMBER(J53),OR(AR53="INHERITED ESTIMATE",AR53="CONFIRMED ESTIMATE")),1,0)</t>
  </si>
  <si>
    <t>AO53</t>
  </si>
  <si>
    <t>BASELINE CLOSED; RELATIONSHIP-PUBLICATION EXTENSION UNPROVEN</t>
  </si>
  <si>
    <t>AP53</t>
  </si>
  <si>
    <t>State exactly what the retrieved evidence proves and does not prove.</t>
  </si>
  <si>
    <t>AR53</t>
  </si>
  <si>
    <t>Backlog!AJ53 vs AR53</t>
  </si>
  <si>
    <t>AS53</t>
  </si>
  <si>
    <t>=IF(AM53=1,J53,"")</t>
  </si>
  <si>
    <t>AT53</t>
  </si>
  <si>
    <t>=IF(AND(AM53=1,ISNUMBER(R53)),R53,"")</t>
  </si>
  <si>
    <t>T54</t>
  </si>
  <si>
    <t>AM54</t>
  </si>
  <si>
    <t>=IF(ISNUMBER(J54),1,0)</t>
  </si>
  <si>
    <t>=IF(AND(ISNUMBER(J54),OR(AR54="INHERITED ESTIMATE",AR54="CONFIRMED ESTIMATE")),1,0)</t>
  </si>
  <si>
    <t>AS54</t>
  </si>
  <si>
    <t>=IF(AM54=1,J54,"")</t>
  </si>
  <si>
    <t>AT54</t>
  </si>
  <si>
    <t>=IF(AND(AM54=1,ISNUMBER(R54)),R54,"")</t>
  </si>
  <si>
    <t>AM55</t>
  </si>
  <si>
    <t>=IF(ISNUMBER(J55),1,0)</t>
  </si>
  <si>
    <t>=IF(AND(ISNUMBER(J55),OR(AR55="INHERITED ESTIMATE",AR55="CONFIRMED ESTIMATE")),1,0)</t>
  </si>
  <si>
    <t>AO55</t>
  </si>
  <si>
    <t>PREFLIGHT EXECUTED; IMPLEMENTATION NOT STARTED / BLOCKED</t>
  </si>
  <si>
    <t>Read-only T-245 preflight is not implementation or closure.</t>
  </si>
  <si>
    <t>AS55</t>
  </si>
  <si>
    <t>=IF(AM55=1,J55,"")</t>
  </si>
  <si>
    <t>AT55</t>
  </si>
  <si>
    <t>=IF(AND(AM55=1,ISNUMBER(R55)),R55,"")</t>
  </si>
  <si>
    <t>AM56</t>
  </si>
  <si>
    <t>=IF(ISNUMBER(J56),1,0)</t>
  </si>
  <si>
    <t>=IF(AND(ISNUMBER(J56),OR(AR56="INHERITED ESTIMATE",AR56="CONFIRMED ESTIMATE")),1,0)</t>
  </si>
  <si>
    <t>AS56</t>
  </si>
  <si>
    <t>=IF(AM56=1,J56,"")</t>
  </si>
  <si>
    <t>AT56</t>
  </si>
  <si>
    <t>=IF(AND(AM56=1,ISNUMBER(R56)),R56,"")</t>
  </si>
  <si>
    <t>T57</t>
  </si>
  <si>
    <t>CURRENT / IN PROGRESS. Measured current main HEAD is `aa57a503` (T-242) and there is zero T-243 product-source work. T-243 is therefore reset to Not Started and will begin fresh after T-253. Before authoring, run `git merge-base --is-ancestor 4d32c6b10b4605aeb6e0705ad03537d563125652 HEAD`; continue only on exit 0. Unrelated Documentation/audit dirt may remain unstaged, but all T-253 owned product paths must be clean and the commit must stage only owned paths. Rename the untracked task-number preflight script to a semantic filename before any commit.</t>
  </si>
  <si>
    <t>AM57</t>
  </si>
  <si>
    <t>=IF(ISNUMBER(J57),1,0)</t>
  </si>
  <si>
    <t>=IF(AND(ISNUMBER(J57),OR(AR57="INHERITED ESTIMATE",AR57="CONFIRMED ESTIMATE")),1,0)</t>
  </si>
  <si>
    <t>AS57</t>
  </si>
  <si>
    <t>=IF(AM57=1,J57,"")</t>
  </si>
  <si>
    <t>AT57</t>
  </si>
  <si>
    <t>=IF(AND(AM57=1,ISNUMBER(R57)),R57,"")</t>
  </si>
  <si>
    <t>K58</t>
  </si>
  <si>
    <t>Original delivery is closed; current widened task is partially delivered, not wholly Not Started. No claim that the new extension has started.</t>
  </si>
  <si>
    <t>Pasted text(20260910-064052).txt | T-254 CLOSED GREEN/FROZEN section; f8a35725c9b0d7fb5a0515c0103a72807a704a97. Historical frontend/website scope, not later backend-list extension.</t>
  </si>
  <si>
    <t>T58</t>
  </si>
  <si>
    <t>Start after T-253/T-243 checkpoint or while waiting for T-106, on disjoint DB-configuration/website truth files.</t>
  </si>
  <si>
    <t>Original UI/website convergence is frozen at f8a35725. Only the v2.22 backend-provider-authority delta is outstanding. Consume T-207 and existing contracts on disjoint paths; column M remains the completion-prerequisite list. This is not permission to redo the closed UI/website scope.</t>
  </si>
  <si>
    <t>Historical start instruction ignored an already-closed producer.</t>
  </si>
  <si>
    <t>Y58</t>
  </si>
  <si>
    <t>f8a35725c9b0d7fb5a0515c0103a72807a704a97</t>
  </si>
  <si>
    <t>AC58</t>
  </si>
  <si>
    <t>L1.4 is already the primary capability; remove duplicate self-secondary counting.</t>
  </si>
  <si>
    <t>Backlog!AA58=L1.4 and AC58=L1.4</t>
  </si>
  <si>
    <t>AI58</t>
  </si>
  <si>
    <t>Original customer-facing connector convergence closed in 5 paths. Website typecheck not independently re-claimed in handover, not RED. v2.22 backend-provider-list extension has no new completion evidence; certify that delta only. Pasted text(20260910-064052).txt | T-254 CLOSED GREEN/FROZEN section; f8a35725c9b0d7fb5a0515c0103a72807a704a97. Historical frontend/website scope, not later backend-list extension.</t>
  </si>
  <si>
    <t>AJ58</t>
  </si>
  <si>
    <t>AM58</t>
  </si>
  <si>
    <t>=IF(ISNUMBER(J58),1,0)</t>
  </si>
  <si>
    <t>=IF(AND(ISNUMBER(J58),OR(AR58="INHERITED ESTIMATE",AR58="CONFIRMED ESTIMATE")),1,0)</t>
  </si>
  <si>
    <t>AO58</t>
  </si>
  <si>
    <t>BASELINE CLOSED GREEN / FROZEN; LATER BACKEND EXTENSION UNPROVEN</t>
  </si>
  <si>
    <t>AP58</t>
  </si>
  <si>
    <t>AR58</t>
  </si>
  <si>
    <t>Backlog!AJ58 vs AR58</t>
  </si>
  <si>
    <t>AS58</t>
  </si>
  <si>
    <t>=IF(AM58=1,J58,"")</t>
  </si>
  <si>
    <t>AT58</t>
  </si>
  <si>
    <t>=IF(AND(AM58=1,ISNUMBER(R58)),R58,"")</t>
  </si>
  <si>
    <t>AM59</t>
  </si>
  <si>
    <t>=IF(ISNUMBER(J59),1,0)</t>
  </si>
  <si>
    <t>=IF(AND(ISNUMBER(J59),OR(AR59="INHERITED ESTIMATE",AR59="CONFIRMED ESTIMATE")),1,0)</t>
  </si>
  <si>
    <t>AS59</t>
  </si>
  <si>
    <t>=IF(AM59=1,J59,"")</t>
  </si>
  <si>
    <t>AT59</t>
  </si>
  <si>
    <t>=IF(AND(AM59=1,ISNUMBER(R59)),R59,"")</t>
  </si>
  <si>
    <t>Y60</t>
  </si>
  <si>
    <t>AI60</t>
  </si>
  <si>
    <t>AM60</t>
  </si>
  <si>
    <t>=IF(ISNUMBER(J60),1,0)</t>
  </si>
  <si>
    <t>=IF(AND(ISNUMBER(J60),OR(AR60="INHERITED ESTIMATE",AR60="CONFIRMED ESTIMATE")),1,0)</t>
  </si>
  <si>
    <t>AO60</t>
  </si>
  <si>
    <t>COMMITTED CONTRACT GREEN; CURRENT INTEGRATION ACCEPTANCE UNVERIFIED</t>
  </si>
  <si>
    <t>AP60</t>
  </si>
  <si>
    <t>AQ60</t>
  </si>
  <si>
    <t>Record the recovered short parent without fabricating its suffix.</t>
  </si>
  <si>
    <t>AS60</t>
  </si>
  <si>
    <t>=IF(AM60=1,J60,"")</t>
  </si>
  <si>
    <t>AT60</t>
  </si>
  <si>
    <t>=IF(AND(AM60=1,ISNUMBER(R60)),R60,"")</t>
  </si>
  <si>
    <t>AM61</t>
  </si>
  <si>
    <t>=IF(ISNUMBER(J61),1,0)</t>
  </si>
  <si>
    <t>=IF(AND(ISNUMBER(J61),OR(AR61="INHERITED ESTIMATE",AR61="CONFIRMED ESTIMATE")),1,0)</t>
  </si>
  <si>
    <t>AS61</t>
  </si>
  <si>
    <t>=IF(AM61=1,J61,"")</t>
  </si>
  <si>
    <t>AT61</t>
  </si>
  <si>
    <t>=IF(AND(AM61=1,ISNUMBER(R61)),R61,"")</t>
  </si>
  <si>
    <t>AM62</t>
  </si>
  <si>
    <t>=IF(ISNUMBER(J62),1,0)</t>
  </si>
  <si>
    <t>=IF(AND(ISNUMBER(J62),OR(AR62="INHERITED ESTIMATE",AR62="CONFIRMED ESTIMATE")),1,0)</t>
  </si>
  <si>
    <t>AS62</t>
  </si>
  <si>
    <t>=IF(AM62=1,J62,"")</t>
  </si>
  <si>
    <t>AT62</t>
  </si>
  <si>
    <t>=IF(AND(AM62=1,ISNUMBER(R62)),R62,"")</t>
  </si>
  <si>
    <t>AM63</t>
  </si>
  <si>
    <t>=IF(ISNUMBER(J63),1,0)</t>
  </si>
  <si>
    <t>=IF(AND(ISNUMBER(J63),OR(AR63="INHERITED ESTIMATE",AR63="CONFIRMED ESTIMATE")),1,0)</t>
  </si>
  <si>
    <t>AS63</t>
  </si>
  <si>
    <t>=IF(AM63=1,J63,"")</t>
  </si>
  <si>
    <t>AT63</t>
  </si>
  <si>
    <t>=IF(AND(AM63=1,ISNUMBER(R63)),R63,"")</t>
  </si>
  <si>
    <t>AM64</t>
  </si>
  <si>
    <t>=IF(ISNUMBER(J64),1,0)</t>
  </si>
  <si>
    <t>=IF(AND(ISNUMBER(J64),OR(AR64="INHERITED ESTIMATE",AR64="CONFIRMED ESTIMATE")),1,0)</t>
  </si>
  <si>
    <t>AS64</t>
  </si>
  <si>
    <t>=IF(AM64=1,J64,"")</t>
  </si>
  <si>
    <t>AT64</t>
  </si>
  <si>
    <t>=IF(AND(AM64=1,ISNUMBER(R64)),R64,"")</t>
  </si>
  <si>
    <t>T65</t>
  </si>
  <si>
    <t>Closed — do not reopen without contradictory regression evidence.</t>
  </si>
  <si>
    <t>AM65</t>
  </si>
  <si>
    <t>=IF(ISNUMBER(J65),1,0)</t>
  </si>
  <si>
    <t>=IF(AND(ISNUMBER(J65),OR(AR65="INHERITED ESTIMATE",AR65="CONFIRMED ESTIMATE")),1,0)</t>
  </si>
  <si>
    <t>AS65</t>
  </si>
  <si>
    <t>=IF(AM65=1,J65,"")</t>
  </si>
  <si>
    <t>AT65</t>
  </si>
  <si>
    <t>=IF(AND(AM65=1,ISNUMBER(R65)),R65,"")</t>
  </si>
  <si>
    <t>T66</t>
  </si>
  <si>
    <t>AM66</t>
  </si>
  <si>
    <t>=IF(ISNUMBER(J66),1,0)</t>
  </si>
  <si>
    <t>=IF(AND(ISNUMBER(J66),OR(AR66="INHERITED ESTIMATE",AR66="CONFIRMED ESTIMATE")),1,0)</t>
  </si>
  <si>
    <t>AS66</t>
  </si>
  <si>
    <t>=IF(AM66=1,J66,"")</t>
  </si>
  <si>
    <t>AT66</t>
  </si>
  <si>
    <t>=IF(AND(AM66=1,ISNUMBER(R66)),R66,"")</t>
  </si>
  <si>
    <t>T67</t>
  </si>
  <si>
    <t>AM67</t>
  </si>
  <si>
    <t>=IF(ISNUMBER(J67),1,0)</t>
  </si>
  <si>
    <t>=IF(AND(ISNUMBER(J67),OR(AR67="INHERITED ESTIMATE",AR67="CONFIRMED ESTIMATE")),1,0)</t>
  </si>
  <si>
    <t>AS67</t>
  </si>
  <si>
    <t>=IF(AM67=1,J67,"")</t>
  </si>
  <si>
    <t>AT67</t>
  </si>
  <si>
    <t>=IF(AND(AM67=1,ISNUMBER(R67)),R67,"")</t>
  </si>
  <si>
    <t>T68</t>
  </si>
  <si>
    <t>AM68</t>
  </si>
  <si>
    <t>=IF(ISNUMBER(J68),1,0)</t>
  </si>
  <si>
    <t>=IF(AND(ISNUMBER(J68),OR(AR68="INHERITED ESTIMATE",AR68="CONFIRMED ESTIMATE")),1,0)</t>
  </si>
  <si>
    <t>AS68</t>
  </si>
  <si>
    <t>=IF(AM68=1,J68,"")</t>
  </si>
  <si>
    <t>AT68</t>
  </si>
  <si>
    <t>=IF(AND(AM68=1,ISNUMBER(R68)),R68,"")</t>
  </si>
  <si>
    <t>T69</t>
  </si>
  <si>
    <t>AM69</t>
  </si>
  <si>
    <t>=IF(ISNUMBER(J69),1,0)</t>
  </si>
  <si>
    <t>=IF(AND(ISNUMBER(J69),OR(AR69="INHERITED ESTIMATE",AR69="CONFIRMED ESTIMATE")),1,0)</t>
  </si>
  <si>
    <t>AS69</t>
  </si>
  <si>
    <t>=IF(AM69=1,J69,"")</t>
  </si>
  <si>
    <t>AT69</t>
  </si>
  <si>
    <t>=IF(AND(AM69=1,ISNUMBER(R69)),R69,"")</t>
  </si>
  <si>
    <t>T70</t>
  </si>
  <si>
    <t>AM70</t>
  </si>
  <si>
    <t>=IF(ISNUMBER(J70),1,0)</t>
  </si>
  <si>
    <t>=IF(AND(ISNUMBER(J70),OR(AR70="INHERITED ESTIMATE",AR70="CONFIRMED ESTIMATE")),1,0)</t>
  </si>
  <si>
    <t>AS70</t>
  </si>
  <si>
    <t>=IF(AM70=1,J70,"")</t>
  </si>
  <si>
    <t>AT70</t>
  </si>
  <si>
    <t>=IF(AND(AM70=1,ISNUMBER(R70)),R70,"")</t>
  </si>
  <si>
    <t>T71</t>
  </si>
  <si>
    <t>AM71</t>
  </si>
  <si>
    <t>=IF(ISNUMBER(J71),1,0)</t>
  </si>
  <si>
    <t>=IF(AND(ISNUMBER(J71),OR(AR71="INHERITED ESTIMATE",AR71="CONFIRMED ESTIMATE")),1,0)</t>
  </si>
  <si>
    <t>AS71</t>
  </si>
  <si>
    <t>=IF(AM71=1,J71,"")</t>
  </si>
  <si>
    <t>AT71</t>
  </si>
  <si>
    <t>=IF(AND(AM71=1,ISNUMBER(R71)),R71,"")</t>
  </si>
  <si>
    <t>T72</t>
  </si>
  <si>
    <t>AM72</t>
  </si>
  <si>
    <t>=IF(ISNUMBER(J72),1,0)</t>
  </si>
  <si>
    <t>=IF(AND(ISNUMBER(J72),OR(AR72="INHERITED ESTIMATE",AR72="CONFIRMED ESTIMATE")),1,0)</t>
  </si>
  <si>
    <t>AS72</t>
  </si>
  <si>
    <t>=IF(AM72=1,J72,"")</t>
  </si>
  <si>
    <t>AT72</t>
  </si>
  <si>
    <t>=IF(AND(AM72=1,ISNUMBER(R72)),R72,"")</t>
  </si>
  <si>
    <t>T73</t>
  </si>
  <si>
    <t>AM73</t>
  </si>
  <si>
    <t>=IF(ISNUMBER(J73),1,0)</t>
  </si>
  <si>
    <t>=IF(AND(ISNUMBER(J73),OR(AR73="INHERITED ESTIMATE",AR73="CONFIRMED ESTIMATE")),1,0)</t>
  </si>
  <si>
    <t>AS73</t>
  </si>
  <si>
    <t>=IF(AM73=1,J73,"")</t>
  </si>
  <si>
    <t>AT73</t>
  </si>
  <si>
    <t>=IF(AND(AM73=1,ISNUMBER(R73)),R73,"")</t>
  </si>
  <si>
    <t>T74</t>
  </si>
  <si>
    <t>AM74</t>
  </si>
  <si>
    <t>=IF(ISNUMBER(J74),1,0)</t>
  </si>
  <si>
    <t>=IF(AND(ISNUMBER(J74),OR(AR74="INHERITED ESTIMATE",AR74="CONFIRMED ESTIMATE")),1,0)</t>
  </si>
  <si>
    <t>AS74</t>
  </si>
  <si>
    <t>=IF(AM74=1,J74,"")</t>
  </si>
  <si>
    <t>AT74</t>
  </si>
  <si>
    <t>=IF(AND(AM74=1,ISNUMBER(R74)),R74,"")</t>
  </si>
  <si>
    <t>T75</t>
  </si>
  <si>
    <t>AM75</t>
  </si>
  <si>
    <t>=IF(ISNUMBER(J75),1,0)</t>
  </si>
  <si>
    <t>=IF(AND(ISNUMBER(J75),OR(AR75="INHERITED ESTIMATE",AR75="CONFIRMED ESTIMATE")),1,0)</t>
  </si>
  <si>
    <t>AS75</t>
  </si>
  <si>
    <t>=IF(AM75=1,J75,"")</t>
  </si>
  <si>
    <t>AT75</t>
  </si>
  <si>
    <t>=IF(AND(AM75=1,ISNUMBER(R75)),R75,"")</t>
  </si>
  <si>
    <t>T76</t>
  </si>
  <si>
    <t>AM76</t>
  </si>
  <si>
    <t>=IF(ISNUMBER(J76),1,0)</t>
  </si>
  <si>
    <t>=IF(AND(ISNUMBER(J76),OR(AR76="INHERITED ESTIMATE",AR76="CONFIRMED ESTIMATE")),1,0)</t>
  </si>
  <si>
    <t>AS76</t>
  </si>
  <si>
    <t>=IF(AM76=1,J76,"")</t>
  </si>
  <si>
    <t>AT76</t>
  </si>
  <si>
    <t>=IF(AND(AM76=1,ISNUMBER(R76)),R76,"")</t>
  </si>
  <si>
    <t>T77</t>
  </si>
  <si>
    <t>AM77</t>
  </si>
  <si>
    <t>=IF(ISNUMBER(J77),1,0)</t>
  </si>
  <si>
    <t>=IF(AND(ISNUMBER(J77),OR(AR77="INHERITED ESTIMATE",AR77="CONFIRMED ESTIMATE")),1,0)</t>
  </si>
  <si>
    <t>AS77</t>
  </si>
  <si>
    <t>=IF(AM77=1,J77,"")</t>
  </si>
  <si>
    <t>AT77</t>
  </si>
  <si>
    <t>=IF(AND(AM77=1,ISNUMBER(R77)),R77,"")</t>
  </si>
  <si>
    <t>T78</t>
  </si>
  <si>
    <t>AM78</t>
  </si>
  <si>
    <t>=IF(ISNUMBER(J78),1,0)</t>
  </si>
  <si>
    <t>=IF(AND(ISNUMBER(J78),OR(AR78="INHERITED ESTIMATE",AR78="CONFIRMED ESTIMATE")),1,0)</t>
  </si>
  <si>
    <t>AS78</t>
  </si>
  <si>
    <t>=IF(AM78=1,J78,"")</t>
  </si>
  <si>
    <t>AT78</t>
  </si>
  <si>
    <t>=IF(AND(AM78=1,ISNUMBER(R78)),R78,"")</t>
  </si>
  <si>
    <t>T79</t>
  </si>
  <si>
    <t>AM79</t>
  </si>
  <si>
    <t>=IF(ISNUMBER(J79),1,0)</t>
  </si>
  <si>
    <t>=IF(AND(ISNUMBER(J79),OR(AR79="INHERITED ESTIMATE",AR79="CONFIRMED ESTIMATE")),1,0)</t>
  </si>
  <si>
    <t>AS79</t>
  </si>
  <si>
    <t>=IF(AM79=1,J79,"")</t>
  </si>
  <si>
    <t>AT79</t>
  </si>
  <si>
    <t>=IF(AND(AM79=1,ISNUMBER(R79)),R79,"")</t>
  </si>
  <si>
    <t>T80</t>
  </si>
  <si>
    <t>AM80</t>
  </si>
  <si>
    <t>=IF(ISNUMBER(J80),1,0)</t>
  </si>
  <si>
    <t>=IF(AND(ISNUMBER(J80),OR(AR80="INHERITED ESTIMATE",AR80="CONFIRMED ESTIMATE")),1,0)</t>
  </si>
  <si>
    <t>AS80</t>
  </si>
  <si>
    <t>=IF(AM80=1,J80,"")</t>
  </si>
  <si>
    <t>AT80</t>
  </si>
  <si>
    <t>=IF(AND(AM80=1,ISNUMBER(R80)),R80,"")</t>
  </si>
  <si>
    <t>AM81</t>
  </si>
  <si>
    <t>=IF(ISNUMBER(J81),1,0)</t>
  </si>
  <si>
    <t>=IF(AND(ISNUMBER(J81),OR(AR81="INHERITED ESTIMATE",AR81="CONFIRMED ESTIMATE")),1,0)</t>
  </si>
  <si>
    <t>AS81</t>
  </si>
  <si>
    <t>=IF(AM81=1,J81,"")</t>
  </si>
  <si>
    <t>AT81</t>
  </si>
  <si>
    <t>=IF(AND(AM81=1,ISNUMBER(R81)),R81,"")</t>
  </si>
  <si>
    <t>AM82</t>
  </si>
  <si>
    <t>=IF(ISNUMBER(J82),1,0)</t>
  </si>
  <si>
    <t>=IF(AND(ISNUMBER(J82),OR(AR82="INHERITED ESTIMATE",AR82="CONFIRMED ESTIMATE")),1,0)</t>
  </si>
  <si>
    <t>AS82</t>
  </si>
  <si>
    <t>=IF(AM82=1,J82,"")</t>
  </si>
  <si>
    <t>AT82</t>
  </si>
  <si>
    <t>=IF(AND(AM82=1,ISNUMBER(R82)),R82,"")</t>
  </si>
  <si>
    <t>T83</t>
  </si>
  <si>
    <t>T-208 fixture + T-216 frozen contract.</t>
  </si>
  <si>
    <t>AM83</t>
  </si>
  <si>
    <t>=IF(ISNUMBER(J83),1,0)</t>
  </si>
  <si>
    <t>=IF(AND(ISNUMBER(J83),OR(AR83="INHERITED ESTIMATE",AR83="CONFIRMED ESTIMATE")),1,0)</t>
  </si>
  <si>
    <t>AS83</t>
  </si>
  <si>
    <t>=IF(AM83=1,J83,"")</t>
  </si>
  <si>
    <t>AT83</t>
  </si>
  <si>
    <t>=IF(AND(AM83=1,ISNUMBER(R83)),R83,"")</t>
  </si>
  <si>
    <t>T84</t>
  </si>
  <si>
    <t>T-090 semantic definitions + T-208 fixture. Persistence waits for T-112/T-114; pure kernel may start earlier.</t>
  </si>
  <si>
    <t>AM84</t>
  </si>
  <si>
    <t>=IF(ISNUMBER(J84),1,0)</t>
  </si>
  <si>
    <t>=IF(AND(ISNUMBER(J84),OR(AR84="INHERITED ESTIMATE",AR84="CONFIRMED ESTIMATE")),1,0)</t>
  </si>
  <si>
    <t>AS84</t>
  </si>
  <si>
    <t>=IF(AM84=1,J84,"")</t>
  </si>
  <si>
    <t>AT84</t>
  </si>
  <si>
    <t>=IF(AND(AM84=1,ISNUMBER(R84)),R84,"")</t>
  </si>
  <si>
    <t>T85</t>
  </si>
  <si>
    <t>T-217 + T-218 + T-236.</t>
  </si>
  <si>
    <t>AM85</t>
  </si>
  <si>
    <t>=IF(ISNUMBER(J85),1,0)</t>
  </si>
  <si>
    <t>=IF(AND(ISNUMBER(J85),OR(AR85="INHERITED ESTIMATE",AR85="CONFIRMED ESTIMATE")),1,0)</t>
  </si>
  <si>
    <t>AS85</t>
  </si>
  <si>
    <t>=IF(AM85=1,J85,"")</t>
  </si>
  <si>
    <t>AT85</t>
  </si>
  <si>
    <t>=IF(AND(AM85=1,ISNUMBER(R85)),R85,"")</t>
  </si>
  <si>
    <t>T86</t>
  </si>
  <si>
    <t>T-219 + existing claim-class rules.</t>
  </si>
  <si>
    <t>AM86</t>
  </si>
  <si>
    <t>=IF(ISNUMBER(J86),1,0)</t>
  </si>
  <si>
    <t>=IF(AND(ISNUMBER(J86),OR(AR86="INHERITED ESTIMATE",AR86="CONFIRMED ESTIMATE")),1,0)</t>
  </si>
  <si>
    <t>AS86</t>
  </si>
  <si>
    <t>=IF(AM86=1,J86,"")</t>
  </si>
  <si>
    <t>AT86</t>
  </si>
  <si>
    <t>=IF(AND(AM86=1,ISNUMBER(R86)),R86,"")</t>
  </si>
  <si>
    <t>AM87</t>
  </si>
  <si>
    <t>=IF(ISNUMBER(J87),1,0)</t>
  </si>
  <si>
    <t>=IF(AND(ISNUMBER(J87),OR(AR87="INHERITED ESTIMATE",AR87="CONFIRMED ESTIMATE")),1,0)</t>
  </si>
  <si>
    <t>AS87</t>
  </si>
  <si>
    <t>=IF(AM87=1,J87,"")</t>
  </si>
  <si>
    <t>AT87</t>
  </si>
  <si>
    <t>=IF(AND(AM87=1,ISNUMBER(R87)),R87,"")</t>
  </si>
  <si>
    <t>AM88</t>
  </si>
  <si>
    <t>=IF(ISNUMBER(J88),1,0)</t>
  </si>
  <si>
    <t>=IF(AND(ISNUMBER(J88),OR(AR88="INHERITED ESTIMATE",AR88="CONFIRMED ESTIMATE")),1,0)</t>
  </si>
  <si>
    <t>AS88</t>
  </si>
  <si>
    <t>=IF(AM88=1,J88,"")</t>
  </si>
  <si>
    <t>AT88</t>
  </si>
  <si>
    <t>=IF(AND(AM88=1,ISNUMBER(R88)),R88,"")</t>
  </si>
  <si>
    <t>T89</t>
  </si>
  <si>
    <t>T-208 + T-209; may run in parallel with W1 canonical chain.</t>
  </si>
  <si>
    <t>AM89</t>
  </si>
  <si>
    <t>=IF(ISNUMBER(J89),1,0)</t>
  </si>
  <si>
    <t>=IF(AND(ISNUMBER(J89),OR(AR89="INHERITED ESTIMATE",AR89="CONFIRMED ESTIMATE")),1,0)</t>
  </si>
  <si>
    <t>AS89</t>
  </si>
  <si>
    <t>=IF(AM89=1,J89,"")</t>
  </si>
  <si>
    <t>AT89</t>
  </si>
  <si>
    <t>=IF(AND(AM89=1,ISNUMBER(R89)),R89,"")</t>
  </si>
  <si>
    <t>T90</t>
  </si>
  <si>
    <t>T-217 + T-234; may run while W1 canonical chain proceeds.</t>
  </si>
  <si>
    <t>AM90</t>
  </si>
  <si>
    <t>=IF(ISNUMBER(J90),1,0)</t>
  </si>
  <si>
    <t>=IF(AND(ISNUMBER(J90),OR(AR90="INHERITED ESTIMATE",AR90="CONFIRMED ESTIMATE")),1,0)</t>
  </si>
  <si>
    <t>AS90</t>
  </si>
  <si>
    <t>=IF(AM90=1,J90,"")</t>
  </si>
  <si>
    <t>AT90</t>
  </si>
  <si>
    <t>=IF(AND(AM90=1,ISNUMBER(R90)),R90,"")</t>
  </si>
  <si>
    <t>AM91</t>
  </si>
  <si>
    <t>=IF(ISNUMBER(J91),1,0)</t>
  </si>
  <si>
    <t>=IF(AND(ISNUMBER(J91),OR(AR91="INHERITED ESTIMATE",AR91="CONFIRMED ESTIMATE")),1,0)</t>
  </si>
  <si>
    <t>AS91</t>
  </si>
  <si>
    <t>=IF(AM91=1,J91,"")</t>
  </si>
  <si>
    <t>AT91</t>
  </si>
  <si>
    <t>=IF(AND(AM91=1,ISNUMBER(R91)),R91,"")</t>
  </si>
  <si>
    <t>T92</t>
  </si>
  <si>
    <t>WAIT for Presentation RC freeze/tag + clean index/worktree. Then: T-087/T-088 canonical migration authority available; establish FORCE RLS guar...</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</si>
  <si>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T-087/T-088 canonical migration authority available; establish FORCE RLS guar...</t>
  </si>
  <si>
    <t>AM92</t>
  </si>
  <si>
    <t>=IF(ISNUMBER(J92),1,0)</t>
  </si>
  <si>
    <t>=IF(AND(ISNUMBER(J92),OR(AR92="INHERITED ESTIMATE",AR92="CONFIRMED ESTIMATE")),1,0)</t>
  </si>
  <si>
    <t>AS92</t>
  </si>
  <si>
    <t>=IF(AM92=1,J92,"")</t>
  </si>
  <si>
    <t>AT92</t>
  </si>
  <si>
    <t>=IF(AND(AM92=1,ISNUMBER(R92)),R92,"")</t>
  </si>
  <si>
    <t>T93</t>
  </si>
  <si>
    <t>Use the accepted M1 regression baseline; require empty index and clean owned paths, preserving unrelated user work. Then: Release 1 dependency order</t>
  </si>
  <si>
    <t>AJ93</t>
  </si>
  <si>
    <t>AM93</t>
  </si>
  <si>
    <t>=IF(ISNUMBER(J93),1,0)</t>
  </si>
  <si>
    <t>=IF(AND(ISNUMBER(J93),OR(AR93="INHERITED ESTIMATE",AR93="CONFIRMED ESTIMATE")),1,0)</t>
  </si>
  <si>
    <t>AR93</t>
  </si>
  <si>
    <t>Backlog!AJ93 vs AR93</t>
  </si>
  <si>
    <t>AS93</t>
  </si>
  <si>
    <t>=IF(AM93=1,J93,"")</t>
  </si>
  <si>
    <t>AT93</t>
  </si>
  <si>
    <t>=IF(AND(AM93=1,ISNUMBER(R93)),R93,"")</t>
  </si>
  <si>
    <t>T94</t>
  </si>
  <si>
    <t>WAIT for Presentation RC freeze/tag + clean index/worktree. Then: T-087 + T-089/T-090 + T-095/T-099 canonical Release 1 tables available; establish t...</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</si>
  <si>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 + T-089/T-090 + T-095/T-099 canonical Release 1 tables available; establish t...</t>
  </si>
  <si>
    <t>AM94</t>
  </si>
  <si>
    <t>=IF(ISNUMBER(J94),1,0)</t>
  </si>
  <si>
    <t>=IF(AND(ISNUMBER(J94),OR(AR94="INHERITED ESTIMATE",AR94="CONFIRMED ESTIMATE")),1,0)</t>
  </si>
  <si>
    <t>AS94</t>
  </si>
  <si>
    <t>=IF(AM94=1,J94,"")</t>
  </si>
  <si>
    <t>AT94</t>
  </si>
  <si>
    <t>=IF(AND(AM94=1,ISNUMBER(R94)),R94,"")</t>
  </si>
  <si>
    <t>T95</t>
  </si>
  <si>
    <t>AM95</t>
  </si>
  <si>
    <t>=IF(ISNUMBER(J95),1,0)</t>
  </si>
  <si>
    <t>=IF(AND(ISNUMBER(J95),OR(AR95="INHERITED ESTIMATE",AR95="CONFIRMED ESTIMATE")),1,0)</t>
  </si>
  <si>
    <t>AS95</t>
  </si>
  <si>
    <t>=IF(AM95=1,J95,"")</t>
  </si>
  <si>
    <t>AT95</t>
  </si>
  <si>
    <t>=IF(AND(AM95=1,ISNUMBER(R95)),R95,"")</t>
  </si>
  <si>
    <t>T96</t>
  </si>
  <si>
    <t>AM96</t>
  </si>
  <si>
    <t>=IF(ISNUMBER(J96),1,0)</t>
  </si>
  <si>
    <t>=IF(AND(ISNUMBER(J96),OR(AR96="INHERITED ESTIMATE",AR96="CONFIRMED ESTIMATE")),1,0)</t>
  </si>
  <si>
    <t>AS96</t>
  </si>
  <si>
    <t>=IF(AM96=1,J96,"")</t>
  </si>
  <si>
    <t>AT96</t>
  </si>
  <si>
    <t>=IF(AND(AM96=1,ISNUMBER(R96)),R96,"")</t>
  </si>
  <si>
    <t>T97</t>
  </si>
  <si>
    <t>AM97</t>
  </si>
  <si>
    <t>=IF(ISNUMBER(J97),1,0)</t>
  </si>
  <si>
    <t>=IF(AND(ISNUMBER(J97),OR(AR97="INHERITED ESTIMATE",AR97="CONFIRMED ESTIMATE")),1,0)</t>
  </si>
  <si>
    <t>AS97</t>
  </si>
  <si>
    <t>=IF(AM97=1,J97,"")</t>
  </si>
  <si>
    <t>AT97</t>
  </si>
  <si>
    <t>=IF(AND(AM97=1,ISNUMBER(R97)),R97,"")</t>
  </si>
  <si>
    <t>T98</t>
  </si>
  <si>
    <t>WAIT for Presentation RC freeze/tag + clean index/worktree. Then: T-119 role catalogue/enforcement + licence authority.</t>
  </si>
  <si>
    <t>Use the accepted M1 regression baseline; require empty index and clean owned paths, preserving unrelated user work. Then: T-119 role catalogue/enforcement + licence authority.</t>
  </si>
  <si>
    <t>AJ98</t>
  </si>
  <si>
    <t>AM98</t>
  </si>
  <si>
    <t>=IF(ISNUMBER(J98),1,0)</t>
  </si>
  <si>
    <t>=IF(AND(ISNUMBER(J98),OR(AR98="INHERITED ESTIMATE",AR98="CONFIRMED ESTIMATE")),1,0)</t>
  </si>
  <si>
    <t>AR98</t>
  </si>
  <si>
    <t>Backlog!AJ98 vs AR98</t>
  </si>
  <si>
    <t>AS98</t>
  </si>
  <si>
    <t>=IF(AM98=1,J98,"")</t>
  </si>
  <si>
    <t>AT98</t>
  </si>
  <si>
    <t>=IF(AND(AM98=1,ISNUMBER(R98)),R98,"")</t>
  </si>
  <si>
    <t>T99</t>
  </si>
  <si>
    <t>AJ99</t>
  </si>
  <si>
    <t>AM99</t>
  </si>
  <si>
    <t>=IF(ISNUMBER(J99),1,0)</t>
  </si>
  <si>
    <t>=IF(AND(ISNUMBER(J99),OR(AR99="INHERITED ESTIMATE",AR99="CONFIRMED ESTIMATE")),1,0)</t>
  </si>
  <si>
    <t>AR99</t>
  </si>
  <si>
    <t>Backlog!AJ99 vs AR99</t>
  </si>
  <si>
    <t>AS99</t>
  </si>
  <si>
    <t>=IF(AM99=1,J99,"")</t>
  </si>
  <si>
    <t>AT99</t>
  </si>
  <si>
    <t>=IF(AND(AM99=1,ISNUMBER(R99)),R99,"")</t>
  </si>
  <si>
    <t>T100</t>
  </si>
  <si>
    <t>AM100</t>
  </si>
  <si>
    <t>=IF(ISNUMBER(J100),1,0)</t>
  </si>
  <si>
    <t>=IF(AND(ISNUMBER(J100),OR(AR100="INHERITED ESTIMATE",AR100="CONFIRMED ESTIMATE")),1,0)</t>
  </si>
  <si>
    <t>AS100</t>
  </si>
  <si>
    <t>=IF(AM100=1,J100,"")</t>
  </si>
  <si>
    <t>AT100</t>
  </si>
  <si>
    <t>=IF(AND(AM100=1,ISNUMBER(R100)),R100,"")</t>
  </si>
  <si>
    <t>T101</t>
  </si>
  <si>
    <t>AM101</t>
  </si>
  <si>
    <t>=IF(ISNUMBER(J101),1,0)</t>
  </si>
  <si>
    <t>=IF(AND(ISNUMBER(J101),OR(AR101="INHERITED ESTIMATE",AR101="CONFIRMED ESTIMATE")),1,0)</t>
  </si>
  <si>
    <t>AS101</t>
  </si>
  <si>
    <t>=IF(AM101=1,J101,"")</t>
  </si>
  <si>
    <t>AT101</t>
  </si>
  <si>
    <t>=IF(AND(AM101=1,ISNUMBER(R101)),R101,"")</t>
  </si>
  <si>
    <t>T102</t>
  </si>
  <si>
    <t>AM102</t>
  </si>
  <si>
    <t>=IF(ISNUMBER(J102),1,0)</t>
  </si>
  <si>
    <t>=IF(AND(ISNUMBER(J102),OR(AR102="INHERITED ESTIMATE",AR102="CONFIRMED ESTIMATE")),1,0)</t>
  </si>
  <si>
    <t>AS102</t>
  </si>
  <si>
    <t>=IF(AM102=1,J102,"")</t>
  </si>
  <si>
    <t>AT102</t>
  </si>
  <si>
    <t>=IF(AND(AM102=1,ISNUMBER(R102)),R102,"")</t>
  </si>
  <si>
    <t>T103</t>
  </si>
  <si>
    <t>T-192 + T-148 exact route/shell inventory + T-194 API-alias retirement + all ...</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</si>
  <si>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T-192 + T-148 exact route/shell inventory + T-194 API-alias retirement + all ...</t>
  </si>
  <si>
    <t>AM103</t>
  </si>
  <si>
    <t>=IF(ISNUMBER(J103),1,0)</t>
  </si>
  <si>
    <t>=IF(AND(ISNUMBER(J103),OR(AR103="INHERITED ESTIMATE",AR103="CONFIRMED ESTIMATE")),1,0)</t>
  </si>
  <si>
    <t>AS103</t>
  </si>
  <si>
    <t>=IF(AM103=1,J103,"")</t>
  </si>
  <si>
    <t>AT103</t>
  </si>
  <si>
    <t>=IF(AND(AM103=1,ISNUMBER(R103)),R103,"")</t>
  </si>
  <si>
    <t>AM104</t>
  </si>
  <si>
    <t>=IF(ISNUMBER(J104),1,0)</t>
  </si>
  <si>
    <t>=IF(AND(ISNUMBER(J104),OR(AR104="INHERITED ESTIMATE",AR104="CONFIRMED ESTIMATE")),1,0)</t>
  </si>
  <si>
    <t>AS104</t>
  </si>
  <si>
    <t>=IF(AM104=1,J104,"")</t>
  </si>
  <si>
    <t>AT104</t>
  </si>
  <si>
    <t>=IF(AND(AM104=1,ISNUMBER(R104)),R104,"")</t>
  </si>
  <si>
    <t>AM105</t>
  </si>
  <si>
    <t>=IF(ISNUMBER(J105),1,0)</t>
  </si>
  <si>
    <t>=IF(AND(ISNUMBER(J105),OR(AR105="INHERITED ESTIMATE",AR105="CONFIRMED ESTIMATE")),1,0)</t>
  </si>
  <si>
    <t>AS105</t>
  </si>
  <si>
    <t>=IF(AM105=1,J105,"")</t>
  </si>
  <si>
    <t>AT105</t>
  </si>
  <si>
    <t>=IF(AND(AM105=1,ISNUMBER(R105)),R105,"")</t>
  </si>
  <si>
    <t>AM106</t>
  </si>
  <si>
    <t>=IF(ISNUMBER(J106),1,0)</t>
  </si>
  <si>
    <t>=IF(AND(ISNUMBER(J106),OR(AR106="INHERITED ESTIMATE",AR106="CONFIRMED ESTIMATE")),1,0)</t>
  </si>
  <si>
    <t>AS106</t>
  </si>
  <si>
    <t>=IF(AM106=1,J106,"")</t>
  </si>
  <si>
    <t>AT106</t>
  </si>
  <si>
    <t>=IF(AND(AM106=1,ISNUMBER(R106)),R106,"")</t>
  </si>
  <si>
    <t>AJ107</t>
  </si>
  <si>
    <t>AM107</t>
  </si>
  <si>
    <t>=IF(ISNUMBER(J107),1,0)</t>
  </si>
  <si>
    <t>=IF(AND(ISNUMBER(J107),OR(AR107="INHERITED ESTIMATE",AR107="CONFIRMED ESTIMATE")),1,0)</t>
  </si>
  <si>
    <t>AR107</t>
  </si>
  <si>
    <t>Backlog!AJ107 vs AR107</t>
  </si>
  <si>
    <t>AS107</t>
  </si>
  <si>
    <t>=IF(AM107=1,J107,"")</t>
  </si>
  <si>
    <t>AT107</t>
  </si>
  <si>
    <t>=IF(AND(AM107=1,ISNUMBER(R107)),R107,"")</t>
  </si>
  <si>
    <t>T108</t>
  </si>
  <si>
    <t>WAIT for Presentation RC freeze/tag + clean index/worktree. Then: T-106 + T-107 + T-112 + T-113 + T-114 + T-117; T-137/T-168 runtime contracts ...</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</si>
  <si>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 T-107 + T-112 + T-113 + T-114 + T-117; T-137/T-168 runtime contracts ...</t>
  </si>
  <si>
    <t>AM108</t>
  </si>
  <si>
    <t>=IF(ISNUMBER(J108),1,0)</t>
  </si>
  <si>
    <t>=IF(AND(ISNUMBER(J108),OR(AR108="INHERITED ESTIMATE",AR108="CONFIRMED ESTIMATE")),1,0)</t>
  </si>
  <si>
    <t>AS108</t>
  </si>
  <si>
    <t>=IF(AM108=1,J108,"")</t>
  </si>
  <si>
    <t>AT108</t>
  </si>
  <si>
    <t>=IF(AND(AM108=1,ISNUMBER(R108)),R108,"")</t>
  </si>
  <si>
    <t>AM109</t>
  </si>
  <si>
    <t>=IF(ISNUMBER(J109),1,0)</t>
  </si>
  <si>
    <t>=IF(AND(ISNUMBER(J109),OR(AR109="INHERITED ESTIMATE",AR109="CONFIRMED ESTIMATE")),1,0)</t>
  </si>
  <si>
    <t>AS109</t>
  </si>
  <si>
    <t>=IF(AM109=1,J109,"")</t>
  </si>
  <si>
    <t>AT109</t>
  </si>
  <si>
    <t>=IF(AND(AM109=1,ISNUMBER(R109)),R109,"")</t>
  </si>
  <si>
    <t>AM110</t>
  </si>
  <si>
    <t>=IF(ISNUMBER(J110),1,0)</t>
  </si>
  <si>
    <t>=IF(AND(ISNUMBER(J110),OR(AR110="INHERITED ESTIMATE",AR110="CONFIRMED ESTIMATE")),1,0)</t>
  </si>
  <si>
    <t>AS110</t>
  </si>
  <si>
    <t>=IF(AM110=1,J110,"")</t>
  </si>
  <si>
    <t>AT110</t>
  </si>
  <si>
    <t>=IF(AND(AM110=1,ISNUMBER(R110)),R110,"")</t>
  </si>
  <si>
    <t>AM111</t>
  </si>
  <si>
    <t>=IF(ISNUMBER(J111),1,0)</t>
  </si>
  <si>
    <t>=IF(AND(ISNUMBER(J111),OR(AR111="INHERITED ESTIMATE",AR111="CONFIRMED ESTIMATE")),1,0)</t>
  </si>
  <si>
    <t>AS111</t>
  </si>
  <si>
    <t>=IF(AM111=1,J111,"")</t>
  </si>
  <si>
    <t>AT111</t>
  </si>
  <si>
    <t>=IF(AND(AM111=1,ISNUMBER(R111)),R111,"")</t>
  </si>
  <si>
    <t>AM112</t>
  </si>
  <si>
    <t>=IF(ISNUMBER(J112),1,0)</t>
  </si>
  <si>
    <t>=IF(AND(ISNUMBER(J112),OR(AR112="INHERITED ESTIMATE",AR112="CONFIRMED ESTIMATE")),1,0)</t>
  </si>
  <si>
    <t>AS112</t>
  </si>
  <si>
    <t>=IF(AM112=1,J112,"")</t>
  </si>
  <si>
    <t>AT112</t>
  </si>
  <si>
    <t>=IF(AND(AM112=1,ISNUMBER(R112)),R112,"")</t>
  </si>
  <si>
    <t>AJ113</t>
  </si>
  <si>
    <t>AM113</t>
  </si>
  <si>
    <t>=IF(ISNUMBER(J113),1,0)</t>
  </si>
  <si>
    <t>=IF(AND(ISNUMBER(J113),OR(AR113="INHERITED ESTIMATE",AR113="CONFIRMED ESTIMATE")),1,0)</t>
  </si>
  <si>
    <t>AR113</t>
  </si>
  <si>
    <t>Backlog!AJ113 vs AR113</t>
  </si>
  <si>
    <t>AS113</t>
  </si>
  <si>
    <t>=IF(AM113=1,J113,"")</t>
  </si>
  <si>
    <t>AT113</t>
  </si>
  <si>
    <t>=IF(AND(AM113=1,ISNUMBER(R113)),R113,"")</t>
  </si>
  <si>
    <t>AJ114</t>
  </si>
  <si>
    <t>AM114</t>
  </si>
  <si>
    <t>=IF(ISNUMBER(J114),1,0)</t>
  </si>
  <si>
    <t>=IF(AND(ISNUMBER(J114),OR(AR114="INHERITED ESTIMATE",AR114="CONFIRMED ESTIMATE")),1,0)</t>
  </si>
  <si>
    <t>AR114</t>
  </si>
  <si>
    <t>Backlog!AJ114 vs AR114</t>
  </si>
  <si>
    <t>AS114</t>
  </si>
  <si>
    <t>=IF(AM114=1,J114,"")</t>
  </si>
  <si>
    <t>AT114</t>
  </si>
  <si>
    <t>=IF(AND(AM114=1,ISNUMBER(R114)),R114,"")</t>
  </si>
  <si>
    <t>AM115</t>
  </si>
  <si>
    <t>=IF(ISNUMBER(J115),1,0)</t>
  </si>
  <si>
    <t>=IF(AND(ISNUMBER(J115),OR(AR115="INHERITED ESTIMATE",AR115="CONFIRMED ESTIMATE")),1,0)</t>
  </si>
  <si>
    <t>AS115</t>
  </si>
  <si>
    <t>=IF(AM115=1,J115,"")</t>
  </si>
  <si>
    <t>AT115</t>
  </si>
  <si>
    <t>=IF(AND(AM115=1,ISNUMBER(R115)),R115,"")</t>
  </si>
  <si>
    <t>AM116</t>
  </si>
  <si>
    <t>=IF(ISNUMBER(J116),1,0)</t>
  </si>
  <si>
    <t>=IF(AND(ISNUMBER(J116),OR(AR116="INHERITED ESTIMATE",AR116="CONFIRMED ESTIMATE")),1,0)</t>
  </si>
  <si>
    <t>AS116</t>
  </si>
  <si>
    <t>=IF(AM116=1,J116,"")</t>
  </si>
  <si>
    <t>AT116</t>
  </si>
  <si>
    <t>=IF(AND(AM116=1,ISNUMBER(R116)),R116,"")</t>
  </si>
  <si>
    <t>T117</t>
  </si>
  <si>
    <t>AJ117</t>
  </si>
  <si>
    <t>AM117</t>
  </si>
  <si>
    <t>=IF(ISNUMBER(J117),1,0)</t>
  </si>
  <si>
    <t>=IF(AND(ISNUMBER(J117),OR(AR117="INHERITED ESTIMATE",AR117="CONFIRMED ESTIMATE")),1,0)</t>
  </si>
  <si>
    <t>AR117</t>
  </si>
  <si>
    <t>Backlog!AJ117 vs AR117</t>
  </si>
  <si>
    <t>AS117</t>
  </si>
  <si>
    <t>=IF(AM117=1,J117,"")</t>
  </si>
  <si>
    <t>AT117</t>
  </si>
  <si>
    <t>=IF(AND(AM117=1,ISNUMBER(R117)),R117,"")</t>
  </si>
  <si>
    <t>T118</t>
  </si>
  <si>
    <t>AM118</t>
  </si>
  <si>
    <t>=IF(ISNUMBER(J118),1,0)</t>
  </si>
  <si>
    <t>=IF(AND(ISNUMBER(J118),OR(AR118="INHERITED ESTIMATE",AR118="CONFIRMED ESTIMATE")),1,0)</t>
  </si>
  <si>
    <t>AS118</t>
  </si>
  <si>
    <t>=IF(AM118=1,J118,"")</t>
  </si>
  <si>
    <t>AT118</t>
  </si>
  <si>
    <t>=IF(AND(AM118=1,ISNUMBER(R118)),R118,"")</t>
  </si>
  <si>
    <t>T119</t>
  </si>
  <si>
    <t>WAIT for Presentation RC freeze/tag + clean index/worktree. Then: All Release 1 canonical-core/user-visible owners complete, including T-196/T-197/T-...</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</si>
  <si>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All Release 1 canonical-core/user-visible owners complete, including T-196/T-197/T-...</t>
  </si>
  <si>
    <t>AM119</t>
  </si>
  <si>
    <t>=IF(ISNUMBER(J119),1,0)</t>
  </si>
  <si>
    <t>=IF(AND(ISNUMBER(J119),OR(AR119="INHERITED ESTIMATE",AR119="CONFIRMED ESTIMATE")),1,0)</t>
  </si>
  <si>
    <t>AS119</t>
  </si>
  <si>
    <t>=IF(AM119=1,J119,"")</t>
  </si>
  <si>
    <t>AT119</t>
  </si>
  <si>
    <t>=IF(AND(AM119=1,ISNUMBER(R119)),R119,"")</t>
  </si>
  <si>
    <t>AM120</t>
  </si>
  <si>
    <t>=IF(ISNUMBER(J120),1,0)</t>
  </si>
  <si>
    <t>=IF(AND(ISNUMBER(J120),OR(AR120="INHERITED ESTIMATE",AR120="CONFIRMED ESTIMATE")),1,0)</t>
  </si>
  <si>
    <t>AS120</t>
  </si>
  <si>
    <t>=IF(AM120=1,J120,"")</t>
  </si>
  <si>
    <t>AT120</t>
  </si>
  <si>
    <t>=IF(AND(AM120=1,ISNUMBER(R120)),R120,"")</t>
  </si>
  <si>
    <t>AM121</t>
  </si>
  <si>
    <t>=IF(ISNUMBER(J121),1,0)</t>
  </si>
  <si>
    <t>=IF(AND(ISNUMBER(J121),OR(AR121="INHERITED ESTIMATE",AR121="CONFIRMED ESTIMATE")),1,0)</t>
  </si>
  <si>
    <t>AS121</t>
  </si>
  <si>
    <t>=IF(AM121=1,J121,"")</t>
  </si>
  <si>
    <t>AT121</t>
  </si>
  <si>
    <t>=IF(AND(AM121=1,ISNUMBER(R121)),R121,"")</t>
  </si>
  <si>
    <t>AM122</t>
  </si>
  <si>
    <t>=IF(ISNUMBER(J122),1,0)</t>
  </si>
  <si>
    <t>=IF(AND(ISNUMBER(J122),OR(AR122="INHERITED ESTIMATE",AR122="CONFIRMED ESTIMATE")),1,0)</t>
  </si>
  <si>
    <t>AS122</t>
  </si>
  <si>
    <t>=IF(AM122=1,J122,"")</t>
  </si>
  <si>
    <t>AT122</t>
  </si>
  <si>
    <t>=IF(AND(AM122=1,ISNUMBER(R122)),R122,"")</t>
  </si>
  <si>
    <t>T123</t>
  </si>
  <si>
    <t>WAIT for Presentation RC freeze/tag + clean index/worktree. Then: T-117 + T-127</t>
  </si>
  <si>
    <t>Use the accepted M1 regression baseline; require empty index and clean owned paths, preserving unrelated user work. Then: T-117 + T-127</t>
  </si>
  <si>
    <t>AM123</t>
  </si>
  <si>
    <t>=IF(ISNUMBER(J123),1,0)</t>
  </si>
  <si>
    <t>=IF(AND(ISNUMBER(J123),OR(AR123="INHERITED ESTIMATE",AR123="CONFIRMED ESTIMATE")),1,0)</t>
  </si>
  <si>
    <t>AS123</t>
  </si>
  <si>
    <t>=IF(AM123=1,J123,"")</t>
  </si>
  <si>
    <t>AT123</t>
  </si>
  <si>
    <t>=IF(AND(AM123=1,ISNUMBER(R123)),R123,"")</t>
  </si>
  <si>
    <t>T124</t>
  </si>
  <si>
    <t>WAIT for Presentation RC freeze/tag + clean index/worktree. Then: T-087 + T-094 + T-095</t>
  </si>
  <si>
    <t>Use the accepted M1 regression baseline; require empty index and clean owned paths, preserving unrelated user work. Then: T-087 + T-094 + T-095</t>
  </si>
  <si>
    <t>AM124</t>
  </si>
  <si>
    <t>=IF(ISNUMBER(J124),1,0)</t>
  </si>
  <si>
    <t>=IF(AND(ISNUMBER(J124),OR(AR124="INHERITED ESTIMATE",AR124="CONFIRMED ESTIMATE")),1,0)</t>
  </si>
  <si>
    <t>AS124</t>
  </si>
  <si>
    <t>=IF(AM124=1,J124,"")</t>
  </si>
  <si>
    <t>AT124</t>
  </si>
  <si>
    <t>=IF(AND(AM124=1,ISNUMBER(R124)),R124,"")</t>
  </si>
  <si>
    <t>T125</t>
  </si>
  <si>
    <t>WAIT for Presentation RC freeze/tag + clean index/worktree. Then: T-119 + T-198</t>
  </si>
  <si>
    <t>Use the accepted M1 regression baseline; require empty index and clean owned paths, preserving unrelated user work. Then: T-119 + T-198</t>
  </si>
  <si>
    <t>AM125</t>
  </si>
  <si>
    <t>=IF(ISNUMBER(J125),1,0)</t>
  </si>
  <si>
    <t>=IF(AND(ISNUMBER(J125),OR(AR125="INHERITED ESTIMATE",AR125="CONFIRMED ESTIMATE")),1,0)</t>
  </si>
  <si>
    <t>AS125</t>
  </si>
  <si>
    <t>=IF(AM125=1,J125,"")</t>
  </si>
  <si>
    <t>AT125</t>
  </si>
  <si>
    <t>=IF(AND(AM125=1,ISNUMBER(R125)),R125,"")</t>
  </si>
  <si>
    <t>T126</t>
  </si>
  <si>
    <t>WAIT for Presentation RC freeze/tag + clean index/worktree. Then: T-112 + T-114 + T-119</t>
  </si>
  <si>
    <t>Use the accepted M1 regression baseline; require empty index and clean owned paths, preserving unrelated user work. Then: T-112 + T-114 + T-119</t>
  </si>
  <si>
    <t>AM126</t>
  </si>
  <si>
    <t>=IF(ISNUMBER(J126),1,0)</t>
  </si>
  <si>
    <t>=IF(AND(ISNUMBER(J126),OR(AR126="INHERITED ESTIMATE",AR126="CONFIRMED ESTIMATE")),1,0)</t>
  </si>
  <si>
    <t>AS126</t>
  </si>
  <si>
    <t>=IF(AM126=1,J126,"")</t>
  </si>
  <si>
    <t>AT126</t>
  </si>
  <si>
    <t>=IF(AND(AM126=1,ISNUMBER(R126)),R126,"")</t>
  </si>
  <si>
    <t>T127</t>
  </si>
  <si>
    <t>WAIT for Presentation RC freeze/tag + clean index/worktree. Then: T-124 + T-198</t>
  </si>
  <si>
    <t>Use the accepted M1 regression baseline; require empty index and clean owned paths, preserving unrelated user work. Then: T-124 + T-198</t>
  </si>
  <si>
    <t>AM127</t>
  </si>
  <si>
    <t>=IF(ISNUMBER(J127),1,0)</t>
  </si>
  <si>
    <t>=IF(AND(ISNUMBER(J127),OR(AR127="INHERITED ESTIMATE",AR127="CONFIRMED ESTIMATE")),1,0)</t>
  </si>
  <si>
    <t>AS127</t>
  </si>
  <si>
    <t>=IF(AM127=1,J127,"")</t>
  </si>
  <si>
    <t>AT127</t>
  </si>
  <si>
    <t>=IF(AND(AM127=1,ISNUMBER(R127)),R127,"")</t>
  </si>
  <si>
    <t>T128</t>
  </si>
  <si>
    <t>WAIT for Presentation RC freeze/tag + clean index/worktree. Then: T-113 + T-119</t>
  </si>
  <si>
    <t>Use the accepted M1 regression baseline; require empty index and clean owned paths, preserving unrelated user work. Then: T-113 + T-119</t>
  </si>
  <si>
    <t>AM128</t>
  </si>
  <si>
    <t>=IF(ISNUMBER(J128),1,0)</t>
  </si>
  <si>
    <t>=IF(AND(ISNUMBER(J128),OR(AR128="INHERITED ESTIMATE",AR128="CONFIRMED ESTIMATE")),1,0)</t>
  </si>
  <si>
    <t>AS128</t>
  </si>
  <si>
    <t>=IF(AM128=1,J128,"")</t>
  </si>
  <si>
    <t>AT128</t>
  </si>
  <si>
    <t>=IF(AND(AM128=1,ISNUMBER(R128)),R128,"")</t>
  </si>
  <si>
    <t>AM129</t>
  </si>
  <si>
    <t>=IF(ISNUMBER(J129),1,0)</t>
  </si>
  <si>
    <t>=IF(AND(ISNUMBER(J129),OR(AR129="INHERITED ESTIMATE",AR129="CONFIRMED ESTIMATE")),1,0)</t>
  </si>
  <si>
    <t>AS129</t>
  </si>
  <si>
    <t>=IF(AM129=1,J129,"")</t>
  </si>
  <si>
    <t>AT129</t>
  </si>
  <si>
    <t>=IF(AND(AM129=1,ISNUMBER(R129)),R129,"")</t>
  </si>
  <si>
    <t>AM130</t>
  </si>
  <si>
    <t>=IF(ISNUMBER(J130),1,0)</t>
  </si>
  <si>
    <t>=IF(AND(ISNUMBER(J130),OR(AR130="INHERITED ESTIMATE",AR130="CONFIRMED ESTIMATE")),1,0)</t>
  </si>
  <si>
    <t>AS130</t>
  </si>
  <si>
    <t>=IF(AM130=1,J130,"")</t>
  </si>
  <si>
    <t>AT130</t>
  </si>
  <si>
    <t>=IF(AND(AM130=1,ISNUMBER(R130)),R130,"")</t>
  </si>
  <si>
    <t>AM131</t>
  </si>
  <si>
    <t>=IF(ISNUMBER(J131),1,0)</t>
  </si>
  <si>
    <t>=IF(AND(ISNUMBER(J131),OR(AR131="INHERITED ESTIMATE",AR131="CONFIRMED ESTIMATE")),1,0)</t>
  </si>
  <si>
    <t>AS131</t>
  </si>
  <si>
    <t>=IF(AM131=1,J131,"")</t>
  </si>
  <si>
    <t>AT131</t>
  </si>
  <si>
    <t>=IF(AND(AM131=1,ISNUMBER(R131)),R131,"")</t>
  </si>
  <si>
    <t>AM132</t>
  </si>
  <si>
    <t>=IF(ISNUMBER(J132),1,0)</t>
  </si>
  <si>
    <t>=IF(AND(ISNUMBER(J132),OR(AR132="INHERITED ESTIMATE",AR132="CONFIRMED ESTIMATE")),1,0)</t>
  </si>
  <si>
    <t>AS132</t>
  </si>
  <si>
    <t>=IF(AM132=1,J132,"")</t>
  </si>
  <si>
    <t>AT132</t>
  </si>
  <si>
    <t>=IF(AND(AM132=1,ISNUMBER(R132)),R132,"")</t>
  </si>
  <si>
    <t>AM133</t>
  </si>
  <si>
    <t>=IF(ISNUMBER(J133),1,0)</t>
  </si>
  <si>
    <t>=IF(AND(ISNUMBER(J133),OR(AR133="INHERITED ESTIMATE",AR133="CONFIRMED ESTIMATE")),1,0)</t>
  </si>
  <si>
    <t>AS133</t>
  </si>
  <si>
    <t>=IF(AM133=1,J133,"")</t>
  </si>
  <si>
    <t>AT133</t>
  </si>
  <si>
    <t>=IF(AND(AM133=1,ISNUMBER(R133)),R133,"")</t>
  </si>
  <si>
    <t>AJ134</t>
  </si>
  <si>
    <t>AM134</t>
  </si>
  <si>
    <t>=IF(ISNUMBER(J134),1,0)</t>
  </si>
  <si>
    <t>=IF(AND(ISNUMBER(J134),OR(AR134="INHERITED ESTIMATE",AR134="CONFIRMED ESTIMATE")),1,0)</t>
  </si>
  <si>
    <t>AR134</t>
  </si>
  <si>
    <t>Backlog!AJ134 vs AR134</t>
  </si>
  <si>
    <t>AS134</t>
  </si>
  <si>
    <t>=IF(AM134=1,J134,"")</t>
  </si>
  <si>
    <t>AT134</t>
  </si>
  <si>
    <t>=IF(AND(AM134=1,ISNUMBER(R134)),R134,"")</t>
  </si>
  <si>
    <t>AM135</t>
  </si>
  <si>
    <t>=IF(ISNUMBER(J135),1,0)</t>
  </si>
  <si>
    <t>=IF(AND(ISNUMBER(J135),OR(AR135="INHERITED ESTIMATE",AR135="CONFIRMED ESTIMATE")),1,0)</t>
  </si>
  <si>
    <t>AS135</t>
  </si>
  <si>
    <t>=IF(AM135=1,J135,"")</t>
  </si>
  <si>
    <t>AT135</t>
  </si>
  <si>
    <t>=IF(AND(AM135=1,ISNUMBER(R135)),R135,"")</t>
  </si>
  <si>
    <t>T136</t>
  </si>
  <si>
    <t>T-087..T-105 + T-112 + T-114 security/tenant hand-off. Outcome semantics from...</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</si>
  <si>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T-087..T-105 + T-112 + T-114 security/tenant hand-off. Outcome semantics from...</t>
  </si>
  <si>
    <t>AM136</t>
  </si>
  <si>
    <t>=IF(ISNUMBER(J136),1,0)</t>
  </si>
  <si>
    <t>=IF(AND(ISNUMBER(J136),OR(AR136="INHERITED ESTIMATE",AR136="CONFIRMED ESTIMATE")),1,0)</t>
  </si>
  <si>
    <t>AS136</t>
  </si>
  <si>
    <t>=IF(AM136=1,J136,"")</t>
  </si>
  <si>
    <t>AT136</t>
  </si>
  <si>
    <t>=IF(AND(AM136=1,ISNUMBER(R136)),R136,"")</t>
  </si>
  <si>
    <t>AM137</t>
  </si>
  <si>
    <t>=IF(ISNUMBER(J137),1,0)</t>
  </si>
  <si>
    <t>=IF(AND(ISNUMBER(J137),OR(AR137="INHERITED ESTIMATE",AR137="CONFIRMED ESTIMATE")),1,0)</t>
  </si>
  <si>
    <t>AS137</t>
  </si>
  <si>
    <t>=IF(AM137=1,J137,"")</t>
  </si>
  <si>
    <t>AT137</t>
  </si>
  <si>
    <t>=IF(AND(AM137=1,ISNUMBER(R137)),R137,"")</t>
  </si>
  <si>
    <t>AM138</t>
  </si>
  <si>
    <t>=IF(ISNUMBER(J138),1,0)</t>
  </si>
  <si>
    <t>=IF(AND(ISNUMBER(J138),OR(AR138="INHERITED ESTIMATE",AR138="CONFIRMED ESTIMATE")),1,0)</t>
  </si>
  <si>
    <t>AS138</t>
  </si>
  <si>
    <t>=IF(AM138=1,J138,"")</t>
  </si>
  <si>
    <t>AT138</t>
  </si>
  <si>
    <t>=IF(AND(AM138=1,ISNUMBER(R138)),R138,"")</t>
  </si>
  <si>
    <t>AM139</t>
  </si>
  <si>
    <t>=IF(ISNUMBER(J139),1,0)</t>
  </si>
  <si>
    <t>=IF(AND(ISNUMBER(J139),OR(AR139="INHERITED ESTIMATE",AR139="CONFIRMED ESTIMATE")),1,0)</t>
  </si>
  <si>
    <t>AS139</t>
  </si>
  <si>
    <t>=IF(AM139=1,J139,"")</t>
  </si>
  <si>
    <t>AT139</t>
  </si>
  <si>
    <t>=IF(AND(AM139=1,ISNUMBER(R139)),R139,"")</t>
  </si>
  <si>
    <t>AM140</t>
  </si>
  <si>
    <t>=IF(ISNUMBER(J140),1,0)</t>
  </si>
  <si>
    <t>=IF(AND(ISNUMBER(J140),OR(AR140="INHERITED ESTIMATE",AR140="CONFIRMED ESTIMATE")),1,0)</t>
  </si>
  <si>
    <t>AS140</t>
  </si>
  <si>
    <t>=IF(AM140=1,J140,"")</t>
  </si>
  <si>
    <t>AT140</t>
  </si>
  <si>
    <t>=IF(AND(AM140=1,ISNUMBER(R140)),R140,"")</t>
  </si>
  <si>
    <t>AM141</t>
  </si>
  <si>
    <t>=IF(ISNUMBER(J141),1,0)</t>
  </si>
  <si>
    <t>=IF(AND(ISNUMBER(J141),OR(AR141="INHERITED ESTIMATE",AR141="CONFIRMED ESTIMATE")),1,0)</t>
  </si>
  <si>
    <t>AS141</t>
  </si>
  <si>
    <t>=IF(AM141=1,J141,"")</t>
  </si>
  <si>
    <t>AT141</t>
  </si>
  <si>
    <t>=IF(AND(AM141=1,ISNUMBER(R141)),R141,"")</t>
  </si>
  <si>
    <t>T142</t>
  </si>
  <si>
    <t>T-090 definition authority + T-095/T-096 relationship resolver + available ca...</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</si>
  <si>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definition authority + T-095/T-096 relationship resolver + available ca...</t>
  </si>
  <si>
    <t>AM142</t>
  </si>
  <si>
    <t>=IF(ISNUMBER(J142),1,0)</t>
  </si>
  <si>
    <t>=IF(AND(ISNUMBER(J142),OR(AR142="INHERITED ESTIMATE",AR142="CONFIRMED ESTIMATE")),1,0)</t>
  </si>
  <si>
    <t>AS142</t>
  </si>
  <si>
    <t>=IF(AM142=1,J142,"")</t>
  </si>
  <si>
    <t>AT142</t>
  </si>
  <si>
    <t>=IF(AND(AM142=1,ISNUMBER(R142)),R142,"")</t>
  </si>
  <si>
    <t>T143</t>
  </si>
  <si>
    <t>T-112 + T-114 + current Release 2 persistence tables (including T-128/T-129/T-130/T...</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</si>
  <si>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T-112 + T-114 + current Release 2 persistence tables (including T-128/T-129/T-130/T...</t>
  </si>
  <si>
    <t>AM143</t>
  </si>
  <si>
    <t>=IF(ISNUMBER(J143),1,0)</t>
  </si>
  <si>
    <t>=IF(AND(ISNUMBER(J143),OR(AR143="INHERITED ESTIMATE",AR143="CONFIRMED ESTIMATE")),1,0)</t>
  </si>
  <si>
    <t>AS143</t>
  </si>
  <si>
    <t>=IF(AM143=1,J143,"")</t>
  </si>
  <si>
    <t>AT143</t>
  </si>
  <si>
    <t>=IF(AND(AM143=1,ISNUMBER(R143)),R143,"")</t>
  </si>
  <si>
    <t>AM144</t>
  </si>
  <si>
    <t>=IF(ISNUMBER(J144),1,0)</t>
  </si>
  <si>
    <t>=IF(AND(ISNUMBER(J144),OR(AR144="INHERITED ESTIMATE",AR144="CONFIRMED ESTIMATE")),1,0)</t>
  </si>
  <si>
    <t>AS144</t>
  </si>
  <si>
    <t>=IF(AM144=1,J144,"")</t>
  </si>
  <si>
    <t>AT144</t>
  </si>
  <si>
    <t>=IF(AND(AM144=1,ISNUMBER(R144)),R144,"")</t>
  </si>
  <si>
    <t>AM145</t>
  </si>
  <si>
    <t>=IF(ISNUMBER(J145),1,0)</t>
  </si>
  <si>
    <t>=IF(AND(ISNUMBER(J145),OR(AR145="INHERITED ESTIMATE",AR145="CONFIRMED ESTIMATE")),1,0)</t>
  </si>
  <si>
    <t>AS145</t>
  </si>
  <si>
    <t>=IF(AM145=1,J145,"")</t>
  </si>
  <si>
    <t>AT145</t>
  </si>
  <si>
    <t>=IF(AND(AM145=1,ISNUMBER(R145)),R145,"")</t>
  </si>
  <si>
    <t>AM146</t>
  </si>
  <si>
    <t>=IF(ISNUMBER(J146),1,0)</t>
  </si>
  <si>
    <t>=IF(AND(ISNUMBER(J146),OR(AR146="INHERITED ESTIMATE",AR146="CONFIRMED ESTIMATE")),1,0)</t>
  </si>
  <si>
    <t>AS146</t>
  </si>
  <si>
    <t>=IF(AM146=1,J146,"")</t>
  </si>
  <si>
    <t>AT146</t>
  </si>
  <si>
    <t>=IF(AND(AM146=1,ISNUMBER(R146)),R146,"")</t>
  </si>
  <si>
    <t>AM147</t>
  </si>
  <si>
    <t>=IF(ISNUMBER(J147),1,0)</t>
  </si>
  <si>
    <t>=IF(AND(ISNUMBER(J147),OR(AR147="INHERITED ESTIMATE",AR147="CONFIRMED ESTIMATE")),1,0)</t>
  </si>
  <si>
    <t>AS147</t>
  </si>
  <si>
    <t>=IF(AM147=1,J147,"")</t>
  </si>
  <si>
    <t>AT147</t>
  </si>
  <si>
    <t>=IF(AND(AM147=1,ISNUMBER(R147)),R147,"")</t>
  </si>
  <si>
    <t>AM148</t>
  </si>
  <si>
    <t>=IF(ISNUMBER(J148),1,0)</t>
  </si>
  <si>
    <t>=IF(AND(ISNUMBER(J148),OR(AR148="INHERITED ESTIMATE",AR148="CONFIRMED ESTIMATE")),1,0)</t>
  </si>
  <si>
    <t>AS148</t>
  </si>
  <si>
    <t>=IF(AM148=1,J148,"")</t>
  </si>
  <si>
    <t>AT148</t>
  </si>
  <si>
    <t>=IF(AND(AM148=1,ISNUMBER(R148)),R148,"")</t>
  </si>
  <si>
    <t>AM149</t>
  </si>
  <si>
    <t>=IF(ISNUMBER(J149),1,0)</t>
  </si>
  <si>
    <t>=IF(AND(ISNUMBER(J149),OR(AR149="INHERITED ESTIMATE",AR149="CONFIRMED ESTIMATE")),1,0)</t>
  </si>
  <si>
    <t>AS149</t>
  </si>
  <si>
    <t>=IF(AM149=1,J149,"")</t>
  </si>
  <si>
    <t>AT149</t>
  </si>
  <si>
    <t>=IF(AND(AM149=1,ISNUMBER(R149)),R149,"")</t>
  </si>
  <si>
    <t>AM150</t>
  </si>
  <si>
    <t>=IF(ISNUMBER(J150),1,0)</t>
  </si>
  <si>
    <t>=IF(AND(ISNUMBER(J150),OR(AR150="INHERITED ESTIMATE",AR150="CONFIRMED ESTIMATE")),1,0)</t>
  </si>
  <si>
    <t>AS150</t>
  </si>
  <si>
    <t>=IF(AM150=1,J150,"")</t>
  </si>
  <si>
    <t>AT150</t>
  </si>
  <si>
    <t>=IF(AND(AM150=1,ISNUMBER(R150)),R150,"")</t>
  </si>
  <si>
    <t>AM151</t>
  </si>
  <si>
    <t>=IF(ISNUMBER(J151),1,0)</t>
  </si>
  <si>
    <t>=IF(AND(ISNUMBER(J151),OR(AR151="INHERITED ESTIMATE",AR151="CONFIRMED ESTIMATE")),1,0)</t>
  </si>
  <si>
    <t>AS151</t>
  </si>
  <si>
    <t>=IF(AM151=1,J151,"")</t>
  </si>
  <si>
    <t>AT151</t>
  </si>
  <si>
    <t>=IF(AND(AM151=1,ISNUMBER(R151)),R151,"")</t>
  </si>
  <si>
    <t>AJ152</t>
  </si>
  <si>
    <t>AM152</t>
  </si>
  <si>
    <t>=IF(ISNUMBER(J152),1,0)</t>
  </si>
  <si>
    <t>=IF(AND(ISNUMBER(J152),OR(AR152="INHERITED ESTIMATE",AR152="CONFIRMED ESTIMATE")),1,0)</t>
  </si>
  <si>
    <t>AR152</t>
  </si>
  <si>
    <t>Backlog!AJ152 vs AR152</t>
  </si>
  <si>
    <t>AS152</t>
  </si>
  <si>
    <t>=IF(AM152=1,J152,"")</t>
  </si>
  <si>
    <t>AT152</t>
  </si>
  <si>
    <t>=IF(AND(AM152=1,ISNUMBER(R152)),R152,"")</t>
  </si>
  <si>
    <t>AJ153</t>
  </si>
  <si>
    <t>AM153</t>
  </si>
  <si>
    <t>=IF(ISNUMBER(J153),1,0)</t>
  </si>
  <si>
    <t>=IF(AND(ISNUMBER(J153),OR(AR153="INHERITED ESTIMATE",AR153="CONFIRMED ESTIMATE")),1,0)</t>
  </si>
  <si>
    <t>AR153</t>
  </si>
  <si>
    <t>Backlog!AJ153 vs AR153</t>
  </si>
  <si>
    <t>AS153</t>
  </si>
  <si>
    <t>=IF(AM153=1,J153,"")</t>
  </si>
  <si>
    <t>AT153</t>
  </si>
  <si>
    <t>=IF(AND(AM153=1,ISNUMBER(R153)),R153,"")</t>
  </si>
  <si>
    <t>T154</t>
  </si>
  <si>
    <t>T-090 canonical SM-06 binding + T-128/T-129 + T-177; complete BEFORE T-146 fi...</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</si>
  <si>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canonical SM-06 binding + T-128/T-129 + T-177; complete BEFORE T-146 fi...</t>
  </si>
  <si>
    <t>AM154</t>
  </si>
  <si>
    <t>=IF(ISNUMBER(J154),1,0)</t>
  </si>
  <si>
    <t>=IF(AND(ISNUMBER(J154),OR(AR154="INHERITED ESTIMATE",AR154="CONFIRMED ESTIMATE")),1,0)</t>
  </si>
  <si>
    <t>AS154</t>
  </si>
  <si>
    <t>=IF(AM154=1,J154,"")</t>
  </si>
  <si>
    <t>AT154</t>
  </si>
  <si>
    <t>=IF(AND(AM154=1,ISNUMBER(R154)),R154,"")</t>
  </si>
  <si>
    <t>AM155</t>
  </si>
  <si>
    <t>=IF(ISNUMBER(J155),1,0)</t>
  </si>
  <si>
    <t>=IF(AND(ISNUMBER(J155),OR(AR155="INHERITED ESTIMATE",AR155="CONFIRMED ESTIMATE")),1,0)</t>
  </si>
  <si>
    <t>AS155</t>
  </si>
  <si>
    <t>=IF(AM155=1,J155,"")</t>
  </si>
  <si>
    <t>AT155</t>
  </si>
  <si>
    <t>=IF(AND(AM155=1,ISNUMBER(R155)),R155,"")</t>
  </si>
  <si>
    <t>AM156</t>
  </si>
  <si>
    <t>=IF(ISNUMBER(J156),1,0)</t>
  </si>
  <si>
    <t>=IF(AND(ISNUMBER(J156),OR(AR156="INHERITED ESTIMATE",AR156="CONFIRMED ESTIMATE")),1,0)</t>
  </si>
  <si>
    <t>AS156</t>
  </si>
  <si>
    <t>=IF(AM156=1,J156,"")</t>
  </si>
  <si>
    <t>AT156</t>
  </si>
  <si>
    <t>=IF(AND(AM156=1,ISNUMBER(R156)),R156,"")</t>
  </si>
  <si>
    <t>AM157</t>
  </si>
  <si>
    <t>=IF(ISNUMBER(J157),1,0)</t>
  </si>
  <si>
    <t>=IF(AND(ISNUMBER(J157),OR(AR157="INHERITED ESTIMATE",AR157="CONFIRMED ESTIMATE")),1,0)</t>
  </si>
  <si>
    <t>AS157</t>
  </si>
  <si>
    <t>=IF(AM157=1,J157,"")</t>
  </si>
  <si>
    <t>AT157</t>
  </si>
  <si>
    <t>=IF(AND(AM157=1,ISNUMBER(R157)),R157,"")</t>
  </si>
  <si>
    <t>AJ158</t>
  </si>
  <si>
    <t>AM158</t>
  </si>
  <si>
    <t>=IF(ISNUMBER(J158),1,0)</t>
  </si>
  <si>
    <t>=IF(AND(ISNUMBER(J158),OR(AR158="INHERITED ESTIMATE",AR158="CONFIRMED ESTIMATE")),1,0)</t>
  </si>
  <si>
    <t>AR158</t>
  </si>
  <si>
    <t>Backlog!AJ158 vs AR158</t>
  </si>
  <si>
    <t>AS158</t>
  </si>
  <si>
    <t>=IF(AM158=1,J158,"")</t>
  </si>
  <si>
    <t>AT158</t>
  </si>
  <si>
    <t>=IF(AND(AM158=1,ISNUMBER(R158)),R158,"")</t>
  </si>
  <si>
    <t>T159</t>
  </si>
  <si>
    <t>T-089..T-105 canonical definition/relationship authority + T-112 + T-114 secu...</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</si>
  <si>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T-089..T-105 canonical definition/relationship authority + T-112 + T-114 secu...</t>
  </si>
  <si>
    <t>AM159</t>
  </si>
  <si>
    <t>=IF(ISNUMBER(J159),1,0)</t>
  </si>
  <si>
    <t>=IF(AND(ISNUMBER(J159),OR(AR159="INHERITED ESTIMATE",AR159="CONFIRMED ESTIMATE")),1,0)</t>
  </si>
  <si>
    <t>AS159</t>
  </si>
  <si>
    <t>=IF(AM159=1,J159,"")</t>
  </si>
  <si>
    <t>AT159</t>
  </si>
  <si>
    <t>=IF(AND(AM159=1,ISNUMBER(R159)),R159,"")</t>
  </si>
  <si>
    <t>AM160</t>
  </si>
  <si>
    <t>=IF(ISNUMBER(J160),1,0)</t>
  </si>
  <si>
    <t>=IF(AND(ISNUMBER(J160),OR(AR160="INHERITED ESTIMATE",AR160="CONFIRMED ESTIMATE")),1,0)</t>
  </si>
  <si>
    <t>AS160</t>
  </si>
  <si>
    <t>=IF(AM160=1,J160,"")</t>
  </si>
  <si>
    <t>AT160</t>
  </si>
  <si>
    <t>=IF(AND(AM160=1,ISNUMBER(R160)),R160,"")</t>
  </si>
  <si>
    <t>T161</t>
  </si>
  <si>
    <t>T-170 + T-183 + T-122 final object-storage/container path + T-112/T-114/T-135...</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</si>
  <si>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T-170 + T-183 + T-122 final object-storage/container path + T-112/T-114/T-135...</t>
  </si>
  <si>
    <t>AM161</t>
  </si>
  <si>
    <t>=IF(ISNUMBER(J161),1,0)</t>
  </si>
  <si>
    <t>=IF(AND(ISNUMBER(J161),OR(AR161="INHERITED ESTIMATE",AR161="CONFIRMED ESTIMATE")),1,0)</t>
  </si>
  <si>
    <t>AS161</t>
  </si>
  <si>
    <t>=IF(AM161=1,J161,"")</t>
  </si>
  <si>
    <t>AT161</t>
  </si>
  <si>
    <t>=IF(AND(AM161=1,ISNUMBER(R161)),R161,"")</t>
  </si>
  <si>
    <t>T162</t>
  </si>
  <si>
    <t>T-171 + T-183 + T-128/T-129 + T-195 canonical readiness thresholds + T-135 se...</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</si>
  <si>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T-171 + T-183 + T-128/T-129 + T-195 canonical readiness thresholds + T-135 se...</t>
  </si>
  <si>
    <t>AJ162</t>
  </si>
  <si>
    <t>AM162</t>
  </si>
  <si>
    <t>=IF(ISNUMBER(J162),1,0)</t>
  </si>
  <si>
    <t>=IF(AND(ISNUMBER(J162),OR(AR162="INHERITED ESTIMATE",AR162="CONFIRMED ESTIMATE")),1,0)</t>
  </si>
  <si>
    <t>AR162</t>
  </si>
  <si>
    <t>Backlog!AJ162 vs AR162</t>
  </si>
  <si>
    <t>AS162</t>
  </si>
  <si>
    <t>=IF(AM162=1,J162,"")</t>
  </si>
  <si>
    <t>AT162</t>
  </si>
  <si>
    <t>=IF(AND(AM162=1,ISNUMBER(R162)),R162,"")</t>
  </si>
  <si>
    <t>AM163</t>
  </si>
  <si>
    <t>=IF(ISNUMBER(J163),1,0)</t>
  </si>
  <si>
    <t>=IF(AND(ISNUMBER(J163),OR(AR163="INHERITED ESTIMATE",AR163="CONFIRMED ESTIMATE")),1,0)</t>
  </si>
  <si>
    <t>AS163</t>
  </si>
  <si>
    <t>=IF(AM163=1,J163,"")</t>
  </si>
  <si>
    <t>AT163</t>
  </si>
  <si>
    <t>=IF(AND(AM163=1,ISNUMBER(R163)),R163,"")</t>
  </si>
  <si>
    <t>AM164</t>
  </si>
  <si>
    <t>=IF(ISNUMBER(J164),1,0)</t>
  </si>
  <si>
    <t>=IF(AND(ISNUMBER(J164),OR(AR164="INHERITED ESTIMATE",AR164="CONFIRMED ESTIMATE")),1,0)</t>
  </si>
  <si>
    <t>AS164</t>
  </si>
  <si>
    <t>=IF(AM164=1,J164,"")</t>
  </si>
  <si>
    <t>AT164</t>
  </si>
  <si>
    <t>=IF(AND(AM164=1,ISNUMBER(R164)),R164,"")</t>
  </si>
  <si>
    <t>AM165</t>
  </si>
  <si>
    <t>=IF(ISNUMBER(J165),1,0)</t>
  </si>
  <si>
    <t>=IF(AND(ISNUMBER(J165),OR(AR165="INHERITED ESTIMATE",AR165="CONFIRMED ESTIMATE")),1,0)</t>
  </si>
  <si>
    <t>AS165</t>
  </si>
  <si>
    <t>=IF(AM165=1,J165,"")</t>
  </si>
  <si>
    <t>AT165</t>
  </si>
  <si>
    <t>=IF(AND(AM165=1,ISNUMBER(R165)),R165,"")</t>
  </si>
  <si>
    <t>AJ166</t>
  </si>
  <si>
    <t>AM166</t>
  </si>
  <si>
    <t>=IF(ISNUMBER(J166),1,0)</t>
  </si>
  <si>
    <t>=IF(AND(ISNUMBER(J166),OR(AR166="INHERITED ESTIMATE",AR166="CONFIRMED ESTIMATE")),1,0)</t>
  </si>
  <si>
    <t>AR166</t>
  </si>
  <si>
    <t>Backlog!AJ166 vs AR166</t>
  </si>
  <si>
    <t>AS166</t>
  </si>
  <si>
    <t>=IF(AM166=1,J166,"")</t>
  </si>
  <si>
    <t>AT166</t>
  </si>
  <si>
    <t>=IF(AND(AM166=1,ISNUMBER(R166)),R166,"")</t>
  </si>
  <si>
    <t>AM167</t>
  </si>
  <si>
    <t>=IF(ISNUMBER(J167),1,0)</t>
  </si>
  <si>
    <t>=IF(AND(ISNUMBER(J167),OR(AR167="INHERITED ESTIMATE",AR167="CONFIRMED ESTIMATE")),1,0)</t>
  </si>
  <si>
    <t>AS167</t>
  </si>
  <si>
    <t>=IF(AM167=1,J167,"")</t>
  </si>
  <si>
    <t>AT167</t>
  </si>
  <si>
    <t>=IF(AND(AM167=1,ISNUMBER(R167)),R167,"")</t>
  </si>
  <si>
    <t>AM168</t>
  </si>
  <si>
    <t>=IF(ISNUMBER(J168),1,0)</t>
  </si>
  <si>
    <t>=IF(AND(ISNUMBER(J168),OR(AR168="INHERITED ESTIMATE",AR168="CONFIRMED ESTIMATE")),1,0)</t>
  </si>
  <si>
    <t>AS168</t>
  </si>
  <si>
    <t>=IF(AM168=1,J168,"")</t>
  </si>
  <si>
    <t>AT168</t>
  </si>
  <si>
    <t>=IF(AND(AM168=1,ISNUMBER(R168)),R168,"")</t>
  </si>
  <si>
    <t>AM169</t>
  </si>
  <si>
    <t>=IF(ISNUMBER(J169),1,0)</t>
  </si>
  <si>
    <t>=IF(AND(ISNUMBER(J169),OR(AR169="INHERITED ESTIMATE",AR169="CONFIRMED ESTIMATE")),1,0)</t>
  </si>
  <si>
    <t>AS169</t>
  </si>
  <si>
    <t>=IF(AM169=1,J169,"")</t>
  </si>
  <si>
    <t>AT169</t>
  </si>
  <si>
    <t>=IF(AND(AM169=1,ISNUMBER(R169)),R169,"")</t>
  </si>
  <si>
    <t>AM170</t>
  </si>
  <si>
    <t>=IF(ISNUMBER(J170),1,0)</t>
  </si>
  <si>
    <t>=IF(AND(ISNUMBER(J170),OR(AR170="INHERITED ESTIMATE",AR170="CONFIRMED ESTIMATE")),1,0)</t>
  </si>
  <si>
    <t>AS170</t>
  </si>
  <si>
    <t>=IF(AM170=1,J170,"")</t>
  </si>
  <si>
    <t>AT170</t>
  </si>
  <si>
    <t>=IF(AND(AM170=1,ISNUMBER(R170)),R170,"")</t>
  </si>
  <si>
    <t>AM171</t>
  </si>
  <si>
    <t>=IF(ISNUMBER(J171),1,0)</t>
  </si>
  <si>
    <t>=IF(AND(ISNUMBER(J171),OR(AR171="INHERITED ESTIMATE",AR171="CONFIRMED ESTIMATE")),1,0)</t>
  </si>
  <si>
    <t>AS171</t>
  </si>
  <si>
    <t>=IF(AM171=1,J171,"")</t>
  </si>
  <si>
    <t>AT171</t>
  </si>
  <si>
    <t>=IF(AND(AM171=1,ISNUMBER(R171)),R171,"")</t>
  </si>
  <si>
    <t>AM172</t>
  </si>
  <si>
    <t>=IF(ISNUMBER(J172),1,0)</t>
  </si>
  <si>
    <t>=IF(AND(ISNUMBER(J172),OR(AR172="INHERITED ESTIMATE",AR172="CONFIRMED ESTIMATE")),1,0)</t>
  </si>
  <si>
    <t>AS172</t>
  </si>
  <si>
    <t>=IF(AM172=1,J172,"")</t>
  </si>
  <si>
    <t>AT172</t>
  </si>
  <si>
    <t>=IF(AND(AM172=1,ISNUMBER(R172)),R172,"")</t>
  </si>
  <si>
    <t>AM173</t>
  </si>
  <si>
    <t>=IF(ISNUMBER(J173),1,0)</t>
  </si>
  <si>
    <t>=IF(AND(ISNUMBER(J173),OR(AR173="INHERITED ESTIMATE",AR173="CONFIRMED ESTIMATE")),1,0)</t>
  </si>
  <si>
    <t>AS173</t>
  </si>
  <si>
    <t>=IF(AM173=1,J173,"")</t>
  </si>
  <si>
    <t>AT173</t>
  </si>
  <si>
    <t>=IF(AND(AM173=1,ISNUMBER(R173)),R173,"")</t>
  </si>
  <si>
    <t>AM174</t>
  </si>
  <si>
    <t>=IF(ISNUMBER(J174),1,0)</t>
  </si>
  <si>
    <t>=IF(AND(ISNUMBER(J174),OR(AR174="INHERITED ESTIMATE",AR174="CONFIRMED ESTIMATE")),1,0)</t>
  </si>
  <si>
    <t>AS174</t>
  </si>
  <si>
    <t>=IF(AM174=1,J174,"")</t>
  </si>
  <si>
    <t>AT174</t>
  </si>
  <si>
    <t>=IF(AND(AM174=1,ISNUMBER(R174)),R174,"")</t>
  </si>
  <si>
    <t>AM175</t>
  </si>
  <si>
    <t>=IF(ISNUMBER(J175),1,0)</t>
  </si>
  <si>
    <t>=IF(AND(ISNUMBER(J175),OR(AR175="INHERITED ESTIMATE",AR175="CONFIRMED ESTIMATE")),1,0)</t>
  </si>
  <si>
    <t>AS175</t>
  </si>
  <si>
    <t>=IF(AM175=1,J175,"")</t>
  </si>
  <si>
    <t>AT175</t>
  </si>
  <si>
    <t>=IF(AND(AM175=1,ISNUMBER(R175)),R175,"")</t>
  </si>
  <si>
    <t>AM176</t>
  </si>
  <si>
    <t>=IF(ISNUMBER(J176),1,0)</t>
  </si>
  <si>
    <t>=IF(AND(ISNUMBER(J176),OR(AR176="INHERITED ESTIMATE",AR176="CONFIRMED ESTIMATE")),1,0)</t>
  </si>
  <si>
    <t>AS176</t>
  </si>
  <si>
    <t>=IF(AM176=1,J176,"")</t>
  </si>
  <si>
    <t>AT176</t>
  </si>
  <si>
    <t>=IF(AND(AM176=1,ISNUMBER(R176)),R176,"")</t>
  </si>
  <si>
    <t>AM177</t>
  </si>
  <si>
    <t>=IF(ISNUMBER(J177),1,0)</t>
  </si>
  <si>
    <t>=IF(AND(ISNUMBER(J177),OR(AR177="INHERITED ESTIMATE",AR177="CONFIRMED ESTIMATE")),1,0)</t>
  </si>
  <si>
    <t>AS177</t>
  </si>
  <si>
    <t>=IF(AM177=1,J177,"")</t>
  </si>
  <si>
    <t>AT177</t>
  </si>
  <si>
    <t>=IF(AND(AM177=1,ISNUMBER(R177)),R177,"")</t>
  </si>
  <si>
    <t>AM178</t>
  </si>
  <si>
    <t>=IF(ISNUMBER(J178),1,0)</t>
  </si>
  <si>
    <t>=IF(AND(ISNUMBER(J178),OR(AR178="INHERITED ESTIMATE",AR178="CONFIRMED ESTIMATE")),1,0)</t>
  </si>
  <si>
    <t>AS178</t>
  </si>
  <si>
    <t>=IF(AM178=1,J178,"")</t>
  </si>
  <si>
    <t>AT178</t>
  </si>
  <si>
    <t>=IF(AND(AM178=1,ISNUMBER(R178)),R178,"")</t>
  </si>
  <si>
    <t>AM179</t>
  </si>
  <si>
    <t>=IF(ISNUMBER(J179),1,0)</t>
  </si>
  <si>
    <t>=IF(AND(ISNUMBER(J179),OR(AR179="INHERITED ESTIMATE",AR179="CONFIRMED ESTIMATE")),1,0)</t>
  </si>
  <si>
    <t>AS179</t>
  </si>
  <si>
    <t>=IF(AM179=1,J179,"")</t>
  </si>
  <si>
    <t>AT179</t>
  </si>
  <si>
    <t>=IF(AND(AM179=1,ISNUMBER(R179)),R179,"")</t>
  </si>
  <si>
    <t>AM180</t>
  </si>
  <si>
    <t>=IF(ISNUMBER(J180),1,0)</t>
  </si>
  <si>
    <t>=IF(AND(ISNUMBER(J180),OR(AR180="INHERITED ESTIMATE",AR180="CONFIRMED ESTIMATE")),1,0)</t>
  </si>
  <si>
    <t>AS180</t>
  </si>
  <si>
    <t>=IF(AM180=1,J180,"")</t>
  </si>
  <si>
    <t>AT180</t>
  </si>
  <si>
    <t>=IF(AND(AM180=1,ISNUMBER(R180)),R180,"")</t>
  </si>
  <si>
    <t>Release Plan — v2.23.0 | known effort only; 8 unestimated/unconfirmed rows</t>
  </si>
  <si>
    <t>Release Plan — v2.23.0 | reviewed15Sep2026; partial non-withdrawn estimates only</t>
  </si>
  <si>
    <t>Synchronize current metadata/labels with supported evidence or calculation.</t>
  </si>
  <si>
    <t>I3</t>
  </si>
  <si>
    <t>Known scope h</t>
  </si>
  <si>
    <t>J3</t>
  </si>
  <si>
    <t>Known open h</t>
  </si>
  <si>
    <t>Usable open scope h</t>
  </si>
  <si>
    <t>K3</t>
  </si>
  <si>
    <t>Unestimated rows</t>
  </si>
  <si>
    <t>Estimate unresolved rows</t>
  </si>
  <si>
    <t>I4</t>
  </si>
  <si>
    <t>=SUMIFS(Backlog!$J$2:$J$180,Backlog!$B$2:$B$180,$A4,Backlog!$C$2:$C$180,$C4)</t>
  </si>
  <si>
    <t>=SUMIFS(Backlog!$AS$2:$AS$180,Backlog!$B$2:$B$180,$A4,Backlog!$C$2:$C$180,$C4)</t>
  </si>
  <si>
    <t>Use only non-withdrawn planning estimates; keep raw J/R visible in Backlog.</t>
  </si>
  <si>
    <t>J4</t>
  </si>
  <si>
    <t>=SUMIFS(Backlog!$J$2:$J$180,Backlog!$B$2:$B$180,$A4,Backlog!$C$2:$C$180,$C4,Backlog!$K$2:$K$180,"&lt;&gt;Done")</t>
  </si>
  <si>
    <t>=SUMIFS(Backlog!$AS$2:$AS$180,Backlog!$B$2:$B$180,$A4,Backlog!$C$2:$C$180,$C4,Backlog!$K$2:$K$180,"&lt;&gt;Done")</t>
  </si>
  <si>
    <t>I5</t>
  </si>
  <si>
    <t>=SUMIFS(Backlog!$J$2:$J$180,Backlog!$B$2:$B$180,$A5,Backlog!$C$2:$C$180,$C5)</t>
  </si>
  <si>
    <t>=SUMIFS(Backlog!$AS$2:$AS$180,Backlog!$B$2:$B$180,$A5,Backlog!$C$2:$C$180,$C5)</t>
  </si>
  <si>
    <t>J5</t>
  </si>
  <si>
    <t>=SUMIFS(Backlog!$J$2:$J$180,Backlog!$B$2:$B$180,$A5,Backlog!$C$2:$C$180,$C5,Backlog!$K$2:$K$180,"&lt;&gt;Done")</t>
  </si>
  <si>
    <t>=SUMIFS(Backlog!$AS$2:$AS$180,Backlog!$B$2:$B$180,$A5,Backlog!$C$2:$C$180,$C5,Backlog!$K$2:$K$180,"&lt;&gt;Done")</t>
  </si>
  <si>
    <t>I6</t>
  </si>
  <si>
    <t>=SUMIFS(Backlog!$J$2:$J$180,Backlog!$B$2:$B$180,$A6,Backlog!$C$2:$C$180,$C6)</t>
  </si>
  <si>
    <t>=SUMIFS(Backlog!$AS$2:$AS$180,Backlog!$B$2:$B$180,$A6,Backlog!$C$2:$C$180,$C6)</t>
  </si>
  <si>
    <t>J6</t>
  </si>
  <si>
    <t>=SUMIFS(Backlog!$J$2:$J$180,Backlog!$B$2:$B$180,$A6,Backlog!$C$2:$C$180,$C6,Backlog!$K$2:$K$180,"&lt;&gt;Done")</t>
  </si>
  <si>
    <t>=SUMIFS(Backlog!$AS$2:$AS$180,Backlog!$B$2:$B$180,$A6,Backlog!$C$2:$C$180,$C6,Backlog!$K$2:$K$180,"&lt;&gt;Done")</t>
  </si>
  <si>
    <t>I7</t>
  </si>
  <si>
    <t>=SUMIFS(Backlog!$J$2:$J$180,Backlog!$B$2:$B$180,$A7,Backlog!$C$2:$C$180,$C7)</t>
  </si>
  <si>
    <t>=SUMIFS(Backlog!$AS$2:$AS$180,Backlog!$B$2:$B$180,$A7,Backlog!$C$2:$C$180,$C7)</t>
  </si>
  <si>
    <t>J7</t>
  </si>
  <si>
    <t>=SUMIFS(Backlog!$J$2:$J$180,Backlog!$B$2:$B$180,$A7,Backlog!$C$2:$C$180,$C7,Backlog!$K$2:$K$180,"&lt;&gt;Done")</t>
  </si>
  <si>
    <t>=SUMIFS(Backlog!$AS$2:$AS$180,Backlog!$B$2:$B$180,$A7,Backlog!$C$2:$C$180,$C7,Backlog!$K$2:$K$180,"&lt;&gt;Done")</t>
  </si>
  <si>
    <t>I8</t>
  </si>
  <si>
    <t>=SUMIFS(Backlog!$J$2:$J$180,Backlog!$B$2:$B$180,$A8,Backlog!$C$2:$C$180,$C8)</t>
  </si>
  <si>
    <t>=SUMIFS(Backlog!$AS$2:$AS$180,Backlog!$B$2:$B$180,$A8,Backlog!$C$2:$C$180,$C8)</t>
  </si>
  <si>
    <t>J8</t>
  </si>
  <si>
    <t>=SUMIFS(Backlog!$J$2:$J$180,Backlog!$B$2:$B$180,$A8,Backlog!$C$2:$C$180,$C8,Backlog!$K$2:$K$180,"&lt;&gt;Done")</t>
  </si>
  <si>
    <t>=SUMIFS(Backlog!$AS$2:$AS$180,Backlog!$B$2:$B$180,$A8,Backlog!$C$2:$C$180,$C8,Backlog!$K$2:$K$180,"&lt;&gt;Done")</t>
  </si>
  <si>
    <t>I9</t>
  </si>
  <si>
    <t>=SUMIFS(Backlog!$J$2:$J$180,Backlog!$B$2:$B$180,$A9,Backlog!$C$2:$C$180,$C9)</t>
  </si>
  <si>
    <t>=SUMIFS(Backlog!$AS$2:$AS$180,Backlog!$B$2:$B$180,$A9,Backlog!$C$2:$C$180,$C9)</t>
  </si>
  <si>
    <t>J9</t>
  </si>
  <si>
    <t>=SUMIFS(Backlog!$J$2:$J$180,Backlog!$B$2:$B$180,$A9,Backlog!$C$2:$C$180,$C9,Backlog!$K$2:$K$180,"&lt;&gt;Done")</t>
  </si>
  <si>
    <t>=SUMIFS(Backlog!$AS$2:$AS$180,Backlog!$B$2:$B$180,$A9,Backlog!$C$2:$C$180,$C9,Backlog!$K$2:$K$180,"&lt;&gt;Done")</t>
  </si>
  <si>
    <t>I10</t>
  </si>
  <si>
    <t>=SUMIFS(Backlog!$J$2:$J$180,Backlog!$B$2:$B$180,$A10,Backlog!$C$2:$C$180,$C10)</t>
  </si>
  <si>
    <t>=SUMIFS(Backlog!$AS$2:$AS$180,Backlog!$B$2:$B$180,$A10,Backlog!$C$2:$C$180,$C10)</t>
  </si>
  <si>
    <t>J10</t>
  </si>
  <si>
    <t>=SUMIFS(Backlog!$J$2:$J$180,Backlog!$B$2:$B$180,$A10,Backlog!$C$2:$C$180,$C10,Backlog!$K$2:$K$180,"&lt;&gt;Done")</t>
  </si>
  <si>
    <t>=SUMIFS(Backlog!$AS$2:$AS$180,Backlog!$B$2:$B$180,$A10,Backlog!$C$2:$C$180,$C10,Backlog!$K$2:$K$180,"&lt;&gt;Done")</t>
  </si>
  <si>
    <t>I11</t>
  </si>
  <si>
    <t>=SUMIFS(Backlog!$J$2:$J$180,Backlog!$B$2:$B$180,$A11,Backlog!$C$2:$C$180,$C11)</t>
  </si>
  <si>
    <t>=SUMIFS(Backlog!$AS$2:$AS$180,Backlog!$B$2:$B$180,$A11,Backlog!$C$2:$C$180,$C11)</t>
  </si>
  <si>
    <t>J11</t>
  </si>
  <si>
    <t>=SUMIFS(Backlog!$J$2:$J$180,Backlog!$B$2:$B$180,$A11,Backlog!$C$2:$C$180,$C11,Backlog!$K$2:$K$180,"&lt;&gt;Done")</t>
  </si>
  <si>
    <t>=SUMIFS(Backlog!$AS$2:$AS$180,Backlog!$B$2:$B$180,$A11,Backlog!$C$2:$C$180,$C11,Backlog!$K$2:$K$180,"&lt;&gt;Done")</t>
  </si>
  <si>
    <t>I12</t>
  </si>
  <si>
    <t>=SUMIFS(Backlog!$J$2:$J$180,Backlog!$B$2:$B$180,$A12,Backlog!$C$2:$C$180,$C12)</t>
  </si>
  <si>
    <t>=SUMIFS(Backlog!$AS$2:$AS$180,Backlog!$B$2:$B$180,$A12,Backlog!$C$2:$C$180,$C12)</t>
  </si>
  <si>
    <t>J12</t>
  </si>
  <si>
    <t>=SUMIFS(Backlog!$J$2:$J$180,Backlog!$B$2:$B$180,$A12,Backlog!$C$2:$C$180,$C12,Backlog!$K$2:$K$180,"&lt;&gt;Done")</t>
  </si>
  <si>
    <t>=SUMIFS(Backlog!$AS$2:$AS$180,Backlog!$B$2:$B$180,$A12,Backlog!$C$2:$C$180,$C12,Backlog!$K$2:$K$180,"&lt;&gt;Done")</t>
  </si>
  <si>
    <t>I13</t>
  </si>
  <si>
    <t>=SUMIFS(Backlog!$J$2:$J$180,Backlog!$B$2:$B$180,$A13,Backlog!$C$2:$C$180,$C13)</t>
  </si>
  <si>
    <t>=SUMIFS(Backlog!$AS$2:$AS$180,Backlog!$B$2:$B$180,$A13,Backlog!$C$2:$C$180,$C13)</t>
  </si>
  <si>
    <t>J13</t>
  </si>
  <si>
    <t>=SUMIFS(Backlog!$J$2:$J$180,Backlog!$B$2:$B$180,$A13,Backlog!$C$2:$C$180,$C13,Backlog!$K$2:$K$180,"&lt;&gt;Done")</t>
  </si>
  <si>
    <t>=SUMIFS(Backlog!$AS$2:$AS$180,Backlog!$B$2:$B$180,$A13,Backlog!$C$2:$C$180,$C13,Backlog!$K$2:$K$180,"&lt;&gt;Done")</t>
  </si>
  <si>
    <t>G2</t>
  </si>
  <si>
    <t>Known estimate h</t>
  </si>
  <si>
    <t>Usable estimate h</t>
  </si>
  <si>
    <t>H2</t>
  </si>
  <si>
    <t>AI P80 h</t>
  </si>
  <si>
    <t>G3</t>
  </si>
  <si>
    <t>=IF(ISNUMBER(INDEX(Backlog!$J$2:$J$180,MATCH($D3,Backlog!$A$2:$A$180,0))),INDEX(Backlog!$J$2:$J$180,MATCH($D3,Backlog!$A$2:$A$180,0)),"")</t>
  </si>
  <si>
    <t>=IF(ISNUMBER(INDEX(Backlog!$AS$2:$AS$180,MATCH($D3,Backlog!$A$2:$A$180,0))),INDEX(Backlog!$AS$2:$AS$180,MATCH($D3,Backlog!$A$2:$A$180,0)),"")</t>
  </si>
  <si>
    <t>H3</t>
  </si>
  <si>
    <t>=IF(ISNUMBER(INDEX(Backlog!$R$2:$R$180,MATCH($D3,Backlog!$A$2:$A$180,0))),INDEX(Backlog!$R$2:$R$180,MATCH($D3,Backlog!$A$2:$A$180,0)),"")</t>
  </si>
  <si>
    <t>=IF(ISNUMBER(INDEX(Backlog!$AT$2:$AT$180,MATCH($D3,Backlog!$A$2:$A$180,0))),INDEX(Backlog!$AT$2:$AT$180,MATCH($D3,Backlog!$A$2:$A$180,0)),"")</t>
  </si>
  <si>
    <t>G4</t>
  </si>
  <si>
    <t>=IF(ISNUMBER(INDEX(Backlog!$J$2:$J$180,MATCH($D4,Backlog!$A$2:$A$180,0))),INDEX(Backlog!$J$2:$J$180,MATCH($D4,Backlog!$A$2:$A$180,0)),"")</t>
  </si>
  <si>
    <t>=IF(ISNUMBER(INDEX(Backlog!$AS$2:$AS$180,MATCH($D4,Backlog!$A$2:$A$180,0))),INDEX(Backlog!$AS$2:$AS$180,MATCH($D4,Backlog!$A$2:$A$180,0)),"")</t>
  </si>
  <si>
    <t>H4</t>
  </si>
  <si>
    <t>=IF(ISNUMBER(INDEX(Backlog!$R$2:$R$180,MATCH($D4,Backlog!$A$2:$A$180,0))),INDEX(Backlog!$R$2:$R$180,MATCH($D4,Backlog!$A$2:$A$180,0)),"")</t>
  </si>
  <si>
    <t>=IF(ISNUMBER(INDEX(Backlog!$AT$2:$AT$180,MATCH($D4,Backlog!$A$2:$A$180,0))),INDEX(Backlog!$AT$2:$AT$180,MATCH($D4,Backlog!$A$2:$A$180,0)),"")</t>
  </si>
  <si>
    <t>G5</t>
  </si>
  <si>
    <t>=IF(ISNUMBER(INDEX(Backlog!$J$2:$J$180,MATCH($D5,Backlog!$A$2:$A$180,0))),INDEX(Backlog!$J$2:$J$180,MATCH($D5,Backlog!$A$2:$A$180,0)),"")</t>
  </si>
  <si>
    <t>=IF(ISNUMBER(INDEX(Backlog!$AS$2:$AS$180,MATCH($D5,Backlog!$A$2:$A$180,0))),INDEX(Backlog!$AS$2:$AS$180,MATCH($D5,Backlog!$A$2:$A$180,0)),"")</t>
  </si>
  <si>
    <t>H5</t>
  </si>
  <si>
    <t>=IF(ISNUMBER(INDEX(Backlog!$R$2:$R$180,MATCH($D5,Backlog!$A$2:$A$180,0))),INDEX(Backlog!$R$2:$R$180,MATCH($D5,Backlog!$A$2:$A$180,0)),"")</t>
  </si>
  <si>
    <t>=IF(ISNUMBER(INDEX(Backlog!$AT$2:$AT$180,MATCH($D5,Backlog!$A$2:$A$180,0))),INDEX(Backlog!$AT$2:$AT$180,MATCH($D5,Backlog!$A$2:$A$180,0)),"")</t>
  </si>
  <si>
    <t>G6</t>
  </si>
  <si>
    <t>=IF(ISNUMBER(INDEX(Backlog!$J$2:$J$180,MATCH($D6,Backlog!$A$2:$A$180,0))),INDEX(Backlog!$J$2:$J$180,MATCH($D6,Backlog!$A$2:$A$180,0)),"")</t>
  </si>
  <si>
    <t>=IF(ISNUMBER(INDEX(Backlog!$AS$2:$AS$180,MATCH($D6,Backlog!$A$2:$A$180,0))),INDEX(Backlog!$AS$2:$AS$180,MATCH($D6,Backlog!$A$2:$A$180,0)),"")</t>
  </si>
  <si>
    <t>H6</t>
  </si>
  <si>
    <t>=IF(ISNUMBER(INDEX(Backlog!$R$2:$R$180,MATCH($D6,Backlog!$A$2:$A$180,0))),INDEX(Backlog!$R$2:$R$180,MATCH($D6,Backlog!$A$2:$A$180,0)),"")</t>
  </si>
  <si>
    <t>=IF(ISNUMBER(INDEX(Backlog!$AT$2:$AT$180,MATCH($D6,Backlog!$A$2:$A$180,0))),INDEX(Backlog!$AT$2:$AT$180,MATCH($D6,Backlog!$A$2:$A$180,0)),"")</t>
  </si>
  <si>
    <t>G7</t>
  </si>
  <si>
    <t>=IF(ISNUMBER(INDEX(Backlog!$J$2:$J$180,MATCH($D7,Backlog!$A$2:$A$180,0))),INDEX(Backlog!$J$2:$J$180,MATCH($D7,Backlog!$A$2:$A$180,0)),"")</t>
  </si>
  <si>
    <t>=IF(ISNUMBER(INDEX(Backlog!$AS$2:$AS$180,MATCH($D7,Backlog!$A$2:$A$180,0))),INDEX(Backlog!$AS$2:$AS$180,MATCH($D7,Backlog!$A$2:$A$180,0)),"")</t>
  </si>
  <si>
    <t>H7</t>
  </si>
  <si>
    <t>=IF(ISNUMBER(INDEX(Backlog!$R$2:$R$180,MATCH($D7,Backlog!$A$2:$A$180,0))),INDEX(Backlog!$R$2:$R$180,MATCH($D7,Backlog!$A$2:$A$180,0)),"")</t>
  </si>
  <si>
    <t>=IF(ISNUMBER(INDEX(Backlog!$AT$2:$AT$180,MATCH($D7,Backlog!$A$2:$A$180,0))),INDEX(Backlog!$AT$2:$AT$180,MATCH($D7,Backlog!$A$2:$A$180,0)),"")</t>
  </si>
  <si>
    <t>G8</t>
  </si>
  <si>
    <t>=IF(ISNUMBER(INDEX(Backlog!$J$2:$J$180,MATCH($D8,Backlog!$A$2:$A$180,0))),INDEX(Backlog!$J$2:$J$180,MATCH($D8,Backlog!$A$2:$A$180,0)),"")</t>
  </si>
  <si>
    <t>=IF(ISNUMBER(INDEX(Backlog!$AS$2:$AS$180,MATCH($D8,Backlog!$A$2:$A$180,0))),INDEX(Backlog!$AS$2:$AS$180,MATCH($D8,Backlog!$A$2:$A$180,0)),"")</t>
  </si>
  <si>
    <t>H8</t>
  </si>
  <si>
    <t>=IF(ISNUMBER(INDEX(Backlog!$R$2:$R$180,MATCH($D8,Backlog!$A$2:$A$180,0))),INDEX(Backlog!$R$2:$R$180,MATCH($D8,Backlog!$A$2:$A$180,0)),"")</t>
  </si>
  <si>
    <t>=IF(ISNUMBER(INDEX(Backlog!$AT$2:$AT$180,MATCH($D8,Backlog!$A$2:$A$180,0))),INDEX(Backlog!$AT$2:$AT$180,MATCH($D8,Backlog!$A$2:$A$180,0)),"")</t>
  </si>
  <si>
    <t>G9</t>
  </si>
  <si>
    <t>=IF(ISNUMBER(INDEX(Backlog!$J$2:$J$180,MATCH($D9,Backlog!$A$2:$A$180,0))),INDEX(Backlog!$J$2:$J$180,MATCH($D9,Backlog!$A$2:$A$180,0)),"")</t>
  </si>
  <si>
    <t>=IF(ISNUMBER(INDEX(Backlog!$AS$2:$AS$180,MATCH($D9,Backlog!$A$2:$A$180,0))),INDEX(Backlog!$AS$2:$AS$180,MATCH($D9,Backlog!$A$2:$A$180,0)),"")</t>
  </si>
  <si>
    <t>H9</t>
  </si>
  <si>
    <t>=IF(ISNUMBER(INDEX(Backlog!$R$2:$R$180,MATCH($D9,Backlog!$A$2:$A$180,0))),INDEX(Backlog!$R$2:$R$180,MATCH($D9,Backlog!$A$2:$A$180,0)),"")</t>
  </si>
  <si>
    <t>=IF(ISNUMBER(INDEX(Backlog!$AT$2:$AT$180,MATCH($D9,Backlog!$A$2:$A$180,0))),INDEX(Backlog!$AT$2:$AT$180,MATCH($D9,Backlog!$A$2:$A$180,0)),"")</t>
  </si>
  <si>
    <t>G10</t>
  </si>
  <si>
    <t>=IF(ISNUMBER(INDEX(Backlog!$J$2:$J$180,MATCH($D10,Backlog!$A$2:$A$180,0))),INDEX(Backlog!$J$2:$J$180,MATCH($D10,Backlog!$A$2:$A$180,0)),"")</t>
  </si>
  <si>
    <t>=IF(ISNUMBER(INDEX(Backlog!$AS$2:$AS$180,MATCH($D10,Backlog!$A$2:$A$180,0))),INDEX(Backlog!$AS$2:$AS$180,MATCH($D10,Backlog!$A$2:$A$180,0)),"")</t>
  </si>
  <si>
    <t>H10</t>
  </si>
  <si>
    <t>=IF(ISNUMBER(INDEX(Backlog!$R$2:$R$180,MATCH($D10,Backlog!$A$2:$A$180,0))),INDEX(Backlog!$R$2:$R$180,MATCH($D10,Backlog!$A$2:$A$180,0)),"")</t>
  </si>
  <si>
    <t>=IF(ISNUMBER(INDEX(Backlog!$AT$2:$AT$180,MATCH($D10,Backlog!$A$2:$A$180,0))),INDEX(Backlog!$AT$2:$AT$180,MATCH($D10,Backlog!$A$2:$A$180,0)),"")</t>
  </si>
  <si>
    <t>G11</t>
  </si>
  <si>
    <t>=IF(ISNUMBER(INDEX(Backlog!$J$2:$J$180,MATCH($D11,Backlog!$A$2:$A$180,0))),INDEX(Backlog!$J$2:$J$180,MATCH($D11,Backlog!$A$2:$A$180,0)),"")</t>
  </si>
  <si>
    <t>=IF(ISNUMBER(INDEX(Backlog!$AS$2:$AS$180,MATCH($D11,Backlog!$A$2:$A$180,0))),INDEX(Backlog!$AS$2:$AS$180,MATCH($D11,Backlog!$A$2:$A$180,0)),"")</t>
  </si>
  <si>
    <t>H11</t>
  </si>
  <si>
    <t>=IF(ISNUMBER(INDEX(Backlog!$R$2:$R$180,MATCH($D11,Backlog!$A$2:$A$180,0))),INDEX(Backlog!$R$2:$R$180,MATCH($D11,Backlog!$A$2:$A$180,0)),"")</t>
  </si>
  <si>
    <t>=IF(ISNUMBER(INDEX(Backlog!$AT$2:$AT$180,MATCH($D11,Backlog!$A$2:$A$180,0))),INDEX(Backlog!$AT$2:$AT$180,MATCH($D11,Backlog!$A$2:$A$180,0)),"")</t>
  </si>
  <si>
    <t>G12</t>
  </si>
  <si>
    <t>=IF(ISNUMBER(INDEX(Backlog!$J$2:$J$180,MATCH($D12,Backlog!$A$2:$A$180,0))),INDEX(Backlog!$J$2:$J$180,MATCH($D12,Backlog!$A$2:$A$180,0)),"")</t>
  </si>
  <si>
    <t>=IF(ISNUMBER(INDEX(Backlog!$AS$2:$AS$180,MATCH($D12,Backlog!$A$2:$A$180,0))),INDEX(Backlog!$AS$2:$AS$180,MATCH($D12,Backlog!$A$2:$A$180,0)),"")</t>
  </si>
  <si>
    <t>H12</t>
  </si>
  <si>
    <t>=IF(ISNUMBER(INDEX(Backlog!$R$2:$R$180,MATCH($D12,Backlog!$A$2:$A$180,0))),INDEX(Backlog!$R$2:$R$180,MATCH($D12,Backlog!$A$2:$A$180,0)),"")</t>
  </si>
  <si>
    <t>=IF(ISNUMBER(INDEX(Backlog!$AT$2:$AT$180,MATCH($D12,Backlog!$A$2:$A$180,0))),INDEX(Backlog!$AT$2:$AT$180,MATCH($D12,Backlog!$A$2:$A$180,0)),"")</t>
  </si>
  <si>
    <t>G13</t>
  </si>
  <si>
    <t>=IF(ISNUMBER(INDEX(Backlog!$J$2:$J$180,MATCH($D13,Backlog!$A$2:$A$180,0))),INDEX(Backlog!$J$2:$J$180,MATCH($D13,Backlog!$A$2:$A$180,0)),"")</t>
  </si>
  <si>
    <t>=IF(ISNUMBER(INDEX(Backlog!$AS$2:$AS$180,MATCH($D13,Backlog!$A$2:$A$180,0))),INDEX(Backlog!$AS$2:$AS$180,MATCH($D13,Backlog!$A$2:$A$180,0)),"")</t>
  </si>
  <si>
    <t>H13</t>
  </si>
  <si>
    <t>=IF(ISNUMBER(INDEX(Backlog!$R$2:$R$180,MATCH($D13,Backlog!$A$2:$A$180,0))),INDEX(Backlog!$R$2:$R$180,MATCH($D13,Backlog!$A$2:$A$180,0)),"")</t>
  </si>
  <si>
    <t>=IF(ISNUMBER(INDEX(Backlog!$AT$2:$AT$180,MATCH($D13,Backlog!$A$2:$A$180,0))),INDEX(Backlog!$AT$2:$AT$180,MATCH($D13,Backlog!$A$2:$A$180,0)),"")</t>
  </si>
  <si>
    <t>G14</t>
  </si>
  <si>
    <t>=IF(ISNUMBER(INDEX(Backlog!$J$2:$J$180,MATCH($D14,Backlog!$A$2:$A$180,0))),INDEX(Backlog!$J$2:$J$180,MATCH($D14,Backlog!$A$2:$A$180,0)),"")</t>
  </si>
  <si>
    <t>=IF(ISNUMBER(INDEX(Backlog!$AS$2:$AS$180,MATCH($D14,Backlog!$A$2:$A$180,0))),INDEX(Backlog!$AS$2:$AS$180,MATCH($D14,Backlog!$A$2:$A$180,0)),"")</t>
  </si>
  <si>
    <t>H14</t>
  </si>
  <si>
    <t>=IF(ISNUMBER(INDEX(Backlog!$R$2:$R$180,MATCH($D14,Backlog!$A$2:$A$180,0))),INDEX(Backlog!$R$2:$R$180,MATCH($D14,Backlog!$A$2:$A$180,0)),"")</t>
  </si>
  <si>
    <t>=IF(ISNUMBER(INDEX(Backlog!$AT$2:$AT$180,MATCH($D14,Backlog!$A$2:$A$180,0))),INDEX(Backlog!$AT$2:$AT$180,MATCH($D14,Backlog!$A$2:$A$180,0)),"")</t>
  </si>
  <si>
    <t>G15</t>
  </si>
  <si>
    <t>=IF(ISNUMBER(INDEX(Backlog!$J$2:$J$180,MATCH($D15,Backlog!$A$2:$A$180,0))),INDEX(Backlog!$J$2:$J$180,MATCH($D15,Backlog!$A$2:$A$180,0)),"")</t>
  </si>
  <si>
    <t>=IF(ISNUMBER(INDEX(Backlog!$AS$2:$AS$180,MATCH($D15,Backlog!$A$2:$A$180,0))),INDEX(Backlog!$AS$2:$AS$180,MATCH($D15,Backlog!$A$2:$A$180,0)),"")</t>
  </si>
  <si>
    <t>H15</t>
  </si>
  <si>
    <t>=IF(ISNUMBER(INDEX(Backlog!$R$2:$R$180,MATCH($D15,Backlog!$A$2:$A$180,0))),INDEX(Backlog!$R$2:$R$180,MATCH($D15,Backlog!$A$2:$A$180,0)),"")</t>
  </si>
  <si>
    <t>=IF(ISNUMBER(INDEX(Backlog!$AT$2:$AT$180,MATCH($D15,Backlog!$A$2:$A$180,0))),INDEX(Backlog!$AT$2:$AT$180,MATCH($D15,Backlog!$A$2:$A$180,0)),"")</t>
  </si>
  <si>
    <t>G16</t>
  </si>
  <si>
    <t>=IF(ISNUMBER(INDEX(Backlog!$J$2:$J$180,MATCH($D16,Backlog!$A$2:$A$180,0))),INDEX(Backlog!$J$2:$J$180,MATCH($D16,Backlog!$A$2:$A$180,0)),"")</t>
  </si>
  <si>
    <t>=IF(ISNUMBER(INDEX(Backlog!$AS$2:$AS$180,MATCH($D16,Backlog!$A$2:$A$180,0))),INDEX(Backlog!$AS$2:$AS$180,MATCH($D16,Backlog!$A$2:$A$180,0)),"")</t>
  </si>
  <si>
    <t>H16</t>
  </si>
  <si>
    <t>=IF(ISNUMBER(INDEX(Backlog!$R$2:$R$180,MATCH($D16,Backlog!$A$2:$A$180,0))),INDEX(Backlog!$R$2:$R$180,MATCH($D16,Backlog!$A$2:$A$180,0)),"")</t>
  </si>
  <si>
    <t>=IF(ISNUMBER(INDEX(Backlog!$AT$2:$AT$180,MATCH($D16,Backlog!$A$2:$A$180,0))),INDEX(Backlog!$AT$2:$AT$180,MATCH($D16,Backlog!$A$2:$A$180,0)),"")</t>
  </si>
  <si>
    <t>G17</t>
  </si>
  <si>
    <t>=IF(ISNUMBER(INDEX(Backlog!$J$2:$J$180,MATCH($D17,Backlog!$A$2:$A$180,0))),INDEX(Backlog!$J$2:$J$180,MATCH($D17,Backlog!$A$2:$A$180,0)),"")</t>
  </si>
  <si>
    <t>=IF(ISNUMBER(INDEX(Backlog!$AS$2:$AS$180,MATCH($D17,Backlog!$A$2:$A$180,0))),INDEX(Backlog!$AS$2:$AS$180,MATCH($D17,Backlog!$A$2:$A$180,0)),"")</t>
  </si>
  <si>
    <t>H17</t>
  </si>
  <si>
    <t>=IF(ISNUMBER(INDEX(Backlog!$R$2:$R$180,MATCH($D17,Backlog!$A$2:$A$180,0))),INDEX(Backlog!$R$2:$R$180,MATCH($D17,Backlog!$A$2:$A$180,0)),"")</t>
  </si>
  <si>
    <t>=IF(ISNUMBER(INDEX(Backlog!$AT$2:$AT$180,MATCH($D17,Backlog!$A$2:$A$180,0))),INDEX(Backlog!$AT$2:$AT$180,MATCH($D17,Backlog!$A$2:$A$180,0)),"")</t>
  </si>
  <si>
    <t>G18</t>
  </si>
  <si>
    <t>=IF(ISNUMBER(INDEX(Backlog!$J$2:$J$180,MATCH($D18,Backlog!$A$2:$A$180,0))),INDEX(Backlog!$J$2:$J$180,MATCH($D18,Backlog!$A$2:$A$180,0)),"")</t>
  </si>
  <si>
    <t>=IF(ISNUMBER(INDEX(Backlog!$AS$2:$AS$180,MATCH($D18,Backlog!$A$2:$A$180,0))),INDEX(Backlog!$AS$2:$AS$180,MATCH($D18,Backlog!$A$2:$A$180,0)),"")</t>
  </si>
  <si>
    <t>H18</t>
  </si>
  <si>
    <t>=IF(ISNUMBER(INDEX(Backlog!$R$2:$R$180,MATCH($D18,Backlog!$A$2:$A$180,0))),INDEX(Backlog!$R$2:$R$180,MATCH($D18,Backlog!$A$2:$A$180,0)),"")</t>
  </si>
  <si>
    <t>=IF(ISNUMBER(INDEX(Backlog!$AT$2:$AT$180,MATCH($D18,Backlog!$A$2:$A$180,0))),INDEX(Backlog!$AT$2:$AT$180,MATCH($D18,Backlog!$A$2:$A$180,0)),"")</t>
  </si>
  <si>
    <t>G19</t>
  </si>
  <si>
    <t>=IF(ISNUMBER(INDEX(Backlog!$J$2:$J$180,MATCH($D19,Backlog!$A$2:$A$180,0))),INDEX(Backlog!$J$2:$J$180,MATCH($D19,Backlog!$A$2:$A$180,0)),"")</t>
  </si>
  <si>
    <t>=IF(ISNUMBER(INDEX(Backlog!$AS$2:$AS$180,MATCH($D19,Backlog!$A$2:$A$180,0))),INDEX(Backlog!$AS$2:$AS$180,MATCH($D19,Backlog!$A$2:$A$180,0)),"")</t>
  </si>
  <si>
    <t>H19</t>
  </si>
  <si>
    <t>=IF(ISNUMBER(INDEX(Backlog!$R$2:$R$180,MATCH($D19,Backlog!$A$2:$A$180,0))),INDEX(Backlog!$R$2:$R$180,MATCH($D19,Backlog!$A$2:$A$180,0)),"")</t>
  </si>
  <si>
    <t>=IF(ISNUMBER(INDEX(Backlog!$AT$2:$AT$180,MATCH($D19,Backlog!$A$2:$A$180,0))),INDEX(Backlog!$AT$2:$AT$180,MATCH($D19,Backlog!$A$2:$A$180,0)),"")</t>
  </si>
  <si>
    <t>G20</t>
  </si>
  <si>
    <t>=IF(ISNUMBER(INDEX(Backlog!$J$2:$J$180,MATCH($D20,Backlog!$A$2:$A$180,0))),INDEX(Backlog!$J$2:$J$180,MATCH($D20,Backlog!$A$2:$A$180,0)),"")</t>
  </si>
  <si>
    <t>=IF(ISNUMBER(INDEX(Backlog!$AS$2:$AS$180,MATCH($D20,Backlog!$A$2:$A$180,0))),INDEX(Backlog!$AS$2:$AS$180,MATCH($D20,Backlog!$A$2:$A$180,0)),"")</t>
  </si>
  <si>
    <t>H20</t>
  </si>
  <si>
    <t>=IF(ISNUMBER(INDEX(Backlog!$R$2:$R$180,MATCH($D20,Backlog!$A$2:$A$180,0))),INDEX(Backlog!$R$2:$R$180,MATCH($D20,Backlog!$A$2:$A$180,0)),"")</t>
  </si>
  <si>
    <t>=IF(ISNUMBER(INDEX(Backlog!$AT$2:$AT$180,MATCH($D20,Backlog!$A$2:$A$180,0))),INDEX(Backlog!$AT$2:$AT$180,MATCH($D20,Backlog!$A$2:$A$180,0)),"")</t>
  </si>
  <si>
    <t>G21</t>
  </si>
  <si>
    <t>=IF(ISNUMBER(INDEX(Backlog!$J$2:$J$180,MATCH($D21,Backlog!$A$2:$A$180,0))),INDEX(Backlog!$J$2:$J$180,MATCH($D21,Backlog!$A$2:$A$180,0)),"")</t>
  </si>
  <si>
    <t>=IF(ISNUMBER(INDEX(Backlog!$AS$2:$AS$180,MATCH($D21,Backlog!$A$2:$A$180,0))),INDEX(Backlog!$AS$2:$AS$180,MATCH($D21,Backlog!$A$2:$A$180,0)),"")</t>
  </si>
  <si>
    <t>H21</t>
  </si>
  <si>
    <t>=IF(ISNUMBER(INDEX(Backlog!$R$2:$R$180,MATCH($D21,Backlog!$A$2:$A$180,0))),INDEX(Backlog!$R$2:$R$180,MATCH($D21,Backlog!$A$2:$A$180,0)),"")</t>
  </si>
  <si>
    <t>=IF(ISNUMBER(INDEX(Backlog!$AT$2:$AT$180,MATCH($D21,Backlog!$A$2:$A$180,0))),INDEX(Backlog!$AT$2:$AT$180,MATCH($D21,Backlog!$A$2:$A$180,0)),"")</t>
  </si>
  <si>
    <t>G22</t>
  </si>
  <si>
    <t>=IF(ISNUMBER(INDEX(Backlog!$J$2:$J$180,MATCH($D22,Backlog!$A$2:$A$180,0))),INDEX(Backlog!$J$2:$J$180,MATCH($D22,Backlog!$A$2:$A$180,0)),"")</t>
  </si>
  <si>
    <t>=IF(ISNUMBER(INDEX(Backlog!$AS$2:$AS$180,MATCH($D22,Backlog!$A$2:$A$180,0))),INDEX(Backlog!$AS$2:$AS$180,MATCH($D22,Backlog!$A$2:$A$180,0)),"")</t>
  </si>
  <si>
    <t>H22</t>
  </si>
  <si>
    <t>=IF(ISNUMBER(INDEX(Backlog!$R$2:$R$180,MATCH($D22,Backlog!$A$2:$A$180,0))),INDEX(Backlog!$R$2:$R$180,MATCH($D22,Backlog!$A$2:$A$180,0)),"")</t>
  </si>
  <si>
    <t>=IF(ISNUMBER(INDEX(Backlog!$AT$2:$AT$180,MATCH($D22,Backlog!$A$2:$A$180,0))),INDEX(Backlog!$AT$2:$AT$180,MATCH($D22,Backlog!$A$2:$A$180,0)),"")</t>
  </si>
  <si>
    <t>G23</t>
  </si>
  <si>
    <t>=IF(ISNUMBER(INDEX(Backlog!$J$2:$J$180,MATCH($D23,Backlog!$A$2:$A$180,0))),INDEX(Backlog!$J$2:$J$180,MATCH($D23,Backlog!$A$2:$A$180,0)),"")</t>
  </si>
  <si>
    <t>=IF(ISNUMBER(INDEX(Backlog!$AS$2:$AS$180,MATCH($D23,Backlog!$A$2:$A$180,0))),INDEX(Backlog!$AS$2:$AS$180,MATCH($D23,Backlog!$A$2:$A$180,0)),"")</t>
  </si>
  <si>
    <t>H23</t>
  </si>
  <si>
    <t>=IF(ISNUMBER(INDEX(Backlog!$R$2:$R$180,MATCH($D23,Backlog!$A$2:$A$180,0))),INDEX(Backlog!$R$2:$R$180,MATCH($D23,Backlog!$A$2:$A$180,0)),"")</t>
  </si>
  <si>
    <t>=IF(ISNUMBER(INDEX(Backlog!$AT$2:$AT$180,MATCH($D23,Backlog!$A$2:$A$180,0))),INDEX(Backlog!$AT$2:$AT$180,MATCH($D23,Backlog!$A$2:$A$180,0)),"")</t>
  </si>
  <si>
    <t>G24</t>
  </si>
  <si>
    <t>=IF(ISNUMBER(INDEX(Backlog!$J$2:$J$180,MATCH($D24,Backlog!$A$2:$A$180,0))),INDEX(Backlog!$J$2:$J$180,MATCH($D24,Backlog!$A$2:$A$180,0)),"")</t>
  </si>
  <si>
    <t>=IF(ISNUMBER(INDEX(Backlog!$AS$2:$AS$180,MATCH($D24,Backlog!$A$2:$A$180,0))),INDEX(Backlog!$AS$2:$AS$180,MATCH($D24,Backlog!$A$2:$A$180,0)),"")</t>
  </si>
  <si>
    <t>H24</t>
  </si>
  <si>
    <t>=IF(ISNUMBER(INDEX(Backlog!$R$2:$R$180,MATCH($D24,Backlog!$A$2:$A$180,0))),INDEX(Backlog!$R$2:$R$180,MATCH($D24,Backlog!$A$2:$A$180,0)),"")</t>
  </si>
  <si>
    <t>=IF(ISNUMBER(INDEX(Backlog!$AT$2:$AT$180,MATCH($D24,Backlog!$A$2:$A$180,0))),INDEX(Backlog!$AT$2:$AT$180,MATCH($D24,Backlog!$A$2:$A$180,0)),"")</t>
  </si>
  <si>
    <t>G25</t>
  </si>
  <si>
    <t>=IF(ISNUMBER(INDEX(Backlog!$J$2:$J$180,MATCH($D25,Backlog!$A$2:$A$180,0))),INDEX(Backlog!$J$2:$J$180,MATCH($D25,Backlog!$A$2:$A$180,0)),"")</t>
  </si>
  <si>
    <t>=IF(ISNUMBER(INDEX(Backlog!$AS$2:$AS$180,MATCH($D25,Backlog!$A$2:$A$180,0))),INDEX(Backlog!$AS$2:$AS$180,MATCH($D25,Backlog!$A$2:$A$180,0)),"")</t>
  </si>
  <si>
    <t>H25</t>
  </si>
  <si>
    <t>=IF(ISNUMBER(INDEX(Backlog!$R$2:$R$180,MATCH($D25,Backlog!$A$2:$A$180,0))),INDEX(Backlog!$R$2:$R$180,MATCH($D25,Backlog!$A$2:$A$180,0)),"")</t>
  </si>
  <si>
    <t>=IF(ISNUMBER(INDEX(Backlog!$AT$2:$AT$180,MATCH($D25,Backlog!$A$2:$A$180,0))),INDEX(Backlog!$AT$2:$AT$180,MATCH($D25,Backlog!$A$2:$A$180,0)),"")</t>
  </si>
  <si>
    <t>G26</t>
  </si>
  <si>
    <t>=IF(ISNUMBER(INDEX(Backlog!$J$2:$J$180,MATCH($D26,Backlog!$A$2:$A$180,0))),INDEX(Backlog!$J$2:$J$180,MATCH($D26,Backlog!$A$2:$A$180,0)),"")</t>
  </si>
  <si>
    <t>=IF(ISNUMBER(INDEX(Backlog!$AS$2:$AS$180,MATCH($D26,Backlog!$A$2:$A$180,0))),INDEX(Backlog!$AS$2:$AS$180,MATCH($D26,Backlog!$A$2:$A$180,0)),"")</t>
  </si>
  <si>
    <t>H26</t>
  </si>
  <si>
    <t>=IF(ISNUMBER(INDEX(Backlog!$R$2:$R$180,MATCH($D26,Backlog!$A$2:$A$180,0))),INDEX(Backlog!$R$2:$R$180,MATCH($D26,Backlog!$A$2:$A$180,0)),"")</t>
  </si>
  <si>
    <t>=IF(ISNUMBER(INDEX(Backlog!$AT$2:$AT$180,MATCH($D26,Backlog!$A$2:$A$180,0))),INDEX(Backlog!$AT$2:$AT$180,MATCH($D26,Backlog!$A$2:$A$180,0)),"")</t>
  </si>
  <si>
    <t>G27</t>
  </si>
  <si>
    <t>=IF(ISNUMBER(INDEX(Backlog!$J$2:$J$180,MATCH($D27,Backlog!$A$2:$A$180,0))),INDEX(Backlog!$J$2:$J$180,MATCH($D27,Backlog!$A$2:$A$180,0)),"")</t>
  </si>
  <si>
    <t>=IF(ISNUMBER(INDEX(Backlog!$AS$2:$AS$180,MATCH($D27,Backlog!$A$2:$A$180,0))),INDEX(Backlog!$AS$2:$AS$180,MATCH($D27,Backlog!$A$2:$A$180,0)),"")</t>
  </si>
  <si>
    <t>H27</t>
  </si>
  <si>
    <t>=IF(ISNUMBER(INDEX(Backlog!$R$2:$R$180,MATCH($D27,Backlog!$A$2:$A$180,0))),INDEX(Backlog!$R$2:$R$180,MATCH($D27,Backlog!$A$2:$A$180,0)),"")</t>
  </si>
  <si>
    <t>=IF(ISNUMBER(INDEX(Backlog!$AT$2:$AT$180,MATCH($D27,Backlog!$A$2:$A$180,0))),INDEX(Backlog!$AT$2:$AT$180,MATCH($D27,Backlog!$A$2:$A$180,0)),"")</t>
  </si>
  <si>
    <t>G28</t>
  </si>
  <si>
    <t>=IF(ISNUMBER(INDEX(Backlog!$J$2:$J$180,MATCH($D28,Backlog!$A$2:$A$180,0))),INDEX(Backlog!$J$2:$J$180,MATCH($D28,Backlog!$A$2:$A$180,0)),"")</t>
  </si>
  <si>
    <t>=IF(ISNUMBER(INDEX(Backlog!$AS$2:$AS$180,MATCH($D28,Backlog!$A$2:$A$180,0))),INDEX(Backlog!$AS$2:$AS$180,MATCH($D28,Backlog!$A$2:$A$180,0)),"")</t>
  </si>
  <si>
    <t>H28</t>
  </si>
  <si>
    <t>=IF(ISNUMBER(INDEX(Backlog!$R$2:$R$180,MATCH($D28,Backlog!$A$2:$A$180,0))),INDEX(Backlog!$R$2:$R$180,MATCH($D28,Backlog!$A$2:$A$180,0)),"")</t>
  </si>
  <si>
    <t>=IF(ISNUMBER(INDEX(Backlog!$AT$2:$AT$180,MATCH($D28,Backlog!$A$2:$A$180,0))),INDEX(Backlog!$AT$2:$AT$180,MATCH($D28,Backlog!$A$2:$A$180,0)),"")</t>
  </si>
  <si>
    <t>G29</t>
  </si>
  <si>
    <t>=IF(ISNUMBER(INDEX(Backlog!$J$2:$J$180,MATCH($D29,Backlog!$A$2:$A$180,0))),INDEX(Backlog!$J$2:$J$180,MATCH($D29,Backlog!$A$2:$A$180,0)),"")</t>
  </si>
  <si>
    <t>=IF(ISNUMBER(INDEX(Backlog!$AS$2:$AS$180,MATCH($D29,Backlog!$A$2:$A$180,0))),INDEX(Backlog!$AS$2:$AS$180,MATCH($D29,Backlog!$A$2:$A$180,0)),"")</t>
  </si>
  <si>
    <t>H29</t>
  </si>
  <si>
    <t>=IF(ISNUMBER(INDEX(Backlog!$R$2:$R$180,MATCH($D29,Backlog!$A$2:$A$180,0))),INDEX(Backlog!$R$2:$R$180,MATCH($D29,Backlog!$A$2:$A$180,0)),"")</t>
  </si>
  <si>
    <t>=IF(ISNUMBER(INDEX(Backlog!$AT$2:$AT$180,MATCH($D29,Backlog!$A$2:$A$180,0))),INDEX(Backlog!$AT$2:$AT$180,MATCH($D29,Backlog!$A$2:$A$180,0)),"")</t>
  </si>
  <si>
    <t>G30</t>
  </si>
  <si>
    <t>=IF(ISNUMBER(INDEX(Backlog!$J$2:$J$180,MATCH($D30,Backlog!$A$2:$A$180,0))),INDEX(Backlog!$J$2:$J$180,MATCH($D30,Backlog!$A$2:$A$180,0)),"")</t>
  </si>
  <si>
    <t>=IF(ISNUMBER(INDEX(Backlog!$AS$2:$AS$180,MATCH($D30,Backlog!$A$2:$A$180,0))),INDEX(Backlog!$AS$2:$AS$180,MATCH($D30,Backlog!$A$2:$A$180,0)),"")</t>
  </si>
  <si>
    <t>H30</t>
  </si>
  <si>
    <t>=IF(ISNUMBER(INDEX(Backlog!$R$2:$R$180,MATCH($D30,Backlog!$A$2:$A$180,0))),INDEX(Backlog!$R$2:$R$180,MATCH($D30,Backlog!$A$2:$A$180,0)),"")</t>
  </si>
  <si>
    <t>=IF(ISNUMBER(INDEX(Backlog!$AT$2:$AT$180,MATCH($D30,Backlog!$A$2:$A$180,0))),INDEX(Backlog!$AT$2:$AT$180,MATCH($D30,Backlog!$A$2:$A$180,0)),"")</t>
  </si>
  <si>
    <t>G31</t>
  </si>
  <si>
    <t>=IF(ISNUMBER(INDEX(Backlog!$J$2:$J$180,MATCH($D31,Backlog!$A$2:$A$180,0))),INDEX(Backlog!$J$2:$J$180,MATCH($D31,Backlog!$A$2:$A$180,0)),"")</t>
  </si>
  <si>
    <t>=IF(ISNUMBER(INDEX(Backlog!$AS$2:$AS$180,MATCH($D31,Backlog!$A$2:$A$180,0))),INDEX(Backlog!$AS$2:$AS$180,MATCH($D31,Backlog!$A$2:$A$180,0)),"")</t>
  </si>
  <si>
    <t>H31</t>
  </si>
  <si>
    <t>=IF(ISNUMBER(INDEX(Backlog!$R$2:$R$180,MATCH($D31,Backlog!$A$2:$A$180,0))),INDEX(Backlog!$R$2:$R$180,MATCH($D31,Backlog!$A$2:$A$180,0)),"")</t>
  </si>
  <si>
    <t>=IF(ISNUMBER(INDEX(Backlog!$AT$2:$AT$180,MATCH($D31,Backlog!$A$2:$A$180,0))),INDEX(Backlog!$AT$2:$AT$180,MATCH($D31,Backlog!$A$2:$A$180,0)),"")</t>
  </si>
  <si>
    <t>G32</t>
  </si>
  <si>
    <t>=IF(ISNUMBER(INDEX(Backlog!$J$2:$J$180,MATCH($D32,Backlog!$A$2:$A$180,0))),INDEX(Backlog!$J$2:$J$180,MATCH($D32,Backlog!$A$2:$A$180,0)),"")</t>
  </si>
  <si>
    <t>=IF(ISNUMBER(INDEX(Backlog!$AS$2:$AS$180,MATCH($D32,Backlog!$A$2:$A$180,0))),INDEX(Backlog!$AS$2:$AS$180,MATCH($D32,Backlog!$A$2:$A$180,0)),"")</t>
  </si>
  <si>
    <t>H32</t>
  </si>
  <si>
    <t>=IF(ISNUMBER(INDEX(Backlog!$R$2:$R$180,MATCH($D32,Backlog!$A$2:$A$180,0))),INDEX(Backlog!$R$2:$R$180,MATCH($D32,Backlog!$A$2:$A$180,0)),"")</t>
  </si>
  <si>
    <t>=IF(ISNUMBER(INDEX(Backlog!$AT$2:$AT$180,MATCH($D32,Backlog!$A$2:$A$180,0))),INDEX(Backlog!$AT$2:$AT$180,MATCH($D32,Backlog!$A$2:$A$180,0)),"")</t>
  </si>
  <si>
    <t>G33</t>
  </si>
  <si>
    <t>=IF(ISNUMBER(INDEX(Backlog!$J$2:$J$180,MATCH($D33,Backlog!$A$2:$A$180,0))),INDEX(Backlog!$J$2:$J$180,MATCH($D33,Backlog!$A$2:$A$180,0)),"")</t>
  </si>
  <si>
    <t>=IF(ISNUMBER(INDEX(Backlog!$AS$2:$AS$180,MATCH($D33,Backlog!$A$2:$A$180,0))),INDEX(Backlog!$AS$2:$AS$180,MATCH($D33,Backlog!$A$2:$A$180,0)),"")</t>
  </si>
  <si>
    <t>H33</t>
  </si>
  <si>
    <t>=IF(ISNUMBER(INDEX(Backlog!$R$2:$R$180,MATCH($D33,Backlog!$A$2:$A$180,0))),INDEX(Backlog!$R$2:$R$180,MATCH($D33,Backlog!$A$2:$A$180,0)),"")</t>
  </si>
  <si>
    <t>=IF(ISNUMBER(INDEX(Backlog!$AT$2:$AT$180,MATCH($D33,Backlog!$A$2:$A$180,0))),INDEX(Backlog!$AT$2:$AT$180,MATCH($D33,Backlog!$A$2:$A$180,0)),"")</t>
  </si>
  <si>
    <t>G34</t>
  </si>
  <si>
    <t>=IF(ISNUMBER(INDEX(Backlog!$J$2:$J$180,MATCH($D34,Backlog!$A$2:$A$180,0))),INDEX(Backlog!$J$2:$J$180,MATCH($D34,Backlog!$A$2:$A$180,0)),"")</t>
  </si>
  <si>
    <t>=IF(ISNUMBER(INDEX(Backlog!$AS$2:$AS$180,MATCH($D34,Backlog!$A$2:$A$180,0))),INDEX(Backlog!$AS$2:$AS$180,MATCH($D34,Backlog!$A$2:$A$180,0)),"")</t>
  </si>
  <si>
    <t>H34</t>
  </si>
  <si>
    <t>=IF(ISNUMBER(INDEX(Backlog!$R$2:$R$180,MATCH($D34,Backlog!$A$2:$A$180,0))),INDEX(Backlog!$R$2:$R$180,MATCH($D34,Backlog!$A$2:$A$180,0)),"")</t>
  </si>
  <si>
    <t>=IF(ISNUMBER(INDEX(Backlog!$AT$2:$AT$180,MATCH($D34,Backlog!$A$2:$A$180,0))),INDEX(Backlog!$AT$2:$AT$180,MATCH($D34,Backlog!$A$2:$A$180,0)),"")</t>
  </si>
  <si>
    <t>G35</t>
  </si>
  <si>
    <t>=IF(ISNUMBER(INDEX(Backlog!$J$2:$J$180,MATCH($D35,Backlog!$A$2:$A$180,0))),INDEX(Backlog!$J$2:$J$180,MATCH($D35,Backlog!$A$2:$A$180,0)),"")</t>
  </si>
  <si>
    <t>=IF(ISNUMBER(INDEX(Backlog!$AS$2:$AS$180,MATCH($D35,Backlog!$A$2:$A$180,0))),INDEX(Backlog!$AS$2:$AS$180,MATCH($D35,Backlog!$A$2:$A$180,0)),"")</t>
  </si>
  <si>
    <t>H35</t>
  </si>
  <si>
    <t>=IF(ISNUMBER(INDEX(Backlog!$R$2:$R$180,MATCH($D35,Backlog!$A$2:$A$180,0))),INDEX(Backlog!$R$2:$R$180,MATCH($D35,Backlog!$A$2:$A$180,0)),"")</t>
  </si>
  <si>
    <t>=IF(ISNUMBER(INDEX(Backlog!$AT$2:$AT$180,MATCH($D35,Backlog!$A$2:$A$180,0))),INDEX(Backlog!$AT$2:$AT$180,MATCH($D35,Backlog!$A$2:$A$180,0)),"")</t>
  </si>
  <si>
    <t>G36</t>
  </si>
  <si>
    <t>=IF(ISNUMBER(INDEX(Backlog!$J$2:$J$180,MATCH($D36,Backlog!$A$2:$A$180,0))),INDEX(Backlog!$J$2:$J$180,MATCH($D36,Backlog!$A$2:$A$180,0)),"")</t>
  </si>
  <si>
    <t>=IF(ISNUMBER(INDEX(Backlog!$AS$2:$AS$180,MATCH($D36,Backlog!$A$2:$A$180,0))),INDEX(Backlog!$AS$2:$AS$180,MATCH($D36,Backlog!$A$2:$A$180,0)),"")</t>
  </si>
  <si>
    <t>H36</t>
  </si>
  <si>
    <t>=IF(ISNUMBER(INDEX(Backlog!$R$2:$R$180,MATCH($D36,Backlog!$A$2:$A$180,0))),INDEX(Backlog!$R$2:$R$180,MATCH($D36,Backlog!$A$2:$A$180,0)),"")</t>
  </si>
  <si>
    <t>=IF(ISNUMBER(INDEX(Backlog!$AT$2:$AT$180,MATCH($D36,Backlog!$A$2:$A$180,0))),INDEX(Backlog!$AT$2:$AT$180,MATCH($D36,Backlog!$A$2:$A$180,0)),"")</t>
  </si>
  <si>
    <t>G37</t>
  </si>
  <si>
    <t>=IF(ISNUMBER(INDEX(Backlog!$J$2:$J$180,MATCH($D37,Backlog!$A$2:$A$180,0))),INDEX(Backlog!$J$2:$J$180,MATCH($D37,Backlog!$A$2:$A$180,0)),"")</t>
  </si>
  <si>
    <t>=IF(ISNUMBER(INDEX(Backlog!$AS$2:$AS$180,MATCH($D37,Backlog!$A$2:$A$180,0))),INDEX(Backlog!$AS$2:$AS$180,MATCH($D37,Backlog!$A$2:$A$180,0)),"")</t>
  </si>
  <si>
    <t>H37</t>
  </si>
  <si>
    <t>=IF(ISNUMBER(INDEX(Backlog!$R$2:$R$180,MATCH($D37,Backlog!$A$2:$A$180,0))),INDEX(Backlog!$R$2:$R$180,MATCH($D37,Backlog!$A$2:$A$180,0)),"")</t>
  </si>
  <si>
    <t>=IF(ISNUMBER(INDEX(Backlog!$AT$2:$AT$180,MATCH($D37,Backlog!$A$2:$A$180,0))),INDEX(Backlog!$AT$2:$AT$180,MATCH($D37,Backlog!$A$2:$A$180,0)),"")</t>
  </si>
  <si>
    <t>G38</t>
  </si>
  <si>
    <t>=IF(ISNUMBER(INDEX(Backlog!$J$2:$J$180,MATCH($D38,Backlog!$A$2:$A$180,0))),INDEX(Backlog!$J$2:$J$180,MATCH($D38,Backlog!$A$2:$A$180,0)),"")</t>
  </si>
  <si>
    <t>=IF(ISNUMBER(INDEX(Backlog!$AS$2:$AS$180,MATCH($D38,Backlog!$A$2:$A$180,0))),INDEX(Backlog!$AS$2:$AS$180,MATCH($D38,Backlog!$A$2:$A$180,0)),"")</t>
  </si>
  <si>
    <t>H38</t>
  </si>
  <si>
    <t>=IF(ISNUMBER(INDEX(Backlog!$R$2:$R$180,MATCH($D38,Backlog!$A$2:$A$180,0))),INDEX(Backlog!$R$2:$R$180,MATCH($D38,Backlog!$A$2:$A$180,0)),"")</t>
  </si>
  <si>
    <t>=IF(ISNUMBER(INDEX(Backlog!$AT$2:$AT$180,MATCH($D38,Backlog!$A$2:$A$180,0))),INDEX(Backlog!$AT$2:$AT$180,MATCH($D38,Backlog!$A$2:$A$180,0)),"")</t>
  </si>
  <si>
    <t>G39</t>
  </si>
  <si>
    <t>=IF(ISNUMBER(INDEX(Backlog!$J$2:$J$180,MATCH($D39,Backlog!$A$2:$A$180,0))),INDEX(Backlog!$J$2:$J$180,MATCH($D39,Backlog!$A$2:$A$180,0)),"")</t>
  </si>
  <si>
    <t>=IF(ISNUMBER(INDEX(Backlog!$AS$2:$AS$180,MATCH($D39,Backlog!$A$2:$A$180,0))),INDEX(Backlog!$AS$2:$AS$180,MATCH($D39,Backlog!$A$2:$A$180,0)),"")</t>
  </si>
  <si>
    <t>H39</t>
  </si>
  <si>
    <t>=IF(ISNUMBER(INDEX(Backlog!$R$2:$R$180,MATCH($D39,Backlog!$A$2:$A$180,0))),INDEX(Backlog!$R$2:$R$180,MATCH($D39,Backlog!$A$2:$A$180,0)),"")</t>
  </si>
  <si>
    <t>=IF(ISNUMBER(INDEX(Backlog!$AT$2:$AT$180,MATCH($D39,Backlog!$A$2:$A$180,0))),INDEX(Backlog!$AT$2:$AT$180,MATCH($D39,Backlog!$A$2:$A$180,0)),"")</t>
  </si>
  <si>
    <t>G40</t>
  </si>
  <si>
    <t>=IF(ISNUMBER(INDEX(Backlog!$J$2:$J$180,MATCH($D40,Backlog!$A$2:$A$180,0))),INDEX(Backlog!$J$2:$J$180,MATCH($D40,Backlog!$A$2:$A$180,0)),"")</t>
  </si>
  <si>
    <t>=IF(ISNUMBER(INDEX(Backlog!$AS$2:$AS$180,MATCH($D40,Backlog!$A$2:$A$180,0))),INDEX(Backlog!$AS$2:$AS$180,MATCH($D40,Backlog!$A$2:$A$180,0)),"")</t>
  </si>
  <si>
    <t>H40</t>
  </si>
  <si>
    <t>=IF(ISNUMBER(INDEX(Backlog!$R$2:$R$180,MATCH($D40,Backlog!$A$2:$A$180,0))),INDEX(Backlog!$R$2:$R$180,MATCH($D40,Backlog!$A$2:$A$180,0)),"")</t>
  </si>
  <si>
    <t>=IF(ISNUMBER(INDEX(Backlog!$AT$2:$AT$180,MATCH($D40,Backlog!$A$2:$A$180,0))),INDEX(Backlog!$AT$2:$AT$180,MATCH($D40,Backlog!$A$2:$A$180,0)),"")</t>
  </si>
  <si>
    <t>G41</t>
  </si>
  <si>
    <t>=IF(ISNUMBER(INDEX(Backlog!$J$2:$J$180,MATCH($D41,Backlog!$A$2:$A$180,0))),INDEX(Backlog!$J$2:$J$180,MATCH($D41,Backlog!$A$2:$A$180,0)),"")</t>
  </si>
  <si>
    <t>=IF(ISNUMBER(INDEX(Backlog!$AS$2:$AS$180,MATCH($D41,Backlog!$A$2:$A$180,0))),INDEX(Backlog!$AS$2:$AS$180,MATCH($D41,Backlog!$A$2:$A$180,0)),"")</t>
  </si>
  <si>
    <t>H41</t>
  </si>
  <si>
    <t>=IF(ISNUMBER(INDEX(Backlog!$R$2:$R$180,MATCH($D41,Backlog!$A$2:$A$180,0))),INDEX(Backlog!$R$2:$R$180,MATCH($D41,Backlog!$A$2:$A$180,0)),"")</t>
  </si>
  <si>
    <t>=IF(ISNUMBER(INDEX(Backlog!$AT$2:$AT$180,MATCH($D41,Backlog!$A$2:$A$180,0))),INDEX(Backlog!$AT$2:$AT$180,MATCH($D41,Backlog!$A$2:$A$180,0)),"")</t>
  </si>
  <si>
    <t>G42</t>
  </si>
  <si>
    <t>=IF(ISNUMBER(INDEX(Backlog!$J$2:$J$180,MATCH($D42,Backlog!$A$2:$A$180,0))),INDEX(Backlog!$J$2:$J$180,MATCH($D42,Backlog!$A$2:$A$180,0)),"")</t>
  </si>
  <si>
    <t>=IF(ISNUMBER(INDEX(Backlog!$AS$2:$AS$180,MATCH($D42,Backlog!$A$2:$A$180,0))),INDEX(Backlog!$AS$2:$AS$180,MATCH($D42,Backlog!$A$2:$A$180,0)),"")</t>
  </si>
  <si>
    <t>H42</t>
  </si>
  <si>
    <t>=IF(ISNUMBER(INDEX(Backlog!$R$2:$R$180,MATCH($D42,Backlog!$A$2:$A$180,0))),INDEX(Backlog!$R$2:$R$180,MATCH($D42,Backlog!$A$2:$A$180,0)),"")</t>
  </si>
  <si>
    <t>=IF(ISNUMBER(INDEX(Backlog!$AT$2:$AT$180,MATCH($D42,Backlog!$A$2:$A$180,0))),INDEX(Backlog!$AT$2:$AT$180,MATCH($D42,Backlog!$A$2:$A$180,0)),"")</t>
  </si>
  <si>
    <t>G43</t>
  </si>
  <si>
    <t>=IF(ISNUMBER(INDEX(Backlog!$J$2:$J$180,MATCH($D43,Backlog!$A$2:$A$180,0))),INDEX(Backlog!$J$2:$J$180,MATCH($D43,Backlog!$A$2:$A$180,0)),"")</t>
  </si>
  <si>
    <t>=IF(ISNUMBER(INDEX(Backlog!$AS$2:$AS$180,MATCH($D43,Backlog!$A$2:$A$180,0))),INDEX(Backlog!$AS$2:$AS$180,MATCH($D43,Backlog!$A$2:$A$180,0)),"")</t>
  </si>
  <si>
    <t>H43</t>
  </si>
  <si>
    <t>=IF(ISNUMBER(INDEX(Backlog!$R$2:$R$180,MATCH($D43,Backlog!$A$2:$A$180,0))),INDEX(Backlog!$R$2:$R$180,MATCH($D43,Backlog!$A$2:$A$180,0)),"")</t>
  </si>
  <si>
    <t>=IF(ISNUMBER(INDEX(Backlog!$AT$2:$AT$180,MATCH($D43,Backlog!$A$2:$A$180,0))),INDEX(Backlog!$AT$2:$AT$180,MATCH($D43,Backlog!$A$2:$A$180,0)),"")</t>
  </si>
  <si>
    <t>G44</t>
  </si>
  <si>
    <t>=IF(ISNUMBER(INDEX(Backlog!$J$2:$J$180,MATCH($D44,Backlog!$A$2:$A$180,0))),INDEX(Backlog!$J$2:$J$180,MATCH($D44,Backlog!$A$2:$A$180,0)),"")</t>
  </si>
  <si>
    <t>=IF(ISNUMBER(INDEX(Backlog!$AS$2:$AS$180,MATCH($D44,Backlog!$A$2:$A$180,0))),INDEX(Backlog!$AS$2:$AS$180,MATCH($D44,Backlog!$A$2:$A$180,0)),"")</t>
  </si>
  <si>
    <t>H44</t>
  </si>
  <si>
    <t>=IF(ISNUMBER(INDEX(Backlog!$R$2:$R$180,MATCH($D44,Backlog!$A$2:$A$180,0))),INDEX(Backlog!$R$2:$R$180,MATCH($D44,Backlog!$A$2:$A$180,0)),"")</t>
  </si>
  <si>
    <t>=IF(ISNUMBER(INDEX(Backlog!$AT$2:$AT$180,MATCH($D44,Backlog!$A$2:$A$180,0))),INDEX(Backlog!$AT$2:$AT$180,MATCH($D44,Backlog!$A$2:$A$180,0)),"")</t>
  </si>
  <si>
    <t>G45</t>
  </si>
  <si>
    <t>=IF(ISNUMBER(INDEX(Backlog!$J$2:$J$180,MATCH($D45,Backlog!$A$2:$A$180,0))),INDEX(Backlog!$J$2:$J$180,MATCH($D45,Backlog!$A$2:$A$180,0)),"")</t>
  </si>
  <si>
    <t>=IF(ISNUMBER(INDEX(Backlog!$AS$2:$AS$180,MATCH($D45,Backlog!$A$2:$A$180,0))),INDEX(Backlog!$AS$2:$AS$180,MATCH($D45,Backlog!$A$2:$A$180,0)),"")</t>
  </si>
  <si>
    <t>H45</t>
  </si>
  <si>
    <t>=IF(ISNUMBER(INDEX(Backlog!$R$2:$R$180,MATCH($D45,Backlog!$A$2:$A$180,0))),INDEX(Backlog!$R$2:$R$180,MATCH($D45,Backlog!$A$2:$A$180,0)),"")</t>
  </si>
  <si>
    <t>=IF(ISNUMBER(INDEX(Backlog!$AT$2:$AT$180,MATCH($D45,Backlog!$A$2:$A$180,0))),INDEX(Backlog!$AT$2:$AT$180,MATCH($D45,Backlog!$A$2:$A$180,0)),"")</t>
  </si>
  <si>
    <t>G46</t>
  </si>
  <si>
    <t>=IF(ISNUMBER(INDEX(Backlog!$J$2:$J$180,MATCH($D46,Backlog!$A$2:$A$180,0))),INDEX(Backlog!$J$2:$J$180,MATCH($D46,Backlog!$A$2:$A$180,0)),"")</t>
  </si>
  <si>
    <t>=IF(ISNUMBER(INDEX(Backlog!$AS$2:$AS$180,MATCH($D46,Backlog!$A$2:$A$180,0))),INDEX(Backlog!$AS$2:$AS$180,MATCH($D46,Backlog!$A$2:$A$180,0)),"")</t>
  </si>
  <si>
    <t>H46</t>
  </si>
  <si>
    <t>=IF(ISNUMBER(INDEX(Backlog!$R$2:$R$180,MATCH($D46,Backlog!$A$2:$A$180,0))),INDEX(Backlog!$R$2:$R$180,MATCH($D46,Backlog!$A$2:$A$180,0)),"")</t>
  </si>
  <si>
    <t>=IF(ISNUMBER(INDEX(Backlog!$AT$2:$AT$180,MATCH($D46,Backlog!$A$2:$A$180,0))),INDEX(Backlog!$AT$2:$AT$180,MATCH($D46,Backlog!$A$2:$A$180,0)),"")</t>
  </si>
  <si>
    <t>G47</t>
  </si>
  <si>
    <t>=IF(ISNUMBER(INDEX(Backlog!$J$2:$J$180,MATCH($D47,Backlog!$A$2:$A$180,0))),INDEX(Backlog!$J$2:$J$180,MATCH($D47,Backlog!$A$2:$A$180,0)),"")</t>
  </si>
  <si>
    <t>=IF(ISNUMBER(INDEX(Backlog!$AS$2:$AS$180,MATCH($D47,Backlog!$A$2:$A$180,0))),INDEX(Backlog!$AS$2:$AS$180,MATCH($D47,Backlog!$A$2:$A$180,0)),"")</t>
  </si>
  <si>
    <t>H47</t>
  </si>
  <si>
    <t>=IF(ISNUMBER(INDEX(Backlog!$R$2:$R$180,MATCH($D47,Backlog!$A$2:$A$180,0))),INDEX(Backlog!$R$2:$R$180,MATCH($D47,Backlog!$A$2:$A$180,0)),"")</t>
  </si>
  <si>
    <t>=IF(ISNUMBER(INDEX(Backlog!$AT$2:$AT$180,MATCH($D47,Backlog!$A$2:$A$180,0))),INDEX(Backlog!$AT$2:$AT$180,MATCH($D47,Backlog!$A$2:$A$180,0)),"")</t>
  </si>
  <si>
    <t>G48</t>
  </si>
  <si>
    <t>=IF(ISNUMBER(INDEX(Backlog!$J$2:$J$180,MATCH($D48,Backlog!$A$2:$A$180,0))),INDEX(Backlog!$J$2:$J$180,MATCH($D48,Backlog!$A$2:$A$180,0)),"")</t>
  </si>
  <si>
    <t>=IF(ISNUMBER(INDEX(Backlog!$AS$2:$AS$180,MATCH($D48,Backlog!$A$2:$A$180,0))),INDEX(Backlog!$AS$2:$AS$180,MATCH($D48,Backlog!$A$2:$A$180,0)),"")</t>
  </si>
  <si>
    <t>H48</t>
  </si>
  <si>
    <t>=IF(ISNUMBER(INDEX(Backlog!$R$2:$R$180,MATCH($D48,Backlog!$A$2:$A$180,0))),INDEX(Backlog!$R$2:$R$180,MATCH($D48,Backlog!$A$2:$A$180,0)),"")</t>
  </si>
  <si>
    <t>=IF(ISNUMBER(INDEX(Backlog!$AT$2:$AT$180,MATCH($D48,Backlog!$A$2:$A$180,0))),INDEX(Backlog!$AT$2:$AT$180,MATCH($D48,Backlog!$A$2:$A$180,0)),"")</t>
  </si>
  <si>
    <t>G49</t>
  </si>
  <si>
    <t>=IF(ISNUMBER(INDEX(Backlog!$J$2:$J$180,MATCH($D49,Backlog!$A$2:$A$180,0))),INDEX(Backlog!$J$2:$J$180,MATCH($D49,Backlog!$A$2:$A$180,0)),"")</t>
  </si>
  <si>
    <t>=IF(ISNUMBER(INDEX(Backlog!$AS$2:$AS$180,MATCH($D49,Backlog!$A$2:$A$180,0))),INDEX(Backlog!$AS$2:$AS$180,MATCH($D49,Backlog!$A$2:$A$180,0)),"")</t>
  </si>
  <si>
    <t>H49</t>
  </si>
  <si>
    <t>=IF(ISNUMBER(INDEX(Backlog!$R$2:$R$180,MATCH($D49,Backlog!$A$2:$A$180,0))),INDEX(Backlog!$R$2:$R$180,MATCH($D49,Backlog!$A$2:$A$180,0)),"")</t>
  </si>
  <si>
    <t>=IF(ISNUMBER(INDEX(Backlog!$AT$2:$AT$180,MATCH($D49,Backlog!$A$2:$A$180,0))),INDEX(Backlog!$AT$2:$AT$180,MATCH($D49,Backlog!$A$2:$A$180,0)),"")</t>
  </si>
  <si>
    <t>G50</t>
  </si>
  <si>
    <t>=IF(ISNUMBER(INDEX(Backlog!$J$2:$J$180,MATCH($D50,Backlog!$A$2:$A$180,0))),INDEX(Backlog!$J$2:$J$180,MATCH($D50,Backlog!$A$2:$A$180,0)),"")</t>
  </si>
  <si>
    <t>=IF(ISNUMBER(INDEX(Backlog!$AS$2:$AS$180,MATCH($D50,Backlog!$A$2:$A$180,0))),INDEX(Backlog!$AS$2:$AS$180,MATCH($D50,Backlog!$A$2:$A$180,0)),"")</t>
  </si>
  <si>
    <t>H50</t>
  </si>
  <si>
    <t>=IF(ISNUMBER(INDEX(Backlog!$R$2:$R$180,MATCH($D50,Backlog!$A$2:$A$180,0))),INDEX(Backlog!$R$2:$R$180,MATCH($D50,Backlog!$A$2:$A$180,0)),"")</t>
  </si>
  <si>
    <t>=IF(ISNUMBER(INDEX(Backlog!$AT$2:$AT$180,MATCH($D50,Backlog!$A$2:$A$180,0))),INDEX(Backlog!$AT$2:$AT$180,MATCH($D50,Backlog!$A$2:$A$180,0)),"")</t>
  </si>
  <si>
    <t>G51</t>
  </si>
  <si>
    <t>=IF(ISNUMBER(INDEX(Backlog!$J$2:$J$180,MATCH($D51,Backlog!$A$2:$A$180,0))),INDEX(Backlog!$J$2:$J$180,MATCH($D51,Backlog!$A$2:$A$180,0)),"")</t>
  </si>
  <si>
    <t>=IF(ISNUMBER(INDEX(Backlog!$AS$2:$AS$180,MATCH($D51,Backlog!$A$2:$A$180,0))),INDEX(Backlog!$AS$2:$AS$180,MATCH($D51,Backlog!$A$2:$A$180,0)),"")</t>
  </si>
  <si>
    <t>H51</t>
  </si>
  <si>
    <t>=IF(ISNUMBER(INDEX(Backlog!$R$2:$R$180,MATCH($D51,Backlog!$A$2:$A$180,0))),INDEX(Backlog!$R$2:$R$180,MATCH($D51,Backlog!$A$2:$A$180,0)),"")</t>
  </si>
  <si>
    <t>=IF(ISNUMBER(INDEX(Backlog!$AT$2:$AT$180,MATCH($D51,Backlog!$A$2:$A$180,0))),INDEX(Backlog!$AT$2:$AT$180,MATCH($D51,Backlog!$A$2:$A$180,0)),"")</t>
  </si>
  <si>
    <t>G52</t>
  </si>
  <si>
    <t>=IF(ISNUMBER(INDEX(Backlog!$J$2:$J$180,MATCH($D52,Backlog!$A$2:$A$180,0))),INDEX(Backlog!$J$2:$J$180,MATCH($D52,Backlog!$A$2:$A$180,0)),"")</t>
  </si>
  <si>
    <t>=IF(ISNUMBER(INDEX(Backlog!$AS$2:$AS$180,MATCH($D52,Backlog!$A$2:$A$180,0))),INDEX(Backlog!$AS$2:$AS$180,MATCH($D52,Backlog!$A$2:$A$180,0)),"")</t>
  </si>
  <si>
    <t>H52</t>
  </si>
  <si>
    <t>=IF(ISNUMBER(INDEX(Backlog!$R$2:$R$180,MATCH($D52,Backlog!$A$2:$A$180,0))),INDEX(Backlog!$R$2:$R$180,MATCH($D52,Backlog!$A$2:$A$180,0)),"")</t>
  </si>
  <si>
    <t>=IF(ISNUMBER(INDEX(Backlog!$AT$2:$AT$180,MATCH($D52,Backlog!$A$2:$A$180,0))),INDEX(Backlog!$AT$2:$AT$180,MATCH($D52,Backlog!$A$2:$A$180,0)),"")</t>
  </si>
  <si>
    <t>G53</t>
  </si>
  <si>
    <t>=IF(ISNUMBER(INDEX(Backlog!$J$2:$J$180,MATCH($D53,Backlog!$A$2:$A$180,0))),INDEX(Backlog!$J$2:$J$180,MATCH($D53,Backlog!$A$2:$A$180,0)),"")</t>
  </si>
  <si>
    <t>=IF(ISNUMBER(INDEX(Backlog!$AS$2:$AS$180,MATCH($D53,Backlog!$A$2:$A$180,0))),INDEX(Backlog!$AS$2:$AS$180,MATCH($D53,Backlog!$A$2:$A$180,0)),"")</t>
  </si>
  <si>
    <t>H53</t>
  </si>
  <si>
    <t>=IF(ISNUMBER(INDEX(Backlog!$R$2:$R$180,MATCH($D53,Backlog!$A$2:$A$180,0))),INDEX(Backlog!$R$2:$R$180,MATCH($D53,Backlog!$A$2:$A$180,0)),"")</t>
  </si>
  <si>
    <t>=IF(ISNUMBER(INDEX(Backlog!$AT$2:$AT$180,MATCH($D53,Backlog!$A$2:$A$180,0))),INDEX(Backlog!$AT$2:$AT$180,MATCH($D53,Backlog!$A$2:$A$180,0)),"")</t>
  </si>
  <si>
    <t>G54</t>
  </si>
  <si>
    <t>=IF(ISNUMBER(INDEX(Backlog!$J$2:$J$180,MATCH($D54,Backlog!$A$2:$A$180,0))),INDEX(Backlog!$J$2:$J$180,MATCH($D54,Backlog!$A$2:$A$180,0)),"")</t>
  </si>
  <si>
    <t>=IF(ISNUMBER(INDEX(Backlog!$AS$2:$AS$180,MATCH($D54,Backlog!$A$2:$A$180,0))),INDEX(Backlog!$AS$2:$AS$180,MATCH($D54,Backlog!$A$2:$A$180,0)),"")</t>
  </si>
  <si>
    <t>H54</t>
  </si>
  <si>
    <t>=IF(ISNUMBER(INDEX(Backlog!$R$2:$R$180,MATCH($D54,Backlog!$A$2:$A$180,0))),INDEX(Backlog!$R$2:$R$180,MATCH($D54,Backlog!$A$2:$A$180,0)),"")</t>
  </si>
  <si>
    <t>=IF(ISNUMBER(INDEX(Backlog!$AT$2:$AT$180,MATCH($D54,Backlog!$A$2:$A$180,0))),INDEX(Backlog!$AT$2:$AT$180,MATCH($D54,Backlog!$A$2:$A$180,0)),"")</t>
  </si>
  <si>
    <t>G55</t>
  </si>
  <si>
    <t>=IF(ISNUMBER(INDEX(Backlog!$J$2:$J$180,MATCH($D55,Backlog!$A$2:$A$180,0))),INDEX(Backlog!$J$2:$J$180,MATCH($D55,Backlog!$A$2:$A$180,0)),"")</t>
  </si>
  <si>
    <t>=IF(ISNUMBER(INDEX(Backlog!$AS$2:$AS$180,MATCH($D55,Backlog!$A$2:$A$180,0))),INDEX(Backlog!$AS$2:$AS$180,MATCH($D55,Backlog!$A$2:$A$180,0)),"")</t>
  </si>
  <si>
    <t>H55</t>
  </si>
  <si>
    <t>=IF(ISNUMBER(INDEX(Backlog!$R$2:$R$180,MATCH($D55,Backlog!$A$2:$A$180,0))),INDEX(Backlog!$R$2:$R$180,MATCH($D55,Backlog!$A$2:$A$180,0)),"")</t>
  </si>
  <si>
    <t>=IF(ISNUMBER(INDEX(Backlog!$AT$2:$AT$180,MATCH($D55,Backlog!$A$2:$A$180,0))),INDEX(Backlog!$AT$2:$AT$180,MATCH($D55,Backlog!$A$2:$A$180,0)),"")</t>
  </si>
  <si>
    <t>G56</t>
  </si>
  <si>
    <t>=IF(ISNUMBER(INDEX(Backlog!$J$2:$J$180,MATCH($D56,Backlog!$A$2:$A$180,0))),INDEX(Backlog!$J$2:$J$180,MATCH($D56,Backlog!$A$2:$A$180,0)),"")</t>
  </si>
  <si>
    <t>=IF(ISNUMBER(INDEX(Backlog!$AS$2:$AS$180,MATCH($D56,Backlog!$A$2:$A$180,0))),INDEX(Backlog!$AS$2:$AS$180,MATCH($D56,Backlog!$A$2:$A$180,0)),"")</t>
  </si>
  <si>
    <t>H56</t>
  </si>
  <si>
    <t>=IF(ISNUMBER(INDEX(Backlog!$R$2:$R$180,MATCH($D56,Backlog!$A$2:$A$180,0))),INDEX(Backlog!$R$2:$R$180,MATCH($D56,Backlog!$A$2:$A$180,0)),"")</t>
  </si>
  <si>
    <t>=IF(ISNUMBER(INDEX(Backlog!$AT$2:$AT$180,MATCH($D56,Backlog!$A$2:$A$180,0))),INDEX(Backlog!$AT$2:$AT$180,MATCH($D56,Backlog!$A$2:$A$180,0)),"")</t>
  </si>
  <si>
    <t>G57</t>
  </si>
  <si>
    <t>=IF(ISNUMBER(INDEX(Backlog!$J$2:$J$180,MATCH($D57,Backlog!$A$2:$A$180,0))),INDEX(Backlog!$J$2:$J$180,MATCH($D57,Backlog!$A$2:$A$180,0)),"")</t>
  </si>
  <si>
    <t>=IF(ISNUMBER(INDEX(Backlog!$AS$2:$AS$180,MATCH($D57,Backlog!$A$2:$A$180,0))),INDEX(Backlog!$AS$2:$AS$180,MATCH($D57,Backlog!$A$2:$A$180,0)),"")</t>
  </si>
  <si>
    <t>H57</t>
  </si>
  <si>
    <t>=IF(ISNUMBER(INDEX(Backlog!$R$2:$R$180,MATCH($D57,Backlog!$A$2:$A$180,0))),INDEX(Backlog!$R$2:$R$180,MATCH($D57,Backlog!$A$2:$A$180,0)),"")</t>
  </si>
  <si>
    <t>=IF(ISNUMBER(INDEX(Backlog!$AT$2:$AT$180,MATCH($D57,Backlog!$A$2:$A$180,0))),INDEX(Backlog!$AT$2:$AT$180,MATCH($D57,Backlog!$A$2:$A$180,0)),"")</t>
  </si>
  <si>
    <t>G58</t>
  </si>
  <si>
    <t>=IF(ISNUMBER(INDEX(Backlog!$J$2:$J$180,MATCH($D58,Backlog!$A$2:$A$180,0))),INDEX(Backlog!$J$2:$J$180,MATCH($D58,Backlog!$A$2:$A$180,0)),"")</t>
  </si>
  <si>
    <t>=IF(ISNUMBER(INDEX(Backlog!$AS$2:$AS$180,MATCH($D58,Backlog!$A$2:$A$180,0))),INDEX(Backlog!$AS$2:$AS$180,MATCH($D58,Backlog!$A$2:$A$180,0)),"")</t>
  </si>
  <si>
    <t>H58</t>
  </si>
  <si>
    <t>=IF(ISNUMBER(INDEX(Backlog!$R$2:$R$180,MATCH($D58,Backlog!$A$2:$A$180,0))),INDEX(Backlog!$R$2:$R$180,MATCH($D58,Backlog!$A$2:$A$180,0)),"")</t>
  </si>
  <si>
    <t>=IF(ISNUMBER(INDEX(Backlog!$AT$2:$AT$180,MATCH($D58,Backlog!$A$2:$A$180,0))),INDEX(Backlog!$AT$2:$AT$180,MATCH($D58,Backlog!$A$2:$A$180,0)),"")</t>
  </si>
  <si>
    <t>G59</t>
  </si>
  <si>
    <t>=IF(ISNUMBER(INDEX(Backlog!$J$2:$J$180,MATCH($D59,Backlog!$A$2:$A$180,0))),INDEX(Backlog!$J$2:$J$180,MATCH($D59,Backlog!$A$2:$A$180,0)),"")</t>
  </si>
  <si>
    <t>=IF(ISNUMBER(INDEX(Backlog!$AS$2:$AS$180,MATCH($D59,Backlog!$A$2:$A$180,0))),INDEX(Backlog!$AS$2:$AS$180,MATCH($D59,Backlog!$A$2:$A$180,0)),"")</t>
  </si>
  <si>
    <t>H59</t>
  </si>
  <si>
    <t>=IF(ISNUMBER(INDEX(Backlog!$R$2:$R$180,MATCH($D59,Backlog!$A$2:$A$180,0))),INDEX(Backlog!$R$2:$R$180,MATCH($D59,Backlog!$A$2:$A$180,0)),"")</t>
  </si>
  <si>
    <t>=IF(ISNUMBER(INDEX(Backlog!$AT$2:$AT$180,MATCH($D59,Backlog!$A$2:$A$180,0))),INDEX(Backlog!$AT$2:$AT$180,MATCH($D59,Backlog!$A$2:$A$180,0)),"")</t>
  </si>
  <si>
    <t>G60</t>
  </si>
  <si>
    <t>=IF(ISNUMBER(INDEX(Backlog!$J$2:$J$180,MATCH($D60,Backlog!$A$2:$A$180,0))),INDEX(Backlog!$J$2:$J$180,MATCH($D60,Backlog!$A$2:$A$180,0)),"")</t>
  </si>
  <si>
    <t>=IF(ISNUMBER(INDEX(Backlog!$AS$2:$AS$180,MATCH($D60,Backlog!$A$2:$A$180,0))),INDEX(Backlog!$AS$2:$AS$180,MATCH($D60,Backlog!$A$2:$A$180,0)),"")</t>
  </si>
  <si>
    <t>H60</t>
  </si>
  <si>
    <t>=IF(ISNUMBER(INDEX(Backlog!$R$2:$R$180,MATCH($D60,Backlog!$A$2:$A$180,0))),INDEX(Backlog!$R$2:$R$180,MATCH($D60,Backlog!$A$2:$A$180,0)),"")</t>
  </si>
  <si>
    <t>=IF(ISNUMBER(INDEX(Backlog!$AT$2:$AT$180,MATCH($D60,Backlog!$A$2:$A$180,0))),INDEX(Backlog!$AT$2:$AT$180,MATCH($D60,Backlog!$A$2:$A$180,0)),"")</t>
  </si>
  <si>
    <t>G61</t>
  </si>
  <si>
    <t>=IF(ISNUMBER(INDEX(Backlog!$J$2:$J$180,MATCH($D61,Backlog!$A$2:$A$180,0))),INDEX(Backlog!$J$2:$J$180,MATCH($D61,Backlog!$A$2:$A$180,0)),"")</t>
  </si>
  <si>
    <t>=IF(ISNUMBER(INDEX(Backlog!$AS$2:$AS$180,MATCH($D61,Backlog!$A$2:$A$180,0))),INDEX(Backlog!$AS$2:$AS$180,MATCH($D61,Backlog!$A$2:$A$180,0)),"")</t>
  </si>
  <si>
    <t>H61</t>
  </si>
  <si>
    <t>=IF(ISNUMBER(INDEX(Backlog!$R$2:$R$180,MATCH($D61,Backlog!$A$2:$A$180,0))),INDEX(Backlog!$R$2:$R$180,MATCH($D61,Backlog!$A$2:$A$180,0)),"")</t>
  </si>
  <si>
    <t>=IF(ISNUMBER(INDEX(Backlog!$AT$2:$AT$180,MATCH($D61,Backlog!$A$2:$A$180,0))),INDEX(Backlog!$AT$2:$AT$180,MATCH($D61,Backlog!$A$2:$A$180,0)),"")</t>
  </si>
  <si>
    <t>G62</t>
  </si>
  <si>
    <t>=IF(ISNUMBER(INDEX(Backlog!$J$2:$J$180,MATCH($D62,Backlog!$A$2:$A$180,0))),INDEX(Backlog!$J$2:$J$180,MATCH($D62,Backlog!$A$2:$A$180,0)),"")</t>
  </si>
  <si>
    <t>=IF(ISNUMBER(INDEX(Backlog!$AS$2:$AS$180,MATCH($D62,Backlog!$A$2:$A$180,0))),INDEX(Backlog!$AS$2:$AS$180,MATCH($D62,Backlog!$A$2:$A$180,0)),"")</t>
  </si>
  <si>
    <t>H62</t>
  </si>
  <si>
    <t>=IF(ISNUMBER(INDEX(Backlog!$R$2:$R$180,MATCH($D62,Backlog!$A$2:$A$180,0))),INDEX(Backlog!$R$2:$R$180,MATCH($D62,Backlog!$A$2:$A$180,0)),"")</t>
  </si>
  <si>
    <t>=IF(ISNUMBER(INDEX(Backlog!$AT$2:$AT$180,MATCH($D62,Backlog!$A$2:$A$180,0))),INDEX(Backlog!$AT$2:$AT$180,MATCH($D62,Backlog!$A$2:$A$180,0)),"")</t>
  </si>
  <si>
    <t>G63</t>
  </si>
  <si>
    <t>=IF(ISNUMBER(INDEX(Backlog!$J$2:$J$180,MATCH($D63,Backlog!$A$2:$A$180,0))),INDEX(Backlog!$J$2:$J$180,MATCH($D63,Backlog!$A$2:$A$180,0)),"")</t>
  </si>
  <si>
    <t>=IF(ISNUMBER(INDEX(Backlog!$AS$2:$AS$180,MATCH($D63,Backlog!$A$2:$A$180,0))),INDEX(Backlog!$AS$2:$AS$180,MATCH($D63,Backlog!$A$2:$A$180,0)),"")</t>
  </si>
  <si>
    <t>H63</t>
  </si>
  <si>
    <t>=IF(ISNUMBER(INDEX(Backlog!$R$2:$R$180,MATCH($D63,Backlog!$A$2:$A$180,0))),INDEX(Backlog!$R$2:$R$180,MATCH($D63,Backlog!$A$2:$A$180,0)),"")</t>
  </si>
  <si>
    <t>=IF(ISNUMBER(INDEX(Backlog!$AT$2:$AT$180,MATCH($D63,Backlog!$A$2:$A$180,0))),INDEX(Backlog!$AT$2:$AT$180,MATCH($D63,Backlog!$A$2:$A$180,0)),"")</t>
  </si>
  <si>
    <t>G64</t>
  </si>
  <si>
    <t>=IF(ISNUMBER(INDEX(Backlog!$J$2:$J$180,MATCH($D64,Backlog!$A$2:$A$180,0))),INDEX(Backlog!$J$2:$J$180,MATCH($D64,Backlog!$A$2:$A$180,0)),"")</t>
  </si>
  <si>
    <t>=IF(ISNUMBER(INDEX(Backlog!$AS$2:$AS$180,MATCH($D64,Backlog!$A$2:$A$180,0))),INDEX(Backlog!$AS$2:$AS$180,MATCH($D64,Backlog!$A$2:$A$180,0)),"")</t>
  </si>
  <si>
    <t>H64</t>
  </si>
  <si>
    <t>=IF(ISNUMBER(INDEX(Backlog!$R$2:$R$180,MATCH($D64,Backlog!$A$2:$A$180,0))),INDEX(Backlog!$R$2:$R$180,MATCH($D64,Backlog!$A$2:$A$180,0)),"")</t>
  </si>
  <si>
    <t>=IF(ISNUMBER(INDEX(Backlog!$AT$2:$AT$180,MATCH($D64,Backlog!$A$2:$A$180,0))),INDEX(Backlog!$AT$2:$AT$180,MATCH($D64,Backlog!$A$2:$A$180,0)),"")</t>
  </si>
  <si>
    <t>G65</t>
  </si>
  <si>
    <t>=IF(ISNUMBER(INDEX(Backlog!$J$2:$J$180,MATCH($D65,Backlog!$A$2:$A$180,0))),INDEX(Backlog!$J$2:$J$180,MATCH($D65,Backlog!$A$2:$A$180,0)),"")</t>
  </si>
  <si>
    <t>=IF(ISNUMBER(INDEX(Backlog!$AS$2:$AS$180,MATCH($D65,Backlog!$A$2:$A$180,0))),INDEX(Backlog!$AS$2:$AS$180,MATCH($D65,Backlog!$A$2:$A$180,0)),"")</t>
  </si>
  <si>
    <t>H65</t>
  </si>
  <si>
    <t>=IF(ISNUMBER(INDEX(Backlog!$R$2:$R$180,MATCH($D65,Backlog!$A$2:$A$180,0))),INDEX(Backlog!$R$2:$R$180,MATCH($D65,Backlog!$A$2:$A$180,0)),"")</t>
  </si>
  <si>
    <t>=IF(ISNUMBER(INDEX(Backlog!$AT$2:$AT$180,MATCH($D65,Backlog!$A$2:$A$180,0))),INDEX(Backlog!$AT$2:$AT$180,MATCH($D65,Backlog!$A$2:$A$180,0)),"")</t>
  </si>
  <si>
    <t>G66</t>
  </si>
  <si>
    <t>=IF(ISNUMBER(INDEX(Backlog!$J$2:$J$180,MATCH($D66,Backlog!$A$2:$A$180,0))),INDEX(Backlog!$J$2:$J$180,MATCH($D66,Backlog!$A$2:$A$180,0)),"")</t>
  </si>
  <si>
    <t>=IF(ISNUMBER(INDEX(Backlog!$AS$2:$AS$180,MATCH($D66,Backlog!$A$2:$A$180,0))),INDEX(Backlog!$AS$2:$AS$180,MATCH($D66,Backlog!$A$2:$A$180,0)),"")</t>
  </si>
  <si>
    <t>H66</t>
  </si>
  <si>
    <t>=IF(ISNUMBER(INDEX(Backlog!$R$2:$R$180,MATCH($D66,Backlog!$A$2:$A$180,0))),INDEX(Backlog!$R$2:$R$180,MATCH($D66,Backlog!$A$2:$A$180,0)),"")</t>
  </si>
  <si>
    <t>=IF(ISNUMBER(INDEX(Backlog!$AT$2:$AT$180,MATCH($D66,Backlog!$A$2:$A$180,0))),INDEX(Backlog!$AT$2:$AT$180,MATCH($D66,Backlog!$A$2:$A$180,0)),"")</t>
  </si>
  <si>
    <t>G67</t>
  </si>
  <si>
    <t>=IF(ISNUMBER(INDEX(Backlog!$J$2:$J$180,MATCH($D67,Backlog!$A$2:$A$180,0))),INDEX(Backlog!$J$2:$J$180,MATCH($D67,Backlog!$A$2:$A$180,0)),"")</t>
  </si>
  <si>
    <t>=IF(ISNUMBER(INDEX(Backlog!$AS$2:$AS$180,MATCH($D67,Backlog!$A$2:$A$180,0))),INDEX(Backlog!$AS$2:$AS$180,MATCH($D67,Backlog!$A$2:$A$180,0)),"")</t>
  </si>
  <si>
    <t>H67</t>
  </si>
  <si>
    <t>=IF(ISNUMBER(INDEX(Backlog!$R$2:$R$180,MATCH($D67,Backlog!$A$2:$A$180,0))),INDEX(Backlog!$R$2:$R$180,MATCH($D67,Backlog!$A$2:$A$180,0)),"")</t>
  </si>
  <si>
    <t>=IF(ISNUMBER(INDEX(Backlog!$AT$2:$AT$180,MATCH($D67,Backlog!$A$2:$A$180,0))),INDEX(Backlog!$AT$2:$AT$180,MATCH($D67,Backlog!$A$2:$A$180,0)),"")</t>
  </si>
  <si>
    <t>G68</t>
  </si>
  <si>
    <t>=IF(ISNUMBER(INDEX(Backlog!$J$2:$J$180,MATCH($D68,Backlog!$A$2:$A$180,0))),INDEX(Backlog!$J$2:$J$180,MATCH($D68,Backlog!$A$2:$A$180,0)),"")</t>
  </si>
  <si>
    <t>=IF(ISNUMBER(INDEX(Backlog!$AS$2:$AS$180,MATCH($D68,Backlog!$A$2:$A$180,0))),INDEX(Backlog!$AS$2:$AS$180,MATCH($D68,Backlog!$A$2:$A$180,0)),"")</t>
  </si>
  <si>
    <t>H68</t>
  </si>
  <si>
    <t>=IF(ISNUMBER(INDEX(Backlog!$R$2:$R$180,MATCH($D68,Backlog!$A$2:$A$180,0))),INDEX(Backlog!$R$2:$R$180,MATCH($D68,Backlog!$A$2:$A$180,0)),"")</t>
  </si>
  <si>
    <t>=IF(ISNUMBER(INDEX(Backlog!$AT$2:$AT$180,MATCH($D68,Backlog!$A$2:$A$180,0))),INDEX(Backlog!$AT$2:$AT$180,MATCH($D68,Backlog!$A$2:$A$180,0)),"")</t>
  </si>
  <si>
    <t>G69</t>
  </si>
  <si>
    <t>=IF(ISNUMBER(INDEX(Backlog!$J$2:$J$180,MATCH($D69,Backlog!$A$2:$A$180,0))),INDEX(Backlog!$J$2:$J$180,MATCH($D69,Backlog!$A$2:$A$180,0)),"")</t>
  </si>
  <si>
    <t>=IF(ISNUMBER(INDEX(Backlog!$AS$2:$AS$180,MATCH($D69,Backlog!$A$2:$A$180,0))),INDEX(Backlog!$AS$2:$AS$180,MATCH($D69,Backlog!$A$2:$A$180,0)),"")</t>
  </si>
  <si>
    <t>H69</t>
  </si>
  <si>
    <t>=IF(ISNUMBER(INDEX(Backlog!$R$2:$R$180,MATCH($D69,Backlog!$A$2:$A$180,0))),INDEX(Backlog!$R$2:$R$180,MATCH($D69,Backlog!$A$2:$A$180,0)),"")</t>
  </si>
  <si>
    <t>=IF(ISNUMBER(INDEX(Backlog!$AT$2:$AT$180,MATCH($D69,Backlog!$A$2:$A$180,0))),INDEX(Backlog!$AT$2:$AT$180,MATCH($D69,Backlog!$A$2:$A$180,0)),"")</t>
  </si>
  <si>
    <t>G70</t>
  </si>
  <si>
    <t>=IF(ISNUMBER(INDEX(Backlog!$J$2:$J$180,MATCH($D70,Backlog!$A$2:$A$180,0))),INDEX(Backlog!$J$2:$J$180,MATCH($D70,Backlog!$A$2:$A$180,0)),"")</t>
  </si>
  <si>
    <t>=IF(ISNUMBER(INDEX(Backlog!$AS$2:$AS$180,MATCH($D70,Backlog!$A$2:$A$180,0))),INDEX(Backlog!$AS$2:$AS$180,MATCH($D70,Backlog!$A$2:$A$180,0)),"")</t>
  </si>
  <si>
    <t>H70</t>
  </si>
  <si>
    <t>=IF(ISNUMBER(INDEX(Backlog!$R$2:$R$180,MATCH($D70,Backlog!$A$2:$A$180,0))),INDEX(Backlog!$R$2:$R$180,MATCH($D70,Backlog!$A$2:$A$180,0)),"")</t>
  </si>
  <si>
    <t>=IF(ISNUMBER(INDEX(Backlog!$AT$2:$AT$180,MATCH($D70,Backlog!$A$2:$A$180,0))),INDEX(Backlog!$AT$2:$AT$180,MATCH($D70,Backlog!$A$2:$A$180,0)),"")</t>
  </si>
  <si>
    <t>G71</t>
  </si>
  <si>
    <t>=IF(ISNUMBER(INDEX(Backlog!$J$2:$J$180,MATCH($D71,Backlog!$A$2:$A$180,0))),INDEX(Backlog!$J$2:$J$180,MATCH($D71,Backlog!$A$2:$A$180,0)),"")</t>
  </si>
  <si>
    <t>=IF(ISNUMBER(INDEX(Backlog!$AS$2:$AS$180,MATCH($D71,Backlog!$A$2:$A$180,0))),INDEX(Backlog!$AS$2:$AS$180,MATCH($D71,Backlog!$A$2:$A$180,0)),"")</t>
  </si>
  <si>
    <t>H71</t>
  </si>
  <si>
    <t>=IF(ISNUMBER(INDEX(Backlog!$R$2:$R$180,MATCH($D71,Backlog!$A$2:$A$180,0))),INDEX(Backlog!$R$2:$R$180,MATCH($D71,Backlog!$A$2:$A$180,0)),"")</t>
  </si>
  <si>
    <t>=IF(ISNUMBER(INDEX(Backlog!$AT$2:$AT$180,MATCH($D71,Backlog!$A$2:$A$180,0))),INDEX(Backlog!$AT$2:$AT$180,MATCH($D71,Backlog!$A$2:$A$180,0)),"")</t>
  </si>
  <si>
    <t>G72</t>
  </si>
  <si>
    <t>=IF(ISNUMBER(INDEX(Backlog!$J$2:$J$180,MATCH($D72,Backlog!$A$2:$A$180,0))),INDEX(Backlog!$J$2:$J$180,MATCH($D72,Backlog!$A$2:$A$180,0)),"")</t>
  </si>
  <si>
    <t>=IF(ISNUMBER(INDEX(Backlog!$AS$2:$AS$180,MATCH($D72,Backlog!$A$2:$A$180,0))),INDEX(Backlog!$AS$2:$AS$180,MATCH($D72,Backlog!$A$2:$A$180,0)),"")</t>
  </si>
  <si>
    <t>H72</t>
  </si>
  <si>
    <t>=IF(ISNUMBER(INDEX(Backlog!$R$2:$R$180,MATCH($D72,Backlog!$A$2:$A$180,0))),INDEX(Backlog!$R$2:$R$180,MATCH($D72,Backlog!$A$2:$A$180,0)),"")</t>
  </si>
  <si>
    <t>=IF(ISNUMBER(INDEX(Backlog!$AT$2:$AT$180,MATCH($D72,Backlog!$A$2:$A$180,0))),INDEX(Backlog!$AT$2:$AT$180,MATCH($D72,Backlog!$A$2:$A$180,0)),"")</t>
  </si>
  <si>
    <t>G73</t>
  </si>
  <si>
    <t>=IF(ISNUMBER(INDEX(Backlog!$J$2:$J$180,MATCH($D73,Backlog!$A$2:$A$180,0))),INDEX(Backlog!$J$2:$J$180,MATCH($D73,Backlog!$A$2:$A$180,0)),"")</t>
  </si>
  <si>
    <t>=IF(ISNUMBER(INDEX(Backlog!$AS$2:$AS$180,MATCH($D73,Backlog!$A$2:$A$180,0))),INDEX(Backlog!$AS$2:$AS$180,MATCH($D73,Backlog!$A$2:$A$180,0)),"")</t>
  </si>
  <si>
    <t>H73</t>
  </si>
  <si>
    <t>=IF(ISNUMBER(INDEX(Backlog!$R$2:$R$180,MATCH($D73,Backlog!$A$2:$A$180,0))),INDEX(Backlog!$R$2:$R$180,MATCH($D73,Backlog!$A$2:$A$180,0)),"")</t>
  </si>
  <si>
    <t>=IF(ISNUMBER(INDEX(Backlog!$AT$2:$AT$180,MATCH($D73,Backlog!$A$2:$A$180,0))),INDEX(Backlog!$AT$2:$AT$180,MATCH($D73,Backlog!$A$2:$A$180,0)),"")</t>
  </si>
  <si>
    <t>G74</t>
  </si>
  <si>
    <t>=IF(ISNUMBER(INDEX(Backlog!$J$2:$J$180,MATCH($D74,Backlog!$A$2:$A$180,0))),INDEX(Backlog!$J$2:$J$180,MATCH($D74,Backlog!$A$2:$A$180,0)),"")</t>
  </si>
  <si>
    <t>=IF(ISNUMBER(INDEX(Backlog!$AS$2:$AS$180,MATCH($D74,Backlog!$A$2:$A$180,0))),INDEX(Backlog!$AS$2:$AS$180,MATCH($D74,Backlog!$A$2:$A$180,0)),"")</t>
  </si>
  <si>
    <t>H74</t>
  </si>
  <si>
    <t>=IF(ISNUMBER(INDEX(Backlog!$R$2:$R$180,MATCH($D74,Backlog!$A$2:$A$180,0))),INDEX(Backlog!$R$2:$R$180,MATCH($D74,Backlog!$A$2:$A$180,0)),"")</t>
  </si>
  <si>
    <t>=IF(ISNUMBER(INDEX(Backlog!$AT$2:$AT$180,MATCH($D74,Backlog!$A$2:$A$180,0))),INDEX(Backlog!$AT$2:$AT$180,MATCH($D74,Backlog!$A$2:$A$180,0)),"")</t>
  </si>
  <si>
    <t>G75</t>
  </si>
  <si>
    <t>=IF(ISNUMBER(INDEX(Backlog!$J$2:$J$180,MATCH($D75,Backlog!$A$2:$A$180,0))),INDEX(Backlog!$J$2:$J$180,MATCH($D75,Backlog!$A$2:$A$180,0)),"")</t>
  </si>
  <si>
    <t>=IF(ISNUMBER(INDEX(Backlog!$AS$2:$AS$180,MATCH($D75,Backlog!$A$2:$A$180,0))),INDEX(Backlog!$AS$2:$AS$180,MATCH($D75,Backlog!$A$2:$A$180,0)),"")</t>
  </si>
  <si>
    <t>H75</t>
  </si>
  <si>
    <t>=IF(ISNUMBER(INDEX(Backlog!$R$2:$R$180,MATCH($D75,Backlog!$A$2:$A$180,0))),INDEX(Backlog!$R$2:$R$180,MATCH($D75,Backlog!$A$2:$A$180,0)),"")</t>
  </si>
  <si>
    <t>=IF(ISNUMBER(INDEX(Backlog!$AT$2:$AT$180,MATCH($D75,Backlog!$A$2:$A$180,0))),INDEX(Backlog!$AT$2:$AT$180,MATCH($D75,Backlog!$A$2:$A$180,0)),"")</t>
  </si>
  <si>
    <t>G76</t>
  </si>
  <si>
    <t>=IF(ISNUMBER(INDEX(Backlog!$J$2:$J$180,MATCH($D76,Backlog!$A$2:$A$180,0))),INDEX(Backlog!$J$2:$J$180,MATCH($D76,Backlog!$A$2:$A$180,0)),"")</t>
  </si>
  <si>
    <t>=IF(ISNUMBER(INDEX(Backlog!$AS$2:$AS$180,MATCH($D76,Backlog!$A$2:$A$180,0))),INDEX(Backlog!$AS$2:$AS$180,MATCH($D76,Backlog!$A$2:$A$180,0)),"")</t>
  </si>
  <si>
    <t>H76</t>
  </si>
  <si>
    <t>=IF(ISNUMBER(INDEX(Backlog!$R$2:$R$180,MATCH($D76,Backlog!$A$2:$A$180,0))),INDEX(Backlog!$R$2:$R$180,MATCH($D76,Backlog!$A$2:$A$180,0)),"")</t>
  </si>
  <si>
    <t>=IF(ISNUMBER(INDEX(Backlog!$AT$2:$AT$180,MATCH($D76,Backlog!$A$2:$A$180,0))),INDEX(Backlog!$AT$2:$AT$180,MATCH($D76,Backlog!$A$2:$A$180,0)),"")</t>
  </si>
  <si>
    <t>G77</t>
  </si>
  <si>
    <t>=IF(ISNUMBER(INDEX(Backlog!$J$2:$J$180,MATCH($D77,Backlog!$A$2:$A$180,0))),INDEX(Backlog!$J$2:$J$180,MATCH($D77,Backlog!$A$2:$A$180,0)),"")</t>
  </si>
  <si>
    <t>=IF(ISNUMBER(INDEX(Backlog!$AS$2:$AS$180,MATCH($D77,Backlog!$A$2:$A$180,0))),INDEX(Backlog!$AS$2:$AS$180,MATCH($D77,Backlog!$A$2:$A$180,0)),"")</t>
  </si>
  <si>
    <t>H77</t>
  </si>
  <si>
    <t>=IF(ISNUMBER(INDEX(Backlog!$R$2:$R$180,MATCH($D77,Backlog!$A$2:$A$180,0))),INDEX(Backlog!$R$2:$R$180,MATCH($D77,Backlog!$A$2:$A$180,0)),"")</t>
  </si>
  <si>
    <t>=IF(ISNUMBER(INDEX(Backlog!$AT$2:$AT$180,MATCH($D77,Backlog!$A$2:$A$180,0))),INDEX(Backlog!$AT$2:$AT$180,MATCH($D77,Backlog!$A$2:$A$180,0)),"")</t>
  </si>
  <si>
    <t>G78</t>
  </si>
  <si>
    <t>=IF(ISNUMBER(INDEX(Backlog!$J$2:$J$180,MATCH($D78,Backlog!$A$2:$A$180,0))),INDEX(Backlog!$J$2:$J$180,MATCH($D78,Backlog!$A$2:$A$180,0)),"")</t>
  </si>
  <si>
    <t>=IF(ISNUMBER(INDEX(Backlog!$AS$2:$AS$180,MATCH($D78,Backlog!$A$2:$A$180,0))),INDEX(Backlog!$AS$2:$AS$180,MATCH($D78,Backlog!$A$2:$A$180,0)),"")</t>
  </si>
  <si>
    <t>H78</t>
  </si>
  <si>
    <t>=IF(ISNUMBER(INDEX(Backlog!$R$2:$R$180,MATCH($D78,Backlog!$A$2:$A$180,0))),INDEX(Backlog!$R$2:$R$180,MATCH($D78,Backlog!$A$2:$A$180,0)),"")</t>
  </si>
  <si>
    <t>=IF(ISNUMBER(INDEX(Backlog!$AT$2:$AT$180,MATCH($D78,Backlog!$A$2:$A$180,0))),INDEX(Backlog!$AT$2:$AT$180,MATCH($D78,Backlog!$A$2:$A$180,0)),"")</t>
  </si>
  <si>
    <t>G79</t>
  </si>
  <si>
    <t>=IF(ISNUMBER(INDEX(Backlog!$J$2:$J$180,MATCH($D79,Backlog!$A$2:$A$180,0))),INDEX(Backlog!$J$2:$J$180,MATCH($D79,Backlog!$A$2:$A$180,0)),"")</t>
  </si>
  <si>
    <t>=IF(ISNUMBER(INDEX(Backlog!$AS$2:$AS$180,MATCH($D79,Backlog!$A$2:$A$180,0))),INDEX(Backlog!$AS$2:$AS$180,MATCH($D79,Backlog!$A$2:$A$180,0)),"")</t>
  </si>
  <si>
    <t>H79</t>
  </si>
  <si>
    <t>=IF(ISNUMBER(INDEX(Backlog!$R$2:$R$180,MATCH($D79,Backlog!$A$2:$A$180,0))),INDEX(Backlog!$R$2:$R$180,MATCH($D79,Backlog!$A$2:$A$180,0)),"")</t>
  </si>
  <si>
    <t>=IF(ISNUMBER(INDEX(Backlog!$AT$2:$AT$180,MATCH($D79,Backlog!$A$2:$A$180,0))),INDEX(Backlog!$AT$2:$AT$180,MATCH($D79,Backlog!$A$2:$A$180,0)),"")</t>
  </si>
  <si>
    <t>G80</t>
  </si>
  <si>
    <t>=IF(ISNUMBER(INDEX(Backlog!$J$2:$J$180,MATCH($D80,Backlog!$A$2:$A$180,0))),INDEX(Backlog!$J$2:$J$180,MATCH($D80,Backlog!$A$2:$A$180,0)),"")</t>
  </si>
  <si>
    <t>=IF(ISNUMBER(INDEX(Backlog!$AS$2:$AS$180,MATCH($D80,Backlog!$A$2:$A$180,0))),INDEX(Backlog!$AS$2:$AS$180,MATCH($D80,Backlog!$A$2:$A$180,0)),"")</t>
  </si>
  <si>
    <t>H80</t>
  </si>
  <si>
    <t>=IF(ISNUMBER(INDEX(Backlog!$R$2:$R$180,MATCH($D80,Backlog!$A$2:$A$180,0))),INDEX(Backlog!$R$2:$R$180,MATCH($D80,Backlog!$A$2:$A$180,0)),"")</t>
  </si>
  <si>
    <t>=IF(ISNUMBER(INDEX(Backlog!$AT$2:$AT$180,MATCH($D80,Backlog!$A$2:$A$180,0))),INDEX(Backlog!$AT$2:$AT$180,MATCH($D80,Backlog!$A$2:$A$180,0)),"")</t>
  </si>
  <si>
    <t>G81</t>
  </si>
  <si>
    <t>=IF(ISNUMBER(INDEX(Backlog!$J$2:$J$180,MATCH($D81,Backlog!$A$2:$A$180,0))),INDEX(Backlog!$J$2:$J$180,MATCH($D81,Backlog!$A$2:$A$180,0)),"")</t>
  </si>
  <si>
    <t>=IF(ISNUMBER(INDEX(Backlog!$AS$2:$AS$180,MATCH($D81,Backlog!$A$2:$A$180,0))),INDEX(Backlog!$AS$2:$AS$180,MATCH($D81,Backlog!$A$2:$A$180,0)),"")</t>
  </si>
  <si>
    <t>H81</t>
  </si>
  <si>
    <t>=IF(ISNUMBER(INDEX(Backlog!$R$2:$R$180,MATCH($D81,Backlog!$A$2:$A$180,0))),INDEX(Backlog!$R$2:$R$180,MATCH($D81,Backlog!$A$2:$A$180,0)),"")</t>
  </si>
  <si>
    <t>=IF(ISNUMBER(INDEX(Backlog!$AT$2:$AT$180,MATCH($D81,Backlog!$A$2:$A$180,0))),INDEX(Backlog!$AT$2:$AT$180,MATCH($D81,Backlog!$A$2:$A$180,0)),"")</t>
  </si>
  <si>
    <t>G82</t>
  </si>
  <si>
    <t>=IF(ISNUMBER(INDEX(Backlog!$J$2:$J$180,MATCH($D82,Backlog!$A$2:$A$180,0))),INDEX(Backlog!$J$2:$J$180,MATCH($D82,Backlog!$A$2:$A$180,0)),"")</t>
  </si>
  <si>
    <t>=IF(ISNUMBER(INDEX(Backlog!$AS$2:$AS$180,MATCH($D82,Backlog!$A$2:$A$180,0))),INDEX(Backlog!$AS$2:$AS$180,MATCH($D82,Backlog!$A$2:$A$180,0)),"")</t>
  </si>
  <si>
    <t>H82</t>
  </si>
  <si>
    <t>=IF(ISNUMBER(INDEX(Backlog!$R$2:$R$180,MATCH($D82,Backlog!$A$2:$A$180,0))),INDEX(Backlog!$R$2:$R$180,MATCH($D82,Backlog!$A$2:$A$180,0)),"")</t>
  </si>
  <si>
    <t>=IF(ISNUMBER(INDEX(Backlog!$AT$2:$AT$180,MATCH($D82,Backlog!$A$2:$A$180,0))),INDEX(Backlog!$AT$2:$AT$180,MATCH($D82,Backlog!$A$2:$A$180,0)),"")</t>
  </si>
  <si>
    <t>G83</t>
  </si>
  <si>
    <t>=IF(ISNUMBER(INDEX(Backlog!$J$2:$J$180,MATCH($D83,Backlog!$A$2:$A$180,0))),INDEX(Backlog!$J$2:$J$180,MATCH($D83,Backlog!$A$2:$A$180,0)),"")</t>
  </si>
  <si>
    <t>=IF(ISNUMBER(INDEX(Backlog!$AS$2:$AS$180,MATCH($D83,Backlog!$A$2:$A$180,0))),INDEX(Backlog!$AS$2:$AS$180,MATCH($D83,Backlog!$A$2:$A$180,0)),"")</t>
  </si>
  <si>
    <t>H83</t>
  </si>
  <si>
    <t>=IF(ISNUMBER(INDEX(Backlog!$R$2:$R$180,MATCH($D83,Backlog!$A$2:$A$180,0))),INDEX(Backlog!$R$2:$R$180,MATCH($D83,Backlog!$A$2:$A$180,0)),"")</t>
  </si>
  <si>
    <t>=IF(ISNUMBER(INDEX(Backlog!$AT$2:$AT$180,MATCH($D83,Backlog!$A$2:$A$180,0))),INDEX(Backlog!$AT$2:$AT$180,MATCH($D83,Backlog!$A$2:$A$180,0)),"")</t>
  </si>
  <si>
    <t>G84</t>
  </si>
  <si>
    <t>=IF(ISNUMBER(INDEX(Backlog!$J$2:$J$180,MATCH($D84,Backlog!$A$2:$A$180,0))),INDEX(Backlog!$J$2:$J$180,MATCH($D84,Backlog!$A$2:$A$180,0)),"")</t>
  </si>
  <si>
    <t>=IF(ISNUMBER(INDEX(Backlog!$AS$2:$AS$180,MATCH($D84,Backlog!$A$2:$A$180,0))),INDEX(Backlog!$AS$2:$AS$180,MATCH($D84,Backlog!$A$2:$A$180,0)),"")</t>
  </si>
  <si>
    <t>H84</t>
  </si>
  <si>
    <t>=IF(ISNUMBER(INDEX(Backlog!$R$2:$R$180,MATCH($D84,Backlog!$A$2:$A$180,0))),INDEX(Backlog!$R$2:$R$180,MATCH($D84,Backlog!$A$2:$A$180,0)),"")</t>
  </si>
  <si>
    <t>=IF(ISNUMBER(INDEX(Backlog!$AT$2:$AT$180,MATCH($D84,Backlog!$A$2:$A$180,0))),INDEX(Backlog!$AT$2:$AT$180,MATCH($D84,Backlog!$A$2:$A$180,0)),"")</t>
  </si>
  <si>
    <t>G85</t>
  </si>
  <si>
    <t>=IF(ISNUMBER(INDEX(Backlog!$J$2:$J$180,MATCH($D85,Backlog!$A$2:$A$180,0))),INDEX(Backlog!$J$2:$J$180,MATCH($D85,Backlog!$A$2:$A$180,0)),"")</t>
  </si>
  <si>
    <t>=IF(ISNUMBER(INDEX(Backlog!$AS$2:$AS$180,MATCH($D85,Backlog!$A$2:$A$180,0))),INDEX(Backlog!$AS$2:$AS$180,MATCH($D85,Backlog!$A$2:$A$180,0)),"")</t>
  </si>
  <si>
    <t>H85</t>
  </si>
  <si>
    <t>=IF(ISNUMBER(INDEX(Backlog!$R$2:$R$180,MATCH($D85,Backlog!$A$2:$A$180,0))),INDEX(Backlog!$R$2:$R$180,MATCH($D85,Backlog!$A$2:$A$180,0)),"")</t>
  </si>
  <si>
    <t>=IF(ISNUMBER(INDEX(Backlog!$AT$2:$AT$180,MATCH($D85,Backlog!$A$2:$A$180,0))),INDEX(Backlog!$AT$2:$AT$180,MATCH($D85,Backlog!$A$2:$A$180,0)),"")</t>
  </si>
  <si>
    <t>G86</t>
  </si>
  <si>
    <t>=IF(ISNUMBER(INDEX(Backlog!$J$2:$J$180,MATCH($D86,Backlog!$A$2:$A$180,0))),INDEX(Backlog!$J$2:$J$180,MATCH($D86,Backlog!$A$2:$A$180,0)),"")</t>
  </si>
  <si>
    <t>=IF(ISNUMBER(INDEX(Backlog!$AS$2:$AS$180,MATCH($D86,Backlog!$A$2:$A$180,0))),INDEX(Backlog!$AS$2:$AS$180,MATCH($D86,Backlog!$A$2:$A$180,0)),"")</t>
  </si>
  <si>
    <t>H86</t>
  </si>
  <si>
    <t>=IF(ISNUMBER(INDEX(Backlog!$R$2:$R$180,MATCH($D86,Backlog!$A$2:$A$180,0))),INDEX(Backlog!$R$2:$R$180,MATCH($D86,Backlog!$A$2:$A$180,0)),"")</t>
  </si>
  <si>
    <t>=IF(ISNUMBER(INDEX(Backlog!$AT$2:$AT$180,MATCH($D86,Backlog!$A$2:$A$180,0))),INDEX(Backlog!$AT$2:$AT$180,MATCH($D86,Backlog!$A$2:$A$180,0)),"")</t>
  </si>
  <si>
    <t>G87</t>
  </si>
  <si>
    <t>=IF(ISNUMBER(INDEX(Backlog!$J$2:$J$180,MATCH($D87,Backlog!$A$2:$A$180,0))),INDEX(Backlog!$J$2:$J$180,MATCH($D87,Backlog!$A$2:$A$180,0)),"")</t>
  </si>
  <si>
    <t>=IF(ISNUMBER(INDEX(Backlog!$AS$2:$AS$180,MATCH($D87,Backlog!$A$2:$A$180,0))),INDEX(Backlog!$AS$2:$AS$180,MATCH($D87,Backlog!$A$2:$A$180,0)),"")</t>
  </si>
  <si>
    <t>H87</t>
  </si>
  <si>
    <t>=IF(ISNUMBER(INDEX(Backlog!$R$2:$R$180,MATCH($D87,Backlog!$A$2:$A$180,0))),INDEX(Backlog!$R$2:$R$180,MATCH($D87,Backlog!$A$2:$A$180,0)),"")</t>
  </si>
  <si>
    <t>=IF(ISNUMBER(INDEX(Backlog!$AT$2:$AT$180,MATCH($D87,Backlog!$A$2:$A$180,0))),INDEX(Backlog!$AT$2:$AT$180,MATCH($D87,Backlog!$A$2:$A$180,0)),"")</t>
  </si>
  <si>
    <t>G88</t>
  </si>
  <si>
    <t>=IF(ISNUMBER(INDEX(Backlog!$J$2:$J$180,MATCH($D88,Backlog!$A$2:$A$180,0))),INDEX(Backlog!$J$2:$J$180,MATCH($D88,Backlog!$A$2:$A$180,0)),"")</t>
  </si>
  <si>
    <t>=IF(ISNUMBER(INDEX(Backlog!$AS$2:$AS$180,MATCH($D88,Backlog!$A$2:$A$180,0))),INDEX(Backlog!$AS$2:$AS$180,MATCH($D88,Backlog!$A$2:$A$180,0)),"")</t>
  </si>
  <si>
    <t>H88</t>
  </si>
  <si>
    <t>=IF(ISNUMBER(INDEX(Backlog!$R$2:$R$180,MATCH($D88,Backlog!$A$2:$A$180,0))),INDEX(Backlog!$R$2:$R$180,MATCH($D88,Backlog!$A$2:$A$180,0)),"")</t>
  </si>
  <si>
    <t>=IF(ISNUMBER(INDEX(Backlog!$AT$2:$AT$180,MATCH($D88,Backlog!$A$2:$A$180,0))),INDEX(Backlog!$AT$2:$AT$180,MATCH($D88,Backlog!$A$2:$A$180,0)),"")</t>
  </si>
  <si>
    <t>G89</t>
  </si>
  <si>
    <t>=IF(ISNUMBER(INDEX(Backlog!$J$2:$J$180,MATCH($D89,Backlog!$A$2:$A$180,0))),INDEX(Backlog!$J$2:$J$180,MATCH($D89,Backlog!$A$2:$A$180,0)),"")</t>
  </si>
  <si>
    <t>=IF(ISNUMBER(INDEX(Backlog!$AS$2:$AS$180,MATCH($D89,Backlog!$A$2:$A$180,0))),INDEX(Backlog!$AS$2:$AS$180,MATCH($D89,Backlog!$A$2:$A$180,0)),"")</t>
  </si>
  <si>
    <t>H89</t>
  </si>
  <si>
    <t>=IF(ISNUMBER(INDEX(Backlog!$R$2:$R$180,MATCH($D89,Backlog!$A$2:$A$180,0))),INDEX(Backlog!$R$2:$R$180,MATCH($D89,Backlog!$A$2:$A$180,0)),"")</t>
  </si>
  <si>
    <t>=IF(ISNUMBER(INDEX(Backlog!$AT$2:$AT$180,MATCH($D89,Backlog!$A$2:$A$180,0))),INDEX(Backlog!$AT$2:$AT$180,MATCH($D89,Backlog!$A$2:$A$180,0)),"")</t>
  </si>
  <si>
    <t>G90</t>
  </si>
  <si>
    <t>=IF(ISNUMBER(INDEX(Backlog!$J$2:$J$180,MATCH($D90,Backlog!$A$2:$A$180,0))),INDEX(Backlog!$J$2:$J$180,MATCH($D90,Backlog!$A$2:$A$180,0)),"")</t>
  </si>
  <si>
    <t>=IF(ISNUMBER(INDEX(Backlog!$AS$2:$AS$180,MATCH($D90,Backlog!$A$2:$A$180,0))),INDEX(Backlog!$AS$2:$AS$180,MATCH($D90,Backlog!$A$2:$A$180,0)),"")</t>
  </si>
  <si>
    <t>H90</t>
  </si>
  <si>
    <t>=IF(ISNUMBER(INDEX(Backlog!$R$2:$R$180,MATCH($D90,Backlog!$A$2:$A$180,0))),INDEX(Backlog!$R$2:$R$180,MATCH($D90,Backlog!$A$2:$A$180,0)),"")</t>
  </si>
  <si>
    <t>=IF(ISNUMBER(INDEX(Backlog!$AT$2:$AT$180,MATCH($D90,Backlog!$A$2:$A$180,0))),INDEX(Backlog!$AT$2:$AT$180,MATCH($D90,Backlog!$A$2:$A$180,0)),"")</t>
  </si>
  <si>
    <t>G91</t>
  </si>
  <si>
    <t>=IF(ISNUMBER(INDEX(Backlog!$J$2:$J$180,MATCH($D91,Backlog!$A$2:$A$180,0))),INDEX(Backlog!$J$2:$J$180,MATCH($D91,Backlog!$A$2:$A$180,0)),"")</t>
  </si>
  <si>
    <t>=IF(ISNUMBER(INDEX(Backlog!$AS$2:$AS$180,MATCH($D91,Backlog!$A$2:$A$180,0))),INDEX(Backlog!$AS$2:$AS$180,MATCH($D91,Backlog!$A$2:$A$180,0)),"")</t>
  </si>
  <si>
    <t>H91</t>
  </si>
  <si>
    <t>=IF(ISNUMBER(INDEX(Backlog!$R$2:$R$180,MATCH($D91,Backlog!$A$2:$A$180,0))),INDEX(Backlog!$R$2:$R$180,MATCH($D91,Backlog!$A$2:$A$180,0)),"")</t>
  </si>
  <si>
    <t>=IF(ISNUMBER(INDEX(Backlog!$AT$2:$AT$180,MATCH($D91,Backlog!$A$2:$A$180,0))),INDEX(Backlog!$AT$2:$AT$180,MATCH($D91,Backlog!$A$2:$A$180,0)),"")</t>
  </si>
  <si>
    <t>G92</t>
  </si>
  <si>
    <t>=IF(ISNUMBER(INDEX(Backlog!$J$2:$J$180,MATCH($D92,Backlog!$A$2:$A$180,0))),INDEX(Backlog!$J$2:$J$180,MATCH($D92,Backlog!$A$2:$A$180,0)),"")</t>
  </si>
  <si>
    <t>=IF(ISNUMBER(INDEX(Backlog!$AS$2:$AS$180,MATCH($D92,Backlog!$A$2:$A$180,0))),INDEX(Backlog!$AS$2:$AS$180,MATCH($D92,Backlog!$A$2:$A$180,0)),"")</t>
  </si>
  <si>
    <t>H92</t>
  </si>
  <si>
    <t>=IF(ISNUMBER(INDEX(Backlog!$R$2:$R$180,MATCH($D92,Backlog!$A$2:$A$180,0))),INDEX(Backlog!$R$2:$R$180,MATCH($D92,Backlog!$A$2:$A$180,0)),"")</t>
  </si>
  <si>
    <t>=IF(ISNUMBER(INDEX(Backlog!$AT$2:$AT$180,MATCH($D92,Backlog!$A$2:$A$180,0))),INDEX(Backlog!$AT$2:$AT$180,MATCH($D92,Backlog!$A$2:$A$180,0)),"")</t>
  </si>
  <si>
    <t>G93</t>
  </si>
  <si>
    <t>=IF(ISNUMBER(INDEX(Backlog!$J$2:$J$180,MATCH($D93,Backlog!$A$2:$A$180,0))),INDEX(Backlog!$J$2:$J$180,MATCH($D93,Backlog!$A$2:$A$180,0)),"")</t>
  </si>
  <si>
    <t>=IF(ISNUMBER(INDEX(Backlog!$AS$2:$AS$180,MATCH($D93,Backlog!$A$2:$A$180,0))),INDEX(Backlog!$AS$2:$AS$180,MATCH($D93,Backlog!$A$2:$A$180,0)),"")</t>
  </si>
  <si>
    <t>H93</t>
  </si>
  <si>
    <t>=IF(ISNUMBER(INDEX(Backlog!$R$2:$R$180,MATCH($D93,Backlog!$A$2:$A$180,0))),INDEX(Backlog!$R$2:$R$180,MATCH($D93,Backlog!$A$2:$A$180,0)),"")</t>
  </si>
  <si>
    <t>=IF(ISNUMBER(INDEX(Backlog!$AT$2:$AT$180,MATCH($D93,Backlog!$A$2:$A$180,0))),INDEX(Backlog!$AT$2:$AT$180,MATCH($D93,Backlog!$A$2:$A$180,0)),"")</t>
  </si>
  <si>
    <t>G94</t>
  </si>
  <si>
    <t>=IF(ISNUMBER(INDEX(Backlog!$J$2:$J$180,MATCH($D94,Backlog!$A$2:$A$180,0))),INDEX(Backlog!$J$2:$J$180,MATCH($D94,Backlog!$A$2:$A$180,0)),"")</t>
  </si>
  <si>
    <t>=IF(ISNUMBER(INDEX(Backlog!$AS$2:$AS$180,MATCH($D94,Backlog!$A$2:$A$180,0))),INDEX(Backlog!$AS$2:$AS$180,MATCH($D94,Backlog!$A$2:$A$180,0)),"")</t>
  </si>
  <si>
    <t>H94</t>
  </si>
  <si>
    <t>=IF(ISNUMBER(INDEX(Backlog!$R$2:$R$180,MATCH($D94,Backlog!$A$2:$A$180,0))),INDEX(Backlog!$R$2:$R$180,MATCH($D94,Backlog!$A$2:$A$180,0)),"")</t>
  </si>
  <si>
    <t>=IF(ISNUMBER(INDEX(Backlog!$AT$2:$AT$180,MATCH($D94,Backlog!$A$2:$A$180,0))),INDEX(Backlog!$AT$2:$AT$180,MATCH($D94,Backlog!$A$2:$A$180,0)),"")</t>
  </si>
  <si>
    <t>G95</t>
  </si>
  <si>
    <t>=IF(ISNUMBER(INDEX(Backlog!$J$2:$J$180,MATCH($D95,Backlog!$A$2:$A$180,0))),INDEX(Backlog!$J$2:$J$180,MATCH($D95,Backlog!$A$2:$A$180,0)),"")</t>
  </si>
  <si>
    <t>=IF(ISNUMBER(INDEX(Backlog!$AS$2:$AS$180,MATCH($D95,Backlog!$A$2:$A$180,0))),INDEX(Backlog!$AS$2:$AS$180,MATCH($D95,Backlog!$A$2:$A$180,0)),"")</t>
  </si>
  <si>
    <t>H95</t>
  </si>
  <si>
    <t>=IF(ISNUMBER(INDEX(Backlog!$R$2:$R$180,MATCH($D95,Backlog!$A$2:$A$180,0))),INDEX(Backlog!$R$2:$R$180,MATCH($D95,Backlog!$A$2:$A$180,0)),"")</t>
  </si>
  <si>
    <t>=IF(ISNUMBER(INDEX(Backlog!$AT$2:$AT$180,MATCH($D95,Backlog!$A$2:$A$180,0))),INDEX(Backlog!$AT$2:$AT$180,MATCH($D95,Backlog!$A$2:$A$180,0)),"")</t>
  </si>
  <si>
    <t>G96</t>
  </si>
  <si>
    <t>=IF(ISNUMBER(INDEX(Backlog!$J$2:$J$180,MATCH($D96,Backlog!$A$2:$A$180,0))),INDEX(Backlog!$J$2:$J$180,MATCH($D96,Backlog!$A$2:$A$180,0)),"")</t>
  </si>
  <si>
    <t>=IF(ISNUMBER(INDEX(Backlog!$AS$2:$AS$180,MATCH($D96,Backlog!$A$2:$A$180,0))),INDEX(Backlog!$AS$2:$AS$180,MATCH($D96,Backlog!$A$2:$A$180,0)),"")</t>
  </si>
  <si>
    <t>H96</t>
  </si>
  <si>
    <t>=IF(ISNUMBER(INDEX(Backlog!$R$2:$R$180,MATCH($D96,Backlog!$A$2:$A$180,0))),INDEX(Backlog!$R$2:$R$180,MATCH($D96,Backlog!$A$2:$A$180,0)),"")</t>
  </si>
  <si>
    <t>=IF(ISNUMBER(INDEX(Backlog!$AT$2:$AT$180,MATCH($D96,Backlog!$A$2:$A$180,0))),INDEX(Backlog!$AT$2:$AT$180,MATCH($D96,Backlog!$A$2:$A$180,0)),"")</t>
  </si>
  <si>
    <t>G97</t>
  </si>
  <si>
    <t>=IF(ISNUMBER(INDEX(Backlog!$J$2:$J$180,MATCH($D97,Backlog!$A$2:$A$180,0))),INDEX(Backlog!$J$2:$J$180,MATCH($D97,Backlog!$A$2:$A$180,0)),"")</t>
  </si>
  <si>
    <t>=IF(ISNUMBER(INDEX(Backlog!$AS$2:$AS$180,MATCH($D97,Backlog!$A$2:$A$180,0))),INDEX(Backlog!$AS$2:$AS$180,MATCH($D97,Backlog!$A$2:$A$180,0)),"")</t>
  </si>
  <si>
    <t>H97</t>
  </si>
  <si>
    <t>=IF(ISNUMBER(INDEX(Backlog!$R$2:$R$180,MATCH($D97,Backlog!$A$2:$A$180,0))),INDEX(Backlog!$R$2:$R$180,MATCH($D97,Backlog!$A$2:$A$180,0)),"")</t>
  </si>
  <si>
    <t>=IF(ISNUMBER(INDEX(Backlog!$AT$2:$AT$180,MATCH($D97,Backlog!$A$2:$A$180,0))),INDEX(Backlog!$AT$2:$AT$180,MATCH($D97,Backlog!$A$2:$A$180,0)),"")</t>
  </si>
  <si>
    <t>G98</t>
  </si>
  <si>
    <t>=IF(ISNUMBER(INDEX(Backlog!$J$2:$J$180,MATCH($D98,Backlog!$A$2:$A$180,0))),INDEX(Backlog!$J$2:$J$180,MATCH($D98,Backlog!$A$2:$A$180,0)),"")</t>
  </si>
  <si>
    <t>=IF(ISNUMBER(INDEX(Backlog!$AS$2:$AS$180,MATCH($D98,Backlog!$A$2:$A$180,0))),INDEX(Backlog!$AS$2:$AS$180,MATCH($D98,Backlog!$A$2:$A$180,0)),"")</t>
  </si>
  <si>
    <t>H98</t>
  </si>
  <si>
    <t>=IF(ISNUMBER(INDEX(Backlog!$R$2:$R$180,MATCH($D98,Backlog!$A$2:$A$180,0))),INDEX(Backlog!$R$2:$R$180,MATCH($D98,Backlog!$A$2:$A$180,0)),"")</t>
  </si>
  <si>
    <t>=IF(ISNUMBER(INDEX(Backlog!$AT$2:$AT$180,MATCH($D98,Backlog!$A$2:$A$180,0))),INDEX(Backlog!$AT$2:$AT$180,MATCH($D98,Backlog!$A$2:$A$180,0)),"")</t>
  </si>
  <si>
    <t>G99</t>
  </si>
  <si>
    <t>=IF(ISNUMBER(INDEX(Backlog!$J$2:$J$180,MATCH($D99,Backlog!$A$2:$A$180,0))),INDEX(Backlog!$J$2:$J$180,MATCH($D99,Backlog!$A$2:$A$180,0)),"")</t>
  </si>
  <si>
    <t>=IF(ISNUMBER(INDEX(Backlog!$AS$2:$AS$180,MATCH($D99,Backlog!$A$2:$A$180,0))),INDEX(Backlog!$AS$2:$AS$180,MATCH($D99,Backlog!$A$2:$A$180,0)),"")</t>
  </si>
  <si>
    <t>H99</t>
  </si>
  <si>
    <t>=IF(ISNUMBER(INDEX(Backlog!$R$2:$R$180,MATCH($D99,Backlog!$A$2:$A$180,0))),INDEX(Backlog!$R$2:$R$180,MATCH($D99,Backlog!$A$2:$A$180,0)),"")</t>
  </si>
  <si>
    <t>=IF(ISNUMBER(INDEX(Backlog!$AT$2:$AT$180,MATCH($D99,Backlog!$A$2:$A$180,0))),INDEX(Backlog!$AT$2:$AT$180,MATCH($D99,Backlog!$A$2:$A$180,0)),"")</t>
  </si>
  <si>
    <t>G100</t>
  </si>
  <si>
    <t>=IF(ISNUMBER(INDEX(Backlog!$J$2:$J$180,MATCH($D100,Backlog!$A$2:$A$180,0))),INDEX(Backlog!$J$2:$J$180,MATCH($D100,Backlog!$A$2:$A$180,0)),"")</t>
  </si>
  <si>
    <t>=IF(ISNUMBER(INDEX(Backlog!$AS$2:$AS$180,MATCH($D100,Backlog!$A$2:$A$180,0))),INDEX(Backlog!$AS$2:$AS$180,MATCH($D100,Backlog!$A$2:$A$180,0)),"")</t>
  </si>
  <si>
    <t>H100</t>
  </si>
  <si>
    <t>=IF(ISNUMBER(INDEX(Backlog!$R$2:$R$180,MATCH($D100,Backlog!$A$2:$A$180,0))),INDEX(Backlog!$R$2:$R$180,MATCH($D100,Backlog!$A$2:$A$180,0)),"")</t>
  </si>
  <si>
    <t>=IF(ISNUMBER(INDEX(Backlog!$AT$2:$AT$180,MATCH($D100,Backlog!$A$2:$A$180,0))),INDEX(Backlog!$AT$2:$AT$180,MATCH($D100,Backlog!$A$2:$A$180,0)),"")</t>
  </si>
  <si>
    <t>G101</t>
  </si>
  <si>
    <t>=IF(ISNUMBER(INDEX(Backlog!$J$2:$J$180,MATCH($D101,Backlog!$A$2:$A$180,0))),INDEX(Backlog!$J$2:$J$180,MATCH($D101,Backlog!$A$2:$A$180,0)),"")</t>
  </si>
  <si>
    <t>=IF(ISNUMBER(INDEX(Backlog!$AS$2:$AS$180,MATCH($D101,Backlog!$A$2:$A$180,0))),INDEX(Backlog!$AS$2:$AS$180,MATCH($D101,Backlog!$A$2:$A$180,0)),"")</t>
  </si>
  <si>
    <t>H101</t>
  </si>
  <si>
    <t>=IF(ISNUMBER(INDEX(Backlog!$R$2:$R$180,MATCH($D101,Backlog!$A$2:$A$180,0))),INDEX(Backlog!$R$2:$R$180,MATCH($D101,Backlog!$A$2:$A$180,0)),"")</t>
  </si>
  <si>
    <t>=IF(ISNUMBER(INDEX(Backlog!$AT$2:$AT$180,MATCH($D101,Backlog!$A$2:$A$180,0))),INDEX(Backlog!$AT$2:$AT$180,MATCH($D101,Backlog!$A$2:$A$180,0)),"")</t>
  </si>
  <si>
    <t>G102</t>
  </si>
  <si>
    <t>=IF(ISNUMBER(INDEX(Backlog!$J$2:$J$180,MATCH($D102,Backlog!$A$2:$A$180,0))),INDEX(Backlog!$J$2:$J$180,MATCH($D102,Backlog!$A$2:$A$180,0)),"")</t>
  </si>
  <si>
    <t>=IF(ISNUMBER(INDEX(Backlog!$AS$2:$AS$180,MATCH($D102,Backlog!$A$2:$A$180,0))),INDEX(Backlog!$AS$2:$AS$180,MATCH($D102,Backlog!$A$2:$A$180,0)),"")</t>
  </si>
  <si>
    <t>H102</t>
  </si>
  <si>
    <t>=IF(ISNUMBER(INDEX(Backlog!$R$2:$R$180,MATCH($D102,Backlog!$A$2:$A$180,0))),INDEX(Backlog!$R$2:$R$180,MATCH($D102,Backlog!$A$2:$A$180,0)),"")</t>
  </si>
  <si>
    <t>=IF(ISNUMBER(INDEX(Backlog!$AT$2:$AT$180,MATCH($D102,Backlog!$A$2:$A$180,0))),INDEX(Backlog!$AT$2:$AT$180,MATCH($D102,Backlog!$A$2:$A$180,0)),"")</t>
  </si>
  <si>
    <t>G103</t>
  </si>
  <si>
    <t>=IF(ISNUMBER(INDEX(Backlog!$J$2:$J$180,MATCH($D103,Backlog!$A$2:$A$180,0))),INDEX(Backlog!$J$2:$J$180,MATCH($D103,Backlog!$A$2:$A$180,0)),"")</t>
  </si>
  <si>
    <t>=IF(ISNUMBER(INDEX(Backlog!$AS$2:$AS$180,MATCH($D103,Backlog!$A$2:$A$180,0))),INDEX(Backlog!$AS$2:$AS$180,MATCH($D103,Backlog!$A$2:$A$180,0)),"")</t>
  </si>
  <si>
    <t>H103</t>
  </si>
  <si>
    <t>=IF(ISNUMBER(INDEX(Backlog!$R$2:$R$180,MATCH($D103,Backlog!$A$2:$A$180,0))),INDEX(Backlog!$R$2:$R$180,MATCH($D103,Backlog!$A$2:$A$180,0)),"")</t>
  </si>
  <si>
    <t>=IF(ISNUMBER(INDEX(Backlog!$AT$2:$AT$180,MATCH($D103,Backlog!$A$2:$A$180,0))),INDEX(Backlog!$AT$2:$AT$180,MATCH($D103,Backlog!$A$2:$A$180,0)),"")</t>
  </si>
  <si>
    <t>G104</t>
  </si>
  <si>
    <t>=IF(ISNUMBER(INDEX(Backlog!$J$2:$J$180,MATCH($D104,Backlog!$A$2:$A$180,0))),INDEX(Backlog!$J$2:$J$180,MATCH($D104,Backlog!$A$2:$A$180,0)),"")</t>
  </si>
  <si>
    <t>=IF(ISNUMBER(INDEX(Backlog!$AS$2:$AS$180,MATCH($D104,Backlog!$A$2:$A$180,0))),INDEX(Backlog!$AS$2:$AS$180,MATCH($D104,Backlog!$A$2:$A$180,0)),"")</t>
  </si>
  <si>
    <t>H104</t>
  </si>
  <si>
    <t>=IF(ISNUMBER(INDEX(Backlog!$R$2:$R$180,MATCH($D104,Backlog!$A$2:$A$180,0))),INDEX(Backlog!$R$2:$R$180,MATCH($D104,Backlog!$A$2:$A$180,0)),"")</t>
  </si>
  <si>
    <t>=IF(ISNUMBER(INDEX(Backlog!$AT$2:$AT$180,MATCH($D104,Backlog!$A$2:$A$180,0))),INDEX(Backlog!$AT$2:$AT$180,MATCH($D104,Backlog!$A$2:$A$180,0)),"")</t>
  </si>
  <si>
    <t>G105</t>
  </si>
  <si>
    <t>=IF(ISNUMBER(INDEX(Backlog!$J$2:$J$180,MATCH($D105,Backlog!$A$2:$A$180,0))),INDEX(Backlog!$J$2:$J$180,MATCH($D105,Backlog!$A$2:$A$180,0)),"")</t>
  </si>
  <si>
    <t>=IF(ISNUMBER(INDEX(Backlog!$AS$2:$AS$180,MATCH($D105,Backlog!$A$2:$A$180,0))),INDEX(Backlog!$AS$2:$AS$180,MATCH($D105,Backlog!$A$2:$A$180,0)),"")</t>
  </si>
  <si>
    <t>H105</t>
  </si>
  <si>
    <t>=IF(ISNUMBER(INDEX(Backlog!$R$2:$R$180,MATCH($D105,Backlog!$A$2:$A$180,0))),INDEX(Backlog!$R$2:$R$180,MATCH($D105,Backlog!$A$2:$A$180,0)),"")</t>
  </si>
  <si>
    <t>=IF(ISNUMBER(INDEX(Backlog!$AT$2:$AT$180,MATCH($D105,Backlog!$A$2:$A$180,0))),INDEX(Backlog!$AT$2:$AT$180,MATCH($D105,Backlog!$A$2:$A$180,0)),"")</t>
  </si>
  <si>
    <t>G106</t>
  </si>
  <si>
    <t>=IF(ISNUMBER(INDEX(Backlog!$J$2:$J$180,MATCH($D106,Backlog!$A$2:$A$180,0))),INDEX(Backlog!$J$2:$J$180,MATCH($D106,Backlog!$A$2:$A$180,0)),"")</t>
  </si>
  <si>
    <t>=IF(ISNUMBER(INDEX(Backlog!$AS$2:$AS$180,MATCH($D106,Backlog!$A$2:$A$180,0))),INDEX(Backlog!$AS$2:$AS$180,MATCH($D106,Backlog!$A$2:$A$180,0)),"")</t>
  </si>
  <si>
    <t>H106</t>
  </si>
  <si>
    <t>=IF(ISNUMBER(INDEX(Backlog!$R$2:$R$180,MATCH($D106,Backlog!$A$2:$A$180,0))),INDEX(Backlog!$R$2:$R$180,MATCH($D106,Backlog!$A$2:$A$180,0)),"")</t>
  </si>
  <si>
    <t>=IF(ISNUMBER(INDEX(Backlog!$AT$2:$AT$180,MATCH($D106,Backlog!$A$2:$A$180,0))),INDEX(Backlog!$AT$2:$AT$180,MATCH($D106,Backlog!$A$2:$A$180,0)),"")</t>
  </si>
  <si>
    <t>G107</t>
  </si>
  <si>
    <t>=IF(ISNUMBER(INDEX(Backlog!$J$2:$J$180,MATCH($D107,Backlog!$A$2:$A$180,0))),INDEX(Backlog!$J$2:$J$180,MATCH($D107,Backlog!$A$2:$A$180,0)),"")</t>
  </si>
  <si>
    <t>=IF(ISNUMBER(INDEX(Backlog!$AS$2:$AS$180,MATCH($D107,Backlog!$A$2:$A$180,0))),INDEX(Backlog!$AS$2:$AS$180,MATCH($D107,Backlog!$A$2:$A$180,0)),"")</t>
  </si>
  <si>
    <t>H107</t>
  </si>
  <si>
    <t>=IF(ISNUMBER(INDEX(Backlog!$R$2:$R$180,MATCH($D107,Backlog!$A$2:$A$180,0))),INDEX(Backlog!$R$2:$R$180,MATCH($D107,Backlog!$A$2:$A$180,0)),"")</t>
  </si>
  <si>
    <t>=IF(ISNUMBER(INDEX(Backlog!$AT$2:$AT$180,MATCH($D107,Backlog!$A$2:$A$180,0))),INDEX(Backlog!$AT$2:$AT$180,MATCH($D107,Backlog!$A$2:$A$180,0)),"")</t>
  </si>
  <si>
    <t>G108</t>
  </si>
  <si>
    <t>=IF(ISNUMBER(INDEX(Backlog!$J$2:$J$180,MATCH($D108,Backlog!$A$2:$A$180,0))),INDEX(Backlog!$J$2:$J$180,MATCH($D108,Backlog!$A$2:$A$180,0)),"")</t>
  </si>
  <si>
    <t>=IF(ISNUMBER(INDEX(Backlog!$AS$2:$AS$180,MATCH($D108,Backlog!$A$2:$A$180,0))),INDEX(Backlog!$AS$2:$AS$180,MATCH($D108,Backlog!$A$2:$A$180,0)),"")</t>
  </si>
  <si>
    <t>H108</t>
  </si>
  <si>
    <t>=IF(ISNUMBER(INDEX(Backlog!$R$2:$R$180,MATCH($D108,Backlog!$A$2:$A$180,0))),INDEX(Backlog!$R$2:$R$180,MATCH($D108,Backlog!$A$2:$A$180,0)),"")</t>
  </si>
  <si>
    <t>=IF(ISNUMBER(INDEX(Backlog!$AT$2:$AT$180,MATCH($D108,Backlog!$A$2:$A$180,0))),INDEX(Backlog!$AT$2:$AT$180,MATCH($D108,Backlog!$A$2:$A$180,0)),"")</t>
  </si>
  <si>
    <t>G109</t>
  </si>
  <si>
    <t>=IF(ISNUMBER(INDEX(Backlog!$J$2:$J$180,MATCH($D109,Backlog!$A$2:$A$180,0))),INDEX(Backlog!$J$2:$J$180,MATCH($D109,Backlog!$A$2:$A$180,0)),"")</t>
  </si>
  <si>
    <t>=IF(ISNUMBER(INDEX(Backlog!$AS$2:$AS$180,MATCH($D109,Backlog!$A$2:$A$180,0))),INDEX(Backlog!$AS$2:$AS$180,MATCH($D109,Backlog!$A$2:$A$180,0)),"")</t>
  </si>
  <si>
    <t>H109</t>
  </si>
  <si>
    <t>=IF(ISNUMBER(INDEX(Backlog!$R$2:$R$180,MATCH($D109,Backlog!$A$2:$A$180,0))),INDEX(Backlog!$R$2:$R$180,MATCH($D109,Backlog!$A$2:$A$180,0)),"")</t>
  </si>
  <si>
    <t>=IF(ISNUMBER(INDEX(Backlog!$AT$2:$AT$180,MATCH($D109,Backlog!$A$2:$A$180,0))),INDEX(Backlog!$AT$2:$AT$180,MATCH($D109,Backlog!$A$2:$A$180,0)),"")</t>
  </si>
  <si>
    <t>G110</t>
  </si>
  <si>
    <t>=IF(ISNUMBER(INDEX(Backlog!$J$2:$J$180,MATCH($D110,Backlog!$A$2:$A$180,0))),INDEX(Backlog!$J$2:$J$180,MATCH($D110,Backlog!$A$2:$A$180,0)),"")</t>
  </si>
  <si>
    <t>=IF(ISNUMBER(INDEX(Backlog!$AS$2:$AS$180,MATCH($D110,Backlog!$A$2:$A$180,0))),INDEX(Backlog!$AS$2:$AS$180,MATCH($D110,Backlog!$A$2:$A$180,0)),"")</t>
  </si>
  <si>
    <t>H110</t>
  </si>
  <si>
    <t>=IF(ISNUMBER(INDEX(Backlog!$R$2:$R$180,MATCH($D110,Backlog!$A$2:$A$180,0))),INDEX(Backlog!$R$2:$R$180,MATCH($D110,Backlog!$A$2:$A$180,0)),"")</t>
  </si>
  <si>
    <t>=IF(ISNUMBER(INDEX(Backlog!$AT$2:$AT$180,MATCH($D110,Backlog!$A$2:$A$180,0))),INDEX(Backlog!$AT$2:$AT$180,MATCH($D110,Backlog!$A$2:$A$180,0)),"")</t>
  </si>
  <si>
    <t>G111</t>
  </si>
  <si>
    <t>=IF(ISNUMBER(INDEX(Backlog!$J$2:$J$180,MATCH($D111,Backlog!$A$2:$A$180,0))),INDEX(Backlog!$J$2:$J$180,MATCH($D111,Backlog!$A$2:$A$180,0)),"")</t>
  </si>
  <si>
    <t>=IF(ISNUMBER(INDEX(Backlog!$AS$2:$AS$180,MATCH($D111,Backlog!$A$2:$A$180,0))),INDEX(Backlog!$AS$2:$AS$180,MATCH($D111,Backlog!$A$2:$A$180,0)),"")</t>
  </si>
  <si>
    <t>H111</t>
  </si>
  <si>
    <t>=IF(ISNUMBER(INDEX(Backlog!$R$2:$R$180,MATCH($D111,Backlog!$A$2:$A$180,0))),INDEX(Backlog!$R$2:$R$180,MATCH($D111,Backlog!$A$2:$A$180,0)),"")</t>
  </si>
  <si>
    <t>=IF(ISNUMBER(INDEX(Backlog!$AT$2:$AT$180,MATCH($D111,Backlog!$A$2:$A$180,0))),INDEX(Backlog!$AT$2:$AT$180,MATCH($D111,Backlog!$A$2:$A$180,0)),"")</t>
  </si>
  <si>
    <t>G112</t>
  </si>
  <si>
    <t>=IF(ISNUMBER(INDEX(Backlog!$J$2:$J$180,MATCH($D112,Backlog!$A$2:$A$180,0))),INDEX(Backlog!$J$2:$J$180,MATCH($D112,Backlog!$A$2:$A$180,0)),"")</t>
  </si>
  <si>
    <t>=IF(ISNUMBER(INDEX(Backlog!$AS$2:$AS$180,MATCH($D112,Backlog!$A$2:$A$180,0))),INDEX(Backlog!$AS$2:$AS$180,MATCH($D112,Backlog!$A$2:$A$180,0)),"")</t>
  </si>
  <si>
    <t>H112</t>
  </si>
  <si>
    <t>=IF(ISNUMBER(INDEX(Backlog!$R$2:$R$180,MATCH($D112,Backlog!$A$2:$A$180,0))),INDEX(Backlog!$R$2:$R$180,MATCH($D112,Backlog!$A$2:$A$180,0)),"")</t>
  </si>
  <si>
    <t>=IF(ISNUMBER(INDEX(Backlog!$AT$2:$AT$180,MATCH($D112,Backlog!$A$2:$A$180,0))),INDEX(Backlog!$AT$2:$AT$180,MATCH($D112,Backlog!$A$2:$A$180,0)),"")</t>
  </si>
  <si>
    <t>G113</t>
  </si>
  <si>
    <t>=IF(ISNUMBER(INDEX(Backlog!$J$2:$J$180,MATCH($D113,Backlog!$A$2:$A$180,0))),INDEX(Backlog!$J$2:$J$180,MATCH($D113,Backlog!$A$2:$A$180,0)),"")</t>
  </si>
  <si>
    <t>=IF(ISNUMBER(INDEX(Backlog!$AS$2:$AS$180,MATCH($D113,Backlog!$A$2:$A$180,0))),INDEX(Backlog!$AS$2:$AS$180,MATCH($D113,Backlog!$A$2:$A$180,0)),"")</t>
  </si>
  <si>
    <t>H113</t>
  </si>
  <si>
    <t>=IF(ISNUMBER(INDEX(Backlog!$R$2:$R$180,MATCH($D113,Backlog!$A$2:$A$180,0))),INDEX(Backlog!$R$2:$R$180,MATCH($D113,Backlog!$A$2:$A$180,0)),"")</t>
  </si>
  <si>
    <t>=IF(ISNUMBER(INDEX(Backlog!$AT$2:$AT$180,MATCH($D113,Backlog!$A$2:$A$180,0))),INDEX(Backlog!$AT$2:$AT$180,MATCH($D113,Backlog!$A$2:$A$180,0)),"")</t>
  </si>
  <si>
    <t>G114</t>
  </si>
  <si>
    <t>=IF(ISNUMBER(INDEX(Backlog!$J$2:$J$180,MATCH($D114,Backlog!$A$2:$A$180,0))),INDEX(Backlog!$J$2:$J$180,MATCH($D114,Backlog!$A$2:$A$180,0)),"")</t>
  </si>
  <si>
    <t>=IF(ISNUMBER(INDEX(Backlog!$AS$2:$AS$180,MATCH($D114,Backlog!$A$2:$A$180,0))),INDEX(Backlog!$AS$2:$AS$180,MATCH($D114,Backlog!$A$2:$A$180,0)),"")</t>
  </si>
  <si>
    <t>H114</t>
  </si>
  <si>
    <t>=IF(ISNUMBER(INDEX(Backlog!$R$2:$R$180,MATCH($D114,Backlog!$A$2:$A$180,0))),INDEX(Backlog!$R$2:$R$180,MATCH($D114,Backlog!$A$2:$A$180,0)),"")</t>
  </si>
  <si>
    <t>=IF(ISNUMBER(INDEX(Backlog!$AT$2:$AT$180,MATCH($D114,Backlog!$A$2:$A$180,0))),INDEX(Backlog!$AT$2:$AT$180,MATCH($D114,Backlog!$A$2:$A$180,0)),"")</t>
  </si>
  <si>
    <t>G115</t>
  </si>
  <si>
    <t>=IF(ISNUMBER(INDEX(Backlog!$J$2:$J$180,MATCH($D115,Backlog!$A$2:$A$180,0))),INDEX(Backlog!$J$2:$J$180,MATCH($D115,Backlog!$A$2:$A$180,0)),"")</t>
  </si>
  <si>
    <t>=IF(ISNUMBER(INDEX(Backlog!$AS$2:$AS$180,MATCH($D115,Backlog!$A$2:$A$180,0))),INDEX(Backlog!$AS$2:$AS$180,MATCH($D115,Backlog!$A$2:$A$180,0)),"")</t>
  </si>
  <si>
    <t>H115</t>
  </si>
  <si>
    <t>=IF(ISNUMBER(INDEX(Backlog!$R$2:$R$180,MATCH($D115,Backlog!$A$2:$A$180,0))),INDEX(Backlog!$R$2:$R$180,MATCH($D115,Backlog!$A$2:$A$180,0)),"")</t>
  </si>
  <si>
    <t>=IF(ISNUMBER(INDEX(Backlog!$AT$2:$AT$180,MATCH($D115,Backlog!$A$2:$A$180,0))),INDEX(Backlog!$AT$2:$AT$180,MATCH($D115,Backlog!$A$2:$A$180,0)),"")</t>
  </si>
  <si>
    <t>G116</t>
  </si>
  <si>
    <t>=IF(ISNUMBER(INDEX(Backlog!$J$2:$J$180,MATCH($D116,Backlog!$A$2:$A$180,0))),INDEX(Backlog!$J$2:$J$180,MATCH($D116,Backlog!$A$2:$A$180,0)),"")</t>
  </si>
  <si>
    <t>=IF(ISNUMBER(INDEX(Backlog!$AS$2:$AS$180,MATCH($D116,Backlog!$A$2:$A$180,0))),INDEX(Backlog!$AS$2:$AS$180,MATCH($D116,Backlog!$A$2:$A$180,0)),"")</t>
  </si>
  <si>
    <t>H116</t>
  </si>
  <si>
    <t>=IF(ISNUMBER(INDEX(Backlog!$R$2:$R$180,MATCH($D116,Backlog!$A$2:$A$180,0))),INDEX(Backlog!$R$2:$R$180,MATCH($D116,Backlog!$A$2:$A$180,0)),"")</t>
  </si>
  <si>
    <t>=IF(ISNUMBER(INDEX(Backlog!$AT$2:$AT$180,MATCH($D116,Backlog!$A$2:$A$180,0))),INDEX(Backlog!$AT$2:$AT$180,MATCH($D116,Backlog!$A$2:$A$180,0)),"")</t>
  </si>
  <si>
    <t>G117</t>
  </si>
  <si>
    <t>=IF(ISNUMBER(INDEX(Backlog!$J$2:$J$180,MATCH($D117,Backlog!$A$2:$A$180,0))),INDEX(Backlog!$J$2:$J$180,MATCH($D117,Backlog!$A$2:$A$180,0)),"")</t>
  </si>
  <si>
    <t>=IF(ISNUMBER(INDEX(Backlog!$AS$2:$AS$180,MATCH($D117,Backlog!$A$2:$A$180,0))),INDEX(Backlog!$AS$2:$AS$180,MATCH($D117,Backlog!$A$2:$A$180,0)),"")</t>
  </si>
  <si>
    <t>H117</t>
  </si>
  <si>
    <t>=IF(ISNUMBER(INDEX(Backlog!$R$2:$R$180,MATCH($D117,Backlog!$A$2:$A$180,0))),INDEX(Backlog!$R$2:$R$180,MATCH($D117,Backlog!$A$2:$A$180,0)),"")</t>
  </si>
  <si>
    <t>=IF(ISNUMBER(INDEX(Backlog!$AT$2:$AT$180,MATCH($D117,Backlog!$A$2:$A$180,0))),INDEX(Backlog!$AT$2:$AT$180,MATCH($D117,Backlog!$A$2:$A$180,0)),"")</t>
  </si>
  <si>
    <t>G118</t>
  </si>
  <si>
    <t>=IF(ISNUMBER(INDEX(Backlog!$J$2:$J$180,MATCH($D118,Backlog!$A$2:$A$180,0))),INDEX(Backlog!$J$2:$J$180,MATCH($D118,Backlog!$A$2:$A$180,0)),"")</t>
  </si>
  <si>
    <t>=IF(ISNUMBER(INDEX(Backlog!$AS$2:$AS$180,MATCH($D118,Backlog!$A$2:$A$180,0))),INDEX(Backlog!$AS$2:$AS$180,MATCH($D118,Backlog!$A$2:$A$180,0)),"")</t>
  </si>
  <si>
    <t>H118</t>
  </si>
  <si>
    <t>=IF(ISNUMBER(INDEX(Backlog!$R$2:$R$180,MATCH($D118,Backlog!$A$2:$A$180,0))),INDEX(Backlog!$R$2:$R$180,MATCH($D118,Backlog!$A$2:$A$180,0)),"")</t>
  </si>
  <si>
    <t>=IF(ISNUMBER(INDEX(Backlog!$AT$2:$AT$180,MATCH($D118,Backlog!$A$2:$A$180,0))),INDEX(Backlog!$AT$2:$AT$180,MATCH($D118,Backlog!$A$2:$A$180,0)),"")</t>
  </si>
  <si>
    <t>G119</t>
  </si>
  <si>
    <t>=IF(ISNUMBER(INDEX(Backlog!$J$2:$J$180,MATCH($D119,Backlog!$A$2:$A$180,0))),INDEX(Backlog!$J$2:$J$180,MATCH($D119,Backlog!$A$2:$A$180,0)),"")</t>
  </si>
  <si>
    <t>=IF(ISNUMBER(INDEX(Backlog!$AS$2:$AS$180,MATCH($D119,Backlog!$A$2:$A$180,0))),INDEX(Backlog!$AS$2:$AS$180,MATCH($D119,Backlog!$A$2:$A$180,0)),"")</t>
  </si>
  <si>
    <t>H119</t>
  </si>
  <si>
    <t>=IF(ISNUMBER(INDEX(Backlog!$R$2:$R$180,MATCH($D119,Backlog!$A$2:$A$180,0))),INDEX(Backlog!$R$2:$R$180,MATCH($D119,Backlog!$A$2:$A$180,0)),"")</t>
  </si>
  <si>
    <t>=IF(ISNUMBER(INDEX(Backlog!$AT$2:$AT$180,MATCH($D119,Backlog!$A$2:$A$180,0))),INDEX(Backlog!$AT$2:$AT$180,MATCH($D119,Backlog!$A$2:$A$180,0)),"")</t>
  </si>
  <si>
    <t>G120</t>
  </si>
  <si>
    <t>=IF(ISNUMBER(INDEX(Backlog!$J$2:$J$180,MATCH($D120,Backlog!$A$2:$A$180,0))),INDEX(Backlog!$J$2:$J$180,MATCH($D120,Backlog!$A$2:$A$180,0)),"")</t>
  </si>
  <si>
    <t>=IF(ISNUMBER(INDEX(Backlog!$AS$2:$AS$180,MATCH($D120,Backlog!$A$2:$A$180,0))),INDEX(Backlog!$AS$2:$AS$180,MATCH($D120,Backlog!$A$2:$A$180,0)),"")</t>
  </si>
  <si>
    <t>H120</t>
  </si>
  <si>
    <t>=IF(ISNUMBER(INDEX(Backlog!$R$2:$R$180,MATCH($D120,Backlog!$A$2:$A$180,0))),INDEX(Backlog!$R$2:$R$180,MATCH($D120,Backlog!$A$2:$A$180,0)),"")</t>
  </si>
  <si>
    <t>=IF(ISNUMBER(INDEX(Backlog!$AT$2:$AT$180,MATCH($D120,Backlog!$A$2:$A$180,0))),INDEX(Backlog!$AT$2:$AT$180,MATCH($D120,Backlog!$A$2:$A$180,0)),"")</t>
  </si>
  <si>
    <t>G121</t>
  </si>
  <si>
    <t>=IF(ISNUMBER(INDEX(Backlog!$J$2:$J$180,MATCH($D121,Backlog!$A$2:$A$180,0))),INDEX(Backlog!$J$2:$J$180,MATCH($D121,Backlog!$A$2:$A$180,0)),"")</t>
  </si>
  <si>
    <t>=IF(ISNUMBER(INDEX(Backlog!$AS$2:$AS$180,MATCH($D121,Backlog!$A$2:$A$180,0))),INDEX(Backlog!$AS$2:$AS$180,MATCH($D121,Backlog!$A$2:$A$180,0)),"")</t>
  </si>
  <si>
    <t>H121</t>
  </si>
  <si>
    <t>=IF(ISNUMBER(INDEX(Backlog!$R$2:$R$180,MATCH($D121,Backlog!$A$2:$A$180,0))),INDEX(Backlog!$R$2:$R$180,MATCH($D121,Backlog!$A$2:$A$180,0)),"")</t>
  </si>
  <si>
    <t>=IF(ISNUMBER(INDEX(Backlog!$AT$2:$AT$180,MATCH($D121,Backlog!$A$2:$A$180,0))),INDEX(Backlog!$AT$2:$AT$180,MATCH($D121,Backlog!$A$2:$A$180,0)),"")</t>
  </si>
  <si>
    <t>G122</t>
  </si>
  <si>
    <t>=IF(ISNUMBER(INDEX(Backlog!$J$2:$J$180,MATCH($D122,Backlog!$A$2:$A$180,0))),INDEX(Backlog!$J$2:$J$180,MATCH($D122,Backlog!$A$2:$A$180,0)),"")</t>
  </si>
  <si>
    <t>=IF(ISNUMBER(INDEX(Backlog!$AS$2:$AS$180,MATCH($D122,Backlog!$A$2:$A$180,0))),INDEX(Backlog!$AS$2:$AS$180,MATCH($D122,Backlog!$A$2:$A$180,0)),"")</t>
  </si>
  <si>
    <t>H122</t>
  </si>
  <si>
    <t>=IF(ISNUMBER(INDEX(Backlog!$R$2:$R$180,MATCH($D122,Backlog!$A$2:$A$180,0))),INDEX(Backlog!$R$2:$R$180,MATCH($D122,Backlog!$A$2:$A$180,0)),"")</t>
  </si>
  <si>
    <t>=IF(ISNUMBER(INDEX(Backlog!$AT$2:$AT$180,MATCH($D122,Backlog!$A$2:$A$180,0))),INDEX(Backlog!$AT$2:$AT$180,MATCH($D122,Backlog!$A$2:$A$180,0)),"")</t>
  </si>
  <si>
    <t>G123</t>
  </si>
  <si>
    <t>=IF(ISNUMBER(INDEX(Backlog!$J$2:$J$180,MATCH($D123,Backlog!$A$2:$A$180,0))),INDEX(Backlog!$J$2:$J$180,MATCH($D123,Backlog!$A$2:$A$180,0)),"")</t>
  </si>
  <si>
    <t>=IF(ISNUMBER(INDEX(Backlog!$AS$2:$AS$180,MATCH($D123,Backlog!$A$2:$A$180,0))),INDEX(Backlog!$AS$2:$AS$180,MATCH($D123,Backlog!$A$2:$A$180,0)),"")</t>
  </si>
  <si>
    <t>H123</t>
  </si>
  <si>
    <t>=IF(ISNUMBER(INDEX(Backlog!$R$2:$R$180,MATCH($D123,Backlog!$A$2:$A$180,0))),INDEX(Backlog!$R$2:$R$180,MATCH($D123,Backlog!$A$2:$A$180,0)),"")</t>
  </si>
  <si>
    <t>=IF(ISNUMBER(INDEX(Backlog!$AT$2:$AT$180,MATCH($D123,Backlog!$A$2:$A$180,0))),INDEX(Backlog!$AT$2:$AT$180,MATCH($D123,Backlog!$A$2:$A$180,0)),"")</t>
  </si>
  <si>
    <t>G124</t>
  </si>
  <si>
    <t>=IF(ISNUMBER(INDEX(Backlog!$J$2:$J$180,MATCH($D124,Backlog!$A$2:$A$180,0))),INDEX(Backlog!$J$2:$J$180,MATCH($D124,Backlog!$A$2:$A$180,0)),"")</t>
  </si>
  <si>
    <t>=IF(ISNUMBER(INDEX(Backlog!$AS$2:$AS$180,MATCH($D124,Backlog!$A$2:$A$180,0))),INDEX(Backlog!$AS$2:$AS$180,MATCH($D124,Backlog!$A$2:$A$180,0)),"")</t>
  </si>
  <si>
    <t>H124</t>
  </si>
  <si>
    <t>=IF(ISNUMBER(INDEX(Backlog!$R$2:$R$180,MATCH($D124,Backlog!$A$2:$A$180,0))),INDEX(Backlog!$R$2:$R$180,MATCH($D124,Backlog!$A$2:$A$180,0)),"")</t>
  </si>
  <si>
    <t>=IF(ISNUMBER(INDEX(Backlog!$AT$2:$AT$180,MATCH($D124,Backlog!$A$2:$A$180,0))),INDEX(Backlog!$AT$2:$AT$180,MATCH($D124,Backlog!$A$2:$A$180,0)),"")</t>
  </si>
  <si>
    <t>G125</t>
  </si>
  <si>
    <t>=IF(ISNUMBER(INDEX(Backlog!$J$2:$J$180,MATCH($D125,Backlog!$A$2:$A$180,0))),INDEX(Backlog!$J$2:$J$180,MATCH($D125,Backlog!$A$2:$A$180,0)),"")</t>
  </si>
  <si>
    <t>=IF(ISNUMBER(INDEX(Backlog!$AS$2:$AS$180,MATCH($D125,Backlog!$A$2:$A$180,0))),INDEX(Backlog!$AS$2:$AS$180,MATCH($D125,Backlog!$A$2:$A$180,0)),"")</t>
  </si>
  <si>
    <t>H125</t>
  </si>
  <si>
    <t>=IF(ISNUMBER(INDEX(Backlog!$R$2:$R$180,MATCH($D125,Backlog!$A$2:$A$180,0))),INDEX(Backlog!$R$2:$R$180,MATCH($D125,Backlog!$A$2:$A$180,0)),"")</t>
  </si>
  <si>
    <t>=IF(ISNUMBER(INDEX(Backlog!$AT$2:$AT$180,MATCH($D125,Backlog!$A$2:$A$180,0))),INDEX(Backlog!$AT$2:$AT$180,MATCH($D125,Backlog!$A$2:$A$180,0)),"")</t>
  </si>
  <si>
    <t>G126</t>
  </si>
  <si>
    <t>=IF(ISNUMBER(INDEX(Backlog!$J$2:$J$180,MATCH($D126,Backlog!$A$2:$A$180,0))),INDEX(Backlog!$J$2:$J$180,MATCH($D126,Backlog!$A$2:$A$180,0)),"")</t>
  </si>
  <si>
    <t>=IF(ISNUMBER(INDEX(Backlog!$AS$2:$AS$180,MATCH($D126,Backlog!$A$2:$A$180,0))),INDEX(Backlog!$AS$2:$AS$180,MATCH($D126,Backlog!$A$2:$A$180,0)),"")</t>
  </si>
  <si>
    <t>H126</t>
  </si>
  <si>
    <t>=IF(ISNUMBER(INDEX(Backlog!$R$2:$R$180,MATCH($D126,Backlog!$A$2:$A$180,0))),INDEX(Backlog!$R$2:$R$180,MATCH($D126,Backlog!$A$2:$A$180,0)),"")</t>
  </si>
  <si>
    <t>=IF(ISNUMBER(INDEX(Backlog!$AT$2:$AT$180,MATCH($D126,Backlog!$A$2:$A$180,0))),INDEX(Backlog!$AT$2:$AT$180,MATCH($D126,Backlog!$A$2:$A$180,0)),"")</t>
  </si>
  <si>
    <t>G127</t>
  </si>
  <si>
    <t>=IF(ISNUMBER(INDEX(Backlog!$J$2:$J$180,MATCH($D127,Backlog!$A$2:$A$180,0))),INDEX(Backlog!$J$2:$J$180,MATCH($D127,Backlog!$A$2:$A$180,0)),"")</t>
  </si>
  <si>
    <t>=IF(ISNUMBER(INDEX(Backlog!$AS$2:$AS$180,MATCH($D127,Backlog!$A$2:$A$180,0))),INDEX(Backlog!$AS$2:$AS$180,MATCH($D127,Backlog!$A$2:$A$180,0)),"")</t>
  </si>
  <si>
    <t>H127</t>
  </si>
  <si>
    <t>=IF(ISNUMBER(INDEX(Backlog!$R$2:$R$180,MATCH($D127,Backlog!$A$2:$A$180,0))),INDEX(Backlog!$R$2:$R$180,MATCH($D127,Backlog!$A$2:$A$180,0)),"")</t>
  </si>
  <si>
    <t>=IF(ISNUMBER(INDEX(Backlog!$AT$2:$AT$180,MATCH($D127,Backlog!$A$2:$A$180,0))),INDEX(Backlog!$AT$2:$AT$180,MATCH($D127,Backlog!$A$2:$A$180,0)),"")</t>
  </si>
  <si>
    <t>G128</t>
  </si>
  <si>
    <t>=IF(ISNUMBER(INDEX(Backlog!$J$2:$J$180,MATCH($D128,Backlog!$A$2:$A$180,0))),INDEX(Backlog!$J$2:$J$180,MATCH($D128,Backlog!$A$2:$A$180,0)),"")</t>
  </si>
  <si>
    <t>=IF(ISNUMBER(INDEX(Backlog!$AS$2:$AS$180,MATCH($D128,Backlog!$A$2:$A$180,0))),INDEX(Backlog!$AS$2:$AS$180,MATCH($D128,Backlog!$A$2:$A$180,0)),"")</t>
  </si>
  <si>
    <t>H128</t>
  </si>
  <si>
    <t>=IF(ISNUMBER(INDEX(Backlog!$R$2:$R$180,MATCH($D128,Backlog!$A$2:$A$180,0))),INDEX(Backlog!$R$2:$R$180,MATCH($D128,Backlog!$A$2:$A$180,0)),"")</t>
  </si>
  <si>
    <t>=IF(ISNUMBER(INDEX(Backlog!$AT$2:$AT$180,MATCH($D128,Backlog!$A$2:$A$180,0))),INDEX(Backlog!$AT$2:$AT$180,MATCH($D128,Backlog!$A$2:$A$180,0)),"")</t>
  </si>
  <si>
    <t>G129</t>
  </si>
  <si>
    <t>=IF(ISNUMBER(INDEX(Backlog!$J$2:$J$180,MATCH($D129,Backlog!$A$2:$A$180,0))),INDEX(Backlog!$J$2:$J$180,MATCH($D129,Backlog!$A$2:$A$180,0)),"")</t>
  </si>
  <si>
    <t>=IF(ISNUMBER(INDEX(Backlog!$AS$2:$AS$180,MATCH($D129,Backlog!$A$2:$A$180,0))),INDEX(Backlog!$AS$2:$AS$180,MATCH($D129,Backlog!$A$2:$A$180,0)),"")</t>
  </si>
  <si>
    <t>H129</t>
  </si>
  <si>
    <t>=IF(ISNUMBER(INDEX(Backlog!$R$2:$R$180,MATCH($D129,Backlog!$A$2:$A$180,0))),INDEX(Backlog!$R$2:$R$180,MATCH($D129,Backlog!$A$2:$A$180,0)),"")</t>
  </si>
  <si>
    <t>=IF(ISNUMBER(INDEX(Backlog!$AT$2:$AT$180,MATCH($D129,Backlog!$A$2:$A$180,0))),INDEX(Backlog!$AT$2:$AT$180,MATCH($D129,Backlog!$A$2:$A$180,0)),"")</t>
  </si>
  <si>
    <t>G130</t>
  </si>
  <si>
    <t>=IF(ISNUMBER(INDEX(Backlog!$J$2:$J$180,MATCH($D130,Backlog!$A$2:$A$180,0))),INDEX(Backlog!$J$2:$J$180,MATCH($D130,Backlog!$A$2:$A$180,0)),"")</t>
  </si>
  <si>
    <t>=IF(ISNUMBER(INDEX(Backlog!$AS$2:$AS$180,MATCH($D130,Backlog!$A$2:$A$180,0))),INDEX(Backlog!$AS$2:$AS$180,MATCH($D130,Backlog!$A$2:$A$180,0)),"")</t>
  </si>
  <si>
    <t>H130</t>
  </si>
  <si>
    <t>=IF(ISNUMBER(INDEX(Backlog!$R$2:$R$180,MATCH($D130,Backlog!$A$2:$A$180,0))),INDEX(Backlog!$R$2:$R$180,MATCH($D130,Backlog!$A$2:$A$180,0)),"")</t>
  </si>
  <si>
    <t>=IF(ISNUMBER(INDEX(Backlog!$AT$2:$AT$180,MATCH($D130,Backlog!$A$2:$A$180,0))),INDEX(Backlog!$AT$2:$AT$180,MATCH($D130,Backlog!$A$2:$A$180,0)),"")</t>
  </si>
  <si>
    <t>G131</t>
  </si>
  <si>
    <t>=IF(ISNUMBER(INDEX(Backlog!$J$2:$J$180,MATCH($D131,Backlog!$A$2:$A$180,0))),INDEX(Backlog!$J$2:$J$180,MATCH($D131,Backlog!$A$2:$A$180,0)),"")</t>
  </si>
  <si>
    <t>=IF(ISNUMBER(INDEX(Backlog!$AS$2:$AS$180,MATCH($D131,Backlog!$A$2:$A$180,0))),INDEX(Backlog!$AS$2:$AS$180,MATCH($D131,Backlog!$A$2:$A$180,0)),"")</t>
  </si>
  <si>
    <t>H131</t>
  </si>
  <si>
    <t>=IF(ISNUMBER(INDEX(Backlog!$R$2:$R$180,MATCH($D131,Backlog!$A$2:$A$180,0))),INDEX(Backlog!$R$2:$R$180,MATCH($D131,Backlog!$A$2:$A$180,0)),"")</t>
  </si>
  <si>
    <t>=IF(ISNUMBER(INDEX(Backlog!$AT$2:$AT$180,MATCH($D131,Backlog!$A$2:$A$180,0))),INDEX(Backlog!$AT$2:$AT$180,MATCH($D131,Backlog!$A$2:$A$180,0)),"")</t>
  </si>
  <si>
    <t>G132</t>
  </si>
  <si>
    <t>=IF(ISNUMBER(INDEX(Backlog!$J$2:$J$180,MATCH($D132,Backlog!$A$2:$A$180,0))),INDEX(Backlog!$J$2:$J$180,MATCH($D132,Backlog!$A$2:$A$180,0)),"")</t>
  </si>
  <si>
    <t>=IF(ISNUMBER(INDEX(Backlog!$AS$2:$AS$180,MATCH($D132,Backlog!$A$2:$A$180,0))),INDEX(Backlog!$AS$2:$AS$180,MATCH($D132,Backlog!$A$2:$A$180,0)),"")</t>
  </si>
  <si>
    <t>H132</t>
  </si>
  <si>
    <t>=IF(ISNUMBER(INDEX(Backlog!$R$2:$R$180,MATCH($D132,Backlog!$A$2:$A$180,0))),INDEX(Backlog!$R$2:$R$180,MATCH($D132,Backlog!$A$2:$A$180,0)),"")</t>
  </si>
  <si>
    <t>=IF(ISNUMBER(INDEX(Backlog!$AT$2:$AT$180,MATCH($D132,Backlog!$A$2:$A$180,0))),INDEX(Backlog!$AT$2:$AT$180,MATCH($D132,Backlog!$A$2:$A$180,0)),"")</t>
  </si>
  <si>
    <t>G133</t>
  </si>
  <si>
    <t>=IF(ISNUMBER(INDEX(Backlog!$J$2:$J$180,MATCH($D133,Backlog!$A$2:$A$180,0))),INDEX(Backlog!$J$2:$J$180,MATCH($D133,Backlog!$A$2:$A$180,0)),"")</t>
  </si>
  <si>
    <t>=IF(ISNUMBER(INDEX(Backlog!$AS$2:$AS$180,MATCH($D133,Backlog!$A$2:$A$180,0))),INDEX(Backlog!$AS$2:$AS$180,MATCH($D133,Backlog!$A$2:$A$180,0)),"")</t>
  </si>
  <si>
    <t>H133</t>
  </si>
  <si>
    <t>=IF(ISNUMBER(INDEX(Backlog!$R$2:$R$180,MATCH($D133,Backlog!$A$2:$A$180,0))),INDEX(Backlog!$R$2:$R$180,MATCH($D133,Backlog!$A$2:$A$180,0)),"")</t>
  </si>
  <si>
    <t>=IF(ISNUMBER(INDEX(Backlog!$AT$2:$AT$180,MATCH($D133,Backlog!$A$2:$A$180,0))),INDEX(Backlog!$AT$2:$AT$180,MATCH($D133,Backlog!$A$2:$A$180,0)),"")</t>
  </si>
  <si>
    <t>G134</t>
  </si>
  <si>
    <t>=IF(ISNUMBER(INDEX(Backlog!$J$2:$J$180,MATCH($D134,Backlog!$A$2:$A$180,0))),INDEX(Backlog!$J$2:$J$180,MATCH($D134,Backlog!$A$2:$A$180,0)),"")</t>
  </si>
  <si>
    <t>=IF(ISNUMBER(INDEX(Backlog!$AS$2:$AS$180,MATCH($D134,Backlog!$A$2:$A$180,0))),INDEX(Backlog!$AS$2:$AS$180,MATCH($D134,Backlog!$A$2:$A$180,0)),"")</t>
  </si>
  <si>
    <t>H134</t>
  </si>
  <si>
    <t>=IF(ISNUMBER(INDEX(Backlog!$R$2:$R$180,MATCH($D134,Backlog!$A$2:$A$180,0))),INDEX(Backlog!$R$2:$R$180,MATCH($D134,Backlog!$A$2:$A$180,0)),"")</t>
  </si>
  <si>
    <t>=IF(ISNUMBER(INDEX(Backlog!$AT$2:$AT$180,MATCH($D134,Backlog!$A$2:$A$180,0))),INDEX(Backlog!$AT$2:$AT$180,MATCH($D134,Backlog!$A$2:$A$180,0)),"")</t>
  </si>
  <si>
    <t>G135</t>
  </si>
  <si>
    <t>=IF(ISNUMBER(INDEX(Backlog!$J$2:$J$180,MATCH($D135,Backlog!$A$2:$A$180,0))),INDEX(Backlog!$J$2:$J$180,MATCH($D135,Backlog!$A$2:$A$180,0)),"")</t>
  </si>
  <si>
    <t>=IF(ISNUMBER(INDEX(Backlog!$AS$2:$AS$180,MATCH($D135,Backlog!$A$2:$A$180,0))),INDEX(Backlog!$AS$2:$AS$180,MATCH($D135,Backlog!$A$2:$A$180,0)),"")</t>
  </si>
  <si>
    <t>H135</t>
  </si>
  <si>
    <t>=IF(ISNUMBER(INDEX(Backlog!$R$2:$R$180,MATCH($D135,Backlog!$A$2:$A$180,0))),INDEX(Backlog!$R$2:$R$180,MATCH($D135,Backlog!$A$2:$A$180,0)),"")</t>
  </si>
  <si>
    <t>=IF(ISNUMBER(INDEX(Backlog!$AT$2:$AT$180,MATCH($D135,Backlog!$A$2:$A$180,0))),INDEX(Backlog!$AT$2:$AT$180,MATCH($D135,Backlog!$A$2:$A$180,0)),"")</t>
  </si>
  <si>
    <t>G136</t>
  </si>
  <si>
    <t>=IF(ISNUMBER(INDEX(Backlog!$J$2:$J$180,MATCH($D136,Backlog!$A$2:$A$180,0))),INDEX(Backlog!$J$2:$J$180,MATCH($D136,Backlog!$A$2:$A$180,0)),"")</t>
  </si>
  <si>
    <t>=IF(ISNUMBER(INDEX(Backlog!$AS$2:$AS$180,MATCH($D136,Backlog!$A$2:$A$180,0))),INDEX(Backlog!$AS$2:$AS$180,MATCH($D136,Backlog!$A$2:$A$180,0)),"")</t>
  </si>
  <si>
    <t>H136</t>
  </si>
  <si>
    <t>=IF(ISNUMBER(INDEX(Backlog!$R$2:$R$180,MATCH($D136,Backlog!$A$2:$A$180,0))),INDEX(Backlog!$R$2:$R$180,MATCH($D136,Backlog!$A$2:$A$180,0)),"")</t>
  </si>
  <si>
    <t>=IF(ISNUMBER(INDEX(Backlog!$AT$2:$AT$180,MATCH($D136,Backlog!$A$2:$A$180,0))),INDEX(Backlog!$AT$2:$AT$180,MATCH($D136,Backlog!$A$2:$A$180,0)),"")</t>
  </si>
  <si>
    <t>G137</t>
  </si>
  <si>
    <t>=IF(ISNUMBER(INDEX(Backlog!$J$2:$J$180,MATCH($D137,Backlog!$A$2:$A$180,0))),INDEX(Backlog!$J$2:$J$180,MATCH($D137,Backlog!$A$2:$A$180,0)),"")</t>
  </si>
  <si>
    <t>=IF(ISNUMBER(INDEX(Backlog!$AS$2:$AS$180,MATCH($D137,Backlog!$A$2:$A$180,0))),INDEX(Backlog!$AS$2:$AS$180,MATCH($D137,Backlog!$A$2:$A$180,0)),"")</t>
  </si>
  <si>
    <t>H137</t>
  </si>
  <si>
    <t>=IF(ISNUMBER(INDEX(Backlog!$R$2:$R$180,MATCH($D137,Backlog!$A$2:$A$180,0))),INDEX(Backlog!$R$2:$R$180,MATCH($D137,Backlog!$A$2:$A$180,0)),"")</t>
  </si>
  <si>
    <t>=IF(ISNUMBER(INDEX(Backlog!$AT$2:$AT$180,MATCH($D137,Backlog!$A$2:$A$180,0))),INDEX(Backlog!$AT$2:$AT$180,MATCH($D137,Backlog!$A$2:$A$180,0)),"")</t>
  </si>
  <si>
    <t>G138</t>
  </si>
  <si>
    <t>=IF(ISNUMBER(INDEX(Backlog!$J$2:$J$180,MATCH($D138,Backlog!$A$2:$A$180,0))),INDEX(Backlog!$J$2:$J$180,MATCH($D138,Backlog!$A$2:$A$180,0)),"")</t>
  </si>
  <si>
    <t>=IF(ISNUMBER(INDEX(Backlog!$AS$2:$AS$180,MATCH($D138,Backlog!$A$2:$A$180,0))),INDEX(Backlog!$AS$2:$AS$180,MATCH($D138,Backlog!$A$2:$A$180,0)),"")</t>
  </si>
  <si>
    <t>H138</t>
  </si>
  <si>
    <t>=IF(ISNUMBER(INDEX(Backlog!$R$2:$R$180,MATCH($D138,Backlog!$A$2:$A$180,0))),INDEX(Backlog!$R$2:$R$180,MATCH($D138,Backlog!$A$2:$A$180,0)),"")</t>
  </si>
  <si>
    <t>=IF(ISNUMBER(INDEX(Backlog!$AT$2:$AT$180,MATCH($D138,Backlog!$A$2:$A$180,0))),INDEX(Backlog!$AT$2:$AT$180,MATCH($D138,Backlog!$A$2:$A$180,0)),"")</t>
  </si>
  <si>
    <t>G139</t>
  </si>
  <si>
    <t>=IF(ISNUMBER(INDEX(Backlog!$J$2:$J$180,MATCH($D139,Backlog!$A$2:$A$180,0))),INDEX(Backlog!$J$2:$J$180,MATCH($D139,Backlog!$A$2:$A$180,0)),"")</t>
  </si>
  <si>
    <t>=IF(ISNUMBER(INDEX(Backlog!$AS$2:$AS$180,MATCH($D139,Backlog!$A$2:$A$180,0))),INDEX(Backlog!$AS$2:$AS$180,MATCH($D139,Backlog!$A$2:$A$180,0)),"")</t>
  </si>
  <si>
    <t>H139</t>
  </si>
  <si>
    <t>=IF(ISNUMBER(INDEX(Backlog!$R$2:$R$180,MATCH($D139,Backlog!$A$2:$A$180,0))),INDEX(Backlog!$R$2:$R$180,MATCH($D139,Backlog!$A$2:$A$180,0)),"")</t>
  </si>
  <si>
    <t>=IF(ISNUMBER(INDEX(Backlog!$AT$2:$AT$180,MATCH($D139,Backlog!$A$2:$A$180,0))),INDEX(Backlog!$AT$2:$AT$180,MATCH($D139,Backlog!$A$2:$A$180,0)),"")</t>
  </si>
  <si>
    <t>G140</t>
  </si>
  <si>
    <t>=IF(ISNUMBER(INDEX(Backlog!$J$2:$J$180,MATCH($D140,Backlog!$A$2:$A$180,0))),INDEX(Backlog!$J$2:$J$180,MATCH($D140,Backlog!$A$2:$A$180,0)),"")</t>
  </si>
  <si>
    <t>=IF(ISNUMBER(INDEX(Backlog!$AS$2:$AS$180,MATCH($D140,Backlog!$A$2:$A$180,0))),INDEX(Backlog!$AS$2:$AS$180,MATCH($D140,Backlog!$A$2:$A$180,0)),"")</t>
  </si>
  <si>
    <t>H140</t>
  </si>
  <si>
    <t>=IF(ISNUMBER(INDEX(Backlog!$R$2:$R$180,MATCH($D140,Backlog!$A$2:$A$180,0))),INDEX(Backlog!$R$2:$R$180,MATCH($D140,Backlog!$A$2:$A$180,0)),"")</t>
  </si>
  <si>
    <t>=IF(ISNUMBER(INDEX(Backlog!$AT$2:$AT$180,MATCH($D140,Backlog!$A$2:$A$180,0))),INDEX(Backlog!$AT$2:$AT$180,MATCH($D140,Backlog!$A$2:$A$180,0)),"")</t>
  </si>
  <si>
    <t>G141</t>
  </si>
  <si>
    <t>=IF(ISNUMBER(INDEX(Backlog!$J$2:$J$180,MATCH($D141,Backlog!$A$2:$A$180,0))),INDEX(Backlog!$J$2:$J$180,MATCH($D141,Backlog!$A$2:$A$180,0)),"")</t>
  </si>
  <si>
    <t>=IF(ISNUMBER(INDEX(Backlog!$AS$2:$AS$180,MATCH($D141,Backlog!$A$2:$A$180,0))),INDEX(Backlog!$AS$2:$AS$180,MATCH($D141,Backlog!$A$2:$A$180,0)),"")</t>
  </si>
  <si>
    <t>H141</t>
  </si>
  <si>
    <t>=IF(ISNUMBER(INDEX(Backlog!$R$2:$R$180,MATCH($D141,Backlog!$A$2:$A$180,0))),INDEX(Backlog!$R$2:$R$180,MATCH($D141,Backlog!$A$2:$A$180,0)),"")</t>
  </si>
  <si>
    <t>=IF(ISNUMBER(INDEX(Backlog!$AT$2:$AT$180,MATCH($D141,Backlog!$A$2:$A$180,0))),INDEX(Backlog!$AT$2:$AT$180,MATCH($D141,Backlog!$A$2:$A$180,0)),"")</t>
  </si>
  <si>
    <t>G142</t>
  </si>
  <si>
    <t>=IF(ISNUMBER(INDEX(Backlog!$J$2:$J$180,MATCH($D142,Backlog!$A$2:$A$180,0))),INDEX(Backlog!$J$2:$J$180,MATCH($D142,Backlog!$A$2:$A$180,0)),"")</t>
  </si>
  <si>
    <t>=IF(ISNUMBER(INDEX(Backlog!$AS$2:$AS$180,MATCH($D142,Backlog!$A$2:$A$180,0))),INDEX(Backlog!$AS$2:$AS$180,MATCH($D142,Backlog!$A$2:$A$180,0)),"")</t>
  </si>
  <si>
    <t>H142</t>
  </si>
  <si>
    <t>=IF(ISNUMBER(INDEX(Backlog!$R$2:$R$180,MATCH($D142,Backlog!$A$2:$A$180,0))),INDEX(Backlog!$R$2:$R$180,MATCH($D142,Backlog!$A$2:$A$180,0)),"")</t>
  </si>
  <si>
    <t>=IF(ISNUMBER(INDEX(Backlog!$AT$2:$AT$180,MATCH($D142,Backlog!$A$2:$A$180,0))),INDEX(Backlog!$AT$2:$AT$180,MATCH($D142,Backlog!$A$2:$A$180,0)),"")</t>
  </si>
  <si>
    <t>G143</t>
  </si>
  <si>
    <t>=IF(ISNUMBER(INDEX(Backlog!$J$2:$J$180,MATCH($D143,Backlog!$A$2:$A$180,0))),INDEX(Backlog!$J$2:$J$180,MATCH($D143,Backlog!$A$2:$A$180,0)),"")</t>
  </si>
  <si>
    <t>=IF(ISNUMBER(INDEX(Backlog!$AS$2:$AS$180,MATCH($D143,Backlog!$A$2:$A$180,0))),INDEX(Backlog!$AS$2:$AS$180,MATCH($D143,Backlog!$A$2:$A$180,0)),"")</t>
  </si>
  <si>
    <t>H143</t>
  </si>
  <si>
    <t>=IF(ISNUMBER(INDEX(Backlog!$R$2:$R$180,MATCH($D143,Backlog!$A$2:$A$180,0))),INDEX(Backlog!$R$2:$R$180,MATCH($D143,Backlog!$A$2:$A$180,0)),"")</t>
  </si>
  <si>
    <t>=IF(ISNUMBER(INDEX(Backlog!$AT$2:$AT$180,MATCH($D143,Backlog!$A$2:$A$180,0))),INDEX(Backlog!$AT$2:$AT$180,MATCH($D143,Backlog!$A$2:$A$180,0)),"")</t>
  </si>
  <si>
    <t>G144</t>
  </si>
  <si>
    <t>=IF(ISNUMBER(INDEX(Backlog!$J$2:$J$180,MATCH($D144,Backlog!$A$2:$A$180,0))),INDEX(Backlog!$J$2:$J$180,MATCH($D144,Backlog!$A$2:$A$180,0)),"")</t>
  </si>
  <si>
    <t>=IF(ISNUMBER(INDEX(Backlog!$AS$2:$AS$180,MATCH($D144,Backlog!$A$2:$A$180,0))),INDEX(Backlog!$AS$2:$AS$180,MATCH($D144,Backlog!$A$2:$A$180,0)),"")</t>
  </si>
  <si>
    <t>H144</t>
  </si>
  <si>
    <t>=IF(ISNUMBER(INDEX(Backlog!$R$2:$R$180,MATCH($D144,Backlog!$A$2:$A$180,0))),INDEX(Backlog!$R$2:$R$180,MATCH($D144,Backlog!$A$2:$A$180,0)),"")</t>
  </si>
  <si>
    <t>=IF(ISNUMBER(INDEX(Backlog!$AT$2:$AT$180,MATCH($D144,Backlog!$A$2:$A$180,0))),INDEX(Backlog!$AT$2:$AT$180,MATCH($D144,Backlog!$A$2:$A$180,0)),"")</t>
  </si>
  <si>
    <t>G145</t>
  </si>
  <si>
    <t>=IF(ISNUMBER(INDEX(Backlog!$J$2:$J$180,MATCH($D145,Backlog!$A$2:$A$180,0))),INDEX(Backlog!$J$2:$J$180,MATCH($D145,Backlog!$A$2:$A$180,0)),"")</t>
  </si>
  <si>
    <t>=IF(ISNUMBER(INDEX(Backlog!$AS$2:$AS$180,MATCH($D145,Backlog!$A$2:$A$180,0))),INDEX(Backlog!$AS$2:$AS$180,MATCH($D145,Backlog!$A$2:$A$180,0)),"")</t>
  </si>
  <si>
    <t>H145</t>
  </si>
  <si>
    <t>=IF(ISNUMBER(INDEX(Backlog!$R$2:$R$180,MATCH($D145,Backlog!$A$2:$A$180,0))),INDEX(Backlog!$R$2:$R$180,MATCH($D145,Backlog!$A$2:$A$180,0)),"")</t>
  </si>
  <si>
    <t>=IF(ISNUMBER(INDEX(Backlog!$AT$2:$AT$180,MATCH($D145,Backlog!$A$2:$A$180,0))),INDEX(Backlog!$AT$2:$AT$180,MATCH($D145,Backlog!$A$2:$A$180,0)),"")</t>
  </si>
  <si>
    <t>G146</t>
  </si>
  <si>
    <t>=IF(ISNUMBER(INDEX(Backlog!$J$2:$J$180,MATCH($D146,Backlog!$A$2:$A$180,0))),INDEX(Backlog!$J$2:$J$180,MATCH($D146,Backlog!$A$2:$A$180,0)),"")</t>
  </si>
  <si>
    <t>=IF(ISNUMBER(INDEX(Backlog!$AS$2:$AS$180,MATCH($D146,Backlog!$A$2:$A$180,0))),INDEX(Backlog!$AS$2:$AS$180,MATCH($D146,Backlog!$A$2:$A$180,0)),"")</t>
  </si>
  <si>
    <t>H146</t>
  </si>
  <si>
    <t>=IF(ISNUMBER(INDEX(Backlog!$R$2:$R$180,MATCH($D146,Backlog!$A$2:$A$180,0))),INDEX(Backlog!$R$2:$R$180,MATCH($D146,Backlog!$A$2:$A$180,0)),"")</t>
  </si>
  <si>
    <t>=IF(ISNUMBER(INDEX(Backlog!$AT$2:$AT$180,MATCH($D146,Backlog!$A$2:$A$180,0))),INDEX(Backlog!$AT$2:$AT$180,MATCH($D146,Backlog!$A$2:$A$180,0)),"")</t>
  </si>
  <si>
    <t>G147</t>
  </si>
  <si>
    <t>=IF(ISNUMBER(INDEX(Backlog!$J$2:$J$180,MATCH($D147,Backlog!$A$2:$A$180,0))),INDEX(Backlog!$J$2:$J$180,MATCH($D147,Backlog!$A$2:$A$180,0)),"")</t>
  </si>
  <si>
    <t>=IF(ISNUMBER(INDEX(Backlog!$AS$2:$AS$180,MATCH($D147,Backlog!$A$2:$A$180,0))),INDEX(Backlog!$AS$2:$AS$180,MATCH($D147,Backlog!$A$2:$A$180,0)),"")</t>
  </si>
  <si>
    <t>H147</t>
  </si>
  <si>
    <t>=IF(ISNUMBER(INDEX(Backlog!$R$2:$R$180,MATCH($D147,Backlog!$A$2:$A$180,0))),INDEX(Backlog!$R$2:$R$180,MATCH($D147,Backlog!$A$2:$A$180,0)),"")</t>
  </si>
  <si>
    <t>=IF(ISNUMBER(INDEX(Backlog!$AT$2:$AT$180,MATCH($D147,Backlog!$A$2:$A$180,0))),INDEX(Backlog!$AT$2:$AT$180,MATCH($D147,Backlog!$A$2:$A$180,0)),"")</t>
  </si>
  <si>
    <t>G148</t>
  </si>
  <si>
    <t>=IF(ISNUMBER(INDEX(Backlog!$J$2:$J$180,MATCH($D148,Backlog!$A$2:$A$180,0))),INDEX(Backlog!$J$2:$J$180,MATCH($D148,Backlog!$A$2:$A$180,0)),"")</t>
  </si>
  <si>
    <t>=IF(ISNUMBER(INDEX(Backlog!$AS$2:$AS$180,MATCH($D148,Backlog!$A$2:$A$180,0))),INDEX(Backlog!$AS$2:$AS$180,MATCH($D148,Backlog!$A$2:$A$180,0)),"")</t>
  </si>
  <si>
    <t>H148</t>
  </si>
  <si>
    <t>=IF(ISNUMBER(INDEX(Backlog!$R$2:$R$180,MATCH($D148,Backlog!$A$2:$A$180,0))),INDEX(Backlog!$R$2:$R$180,MATCH($D148,Backlog!$A$2:$A$180,0)),"")</t>
  </si>
  <si>
    <t>=IF(ISNUMBER(INDEX(Backlog!$AT$2:$AT$180,MATCH($D148,Backlog!$A$2:$A$180,0))),INDEX(Backlog!$AT$2:$AT$180,MATCH($D148,Backlog!$A$2:$A$180,0)),"")</t>
  </si>
  <si>
    <t>G149</t>
  </si>
  <si>
    <t>=IF(ISNUMBER(INDEX(Backlog!$J$2:$J$180,MATCH($D149,Backlog!$A$2:$A$180,0))),INDEX(Backlog!$J$2:$J$180,MATCH($D149,Backlog!$A$2:$A$180,0)),"")</t>
  </si>
  <si>
    <t>=IF(ISNUMBER(INDEX(Backlog!$AS$2:$AS$180,MATCH($D149,Backlog!$A$2:$A$180,0))),INDEX(Backlog!$AS$2:$AS$180,MATCH($D149,Backlog!$A$2:$A$180,0)),"")</t>
  </si>
  <si>
    <t>H149</t>
  </si>
  <si>
    <t>=IF(ISNUMBER(INDEX(Backlog!$R$2:$R$180,MATCH($D149,Backlog!$A$2:$A$180,0))),INDEX(Backlog!$R$2:$R$180,MATCH($D149,Backlog!$A$2:$A$180,0)),"")</t>
  </si>
  <si>
    <t>=IF(ISNUMBER(INDEX(Backlog!$AT$2:$AT$180,MATCH($D149,Backlog!$A$2:$A$180,0))),INDEX(Backlog!$AT$2:$AT$180,MATCH($D149,Backlog!$A$2:$A$180,0)),"")</t>
  </si>
  <si>
    <t>G150</t>
  </si>
  <si>
    <t>=IF(ISNUMBER(INDEX(Backlog!$J$2:$J$180,MATCH($D150,Backlog!$A$2:$A$180,0))),INDEX(Backlog!$J$2:$J$180,MATCH($D150,Backlog!$A$2:$A$180,0)),"")</t>
  </si>
  <si>
    <t>=IF(ISNUMBER(INDEX(Backlog!$AS$2:$AS$180,MATCH($D150,Backlog!$A$2:$A$180,0))),INDEX(Backlog!$AS$2:$AS$180,MATCH($D150,Backlog!$A$2:$A$180,0)),"")</t>
  </si>
  <si>
    <t>H150</t>
  </si>
  <si>
    <t>=IF(ISNUMBER(INDEX(Backlog!$R$2:$R$180,MATCH($D150,Backlog!$A$2:$A$180,0))),INDEX(Backlog!$R$2:$R$180,MATCH($D150,Backlog!$A$2:$A$180,0)),"")</t>
  </si>
  <si>
    <t>=IF(ISNUMBER(INDEX(Backlog!$AT$2:$AT$180,MATCH($D150,Backlog!$A$2:$A$180,0))),INDEX(Backlog!$AT$2:$AT$180,MATCH($D150,Backlog!$A$2:$A$180,0)),"")</t>
  </si>
  <si>
    <t>G151</t>
  </si>
  <si>
    <t>=IF(ISNUMBER(INDEX(Backlog!$J$2:$J$180,MATCH($D151,Backlog!$A$2:$A$180,0))),INDEX(Backlog!$J$2:$J$180,MATCH($D151,Backlog!$A$2:$A$180,0)),"")</t>
  </si>
  <si>
    <t>=IF(ISNUMBER(INDEX(Backlog!$AS$2:$AS$180,MATCH($D151,Backlog!$A$2:$A$180,0))),INDEX(Backlog!$AS$2:$AS$180,MATCH($D151,Backlog!$A$2:$A$180,0)),"")</t>
  </si>
  <si>
    <t>H151</t>
  </si>
  <si>
    <t>=IF(ISNUMBER(INDEX(Backlog!$R$2:$R$180,MATCH($D151,Backlog!$A$2:$A$180,0))),INDEX(Backlog!$R$2:$R$180,MATCH($D151,Backlog!$A$2:$A$180,0)),"")</t>
  </si>
  <si>
    <t>=IF(ISNUMBER(INDEX(Backlog!$AT$2:$AT$180,MATCH($D151,Backlog!$A$2:$A$180,0))),INDEX(Backlog!$AT$2:$AT$180,MATCH($D151,Backlog!$A$2:$A$180,0)),"")</t>
  </si>
  <si>
    <t>G152</t>
  </si>
  <si>
    <t>=IF(ISNUMBER(INDEX(Backlog!$J$2:$J$180,MATCH($D152,Backlog!$A$2:$A$180,0))),INDEX(Backlog!$J$2:$J$180,MATCH($D152,Backlog!$A$2:$A$180,0)),"")</t>
  </si>
  <si>
    <t>=IF(ISNUMBER(INDEX(Backlog!$AS$2:$AS$180,MATCH($D152,Backlog!$A$2:$A$180,0))),INDEX(Backlog!$AS$2:$AS$180,MATCH($D152,Backlog!$A$2:$A$180,0)),"")</t>
  </si>
  <si>
    <t>H152</t>
  </si>
  <si>
    <t>=IF(ISNUMBER(INDEX(Backlog!$R$2:$R$180,MATCH($D152,Backlog!$A$2:$A$180,0))),INDEX(Backlog!$R$2:$R$180,MATCH($D152,Backlog!$A$2:$A$180,0)),"")</t>
  </si>
  <si>
    <t>=IF(ISNUMBER(INDEX(Backlog!$AT$2:$AT$180,MATCH($D152,Backlog!$A$2:$A$180,0))),INDEX(Backlog!$AT$2:$AT$180,MATCH($D152,Backlog!$A$2:$A$180,0)),"")</t>
  </si>
  <si>
    <t>G153</t>
  </si>
  <si>
    <t>=IF(ISNUMBER(INDEX(Backlog!$J$2:$J$180,MATCH($D153,Backlog!$A$2:$A$180,0))),INDEX(Backlog!$J$2:$J$180,MATCH($D153,Backlog!$A$2:$A$180,0)),"")</t>
  </si>
  <si>
    <t>=IF(ISNUMBER(INDEX(Backlog!$AS$2:$AS$180,MATCH($D153,Backlog!$A$2:$A$180,0))),INDEX(Backlog!$AS$2:$AS$180,MATCH($D153,Backlog!$A$2:$A$180,0)),"")</t>
  </si>
  <si>
    <t>H153</t>
  </si>
  <si>
    <t>=IF(ISNUMBER(INDEX(Backlog!$R$2:$R$180,MATCH($D153,Backlog!$A$2:$A$180,0))),INDEX(Backlog!$R$2:$R$180,MATCH($D153,Backlog!$A$2:$A$180,0)),"")</t>
  </si>
  <si>
    <t>=IF(ISNUMBER(INDEX(Backlog!$AT$2:$AT$180,MATCH($D153,Backlog!$A$2:$A$180,0))),INDEX(Backlog!$AT$2:$AT$180,MATCH($D153,Backlog!$A$2:$A$180,0)),"")</t>
  </si>
  <si>
    <t>G154</t>
  </si>
  <si>
    <t>=IF(ISNUMBER(INDEX(Backlog!$J$2:$J$180,MATCH($D154,Backlog!$A$2:$A$180,0))),INDEX(Backlog!$J$2:$J$180,MATCH($D154,Backlog!$A$2:$A$180,0)),"")</t>
  </si>
  <si>
    <t>=IF(ISNUMBER(INDEX(Backlog!$AS$2:$AS$180,MATCH($D154,Backlog!$A$2:$A$180,0))),INDEX(Backlog!$AS$2:$AS$180,MATCH($D154,Backlog!$A$2:$A$180,0)),"")</t>
  </si>
  <si>
    <t>H154</t>
  </si>
  <si>
    <t>=IF(ISNUMBER(INDEX(Backlog!$R$2:$R$180,MATCH($D154,Backlog!$A$2:$A$180,0))),INDEX(Backlog!$R$2:$R$180,MATCH($D154,Backlog!$A$2:$A$180,0)),"")</t>
  </si>
  <si>
    <t>=IF(ISNUMBER(INDEX(Backlog!$AT$2:$AT$180,MATCH($D154,Backlog!$A$2:$A$180,0))),INDEX(Backlog!$AT$2:$AT$180,MATCH($D154,Backlog!$A$2:$A$180,0)),"")</t>
  </si>
  <si>
    <t>G155</t>
  </si>
  <si>
    <t>=IF(ISNUMBER(INDEX(Backlog!$J$2:$J$180,MATCH($D155,Backlog!$A$2:$A$180,0))),INDEX(Backlog!$J$2:$J$180,MATCH($D155,Backlog!$A$2:$A$180,0)),"")</t>
  </si>
  <si>
    <t>=IF(ISNUMBER(INDEX(Backlog!$AS$2:$AS$180,MATCH($D155,Backlog!$A$2:$A$180,0))),INDEX(Backlog!$AS$2:$AS$180,MATCH($D155,Backlog!$A$2:$A$180,0)),"")</t>
  </si>
  <si>
    <t>H155</t>
  </si>
  <si>
    <t>=IF(ISNUMBER(INDEX(Backlog!$R$2:$R$180,MATCH($D155,Backlog!$A$2:$A$180,0))),INDEX(Backlog!$R$2:$R$180,MATCH($D155,Backlog!$A$2:$A$180,0)),"")</t>
  </si>
  <si>
    <t>=IF(ISNUMBER(INDEX(Backlog!$AT$2:$AT$180,MATCH($D155,Backlog!$A$2:$A$180,0))),INDEX(Backlog!$AT$2:$AT$180,MATCH($D155,Backlog!$A$2:$A$180,0)),"")</t>
  </si>
  <si>
    <t>G156</t>
  </si>
  <si>
    <t>=IF(ISNUMBER(INDEX(Backlog!$J$2:$J$180,MATCH($D156,Backlog!$A$2:$A$180,0))),INDEX(Backlog!$J$2:$J$180,MATCH($D156,Backlog!$A$2:$A$180,0)),"")</t>
  </si>
  <si>
    <t>=IF(ISNUMBER(INDEX(Backlog!$AS$2:$AS$180,MATCH($D156,Backlog!$A$2:$A$180,0))),INDEX(Backlog!$AS$2:$AS$180,MATCH($D156,Backlog!$A$2:$A$180,0)),"")</t>
  </si>
  <si>
    <t>H156</t>
  </si>
  <si>
    <t>=IF(ISNUMBER(INDEX(Backlog!$R$2:$R$180,MATCH($D156,Backlog!$A$2:$A$180,0))),INDEX(Backlog!$R$2:$R$180,MATCH($D156,Backlog!$A$2:$A$180,0)),"")</t>
  </si>
  <si>
    <t>=IF(ISNUMBER(INDEX(Backlog!$AT$2:$AT$180,MATCH($D156,Backlog!$A$2:$A$180,0))),INDEX(Backlog!$AT$2:$AT$180,MATCH($D156,Backlog!$A$2:$A$180,0)),"")</t>
  </si>
  <si>
    <t>G157</t>
  </si>
  <si>
    <t>=IF(ISNUMBER(INDEX(Backlog!$J$2:$J$180,MATCH($D157,Backlog!$A$2:$A$180,0))),INDEX(Backlog!$J$2:$J$180,MATCH($D157,Backlog!$A$2:$A$180,0)),"")</t>
  </si>
  <si>
    <t>=IF(ISNUMBER(INDEX(Backlog!$AS$2:$AS$180,MATCH($D157,Backlog!$A$2:$A$180,0))),INDEX(Backlog!$AS$2:$AS$180,MATCH($D157,Backlog!$A$2:$A$180,0)),"")</t>
  </si>
  <si>
    <t>H157</t>
  </si>
  <si>
    <t>=IF(ISNUMBER(INDEX(Backlog!$R$2:$R$180,MATCH($D157,Backlog!$A$2:$A$180,0))),INDEX(Backlog!$R$2:$R$180,MATCH($D157,Backlog!$A$2:$A$180,0)),"")</t>
  </si>
  <si>
    <t>=IF(ISNUMBER(INDEX(Backlog!$AT$2:$AT$180,MATCH($D157,Backlog!$A$2:$A$180,0))),INDEX(Backlog!$AT$2:$AT$180,MATCH($D157,Backlog!$A$2:$A$180,0)),"")</t>
  </si>
  <si>
    <t>G158</t>
  </si>
  <si>
    <t>=IF(ISNUMBER(INDEX(Backlog!$J$2:$J$180,MATCH($D158,Backlog!$A$2:$A$180,0))),INDEX(Backlog!$J$2:$J$180,MATCH($D158,Backlog!$A$2:$A$180,0)),"")</t>
  </si>
  <si>
    <t>=IF(ISNUMBER(INDEX(Backlog!$AS$2:$AS$180,MATCH($D158,Backlog!$A$2:$A$180,0))),INDEX(Backlog!$AS$2:$AS$180,MATCH($D158,Backlog!$A$2:$A$180,0)),"")</t>
  </si>
  <si>
    <t>H158</t>
  </si>
  <si>
    <t>=IF(ISNUMBER(INDEX(Backlog!$R$2:$R$180,MATCH($D158,Backlog!$A$2:$A$180,0))),INDEX(Backlog!$R$2:$R$180,MATCH($D158,Backlog!$A$2:$A$180,0)),"")</t>
  </si>
  <si>
    <t>=IF(ISNUMBER(INDEX(Backlog!$AT$2:$AT$180,MATCH($D158,Backlog!$A$2:$A$180,0))),INDEX(Backlog!$AT$2:$AT$180,MATCH($D158,Backlog!$A$2:$A$180,0)),"")</t>
  </si>
  <si>
    <t>G159</t>
  </si>
  <si>
    <t>=IF(ISNUMBER(INDEX(Backlog!$J$2:$J$180,MATCH($D159,Backlog!$A$2:$A$180,0))),INDEX(Backlog!$J$2:$J$180,MATCH($D159,Backlog!$A$2:$A$180,0)),"")</t>
  </si>
  <si>
    <t>=IF(ISNUMBER(INDEX(Backlog!$AS$2:$AS$180,MATCH($D159,Backlog!$A$2:$A$180,0))),INDEX(Backlog!$AS$2:$AS$180,MATCH($D159,Backlog!$A$2:$A$180,0)),"")</t>
  </si>
  <si>
    <t>H159</t>
  </si>
  <si>
    <t>=IF(ISNUMBER(INDEX(Backlog!$R$2:$R$180,MATCH($D159,Backlog!$A$2:$A$180,0))),INDEX(Backlog!$R$2:$R$180,MATCH($D159,Backlog!$A$2:$A$180,0)),"")</t>
  </si>
  <si>
    <t>=IF(ISNUMBER(INDEX(Backlog!$AT$2:$AT$180,MATCH($D159,Backlog!$A$2:$A$180,0))),INDEX(Backlog!$AT$2:$AT$180,MATCH($D159,Backlog!$A$2:$A$180,0)),"")</t>
  </si>
  <si>
    <t>G160</t>
  </si>
  <si>
    <t>=IF(ISNUMBER(INDEX(Backlog!$J$2:$J$180,MATCH($D160,Backlog!$A$2:$A$180,0))),INDEX(Backlog!$J$2:$J$180,MATCH($D160,Backlog!$A$2:$A$180,0)),"")</t>
  </si>
  <si>
    <t>=IF(ISNUMBER(INDEX(Backlog!$AS$2:$AS$180,MATCH($D160,Backlog!$A$2:$A$180,0))),INDEX(Backlog!$AS$2:$AS$180,MATCH($D160,Backlog!$A$2:$A$180,0)),"")</t>
  </si>
  <si>
    <t>H160</t>
  </si>
  <si>
    <t>=IF(ISNUMBER(INDEX(Backlog!$R$2:$R$180,MATCH($D160,Backlog!$A$2:$A$180,0))),INDEX(Backlog!$R$2:$R$180,MATCH($D160,Backlog!$A$2:$A$180,0)),"")</t>
  </si>
  <si>
    <t>=IF(ISNUMBER(INDEX(Backlog!$AT$2:$AT$180,MATCH($D160,Backlog!$A$2:$A$180,0))),INDEX(Backlog!$AT$2:$AT$180,MATCH($D160,Backlog!$A$2:$A$180,0)),"")</t>
  </si>
  <si>
    <t>G161</t>
  </si>
  <si>
    <t>=IF(ISNUMBER(INDEX(Backlog!$J$2:$J$180,MATCH($D161,Backlog!$A$2:$A$180,0))),INDEX(Backlog!$J$2:$J$180,MATCH($D161,Backlog!$A$2:$A$180,0)),"")</t>
  </si>
  <si>
    <t>=IF(ISNUMBER(INDEX(Backlog!$AS$2:$AS$180,MATCH($D161,Backlog!$A$2:$A$180,0))),INDEX(Backlog!$AS$2:$AS$180,MATCH($D161,Backlog!$A$2:$A$180,0)),"")</t>
  </si>
  <si>
    <t>H161</t>
  </si>
  <si>
    <t>=IF(ISNUMBER(INDEX(Backlog!$R$2:$R$180,MATCH($D161,Backlog!$A$2:$A$180,0))),INDEX(Backlog!$R$2:$R$180,MATCH($D161,Backlog!$A$2:$A$180,0)),"")</t>
  </si>
  <si>
    <t>=IF(ISNUMBER(INDEX(Backlog!$AT$2:$AT$180,MATCH($D161,Backlog!$A$2:$A$180,0))),INDEX(Backlog!$AT$2:$AT$180,MATCH($D161,Backlog!$A$2:$A$180,0)),"")</t>
  </si>
  <si>
    <t>G162</t>
  </si>
  <si>
    <t>=IF(ISNUMBER(INDEX(Backlog!$J$2:$J$180,MATCH($D162,Backlog!$A$2:$A$180,0))),INDEX(Backlog!$J$2:$J$180,MATCH($D162,Backlog!$A$2:$A$180,0)),"")</t>
  </si>
  <si>
    <t>=IF(ISNUMBER(INDEX(Backlog!$AS$2:$AS$180,MATCH($D162,Backlog!$A$2:$A$180,0))),INDEX(Backlog!$AS$2:$AS$180,MATCH($D162,Backlog!$A$2:$A$180,0)),"")</t>
  </si>
  <si>
    <t>H162</t>
  </si>
  <si>
    <t>=IF(ISNUMBER(INDEX(Backlog!$R$2:$R$180,MATCH($D162,Backlog!$A$2:$A$180,0))),INDEX(Backlog!$R$2:$R$180,MATCH($D162,Backlog!$A$2:$A$180,0)),"")</t>
  </si>
  <si>
    <t>=IF(ISNUMBER(INDEX(Backlog!$AT$2:$AT$180,MATCH($D162,Backlog!$A$2:$A$180,0))),INDEX(Backlog!$AT$2:$AT$180,MATCH($D162,Backlog!$A$2:$A$180,0)),"")</t>
  </si>
  <si>
    <t>G163</t>
  </si>
  <si>
    <t>=IF(ISNUMBER(INDEX(Backlog!$J$2:$J$180,MATCH($D163,Backlog!$A$2:$A$180,0))),INDEX(Backlog!$J$2:$J$180,MATCH($D163,Backlog!$A$2:$A$180,0)),"")</t>
  </si>
  <si>
    <t>=IF(ISNUMBER(INDEX(Backlog!$AS$2:$AS$180,MATCH($D163,Backlog!$A$2:$A$180,0))),INDEX(Backlog!$AS$2:$AS$180,MATCH($D163,Backlog!$A$2:$A$180,0)),"")</t>
  </si>
  <si>
    <t>H163</t>
  </si>
  <si>
    <t>=IF(ISNUMBER(INDEX(Backlog!$R$2:$R$180,MATCH($D163,Backlog!$A$2:$A$180,0))),INDEX(Backlog!$R$2:$R$180,MATCH($D163,Backlog!$A$2:$A$180,0)),"")</t>
  </si>
  <si>
    <t>=IF(ISNUMBER(INDEX(Backlog!$AT$2:$AT$180,MATCH($D163,Backlog!$A$2:$A$180,0))),INDEX(Backlog!$AT$2:$AT$180,MATCH($D163,Backlog!$A$2:$A$180,0)),"")</t>
  </si>
  <si>
    <t>G164</t>
  </si>
  <si>
    <t>=IF(ISNUMBER(INDEX(Backlog!$J$2:$J$180,MATCH($D164,Backlog!$A$2:$A$180,0))),INDEX(Backlog!$J$2:$J$180,MATCH($D164,Backlog!$A$2:$A$180,0)),"")</t>
  </si>
  <si>
    <t>=IF(ISNUMBER(INDEX(Backlog!$AS$2:$AS$180,MATCH($D164,Backlog!$A$2:$A$180,0))),INDEX(Backlog!$AS$2:$AS$180,MATCH($D164,Backlog!$A$2:$A$180,0)),"")</t>
  </si>
  <si>
    <t>H164</t>
  </si>
  <si>
    <t>=IF(ISNUMBER(INDEX(Backlog!$R$2:$R$180,MATCH($D164,Backlog!$A$2:$A$180,0))),INDEX(Backlog!$R$2:$R$180,MATCH($D164,Backlog!$A$2:$A$180,0)),"")</t>
  </si>
  <si>
    <t>=IF(ISNUMBER(INDEX(Backlog!$AT$2:$AT$180,MATCH($D164,Backlog!$A$2:$A$180,0))),INDEX(Backlog!$AT$2:$AT$180,MATCH($D164,Backlog!$A$2:$A$180,0)),"")</t>
  </si>
  <si>
    <t>G165</t>
  </si>
  <si>
    <t>=IF(ISNUMBER(INDEX(Backlog!$J$2:$J$180,MATCH($D165,Backlog!$A$2:$A$180,0))),INDEX(Backlog!$J$2:$J$180,MATCH($D165,Backlog!$A$2:$A$180,0)),"")</t>
  </si>
  <si>
    <t>=IF(ISNUMBER(INDEX(Backlog!$AS$2:$AS$180,MATCH($D165,Backlog!$A$2:$A$180,0))),INDEX(Backlog!$AS$2:$AS$180,MATCH($D165,Backlog!$A$2:$A$180,0)),"")</t>
  </si>
  <si>
    <t>H165</t>
  </si>
  <si>
    <t>=IF(ISNUMBER(INDEX(Backlog!$R$2:$R$180,MATCH($D165,Backlog!$A$2:$A$180,0))),INDEX(Backlog!$R$2:$R$180,MATCH($D165,Backlog!$A$2:$A$180,0)),"")</t>
  </si>
  <si>
    <t>=IF(ISNUMBER(INDEX(Backlog!$AT$2:$AT$180,MATCH($D165,Backlog!$A$2:$A$180,0))),INDEX(Backlog!$AT$2:$AT$180,MATCH($D165,Backlog!$A$2:$A$180,0)),"")</t>
  </si>
  <si>
    <t>G166</t>
  </si>
  <si>
    <t>=IF(ISNUMBER(INDEX(Backlog!$J$2:$J$180,MATCH($D166,Backlog!$A$2:$A$180,0))),INDEX(Backlog!$J$2:$J$180,MATCH($D166,Backlog!$A$2:$A$180,0)),"")</t>
  </si>
  <si>
    <t>=IF(ISNUMBER(INDEX(Backlog!$AS$2:$AS$180,MATCH($D166,Backlog!$A$2:$A$180,0))),INDEX(Backlog!$AS$2:$AS$180,MATCH($D166,Backlog!$A$2:$A$180,0)),"")</t>
  </si>
  <si>
    <t>H166</t>
  </si>
  <si>
    <t>=IF(ISNUMBER(INDEX(Backlog!$R$2:$R$180,MATCH($D166,Backlog!$A$2:$A$180,0))),INDEX(Backlog!$R$2:$R$180,MATCH($D166,Backlog!$A$2:$A$180,0)),"")</t>
  </si>
  <si>
    <t>=IF(ISNUMBER(INDEX(Backlog!$AT$2:$AT$180,MATCH($D166,Backlog!$A$2:$A$180,0))),INDEX(Backlog!$AT$2:$AT$180,MATCH($D166,Backlog!$A$2:$A$180,0)),"")</t>
  </si>
  <si>
    <t>G167</t>
  </si>
  <si>
    <t>=IF(ISNUMBER(INDEX(Backlog!$J$2:$J$180,MATCH($D167,Backlog!$A$2:$A$180,0))),INDEX(Backlog!$J$2:$J$180,MATCH($D167,Backlog!$A$2:$A$180,0)),"")</t>
  </si>
  <si>
    <t>=IF(ISNUMBER(INDEX(Backlog!$AS$2:$AS$180,MATCH($D167,Backlog!$A$2:$A$180,0))),INDEX(Backlog!$AS$2:$AS$180,MATCH($D167,Backlog!$A$2:$A$180,0)),"")</t>
  </si>
  <si>
    <t>H167</t>
  </si>
  <si>
    <t>=IF(ISNUMBER(INDEX(Backlog!$R$2:$R$180,MATCH($D167,Backlog!$A$2:$A$180,0))),INDEX(Backlog!$R$2:$R$180,MATCH($D167,Backlog!$A$2:$A$180,0)),"")</t>
  </si>
  <si>
    <t>=IF(ISNUMBER(INDEX(Backlog!$AT$2:$AT$180,MATCH($D167,Backlog!$A$2:$A$180,0))),INDEX(Backlog!$AT$2:$AT$180,MATCH($D167,Backlog!$A$2:$A$180,0)),"")</t>
  </si>
  <si>
    <t>G168</t>
  </si>
  <si>
    <t>=IF(ISNUMBER(INDEX(Backlog!$J$2:$J$180,MATCH($D168,Backlog!$A$2:$A$180,0))),INDEX(Backlog!$J$2:$J$180,MATCH($D168,Backlog!$A$2:$A$180,0)),"")</t>
  </si>
  <si>
    <t>=IF(ISNUMBER(INDEX(Backlog!$AS$2:$AS$180,MATCH($D168,Backlog!$A$2:$A$180,0))),INDEX(Backlog!$AS$2:$AS$180,MATCH($D168,Backlog!$A$2:$A$180,0)),"")</t>
  </si>
  <si>
    <t>H168</t>
  </si>
  <si>
    <t>=IF(ISNUMBER(INDEX(Backlog!$R$2:$R$180,MATCH($D168,Backlog!$A$2:$A$180,0))),INDEX(Backlog!$R$2:$R$180,MATCH($D168,Backlog!$A$2:$A$180,0)),"")</t>
  </si>
  <si>
    <t>=IF(ISNUMBER(INDEX(Backlog!$AT$2:$AT$180,MATCH($D168,Backlog!$A$2:$A$180,0))),INDEX(Backlog!$AT$2:$AT$180,MATCH($D168,Backlog!$A$2:$A$180,0)),"")</t>
  </si>
  <si>
    <t>G169</t>
  </si>
  <si>
    <t>=IF(ISNUMBER(INDEX(Backlog!$J$2:$J$180,MATCH($D169,Backlog!$A$2:$A$180,0))),INDEX(Backlog!$J$2:$J$180,MATCH($D169,Backlog!$A$2:$A$180,0)),"")</t>
  </si>
  <si>
    <t>=IF(ISNUMBER(INDEX(Backlog!$AS$2:$AS$180,MATCH($D169,Backlog!$A$2:$A$180,0))),INDEX(Backlog!$AS$2:$AS$180,MATCH($D169,Backlog!$A$2:$A$180,0)),"")</t>
  </si>
  <si>
    <t>H169</t>
  </si>
  <si>
    <t>=IF(ISNUMBER(INDEX(Backlog!$R$2:$R$180,MATCH($D169,Backlog!$A$2:$A$180,0))),INDEX(Backlog!$R$2:$R$180,MATCH($D169,Backlog!$A$2:$A$180,0)),"")</t>
  </si>
  <si>
    <t>=IF(ISNUMBER(INDEX(Backlog!$AT$2:$AT$180,MATCH($D169,Backlog!$A$2:$A$180,0))),INDEX(Backlog!$AT$2:$AT$180,MATCH($D169,Backlog!$A$2:$A$180,0)),"")</t>
  </si>
  <si>
    <t>G170</t>
  </si>
  <si>
    <t>=IF(ISNUMBER(INDEX(Backlog!$J$2:$J$180,MATCH($D170,Backlog!$A$2:$A$180,0))),INDEX(Backlog!$J$2:$J$180,MATCH($D170,Backlog!$A$2:$A$180,0)),"")</t>
  </si>
  <si>
    <t>=IF(ISNUMBER(INDEX(Backlog!$AS$2:$AS$180,MATCH($D170,Backlog!$A$2:$A$180,0))),INDEX(Backlog!$AS$2:$AS$180,MATCH($D170,Backlog!$A$2:$A$180,0)),"")</t>
  </si>
  <si>
    <t>H170</t>
  </si>
  <si>
    <t>=IF(ISNUMBER(INDEX(Backlog!$R$2:$R$180,MATCH($D170,Backlog!$A$2:$A$180,0))),INDEX(Backlog!$R$2:$R$180,MATCH($D170,Backlog!$A$2:$A$180,0)),"")</t>
  </si>
  <si>
    <t>=IF(ISNUMBER(INDEX(Backlog!$AT$2:$AT$180,MATCH($D170,Backlog!$A$2:$A$180,0))),INDEX(Backlog!$AT$2:$AT$180,MATCH($D170,Backlog!$A$2:$A$180,0)),"")</t>
  </si>
  <si>
    <t>G171</t>
  </si>
  <si>
    <t>=IF(ISNUMBER(INDEX(Backlog!$J$2:$J$180,MATCH($D171,Backlog!$A$2:$A$180,0))),INDEX(Backlog!$J$2:$J$180,MATCH($D171,Backlog!$A$2:$A$180,0)),"")</t>
  </si>
  <si>
    <t>=IF(ISNUMBER(INDEX(Backlog!$AS$2:$AS$180,MATCH($D171,Backlog!$A$2:$A$180,0))),INDEX(Backlog!$AS$2:$AS$180,MATCH($D171,Backlog!$A$2:$A$180,0)),"")</t>
  </si>
  <si>
    <t>H171</t>
  </si>
  <si>
    <t>=IF(ISNUMBER(INDEX(Backlog!$R$2:$R$180,MATCH($D171,Backlog!$A$2:$A$180,0))),INDEX(Backlog!$R$2:$R$180,MATCH($D171,Backlog!$A$2:$A$180,0)),"")</t>
  </si>
  <si>
    <t>=IF(ISNUMBER(INDEX(Backlog!$AT$2:$AT$180,MATCH($D171,Backlog!$A$2:$A$180,0))),INDEX(Backlog!$AT$2:$AT$180,MATCH($D171,Backlog!$A$2:$A$180,0)),"")</t>
  </si>
  <si>
    <t>G172</t>
  </si>
  <si>
    <t>=IF(ISNUMBER(INDEX(Backlog!$J$2:$J$180,MATCH($D172,Backlog!$A$2:$A$180,0))),INDEX(Backlog!$J$2:$J$180,MATCH($D172,Backlog!$A$2:$A$180,0)),"")</t>
  </si>
  <si>
    <t>=IF(ISNUMBER(INDEX(Backlog!$AS$2:$AS$180,MATCH($D172,Backlog!$A$2:$A$180,0))),INDEX(Backlog!$AS$2:$AS$180,MATCH($D172,Backlog!$A$2:$A$180,0)),"")</t>
  </si>
  <si>
    <t>H172</t>
  </si>
  <si>
    <t>=IF(ISNUMBER(INDEX(Backlog!$R$2:$R$180,MATCH($D172,Backlog!$A$2:$A$180,0))),INDEX(Backlog!$R$2:$R$180,MATCH($D172,Backlog!$A$2:$A$180,0)),"")</t>
  </si>
  <si>
    <t>=IF(ISNUMBER(INDEX(Backlog!$AT$2:$AT$180,MATCH($D172,Backlog!$A$2:$A$180,0))),INDEX(Backlog!$AT$2:$AT$180,MATCH($D172,Backlog!$A$2:$A$180,0)),"")</t>
  </si>
  <si>
    <t>G173</t>
  </si>
  <si>
    <t>=IF(ISNUMBER(INDEX(Backlog!$J$2:$J$180,MATCH($D173,Backlog!$A$2:$A$180,0))),INDEX(Backlog!$J$2:$J$180,MATCH($D173,Backlog!$A$2:$A$180,0)),"")</t>
  </si>
  <si>
    <t>=IF(ISNUMBER(INDEX(Backlog!$AS$2:$AS$180,MATCH($D173,Backlog!$A$2:$A$180,0))),INDEX(Backlog!$AS$2:$AS$180,MATCH($D173,Backlog!$A$2:$A$180,0)),"")</t>
  </si>
  <si>
    <t>H173</t>
  </si>
  <si>
    <t>=IF(ISNUMBER(INDEX(Backlog!$R$2:$R$180,MATCH($D173,Backlog!$A$2:$A$180,0))),INDEX(Backlog!$R$2:$R$180,MATCH($D173,Backlog!$A$2:$A$180,0)),"")</t>
  </si>
  <si>
    <t>=IF(ISNUMBER(INDEX(Backlog!$AT$2:$AT$180,MATCH($D173,Backlog!$A$2:$A$180,0))),INDEX(Backlog!$AT$2:$AT$180,MATCH($D173,Backlog!$A$2:$A$180,0)),"")</t>
  </si>
  <si>
    <t>G174</t>
  </si>
  <si>
    <t>=IF(ISNUMBER(INDEX(Backlog!$J$2:$J$180,MATCH($D174,Backlog!$A$2:$A$180,0))),INDEX(Backlog!$J$2:$J$180,MATCH($D174,Backlog!$A$2:$A$180,0)),"")</t>
  </si>
  <si>
    <t>=IF(ISNUMBER(INDEX(Backlog!$AS$2:$AS$180,MATCH($D174,Backlog!$A$2:$A$180,0))),INDEX(Backlog!$AS$2:$AS$180,MATCH($D174,Backlog!$A$2:$A$180,0)),"")</t>
  </si>
  <si>
    <t>H174</t>
  </si>
  <si>
    <t>=IF(ISNUMBER(INDEX(Backlog!$R$2:$R$180,MATCH($D174,Backlog!$A$2:$A$180,0))),INDEX(Backlog!$R$2:$R$180,MATCH($D174,Backlog!$A$2:$A$180,0)),"")</t>
  </si>
  <si>
    <t>=IF(ISNUMBER(INDEX(Backlog!$AT$2:$AT$180,MATCH($D174,Backlog!$A$2:$A$180,0))),INDEX(Backlog!$AT$2:$AT$180,MATCH($D174,Backlog!$A$2:$A$180,0)),"")</t>
  </si>
  <si>
    <t>G175</t>
  </si>
  <si>
    <t>=IF(ISNUMBER(INDEX(Backlog!$J$2:$J$180,MATCH($D175,Backlog!$A$2:$A$180,0))),INDEX(Backlog!$J$2:$J$180,MATCH($D175,Backlog!$A$2:$A$180,0)),"")</t>
  </si>
  <si>
    <t>=IF(ISNUMBER(INDEX(Backlog!$AS$2:$AS$180,MATCH($D175,Backlog!$A$2:$A$180,0))),INDEX(Backlog!$AS$2:$AS$180,MATCH($D175,Backlog!$A$2:$A$180,0)),"")</t>
  </si>
  <si>
    <t>H175</t>
  </si>
  <si>
    <t>=IF(ISNUMBER(INDEX(Backlog!$R$2:$R$180,MATCH($D175,Backlog!$A$2:$A$180,0))),INDEX(Backlog!$R$2:$R$180,MATCH($D175,Backlog!$A$2:$A$180,0)),"")</t>
  </si>
  <si>
    <t>=IF(ISNUMBER(INDEX(Backlog!$AT$2:$AT$180,MATCH($D175,Backlog!$A$2:$A$180,0))),INDEX(Backlog!$AT$2:$AT$180,MATCH($D175,Backlog!$A$2:$A$180,0)),"")</t>
  </si>
  <si>
    <t>G176</t>
  </si>
  <si>
    <t>=IF(ISNUMBER(INDEX(Backlog!$J$2:$J$180,MATCH($D176,Backlog!$A$2:$A$180,0))),INDEX(Backlog!$J$2:$J$180,MATCH($D176,Backlog!$A$2:$A$180,0)),"")</t>
  </si>
  <si>
    <t>=IF(ISNUMBER(INDEX(Backlog!$AS$2:$AS$180,MATCH($D176,Backlog!$A$2:$A$180,0))),INDEX(Backlog!$AS$2:$AS$180,MATCH($D176,Backlog!$A$2:$A$180,0)),"")</t>
  </si>
  <si>
    <t>H176</t>
  </si>
  <si>
    <t>=IF(ISNUMBER(INDEX(Backlog!$R$2:$R$180,MATCH($D176,Backlog!$A$2:$A$180,0))),INDEX(Backlog!$R$2:$R$180,MATCH($D176,Backlog!$A$2:$A$180,0)),"")</t>
  </si>
  <si>
    <t>=IF(ISNUMBER(INDEX(Backlog!$AT$2:$AT$180,MATCH($D176,Backlog!$A$2:$A$180,0))),INDEX(Backlog!$AT$2:$AT$180,MATCH($D176,Backlog!$A$2:$A$180,0)),"")</t>
  </si>
  <si>
    <t>G177</t>
  </si>
  <si>
    <t>=IF(ISNUMBER(INDEX(Backlog!$J$2:$J$180,MATCH($D177,Backlog!$A$2:$A$180,0))),INDEX(Backlog!$J$2:$J$180,MATCH($D177,Backlog!$A$2:$A$180,0)),"")</t>
  </si>
  <si>
    <t>=IF(ISNUMBER(INDEX(Backlog!$AS$2:$AS$180,MATCH($D177,Backlog!$A$2:$A$180,0))),INDEX(Backlog!$AS$2:$AS$180,MATCH($D177,Backlog!$A$2:$A$180,0)),"")</t>
  </si>
  <si>
    <t>H177</t>
  </si>
  <si>
    <t>=IF(ISNUMBER(INDEX(Backlog!$R$2:$R$180,MATCH($D177,Backlog!$A$2:$A$180,0))),INDEX(Backlog!$R$2:$R$180,MATCH($D177,Backlog!$A$2:$A$180,0)),"")</t>
  </si>
  <si>
    <t>=IF(ISNUMBER(INDEX(Backlog!$AT$2:$AT$180,MATCH($D177,Backlog!$A$2:$A$180,0))),INDEX(Backlog!$AT$2:$AT$180,MATCH($D177,Backlog!$A$2:$A$180,0)),"")</t>
  </si>
  <si>
    <t>G178</t>
  </si>
  <si>
    <t>=IF(ISNUMBER(INDEX(Backlog!$J$2:$J$180,MATCH($D178,Backlog!$A$2:$A$180,0))),INDEX(Backlog!$J$2:$J$180,MATCH($D178,Backlog!$A$2:$A$180,0)),"")</t>
  </si>
  <si>
    <t>=IF(ISNUMBER(INDEX(Backlog!$AS$2:$AS$180,MATCH($D178,Backlog!$A$2:$A$180,0))),INDEX(Backlog!$AS$2:$AS$180,MATCH($D178,Backlog!$A$2:$A$180,0)),"")</t>
  </si>
  <si>
    <t>H178</t>
  </si>
  <si>
    <t>=IF(ISNUMBER(INDEX(Backlog!$R$2:$R$180,MATCH($D178,Backlog!$A$2:$A$180,0))),INDEX(Backlog!$R$2:$R$180,MATCH($D178,Backlog!$A$2:$A$180,0)),"")</t>
  </si>
  <si>
    <t>=IF(ISNUMBER(INDEX(Backlog!$AT$2:$AT$180,MATCH($D178,Backlog!$A$2:$A$180,0))),INDEX(Backlog!$AT$2:$AT$180,MATCH($D178,Backlog!$A$2:$A$180,0)),"")</t>
  </si>
  <si>
    <t>G179</t>
  </si>
  <si>
    <t>=IF(ISNUMBER(INDEX(Backlog!$J$2:$J$180,MATCH($D179,Backlog!$A$2:$A$180,0))),INDEX(Backlog!$J$2:$J$180,MATCH($D179,Backlog!$A$2:$A$180,0)),"")</t>
  </si>
  <si>
    <t>=IF(ISNUMBER(INDEX(Backlog!$AS$2:$AS$180,MATCH($D179,Backlog!$A$2:$A$180,0))),INDEX(Backlog!$AS$2:$AS$180,MATCH($D179,Backlog!$A$2:$A$180,0)),"")</t>
  </si>
  <si>
    <t>H179</t>
  </si>
  <si>
    <t>=IF(ISNUMBER(INDEX(Backlog!$R$2:$R$180,MATCH($D179,Backlog!$A$2:$A$180,0))),INDEX(Backlog!$R$2:$R$180,MATCH($D179,Backlog!$A$2:$A$180,0)),"")</t>
  </si>
  <si>
    <t>=IF(ISNUMBER(INDEX(Backlog!$AT$2:$AT$180,MATCH($D179,Backlog!$A$2:$A$180,0))),INDEX(Backlog!$AT$2:$AT$180,MATCH($D179,Backlog!$A$2:$A$180,0)),"")</t>
  </si>
  <si>
    <t>G180</t>
  </si>
  <si>
    <t>=IF(ISNUMBER(INDEX(Backlog!$J$2:$J$180,MATCH($D180,Backlog!$A$2:$A$180,0))),INDEX(Backlog!$J$2:$J$180,MATCH($D180,Backlog!$A$2:$A$180,0)),"")</t>
  </si>
  <si>
    <t>=IF(ISNUMBER(INDEX(Backlog!$AS$2:$AS$180,MATCH($D180,Backlog!$A$2:$A$180,0))),INDEX(Backlog!$AS$2:$AS$180,MATCH($D180,Backlog!$A$2:$A$180,0)),"")</t>
  </si>
  <si>
    <t>H180</t>
  </si>
  <si>
    <t>=IF(ISNUMBER(INDEX(Backlog!$R$2:$R$180,MATCH($D180,Backlog!$A$2:$A$180,0))),INDEX(Backlog!$R$2:$R$180,MATCH($D180,Backlog!$A$2:$A$180,0)),"")</t>
  </si>
  <si>
    <t>=IF(ISNUMBER(INDEX(Backlog!$AT$2:$AT$180,MATCH($D180,Backlog!$A$2:$A$180,0))),INDEX(Backlog!$AT$2:$AT$180,MATCH($D180,Backlog!$A$2:$A$180,0)),"")</t>
  </si>
  <si>
    <t>G181</t>
  </si>
  <si>
    <t>=IF(ISNUMBER(INDEX(Backlog!$J$2:$J$180,MATCH($D181,Backlog!$A$2:$A$180,0))),INDEX(Backlog!$J$2:$J$180,MATCH($D181,Backlog!$A$2:$A$180,0)),"")</t>
  </si>
  <si>
    <t>=IF(ISNUMBER(INDEX(Backlog!$AS$2:$AS$180,MATCH($D181,Backlog!$A$2:$A$180,0))),INDEX(Backlog!$AS$2:$AS$180,MATCH($D181,Backlog!$A$2:$A$180,0)),"")</t>
  </si>
  <si>
    <t>H181</t>
  </si>
  <si>
    <t>=IF(ISNUMBER(INDEX(Backlog!$R$2:$R$180,MATCH($D181,Backlog!$A$2:$A$180,0))),INDEX(Backlog!$R$2:$R$180,MATCH($D181,Backlog!$A$2:$A$180,0)),"")</t>
  </si>
  <si>
    <t>=IF(ISNUMBER(INDEX(Backlog!$AT$2:$AT$180,MATCH($D181,Backlog!$A$2:$A$180,0))),INDEX(Backlog!$AT$2:$AT$180,MATCH($D181,Backlog!$A$2:$A$180,0)),"")</t>
  </si>
  <si>
    <t>Requirement Traceability — v2.22.1 | mapping from current Backlog; unchanged Design v4.10.3</t>
  </si>
  <si>
    <t>Requirement Traceability — current Backlog v2.23.0</t>
  </si>
  <si>
    <t>F1</t>
  </si>
  <si>
    <t>F2</t>
  </si>
  <si>
    <t>=IF(ISNUMBER(INDEX(Backlog!$R$2:$R$180,MATCH($A2,Backlog!$A$2:$A$180,0))),INDEX(Backlog!$R$2:$R$180,MATCH($A2,Backlog!$A$2:$A$180,0)),"")</t>
  </si>
  <si>
    <t>=IF(ISNUMBER(INDEX(Backlog!$AT$2:$AT$180,MATCH($A2,Backlog!$A$2:$A$180,0))),INDEX(Backlog!$AT$2:$AT$180,MATCH($A2,Backlog!$A$2:$A$180,0)),"")</t>
  </si>
  <si>
    <t>F3</t>
  </si>
  <si>
    <t>=IF(ISNUMBER(INDEX(Backlog!$R$2:$R$180,MATCH($A3,Backlog!$A$2:$A$180,0))),INDEX(Backlog!$R$2:$R$180,MATCH($A3,Backlog!$A$2:$A$180,0)),"")</t>
  </si>
  <si>
    <t>=IF(ISNUMBER(INDEX(Backlog!$AT$2:$AT$180,MATCH($A3,Backlog!$A$2:$A$180,0))),INDEX(Backlog!$AT$2:$AT$180,MATCH($A3,Backlog!$A$2:$A$180,0)),"")</t>
  </si>
  <si>
    <t>F4</t>
  </si>
  <si>
    <t>=IF(ISNUMBER(INDEX(Backlog!$R$2:$R$180,MATCH($A4,Backlog!$A$2:$A$180,0))),INDEX(Backlog!$R$2:$R$180,MATCH($A4,Backlog!$A$2:$A$180,0)),"")</t>
  </si>
  <si>
    <t>=IF(ISNUMBER(INDEX(Backlog!$AT$2:$AT$180,MATCH($A4,Backlog!$A$2:$A$180,0))),INDEX(Backlog!$AT$2:$AT$180,MATCH($A4,Backlog!$A$2:$A$180,0)),"")</t>
  </si>
  <si>
    <t>F5</t>
  </si>
  <si>
    <t>=IF(ISNUMBER(INDEX(Backlog!$R$2:$R$180,MATCH($A5,Backlog!$A$2:$A$180,0))),INDEX(Backlog!$R$2:$R$180,MATCH($A5,Backlog!$A$2:$A$180,0)),"")</t>
  </si>
  <si>
    <t>=IF(ISNUMBER(INDEX(Backlog!$AT$2:$AT$180,MATCH($A5,Backlog!$A$2:$A$180,0))),INDEX(Backlog!$AT$2:$AT$180,MATCH($A5,Backlog!$A$2:$A$180,0)),"")</t>
  </si>
  <si>
    <t>F6</t>
  </si>
  <si>
    <t>=IF(ISNUMBER(INDEX(Backlog!$R$2:$R$180,MATCH($A6,Backlog!$A$2:$A$180,0))),INDEX(Backlog!$R$2:$R$180,MATCH($A6,Backlog!$A$2:$A$180,0)),"")</t>
  </si>
  <si>
    <t>=IF(ISNUMBER(INDEX(Backlog!$AT$2:$AT$180,MATCH($A6,Backlog!$A$2:$A$180,0))),INDEX(Backlog!$AT$2:$AT$180,MATCH($A6,Backlog!$A$2:$A$180,0)),"")</t>
  </si>
  <si>
    <t>F7</t>
  </si>
  <si>
    <t>=IF(ISNUMBER(INDEX(Backlog!$R$2:$R$180,MATCH($A7,Backlog!$A$2:$A$180,0))),INDEX(Backlog!$R$2:$R$180,MATCH($A7,Backlog!$A$2:$A$180,0)),"")</t>
  </si>
  <si>
    <t>=IF(ISNUMBER(INDEX(Backlog!$AT$2:$AT$180,MATCH($A7,Backlog!$A$2:$A$180,0))),INDEX(Backlog!$AT$2:$AT$180,MATCH($A7,Backlog!$A$2:$A$180,0)),"")</t>
  </si>
  <si>
    <t>F8</t>
  </si>
  <si>
    <t>=IF(ISNUMBER(INDEX(Backlog!$R$2:$R$180,MATCH($A8,Backlog!$A$2:$A$180,0))),INDEX(Backlog!$R$2:$R$180,MATCH($A8,Backlog!$A$2:$A$180,0)),"")</t>
  </si>
  <si>
    <t>=IF(ISNUMBER(INDEX(Backlog!$AT$2:$AT$180,MATCH($A8,Backlog!$A$2:$A$180,0))),INDEX(Backlog!$AT$2:$AT$180,MATCH($A8,Backlog!$A$2:$A$180,0)),"")</t>
  </si>
  <si>
    <t>F9</t>
  </si>
  <si>
    <t>=IF(ISNUMBER(INDEX(Backlog!$R$2:$R$180,MATCH($A9,Backlog!$A$2:$A$180,0))),INDEX(Backlog!$R$2:$R$180,MATCH($A9,Backlog!$A$2:$A$180,0)),"")</t>
  </si>
  <si>
    <t>=IF(ISNUMBER(INDEX(Backlog!$AT$2:$AT$180,MATCH($A9,Backlog!$A$2:$A$180,0))),INDEX(Backlog!$AT$2:$AT$180,MATCH($A9,Backlog!$A$2:$A$180,0)),"")</t>
  </si>
  <si>
    <t>F10</t>
  </si>
  <si>
    <t>=IF(ISNUMBER(INDEX(Backlog!$R$2:$R$180,MATCH($A10,Backlog!$A$2:$A$180,0))),INDEX(Backlog!$R$2:$R$180,MATCH($A10,Backlog!$A$2:$A$180,0)),"")</t>
  </si>
  <si>
    <t>=IF(ISNUMBER(INDEX(Backlog!$AT$2:$AT$180,MATCH($A10,Backlog!$A$2:$A$180,0))),INDEX(Backlog!$AT$2:$AT$180,MATCH($A10,Backlog!$A$2:$A$180,0)),"")</t>
  </si>
  <si>
    <t>F11</t>
  </si>
  <si>
    <t>=IF(ISNUMBER(INDEX(Backlog!$R$2:$R$180,MATCH($A11,Backlog!$A$2:$A$180,0))),INDEX(Backlog!$R$2:$R$180,MATCH($A11,Backlog!$A$2:$A$180,0)),"")</t>
  </si>
  <si>
    <t>=IF(ISNUMBER(INDEX(Backlog!$AT$2:$AT$180,MATCH($A11,Backlog!$A$2:$A$180,0))),INDEX(Backlog!$AT$2:$AT$180,MATCH($A11,Backlog!$A$2:$A$180,0)),"")</t>
  </si>
  <si>
    <t>F12</t>
  </si>
  <si>
    <t>=IF(ISNUMBER(INDEX(Backlog!$R$2:$R$180,MATCH($A12,Backlog!$A$2:$A$180,0))),INDEX(Backlog!$R$2:$R$180,MATCH($A12,Backlog!$A$2:$A$180,0)),"")</t>
  </si>
  <si>
    <t>=IF(ISNUMBER(INDEX(Backlog!$AT$2:$AT$180,MATCH($A12,Backlog!$A$2:$A$180,0))),INDEX(Backlog!$AT$2:$AT$180,MATCH($A12,Backlog!$A$2:$A$180,0)),"")</t>
  </si>
  <si>
    <t>F13</t>
  </si>
  <si>
    <t>=IF(ISNUMBER(INDEX(Backlog!$R$2:$R$180,MATCH($A13,Backlog!$A$2:$A$180,0))),INDEX(Backlog!$R$2:$R$180,MATCH($A13,Backlog!$A$2:$A$180,0)),"")</t>
  </si>
  <si>
    <t>=IF(ISNUMBER(INDEX(Backlog!$AT$2:$AT$180,MATCH($A13,Backlog!$A$2:$A$180,0))),INDEX(Backlog!$AT$2:$AT$180,MATCH($A13,Backlog!$A$2:$A$180,0)),"")</t>
  </si>
  <si>
    <t>F14</t>
  </si>
  <si>
    <t>=IF(ISNUMBER(INDEX(Backlog!$R$2:$R$180,MATCH($A14,Backlog!$A$2:$A$180,0))),INDEX(Backlog!$R$2:$R$180,MATCH($A14,Backlog!$A$2:$A$180,0)),"")</t>
  </si>
  <si>
    <t>=IF(ISNUMBER(INDEX(Backlog!$AT$2:$AT$180,MATCH($A14,Backlog!$A$2:$A$180,0))),INDEX(Backlog!$AT$2:$AT$180,MATCH($A14,Backlog!$A$2:$A$180,0)),"")</t>
  </si>
  <si>
    <t>F15</t>
  </si>
  <si>
    <t>=IF(ISNUMBER(INDEX(Backlog!$R$2:$R$180,MATCH($A15,Backlog!$A$2:$A$180,0))),INDEX(Backlog!$R$2:$R$180,MATCH($A15,Backlog!$A$2:$A$180,0)),"")</t>
  </si>
  <si>
    <t>=IF(ISNUMBER(INDEX(Backlog!$AT$2:$AT$180,MATCH($A15,Backlog!$A$2:$A$180,0))),INDEX(Backlog!$AT$2:$AT$180,MATCH($A15,Backlog!$A$2:$A$180,0)),"")</t>
  </si>
  <si>
    <t>F16</t>
  </si>
  <si>
    <t>=IF(ISNUMBER(INDEX(Backlog!$R$2:$R$180,MATCH($A16,Backlog!$A$2:$A$180,0))),INDEX(Backlog!$R$2:$R$180,MATCH($A16,Backlog!$A$2:$A$180,0)),"")</t>
  </si>
  <si>
    <t>=IF(ISNUMBER(INDEX(Backlog!$AT$2:$AT$180,MATCH($A16,Backlog!$A$2:$A$180,0))),INDEX(Backlog!$AT$2:$AT$180,MATCH($A16,Backlog!$A$2:$A$180,0)),"")</t>
  </si>
  <si>
    <t>F17</t>
  </si>
  <si>
    <t>=IF(ISNUMBER(INDEX(Backlog!$R$2:$R$180,MATCH($A17,Backlog!$A$2:$A$180,0))),INDEX(Backlog!$R$2:$R$180,MATCH($A17,Backlog!$A$2:$A$180,0)),"")</t>
  </si>
  <si>
    <t>=IF(ISNUMBER(INDEX(Backlog!$AT$2:$AT$180,MATCH($A17,Backlog!$A$2:$A$180,0))),INDEX(Backlog!$AT$2:$AT$180,MATCH($A17,Backlog!$A$2:$A$180,0)),"")</t>
  </si>
  <si>
    <t>F18</t>
  </si>
  <si>
    <t>=IF(ISNUMBER(INDEX(Backlog!$R$2:$R$180,MATCH($A18,Backlog!$A$2:$A$180,0))),INDEX(Backlog!$R$2:$R$180,MATCH($A18,Backlog!$A$2:$A$180,0)),"")</t>
  </si>
  <si>
    <t>=IF(ISNUMBER(INDEX(Backlog!$AT$2:$AT$180,MATCH($A18,Backlog!$A$2:$A$180,0))),INDEX(Backlog!$AT$2:$AT$180,MATCH($A18,Backlog!$A$2:$A$180,0)),"")</t>
  </si>
  <si>
    <t>F19</t>
  </si>
  <si>
    <t>=IF(ISNUMBER(INDEX(Backlog!$R$2:$R$180,MATCH($A19,Backlog!$A$2:$A$180,0))),INDEX(Backlog!$R$2:$R$180,MATCH($A19,Backlog!$A$2:$A$180,0)),"")</t>
  </si>
  <si>
    <t>=IF(ISNUMBER(INDEX(Backlog!$AT$2:$AT$180,MATCH($A19,Backlog!$A$2:$A$180,0))),INDEX(Backlog!$AT$2:$AT$180,MATCH($A19,Backlog!$A$2:$A$180,0)),"")</t>
  </si>
  <si>
    <t>F20</t>
  </si>
  <si>
    <t>=IF(ISNUMBER(INDEX(Backlog!$R$2:$R$180,MATCH($A20,Backlog!$A$2:$A$180,0))),INDEX(Backlog!$R$2:$R$180,MATCH($A20,Backlog!$A$2:$A$180,0)),"")</t>
  </si>
  <si>
    <t>=IF(ISNUMBER(INDEX(Backlog!$AT$2:$AT$180,MATCH($A20,Backlog!$A$2:$A$180,0))),INDEX(Backlog!$AT$2:$AT$180,MATCH($A20,Backlog!$A$2:$A$180,0)),"")</t>
  </si>
  <si>
    <t>F21</t>
  </si>
  <si>
    <t>=IF(ISNUMBER(INDEX(Backlog!$R$2:$R$180,MATCH($A21,Backlog!$A$2:$A$180,0))),INDEX(Backlog!$R$2:$R$180,MATCH($A21,Backlog!$A$2:$A$180,0)),"")</t>
  </si>
  <si>
    <t>=IF(ISNUMBER(INDEX(Backlog!$AT$2:$AT$180,MATCH($A21,Backlog!$A$2:$A$180,0))),INDEX(Backlog!$AT$2:$AT$180,MATCH($A21,Backlog!$A$2:$A$180,0)),"")</t>
  </si>
  <si>
    <t>F22</t>
  </si>
  <si>
    <t>=IF(ISNUMBER(INDEX(Backlog!$R$2:$R$180,MATCH($A22,Backlog!$A$2:$A$180,0))),INDEX(Backlog!$R$2:$R$180,MATCH($A22,Backlog!$A$2:$A$180,0)),"")</t>
  </si>
  <si>
    <t>=IF(ISNUMBER(INDEX(Backlog!$AT$2:$AT$180,MATCH($A22,Backlog!$A$2:$A$180,0))),INDEX(Backlog!$AT$2:$AT$180,MATCH($A22,Backlog!$A$2:$A$180,0)),"")</t>
  </si>
  <si>
    <t>F23</t>
  </si>
  <si>
    <t>=IF(ISNUMBER(INDEX(Backlog!$R$2:$R$180,MATCH($A23,Backlog!$A$2:$A$180,0))),INDEX(Backlog!$R$2:$R$180,MATCH($A23,Backlog!$A$2:$A$180,0)),"")</t>
  </si>
  <si>
    <t>=IF(ISNUMBER(INDEX(Backlog!$AT$2:$AT$180,MATCH($A23,Backlog!$A$2:$A$180,0))),INDEX(Backlog!$AT$2:$AT$180,MATCH($A23,Backlog!$A$2:$A$180,0)),"")</t>
  </si>
  <si>
    <t>F24</t>
  </si>
  <si>
    <t>=IF(ISNUMBER(INDEX(Backlog!$R$2:$R$180,MATCH($A24,Backlog!$A$2:$A$180,0))),INDEX(Backlog!$R$2:$R$180,MATCH($A24,Backlog!$A$2:$A$180,0)),"")</t>
  </si>
  <si>
    <t>=IF(ISNUMBER(INDEX(Backlog!$AT$2:$AT$180,MATCH($A24,Backlog!$A$2:$A$180,0))),INDEX(Backlog!$AT$2:$AT$180,MATCH($A24,Backlog!$A$2:$A$180,0)),"")</t>
  </si>
  <si>
    <t>F25</t>
  </si>
  <si>
    <t>=IF(ISNUMBER(INDEX(Backlog!$R$2:$R$180,MATCH($A25,Backlog!$A$2:$A$180,0))),INDEX(Backlog!$R$2:$R$180,MATCH($A25,Backlog!$A$2:$A$180,0)),"")</t>
  </si>
  <si>
    <t>=IF(ISNUMBER(INDEX(Backlog!$AT$2:$AT$180,MATCH($A25,Backlog!$A$2:$A$180,0))),INDEX(Backlog!$AT$2:$AT$180,MATCH($A25,Backlog!$A$2:$A$180,0)),"")</t>
  </si>
  <si>
    <t>F26</t>
  </si>
  <si>
    <t>=IF(ISNUMBER(INDEX(Backlog!$R$2:$R$180,MATCH($A26,Backlog!$A$2:$A$180,0))),INDEX(Backlog!$R$2:$R$180,MATCH($A26,Backlog!$A$2:$A$180,0)),"")</t>
  </si>
  <si>
    <t>=IF(ISNUMBER(INDEX(Backlog!$AT$2:$AT$180,MATCH($A26,Backlog!$A$2:$A$180,0))),INDEX(Backlog!$AT$2:$AT$180,MATCH($A26,Backlog!$A$2:$A$180,0)),"")</t>
  </si>
  <si>
    <t>F27</t>
  </si>
  <si>
    <t>=IF(ISNUMBER(INDEX(Backlog!$R$2:$R$180,MATCH($A27,Backlog!$A$2:$A$180,0))),INDEX(Backlog!$R$2:$R$180,MATCH($A27,Backlog!$A$2:$A$180,0)),"")</t>
  </si>
  <si>
    <t>=IF(ISNUMBER(INDEX(Backlog!$AT$2:$AT$180,MATCH($A27,Backlog!$A$2:$A$180,0))),INDEX(Backlog!$AT$2:$AT$180,MATCH($A27,Backlog!$A$2:$A$180,0)),"")</t>
  </si>
  <si>
    <t>F28</t>
  </si>
  <si>
    <t>=IF(ISNUMBER(INDEX(Backlog!$R$2:$R$180,MATCH($A28,Backlog!$A$2:$A$180,0))),INDEX(Backlog!$R$2:$R$180,MATCH($A28,Backlog!$A$2:$A$180,0)),"")</t>
  </si>
  <si>
    <t>=IF(ISNUMBER(INDEX(Backlog!$AT$2:$AT$180,MATCH($A28,Backlog!$A$2:$A$180,0))),INDEX(Backlog!$AT$2:$AT$180,MATCH($A28,Backlog!$A$2:$A$180,0)),"")</t>
  </si>
  <si>
    <t>F29</t>
  </si>
  <si>
    <t>=IF(ISNUMBER(INDEX(Backlog!$R$2:$R$180,MATCH($A29,Backlog!$A$2:$A$180,0))),INDEX(Backlog!$R$2:$R$180,MATCH($A29,Backlog!$A$2:$A$180,0)),"")</t>
  </si>
  <si>
    <t>=IF(ISNUMBER(INDEX(Backlog!$AT$2:$AT$180,MATCH($A29,Backlog!$A$2:$A$180,0))),INDEX(Backlog!$AT$2:$AT$180,MATCH($A29,Backlog!$A$2:$A$180,0)),"")</t>
  </si>
  <si>
    <t>F30</t>
  </si>
  <si>
    <t>=IF(ISNUMBER(INDEX(Backlog!$R$2:$R$180,MATCH($A30,Backlog!$A$2:$A$180,0))),INDEX(Backlog!$R$2:$R$180,MATCH($A30,Backlog!$A$2:$A$180,0)),"")</t>
  </si>
  <si>
    <t>=IF(ISNUMBER(INDEX(Backlog!$AT$2:$AT$180,MATCH($A30,Backlog!$A$2:$A$180,0))),INDEX(Backlog!$AT$2:$AT$180,MATCH($A30,Backlog!$A$2:$A$180,0)),"")</t>
  </si>
  <si>
    <t>F31</t>
  </si>
  <si>
    <t>=IF(ISNUMBER(INDEX(Backlog!$R$2:$R$180,MATCH($A31,Backlog!$A$2:$A$180,0))),INDEX(Backlog!$R$2:$R$180,MATCH($A31,Backlog!$A$2:$A$180,0)),"")</t>
  </si>
  <si>
    <t>=IF(ISNUMBER(INDEX(Backlog!$AT$2:$AT$180,MATCH($A31,Backlog!$A$2:$A$180,0))),INDEX(Backlog!$AT$2:$AT$180,MATCH($A31,Backlog!$A$2:$A$180,0)),"")</t>
  </si>
  <si>
    <t>F32</t>
  </si>
  <si>
    <t>=IF(ISNUMBER(INDEX(Backlog!$R$2:$R$180,MATCH($A32,Backlog!$A$2:$A$180,0))),INDEX(Backlog!$R$2:$R$180,MATCH($A32,Backlog!$A$2:$A$180,0)),"")</t>
  </si>
  <si>
    <t>=IF(ISNUMBER(INDEX(Backlog!$AT$2:$AT$180,MATCH($A32,Backlog!$A$2:$A$180,0))),INDEX(Backlog!$AT$2:$AT$180,MATCH($A32,Backlog!$A$2:$A$180,0)),"")</t>
  </si>
  <si>
    <t>F33</t>
  </si>
  <si>
    <t>=IF(ISNUMBER(INDEX(Backlog!$R$2:$R$180,MATCH($A33,Backlog!$A$2:$A$180,0))),INDEX(Backlog!$R$2:$R$180,MATCH($A33,Backlog!$A$2:$A$180,0)),"")</t>
  </si>
  <si>
    <t>=IF(ISNUMBER(INDEX(Backlog!$AT$2:$AT$180,MATCH($A33,Backlog!$A$2:$A$180,0))),INDEX(Backlog!$AT$2:$AT$180,MATCH($A33,Backlog!$A$2:$A$180,0)),"")</t>
  </si>
  <si>
    <t>F34</t>
  </si>
  <si>
    <t>=IF(ISNUMBER(INDEX(Backlog!$R$2:$R$180,MATCH($A34,Backlog!$A$2:$A$180,0))),INDEX(Backlog!$R$2:$R$180,MATCH($A34,Backlog!$A$2:$A$180,0)),"")</t>
  </si>
  <si>
    <t>=IF(ISNUMBER(INDEX(Backlog!$AT$2:$AT$180,MATCH($A34,Backlog!$A$2:$A$180,0))),INDEX(Backlog!$AT$2:$AT$180,MATCH($A34,Backlog!$A$2:$A$180,0)),"")</t>
  </si>
  <si>
    <t>F35</t>
  </si>
  <si>
    <t>=IF(ISNUMBER(INDEX(Backlog!$R$2:$R$180,MATCH($A35,Backlog!$A$2:$A$180,0))),INDEX(Backlog!$R$2:$R$180,MATCH($A35,Backlog!$A$2:$A$180,0)),"")</t>
  </si>
  <si>
    <t>=IF(ISNUMBER(INDEX(Backlog!$AT$2:$AT$180,MATCH($A35,Backlog!$A$2:$A$180,0))),INDEX(Backlog!$AT$2:$AT$180,MATCH($A35,Backlog!$A$2:$A$180,0)),"")</t>
  </si>
  <si>
    <t>F36</t>
  </si>
  <si>
    <t>=IF(ISNUMBER(INDEX(Backlog!$R$2:$R$180,MATCH($A36,Backlog!$A$2:$A$180,0))),INDEX(Backlog!$R$2:$R$180,MATCH($A36,Backlog!$A$2:$A$180,0)),"")</t>
  </si>
  <si>
    <t>=IF(ISNUMBER(INDEX(Backlog!$AT$2:$AT$180,MATCH($A36,Backlog!$A$2:$A$180,0))),INDEX(Backlog!$AT$2:$AT$180,MATCH($A36,Backlog!$A$2:$A$180,0)),"")</t>
  </si>
  <si>
    <t>F37</t>
  </si>
  <si>
    <t>=IF(ISNUMBER(INDEX(Backlog!$R$2:$R$180,MATCH($A37,Backlog!$A$2:$A$180,0))),INDEX(Backlog!$R$2:$R$180,MATCH($A37,Backlog!$A$2:$A$180,0)),"")</t>
  </si>
  <si>
    <t>=IF(ISNUMBER(INDEX(Backlog!$AT$2:$AT$180,MATCH($A37,Backlog!$A$2:$A$180,0))),INDEX(Backlog!$AT$2:$AT$180,MATCH($A37,Backlog!$A$2:$A$180,0)),"")</t>
  </si>
  <si>
    <t>F38</t>
  </si>
  <si>
    <t>=IF(ISNUMBER(INDEX(Backlog!$R$2:$R$180,MATCH($A38,Backlog!$A$2:$A$180,0))),INDEX(Backlog!$R$2:$R$180,MATCH($A38,Backlog!$A$2:$A$180,0)),"")</t>
  </si>
  <si>
    <t>=IF(ISNUMBER(INDEX(Backlog!$AT$2:$AT$180,MATCH($A38,Backlog!$A$2:$A$180,0))),INDEX(Backlog!$AT$2:$AT$180,MATCH($A38,Backlog!$A$2:$A$180,0)),"")</t>
  </si>
  <si>
    <t>F39</t>
  </si>
  <si>
    <t>=IF(ISNUMBER(INDEX(Backlog!$R$2:$R$180,MATCH($A39,Backlog!$A$2:$A$180,0))),INDEX(Backlog!$R$2:$R$180,MATCH($A39,Backlog!$A$2:$A$180,0)),"")</t>
  </si>
  <si>
    <t>=IF(ISNUMBER(INDEX(Backlog!$AT$2:$AT$180,MATCH($A39,Backlog!$A$2:$A$180,0))),INDEX(Backlog!$AT$2:$AT$180,MATCH($A39,Backlog!$A$2:$A$180,0)),"")</t>
  </si>
  <si>
    <t>F40</t>
  </si>
  <si>
    <t>=IF(ISNUMBER(INDEX(Backlog!$R$2:$R$180,MATCH($A40,Backlog!$A$2:$A$180,0))),INDEX(Backlog!$R$2:$R$180,MATCH($A40,Backlog!$A$2:$A$180,0)),"")</t>
  </si>
  <si>
    <t>=IF(ISNUMBER(INDEX(Backlog!$AT$2:$AT$180,MATCH($A40,Backlog!$A$2:$A$180,0))),INDEX(Backlog!$AT$2:$AT$180,MATCH($A40,Backlog!$A$2:$A$180,0)),"")</t>
  </si>
  <si>
    <t>F41</t>
  </si>
  <si>
    <t>=IF(ISNUMBER(INDEX(Backlog!$R$2:$R$180,MATCH($A41,Backlog!$A$2:$A$180,0))),INDEX(Backlog!$R$2:$R$180,MATCH($A41,Backlog!$A$2:$A$180,0)),"")</t>
  </si>
  <si>
    <t>=IF(ISNUMBER(INDEX(Backlog!$AT$2:$AT$180,MATCH($A41,Backlog!$A$2:$A$180,0))),INDEX(Backlog!$AT$2:$AT$180,MATCH($A41,Backlog!$A$2:$A$180,0)),"")</t>
  </si>
  <si>
    <t>F42</t>
  </si>
  <si>
    <t>=IF(ISNUMBER(INDEX(Backlog!$R$2:$R$180,MATCH($A42,Backlog!$A$2:$A$180,0))),INDEX(Backlog!$R$2:$R$180,MATCH($A42,Backlog!$A$2:$A$180,0)),"")</t>
  </si>
  <si>
    <t>=IF(ISNUMBER(INDEX(Backlog!$AT$2:$AT$180,MATCH($A42,Backlog!$A$2:$A$180,0))),INDEX(Backlog!$AT$2:$AT$180,MATCH($A42,Backlog!$A$2:$A$180,0)),"")</t>
  </si>
  <si>
    <t>F43</t>
  </si>
  <si>
    <t>=IF(ISNUMBER(INDEX(Backlog!$R$2:$R$180,MATCH($A43,Backlog!$A$2:$A$180,0))),INDEX(Backlog!$R$2:$R$180,MATCH($A43,Backlog!$A$2:$A$180,0)),"")</t>
  </si>
  <si>
    <t>=IF(ISNUMBER(INDEX(Backlog!$AT$2:$AT$180,MATCH($A43,Backlog!$A$2:$A$180,0))),INDEX(Backlog!$AT$2:$AT$180,MATCH($A43,Backlog!$A$2:$A$180,0)),"")</t>
  </si>
  <si>
    <t>F44</t>
  </si>
  <si>
    <t>=IF(ISNUMBER(INDEX(Backlog!$R$2:$R$180,MATCH($A44,Backlog!$A$2:$A$180,0))),INDEX(Backlog!$R$2:$R$180,MATCH($A44,Backlog!$A$2:$A$180,0)),"")</t>
  </si>
  <si>
    <t>=IF(ISNUMBER(INDEX(Backlog!$AT$2:$AT$180,MATCH($A44,Backlog!$A$2:$A$180,0))),INDEX(Backlog!$AT$2:$AT$180,MATCH($A44,Backlog!$A$2:$A$180,0)),"")</t>
  </si>
  <si>
    <t>F45</t>
  </si>
  <si>
    <t>=IF(ISNUMBER(INDEX(Backlog!$R$2:$R$180,MATCH($A45,Backlog!$A$2:$A$180,0))),INDEX(Backlog!$R$2:$R$180,MATCH($A45,Backlog!$A$2:$A$180,0)),"")</t>
  </si>
  <si>
    <t>=IF(ISNUMBER(INDEX(Backlog!$AT$2:$AT$180,MATCH($A45,Backlog!$A$2:$A$180,0))),INDEX(Backlog!$AT$2:$AT$180,MATCH($A45,Backlog!$A$2:$A$180,0)),"")</t>
  </si>
  <si>
    <t>F46</t>
  </si>
  <si>
    <t>=IF(ISNUMBER(INDEX(Backlog!$R$2:$R$180,MATCH($A46,Backlog!$A$2:$A$180,0))),INDEX(Backlog!$R$2:$R$180,MATCH($A46,Backlog!$A$2:$A$180,0)),"")</t>
  </si>
  <si>
    <t>=IF(ISNUMBER(INDEX(Backlog!$AT$2:$AT$180,MATCH($A46,Backlog!$A$2:$A$180,0))),INDEX(Backlog!$AT$2:$AT$180,MATCH($A46,Backlog!$A$2:$A$180,0)),"")</t>
  </si>
  <si>
    <t>F47</t>
  </si>
  <si>
    <t>=IF(ISNUMBER(INDEX(Backlog!$R$2:$R$180,MATCH($A47,Backlog!$A$2:$A$180,0))),INDEX(Backlog!$R$2:$R$180,MATCH($A47,Backlog!$A$2:$A$180,0)),"")</t>
  </si>
  <si>
    <t>=IF(ISNUMBER(INDEX(Backlog!$AT$2:$AT$180,MATCH($A47,Backlog!$A$2:$A$180,0))),INDEX(Backlog!$AT$2:$AT$180,MATCH($A47,Backlog!$A$2:$A$180,0)),"")</t>
  </si>
  <si>
    <t>F48</t>
  </si>
  <si>
    <t>=IF(ISNUMBER(INDEX(Backlog!$R$2:$R$180,MATCH($A48,Backlog!$A$2:$A$180,0))),INDEX(Backlog!$R$2:$R$180,MATCH($A48,Backlog!$A$2:$A$180,0)),"")</t>
  </si>
  <si>
    <t>=IF(ISNUMBER(INDEX(Backlog!$AT$2:$AT$180,MATCH($A48,Backlog!$A$2:$A$180,0))),INDEX(Backlog!$AT$2:$AT$180,MATCH($A48,Backlog!$A$2:$A$180,0)),"")</t>
  </si>
  <si>
    <t>F49</t>
  </si>
  <si>
    <t>=IF(ISNUMBER(INDEX(Backlog!$R$2:$R$180,MATCH($A49,Backlog!$A$2:$A$180,0))),INDEX(Backlog!$R$2:$R$180,MATCH($A49,Backlog!$A$2:$A$180,0)),"")</t>
  </si>
  <si>
    <t>=IF(ISNUMBER(INDEX(Backlog!$AT$2:$AT$180,MATCH($A49,Backlog!$A$2:$A$180,0))),INDEX(Backlog!$AT$2:$AT$180,MATCH($A49,Backlog!$A$2:$A$180,0)),"")</t>
  </si>
  <si>
    <t>F50</t>
  </si>
  <si>
    <t>=IF(ISNUMBER(INDEX(Backlog!$R$2:$R$180,MATCH($A50,Backlog!$A$2:$A$180,0))),INDEX(Backlog!$R$2:$R$180,MATCH($A50,Backlog!$A$2:$A$180,0)),"")</t>
  </si>
  <si>
    <t>=IF(ISNUMBER(INDEX(Backlog!$AT$2:$AT$180,MATCH($A50,Backlog!$A$2:$A$180,0))),INDEX(Backlog!$AT$2:$AT$180,MATCH($A50,Backlog!$A$2:$A$180,0)),"")</t>
  </si>
  <si>
    <t>F51</t>
  </si>
  <si>
    <t>=IF(ISNUMBER(INDEX(Backlog!$R$2:$R$180,MATCH($A51,Backlog!$A$2:$A$180,0))),INDEX(Backlog!$R$2:$R$180,MATCH($A51,Backlog!$A$2:$A$180,0)),"")</t>
  </si>
  <si>
    <t>=IF(ISNUMBER(INDEX(Backlog!$AT$2:$AT$180,MATCH($A51,Backlog!$A$2:$A$180,0))),INDEX(Backlog!$AT$2:$AT$180,MATCH($A51,Backlog!$A$2:$A$180,0)),"")</t>
  </si>
  <si>
    <t>F52</t>
  </si>
  <si>
    <t>=IF(ISNUMBER(INDEX(Backlog!$R$2:$R$180,MATCH($A52,Backlog!$A$2:$A$180,0))),INDEX(Backlog!$R$2:$R$180,MATCH($A52,Backlog!$A$2:$A$180,0)),"")</t>
  </si>
  <si>
    <t>=IF(ISNUMBER(INDEX(Backlog!$AT$2:$AT$180,MATCH($A52,Backlog!$A$2:$A$180,0))),INDEX(Backlog!$AT$2:$AT$180,MATCH($A52,Backlog!$A$2:$A$180,0)),"")</t>
  </si>
  <si>
    <t>F53</t>
  </si>
  <si>
    <t>=IF(ISNUMBER(INDEX(Backlog!$R$2:$R$180,MATCH($A53,Backlog!$A$2:$A$180,0))),INDEX(Backlog!$R$2:$R$180,MATCH($A53,Backlog!$A$2:$A$180,0)),"")</t>
  </si>
  <si>
    <t>=IF(ISNUMBER(INDEX(Backlog!$AT$2:$AT$180,MATCH($A53,Backlog!$A$2:$A$180,0))),INDEX(Backlog!$AT$2:$AT$180,MATCH($A53,Backlog!$A$2:$A$180,0)),"")</t>
  </si>
  <si>
    <t>F54</t>
  </si>
  <si>
    <t>=IF(ISNUMBER(INDEX(Backlog!$R$2:$R$180,MATCH($A54,Backlog!$A$2:$A$180,0))),INDEX(Backlog!$R$2:$R$180,MATCH($A54,Backlog!$A$2:$A$180,0)),"")</t>
  </si>
  <si>
    <t>=IF(ISNUMBER(INDEX(Backlog!$AT$2:$AT$180,MATCH($A54,Backlog!$A$2:$A$180,0))),INDEX(Backlog!$AT$2:$AT$180,MATCH($A54,Backlog!$A$2:$A$180,0)),"")</t>
  </si>
  <si>
    <t>F55</t>
  </si>
  <si>
    <t>=IF(ISNUMBER(INDEX(Backlog!$R$2:$R$180,MATCH($A55,Backlog!$A$2:$A$180,0))),INDEX(Backlog!$R$2:$R$180,MATCH($A55,Backlog!$A$2:$A$180,0)),"")</t>
  </si>
  <si>
    <t>=IF(ISNUMBER(INDEX(Backlog!$AT$2:$AT$180,MATCH($A55,Backlog!$A$2:$A$180,0))),INDEX(Backlog!$AT$2:$AT$180,MATCH($A55,Backlog!$A$2:$A$180,0)),"")</t>
  </si>
  <si>
    <t>F56</t>
  </si>
  <si>
    <t>=IF(ISNUMBER(INDEX(Backlog!$R$2:$R$180,MATCH($A56,Backlog!$A$2:$A$180,0))),INDEX(Backlog!$R$2:$R$180,MATCH($A56,Backlog!$A$2:$A$180,0)),"")</t>
  </si>
  <si>
    <t>=IF(ISNUMBER(INDEX(Backlog!$AT$2:$AT$180,MATCH($A56,Backlog!$A$2:$A$180,0))),INDEX(Backlog!$AT$2:$AT$180,MATCH($A56,Backlog!$A$2:$A$180,0)),"")</t>
  </si>
  <si>
    <t>F57</t>
  </si>
  <si>
    <t>=IF(ISNUMBER(INDEX(Backlog!$R$2:$R$180,MATCH($A57,Backlog!$A$2:$A$180,0))),INDEX(Backlog!$R$2:$R$180,MATCH($A57,Backlog!$A$2:$A$180,0)),"")</t>
  </si>
  <si>
    <t>=IF(ISNUMBER(INDEX(Backlog!$AT$2:$AT$180,MATCH($A57,Backlog!$A$2:$A$180,0))),INDEX(Backlog!$AT$2:$AT$180,MATCH($A57,Backlog!$A$2:$A$180,0)),"")</t>
  </si>
  <si>
    <t>F58</t>
  </si>
  <si>
    <t>=IF(ISNUMBER(INDEX(Backlog!$R$2:$R$180,MATCH($A58,Backlog!$A$2:$A$180,0))),INDEX(Backlog!$R$2:$R$180,MATCH($A58,Backlog!$A$2:$A$180,0)),"")</t>
  </si>
  <si>
    <t>=IF(ISNUMBER(INDEX(Backlog!$AT$2:$AT$180,MATCH($A58,Backlog!$A$2:$A$180,0))),INDEX(Backlog!$AT$2:$AT$180,MATCH($A58,Backlog!$A$2:$A$180,0)),"")</t>
  </si>
  <si>
    <t>F59</t>
  </si>
  <si>
    <t>=IF(ISNUMBER(INDEX(Backlog!$R$2:$R$180,MATCH($A59,Backlog!$A$2:$A$180,0))),INDEX(Backlog!$R$2:$R$180,MATCH($A59,Backlog!$A$2:$A$180,0)),"")</t>
  </si>
  <si>
    <t>=IF(ISNUMBER(INDEX(Backlog!$AT$2:$AT$180,MATCH($A59,Backlog!$A$2:$A$180,0))),INDEX(Backlog!$AT$2:$AT$180,MATCH($A59,Backlog!$A$2:$A$180,0)),"")</t>
  </si>
  <si>
    <t>F60</t>
  </si>
  <si>
    <t>=IF(ISNUMBER(INDEX(Backlog!$R$2:$R$180,MATCH($A60,Backlog!$A$2:$A$180,0))),INDEX(Backlog!$R$2:$R$180,MATCH($A60,Backlog!$A$2:$A$180,0)),"")</t>
  </si>
  <si>
    <t>=IF(ISNUMBER(INDEX(Backlog!$AT$2:$AT$180,MATCH($A60,Backlog!$A$2:$A$180,0))),INDEX(Backlog!$AT$2:$AT$180,MATCH($A60,Backlog!$A$2:$A$180,0)),"")</t>
  </si>
  <si>
    <t>F61</t>
  </si>
  <si>
    <t>=IF(ISNUMBER(INDEX(Backlog!$R$2:$R$180,MATCH($A61,Backlog!$A$2:$A$180,0))),INDEX(Backlog!$R$2:$R$180,MATCH($A61,Backlog!$A$2:$A$180,0)),"")</t>
  </si>
  <si>
    <t>=IF(ISNUMBER(INDEX(Backlog!$AT$2:$AT$180,MATCH($A61,Backlog!$A$2:$A$180,0))),INDEX(Backlog!$AT$2:$AT$180,MATCH($A61,Backlog!$A$2:$A$180,0)),"")</t>
  </si>
  <si>
    <t>F62</t>
  </si>
  <si>
    <t>=IF(ISNUMBER(INDEX(Backlog!$R$2:$R$180,MATCH($A62,Backlog!$A$2:$A$180,0))),INDEX(Backlog!$R$2:$R$180,MATCH($A62,Backlog!$A$2:$A$180,0)),"")</t>
  </si>
  <si>
    <t>=IF(ISNUMBER(INDEX(Backlog!$AT$2:$AT$180,MATCH($A62,Backlog!$A$2:$A$180,0))),INDEX(Backlog!$AT$2:$AT$180,MATCH($A62,Backlog!$A$2:$A$180,0)),"")</t>
  </si>
  <si>
    <t>F63</t>
  </si>
  <si>
    <t>=IF(ISNUMBER(INDEX(Backlog!$R$2:$R$180,MATCH($A63,Backlog!$A$2:$A$180,0))),INDEX(Backlog!$R$2:$R$180,MATCH($A63,Backlog!$A$2:$A$180,0)),"")</t>
  </si>
  <si>
    <t>=IF(ISNUMBER(INDEX(Backlog!$AT$2:$AT$180,MATCH($A63,Backlog!$A$2:$A$180,0))),INDEX(Backlog!$AT$2:$AT$180,MATCH($A63,Backlog!$A$2:$A$180,0)),"")</t>
  </si>
  <si>
    <t>F64</t>
  </si>
  <si>
    <t>=IF(ISNUMBER(INDEX(Backlog!$R$2:$R$180,MATCH($A64,Backlog!$A$2:$A$180,0))),INDEX(Backlog!$R$2:$R$180,MATCH($A64,Backlog!$A$2:$A$180,0)),"")</t>
  </si>
  <si>
    <t>=IF(ISNUMBER(INDEX(Backlog!$AT$2:$AT$180,MATCH($A64,Backlog!$A$2:$A$180,0))),INDEX(Backlog!$AT$2:$AT$180,MATCH($A64,Backlog!$A$2:$A$180,0)),"")</t>
  </si>
  <si>
    <t>F65</t>
  </si>
  <si>
    <t>=IF(ISNUMBER(INDEX(Backlog!$R$2:$R$180,MATCH($A65,Backlog!$A$2:$A$180,0))),INDEX(Backlog!$R$2:$R$180,MATCH($A65,Backlog!$A$2:$A$180,0)),"")</t>
  </si>
  <si>
    <t>=IF(ISNUMBER(INDEX(Backlog!$AT$2:$AT$180,MATCH($A65,Backlog!$A$2:$A$180,0))),INDEX(Backlog!$AT$2:$AT$180,MATCH($A65,Backlog!$A$2:$A$180,0)),"")</t>
  </si>
  <si>
    <t>F66</t>
  </si>
  <si>
    <t>=IF(ISNUMBER(INDEX(Backlog!$R$2:$R$180,MATCH($A66,Backlog!$A$2:$A$180,0))),INDEX(Backlog!$R$2:$R$180,MATCH($A66,Backlog!$A$2:$A$180,0)),"")</t>
  </si>
  <si>
    <t>=IF(ISNUMBER(INDEX(Backlog!$AT$2:$AT$180,MATCH($A66,Backlog!$A$2:$A$180,0))),INDEX(Backlog!$AT$2:$AT$180,MATCH($A66,Backlog!$A$2:$A$180,0)),"")</t>
  </si>
  <si>
    <t>F67</t>
  </si>
  <si>
    <t>=IF(ISNUMBER(INDEX(Backlog!$R$2:$R$180,MATCH($A67,Backlog!$A$2:$A$180,0))),INDEX(Backlog!$R$2:$R$180,MATCH($A67,Backlog!$A$2:$A$180,0)),"")</t>
  </si>
  <si>
    <t>=IF(ISNUMBER(INDEX(Backlog!$AT$2:$AT$180,MATCH($A67,Backlog!$A$2:$A$180,0))),INDEX(Backlog!$AT$2:$AT$180,MATCH($A67,Backlog!$A$2:$A$180,0)),"")</t>
  </si>
  <si>
    <t>F68</t>
  </si>
  <si>
    <t>=IF(ISNUMBER(INDEX(Backlog!$R$2:$R$180,MATCH($A68,Backlog!$A$2:$A$180,0))),INDEX(Backlog!$R$2:$R$180,MATCH($A68,Backlog!$A$2:$A$180,0)),"")</t>
  </si>
  <si>
    <t>=IF(ISNUMBER(INDEX(Backlog!$AT$2:$AT$180,MATCH($A68,Backlog!$A$2:$A$180,0))),INDEX(Backlog!$AT$2:$AT$180,MATCH($A68,Backlog!$A$2:$A$180,0)),"")</t>
  </si>
  <si>
    <t>F69</t>
  </si>
  <si>
    <t>=IF(ISNUMBER(INDEX(Backlog!$R$2:$R$180,MATCH($A69,Backlog!$A$2:$A$180,0))),INDEX(Backlog!$R$2:$R$180,MATCH($A69,Backlog!$A$2:$A$180,0)),"")</t>
  </si>
  <si>
    <t>=IF(ISNUMBER(INDEX(Backlog!$AT$2:$AT$180,MATCH($A69,Backlog!$A$2:$A$180,0))),INDEX(Backlog!$AT$2:$AT$180,MATCH($A69,Backlog!$A$2:$A$180,0)),"")</t>
  </si>
  <si>
    <t>F70</t>
  </si>
  <si>
    <t>=IF(ISNUMBER(INDEX(Backlog!$R$2:$R$180,MATCH($A70,Backlog!$A$2:$A$180,0))),INDEX(Backlog!$R$2:$R$180,MATCH($A70,Backlog!$A$2:$A$180,0)),"")</t>
  </si>
  <si>
    <t>=IF(ISNUMBER(INDEX(Backlog!$AT$2:$AT$180,MATCH($A70,Backlog!$A$2:$A$180,0))),INDEX(Backlog!$AT$2:$AT$180,MATCH($A70,Backlog!$A$2:$A$180,0)),"")</t>
  </si>
  <si>
    <t>F71</t>
  </si>
  <si>
    <t>=IF(ISNUMBER(INDEX(Backlog!$R$2:$R$180,MATCH($A71,Backlog!$A$2:$A$180,0))),INDEX(Backlog!$R$2:$R$180,MATCH($A71,Backlog!$A$2:$A$180,0)),"")</t>
  </si>
  <si>
    <t>=IF(ISNUMBER(INDEX(Backlog!$AT$2:$AT$180,MATCH($A71,Backlog!$A$2:$A$180,0))),INDEX(Backlog!$AT$2:$AT$180,MATCH($A71,Backlog!$A$2:$A$180,0)),"")</t>
  </si>
  <si>
    <t>F72</t>
  </si>
  <si>
    <t>=IF(ISNUMBER(INDEX(Backlog!$R$2:$R$180,MATCH($A72,Backlog!$A$2:$A$180,0))),INDEX(Backlog!$R$2:$R$180,MATCH($A72,Backlog!$A$2:$A$180,0)),"")</t>
  </si>
  <si>
    <t>=IF(ISNUMBER(INDEX(Backlog!$AT$2:$AT$180,MATCH($A72,Backlog!$A$2:$A$180,0))),INDEX(Backlog!$AT$2:$AT$180,MATCH($A72,Backlog!$A$2:$A$180,0)),"")</t>
  </si>
  <si>
    <t>F73</t>
  </si>
  <si>
    <t>=IF(ISNUMBER(INDEX(Backlog!$R$2:$R$180,MATCH($A73,Backlog!$A$2:$A$180,0))),INDEX(Backlog!$R$2:$R$180,MATCH($A73,Backlog!$A$2:$A$180,0)),"")</t>
  </si>
  <si>
    <t>=IF(ISNUMBER(INDEX(Backlog!$AT$2:$AT$180,MATCH($A73,Backlog!$A$2:$A$180,0))),INDEX(Backlog!$AT$2:$AT$180,MATCH($A73,Backlog!$A$2:$A$180,0)),"")</t>
  </si>
  <si>
    <t>F74</t>
  </si>
  <si>
    <t>=IF(ISNUMBER(INDEX(Backlog!$R$2:$R$180,MATCH($A74,Backlog!$A$2:$A$180,0))),INDEX(Backlog!$R$2:$R$180,MATCH($A74,Backlog!$A$2:$A$180,0)),"")</t>
  </si>
  <si>
    <t>=IF(ISNUMBER(INDEX(Backlog!$AT$2:$AT$180,MATCH($A74,Backlog!$A$2:$A$180,0))),INDEX(Backlog!$AT$2:$AT$180,MATCH($A74,Backlog!$A$2:$A$180,0)),"")</t>
  </si>
  <si>
    <t>F75</t>
  </si>
  <si>
    <t>=IF(ISNUMBER(INDEX(Backlog!$R$2:$R$180,MATCH($A75,Backlog!$A$2:$A$180,0))),INDEX(Backlog!$R$2:$R$180,MATCH($A75,Backlog!$A$2:$A$180,0)),"")</t>
  </si>
  <si>
    <t>=IF(ISNUMBER(INDEX(Backlog!$AT$2:$AT$180,MATCH($A75,Backlog!$A$2:$A$180,0))),INDEX(Backlog!$AT$2:$AT$180,MATCH($A75,Backlog!$A$2:$A$180,0)),"")</t>
  </si>
  <si>
    <t>F76</t>
  </si>
  <si>
    <t>=IF(ISNUMBER(INDEX(Backlog!$R$2:$R$180,MATCH($A76,Backlog!$A$2:$A$180,0))),INDEX(Backlog!$R$2:$R$180,MATCH($A76,Backlog!$A$2:$A$180,0)),"")</t>
  </si>
  <si>
    <t>=IF(ISNUMBER(INDEX(Backlog!$AT$2:$AT$180,MATCH($A76,Backlog!$A$2:$A$180,0))),INDEX(Backlog!$AT$2:$AT$180,MATCH($A76,Backlog!$A$2:$A$180,0)),"")</t>
  </si>
  <si>
    <t>F77</t>
  </si>
  <si>
    <t>=IF(ISNUMBER(INDEX(Backlog!$R$2:$R$180,MATCH($A77,Backlog!$A$2:$A$180,0))),INDEX(Backlog!$R$2:$R$180,MATCH($A77,Backlog!$A$2:$A$180,0)),"")</t>
  </si>
  <si>
    <t>=IF(ISNUMBER(INDEX(Backlog!$AT$2:$AT$180,MATCH($A77,Backlog!$A$2:$A$180,0))),INDEX(Backlog!$AT$2:$AT$180,MATCH($A77,Backlog!$A$2:$A$180,0)),"")</t>
  </si>
  <si>
    <t>F78</t>
  </si>
  <si>
    <t>=IF(ISNUMBER(INDEX(Backlog!$R$2:$R$180,MATCH($A78,Backlog!$A$2:$A$180,0))),INDEX(Backlog!$R$2:$R$180,MATCH($A78,Backlog!$A$2:$A$180,0)),"")</t>
  </si>
  <si>
    <t>=IF(ISNUMBER(INDEX(Backlog!$AT$2:$AT$180,MATCH($A78,Backlog!$A$2:$A$180,0))),INDEX(Backlog!$AT$2:$AT$180,MATCH($A78,Backlog!$A$2:$A$180,0)),"")</t>
  </si>
  <si>
    <t>F79</t>
  </si>
  <si>
    <t>=IF(ISNUMBER(INDEX(Backlog!$R$2:$R$180,MATCH($A79,Backlog!$A$2:$A$180,0))),INDEX(Backlog!$R$2:$R$180,MATCH($A79,Backlog!$A$2:$A$180,0)),"")</t>
  </si>
  <si>
    <t>=IF(ISNUMBER(INDEX(Backlog!$AT$2:$AT$180,MATCH($A79,Backlog!$A$2:$A$180,0))),INDEX(Backlog!$AT$2:$AT$180,MATCH($A79,Backlog!$A$2:$A$180,0)),"")</t>
  </si>
  <si>
    <t>F80</t>
  </si>
  <si>
    <t>=IF(ISNUMBER(INDEX(Backlog!$R$2:$R$180,MATCH($A80,Backlog!$A$2:$A$180,0))),INDEX(Backlog!$R$2:$R$180,MATCH($A80,Backlog!$A$2:$A$180,0)),"")</t>
  </si>
  <si>
    <t>=IF(ISNUMBER(INDEX(Backlog!$AT$2:$AT$180,MATCH($A80,Backlog!$A$2:$A$180,0))),INDEX(Backlog!$AT$2:$AT$180,MATCH($A80,Backlog!$A$2:$A$180,0)),"")</t>
  </si>
  <si>
    <t>F81</t>
  </si>
  <si>
    <t>=IF(ISNUMBER(INDEX(Backlog!$R$2:$R$180,MATCH($A81,Backlog!$A$2:$A$180,0))),INDEX(Backlog!$R$2:$R$180,MATCH($A81,Backlog!$A$2:$A$180,0)),"")</t>
  </si>
  <si>
    <t>=IF(ISNUMBER(INDEX(Backlog!$AT$2:$AT$180,MATCH($A81,Backlog!$A$2:$A$180,0))),INDEX(Backlog!$AT$2:$AT$180,MATCH($A81,Backlog!$A$2:$A$180,0)),"")</t>
  </si>
  <si>
    <t>F82</t>
  </si>
  <si>
    <t>=IF(ISNUMBER(INDEX(Backlog!$R$2:$R$180,MATCH($A82,Backlog!$A$2:$A$180,0))),INDEX(Backlog!$R$2:$R$180,MATCH($A82,Backlog!$A$2:$A$180,0)),"")</t>
  </si>
  <si>
    <t>=IF(ISNUMBER(INDEX(Backlog!$AT$2:$AT$180,MATCH($A82,Backlog!$A$2:$A$180,0))),INDEX(Backlog!$AT$2:$AT$180,MATCH($A82,Backlog!$A$2:$A$180,0)),"")</t>
  </si>
  <si>
    <t>F83</t>
  </si>
  <si>
    <t>=IF(ISNUMBER(INDEX(Backlog!$R$2:$R$180,MATCH($A83,Backlog!$A$2:$A$180,0))),INDEX(Backlog!$R$2:$R$180,MATCH($A83,Backlog!$A$2:$A$180,0)),"")</t>
  </si>
  <si>
    <t>=IF(ISNUMBER(INDEX(Backlog!$AT$2:$AT$180,MATCH($A83,Backlog!$A$2:$A$180,0))),INDEX(Backlog!$AT$2:$AT$180,MATCH($A83,Backlog!$A$2:$A$180,0)),"")</t>
  </si>
  <si>
    <t>F84</t>
  </si>
  <si>
    <t>=IF(ISNUMBER(INDEX(Backlog!$R$2:$R$180,MATCH($A84,Backlog!$A$2:$A$180,0))),INDEX(Backlog!$R$2:$R$180,MATCH($A84,Backlog!$A$2:$A$180,0)),"")</t>
  </si>
  <si>
    <t>=IF(ISNUMBER(INDEX(Backlog!$AT$2:$AT$180,MATCH($A84,Backlog!$A$2:$A$180,0))),INDEX(Backlog!$AT$2:$AT$180,MATCH($A84,Backlog!$A$2:$A$180,0)),"")</t>
  </si>
  <si>
    <t>F85</t>
  </si>
  <si>
    <t>=IF(ISNUMBER(INDEX(Backlog!$R$2:$R$180,MATCH($A85,Backlog!$A$2:$A$180,0))),INDEX(Backlog!$R$2:$R$180,MATCH($A85,Backlog!$A$2:$A$180,0)),"")</t>
  </si>
  <si>
    <t>=IF(ISNUMBER(INDEX(Backlog!$AT$2:$AT$180,MATCH($A85,Backlog!$A$2:$A$180,0))),INDEX(Backlog!$AT$2:$AT$180,MATCH($A85,Backlog!$A$2:$A$180,0)),"")</t>
  </si>
  <si>
    <t>F86</t>
  </si>
  <si>
    <t>=IF(ISNUMBER(INDEX(Backlog!$R$2:$R$180,MATCH($A86,Backlog!$A$2:$A$180,0))),INDEX(Backlog!$R$2:$R$180,MATCH($A86,Backlog!$A$2:$A$180,0)),"")</t>
  </si>
  <si>
    <t>=IF(ISNUMBER(INDEX(Backlog!$AT$2:$AT$180,MATCH($A86,Backlog!$A$2:$A$180,0))),INDEX(Backlog!$AT$2:$AT$180,MATCH($A86,Backlog!$A$2:$A$180,0)),"")</t>
  </si>
  <si>
    <t>F87</t>
  </si>
  <si>
    <t>=IF(ISNUMBER(INDEX(Backlog!$R$2:$R$180,MATCH($A87,Backlog!$A$2:$A$180,0))),INDEX(Backlog!$R$2:$R$180,MATCH($A87,Backlog!$A$2:$A$180,0)),"")</t>
  </si>
  <si>
    <t>=IF(ISNUMBER(INDEX(Backlog!$AT$2:$AT$180,MATCH($A87,Backlog!$A$2:$A$180,0))),INDEX(Backlog!$AT$2:$AT$180,MATCH($A87,Backlog!$A$2:$A$180,0)),"")</t>
  </si>
  <si>
    <t>F88</t>
  </si>
  <si>
    <t>=IF(ISNUMBER(INDEX(Backlog!$R$2:$R$180,MATCH($A88,Backlog!$A$2:$A$180,0))),INDEX(Backlog!$R$2:$R$180,MATCH($A88,Backlog!$A$2:$A$180,0)),"")</t>
  </si>
  <si>
    <t>=IF(ISNUMBER(INDEX(Backlog!$AT$2:$AT$180,MATCH($A88,Backlog!$A$2:$A$180,0))),INDEX(Backlog!$AT$2:$AT$180,MATCH($A88,Backlog!$A$2:$A$180,0)),"")</t>
  </si>
  <si>
    <t>F89</t>
  </si>
  <si>
    <t>=IF(ISNUMBER(INDEX(Backlog!$R$2:$R$180,MATCH($A89,Backlog!$A$2:$A$180,0))),INDEX(Backlog!$R$2:$R$180,MATCH($A89,Backlog!$A$2:$A$180,0)),"")</t>
  </si>
  <si>
    <t>=IF(ISNUMBER(INDEX(Backlog!$AT$2:$AT$180,MATCH($A89,Backlog!$A$2:$A$180,0))),INDEX(Backlog!$AT$2:$AT$180,MATCH($A89,Backlog!$A$2:$A$180,0)),"")</t>
  </si>
  <si>
    <t>F90</t>
  </si>
  <si>
    <t>=IF(ISNUMBER(INDEX(Backlog!$R$2:$R$180,MATCH($A90,Backlog!$A$2:$A$180,0))),INDEX(Backlog!$R$2:$R$180,MATCH($A90,Backlog!$A$2:$A$180,0)),"")</t>
  </si>
  <si>
    <t>=IF(ISNUMBER(INDEX(Backlog!$AT$2:$AT$180,MATCH($A90,Backlog!$A$2:$A$180,0))),INDEX(Backlog!$AT$2:$AT$180,MATCH($A90,Backlog!$A$2:$A$180,0)),"")</t>
  </si>
  <si>
    <t>F91</t>
  </si>
  <si>
    <t>=IF(ISNUMBER(INDEX(Backlog!$R$2:$R$180,MATCH($A91,Backlog!$A$2:$A$180,0))),INDEX(Backlog!$R$2:$R$180,MATCH($A91,Backlog!$A$2:$A$180,0)),"")</t>
  </si>
  <si>
    <t>=IF(ISNUMBER(INDEX(Backlog!$AT$2:$AT$180,MATCH($A91,Backlog!$A$2:$A$180,0))),INDEX(Backlog!$AT$2:$AT$180,MATCH($A91,Backlog!$A$2:$A$180,0)),"")</t>
  </si>
  <si>
    <t>F92</t>
  </si>
  <si>
    <t>=IF(ISNUMBER(INDEX(Backlog!$R$2:$R$180,MATCH($A92,Backlog!$A$2:$A$180,0))),INDEX(Backlog!$R$2:$R$180,MATCH($A92,Backlog!$A$2:$A$180,0)),"")</t>
  </si>
  <si>
    <t>=IF(ISNUMBER(INDEX(Backlog!$AT$2:$AT$180,MATCH($A92,Backlog!$A$2:$A$180,0))),INDEX(Backlog!$AT$2:$AT$180,MATCH($A92,Backlog!$A$2:$A$180,0)),"")</t>
  </si>
  <si>
    <t>F93</t>
  </si>
  <si>
    <t>=IF(ISNUMBER(INDEX(Backlog!$R$2:$R$180,MATCH($A93,Backlog!$A$2:$A$180,0))),INDEX(Backlog!$R$2:$R$180,MATCH($A93,Backlog!$A$2:$A$180,0)),"")</t>
  </si>
  <si>
    <t>=IF(ISNUMBER(INDEX(Backlog!$AT$2:$AT$180,MATCH($A93,Backlog!$A$2:$A$180,0))),INDEX(Backlog!$AT$2:$AT$180,MATCH($A93,Backlog!$A$2:$A$180,0)),"")</t>
  </si>
  <si>
    <t>F94</t>
  </si>
  <si>
    <t>=IF(ISNUMBER(INDEX(Backlog!$R$2:$R$180,MATCH($A94,Backlog!$A$2:$A$180,0))),INDEX(Backlog!$R$2:$R$180,MATCH($A94,Backlog!$A$2:$A$180,0)),"")</t>
  </si>
  <si>
    <t>=IF(ISNUMBER(INDEX(Backlog!$AT$2:$AT$180,MATCH($A94,Backlog!$A$2:$A$180,0))),INDEX(Backlog!$AT$2:$AT$180,MATCH($A94,Backlog!$A$2:$A$180,0)),"")</t>
  </si>
  <si>
    <t>F95</t>
  </si>
  <si>
    <t>=IF(ISNUMBER(INDEX(Backlog!$R$2:$R$180,MATCH($A95,Backlog!$A$2:$A$180,0))),INDEX(Backlog!$R$2:$R$180,MATCH($A95,Backlog!$A$2:$A$180,0)),"")</t>
  </si>
  <si>
    <t>=IF(ISNUMBER(INDEX(Backlog!$AT$2:$AT$180,MATCH($A95,Backlog!$A$2:$A$180,0))),INDEX(Backlog!$AT$2:$AT$180,MATCH($A95,Backlog!$A$2:$A$180,0)),"")</t>
  </si>
  <si>
    <t>F96</t>
  </si>
  <si>
    <t>=IF(ISNUMBER(INDEX(Backlog!$R$2:$R$180,MATCH($A96,Backlog!$A$2:$A$180,0))),INDEX(Backlog!$R$2:$R$180,MATCH($A96,Backlog!$A$2:$A$180,0)),"")</t>
  </si>
  <si>
    <t>=IF(ISNUMBER(INDEX(Backlog!$AT$2:$AT$180,MATCH($A96,Backlog!$A$2:$A$180,0))),INDEX(Backlog!$AT$2:$AT$180,MATCH($A96,Backlog!$A$2:$A$180,0)),"")</t>
  </si>
  <si>
    <t>F97</t>
  </si>
  <si>
    <t>=IF(ISNUMBER(INDEX(Backlog!$R$2:$R$180,MATCH($A97,Backlog!$A$2:$A$180,0))),INDEX(Backlog!$R$2:$R$180,MATCH($A97,Backlog!$A$2:$A$180,0)),"")</t>
  </si>
  <si>
    <t>=IF(ISNUMBER(INDEX(Backlog!$AT$2:$AT$180,MATCH($A97,Backlog!$A$2:$A$180,0))),INDEX(Backlog!$AT$2:$AT$180,MATCH($A97,Backlog!$A$2:$A$180,0)),"")</t>
  </si>
  <si>
    <t>F98</t>
  </si>
  <si>
    <t>=IF(ISNUMBER(INDEX(Backlog!$R$2:$R$180,MATCH($A98,Backlog!$A$2:$A$180,0))),INDEX(Backlog!$R$2:$R$180,MATCH($A98,Backlog!$A$2:$A$180,0)),"")</t>
  </si>
  <si>
    <t>=IF(ISNUMBER(INDEX(Backlog!$AT$2:$AT$180,MATCH($A98,Backlog!$A$2:$A$180,0))),INDEX(Backlog!$AT$2:$AT$180,MATCH($A98,Backlog!$A$2:$A$180,0)),"")</t>
  </si>
  <si>
    <t>F99</t>
  </si>
  <si>
    <t>=IF(ISNUMBER(INDEX(Backlog!$R$2:$R$180,MATCH($A99,Backlog!$A$2:$A$180,0))),INDEX(Backlog!$R$2:$R$180,MATCH($A99,Backlog!$A$2:$A$180,0)),"")</t>
  </si>
  <si>
    <t>=IF(ISNUMBER(INDEX(Backlog!$AT$2:$AT$180,MATCH($A99,Backlog!$A$2:$A$180,0))),INDEX(Backlog!$AT$2:$AT$180,MATCH($A99,Backlog!$A$2:$A$180,0)),"")</t>
  </si>
  <si>
    <t>F100</t>
  </si>
  <si>
    <t>=IF(ISNUMBER(INDEX(Backlog!$R$2:$R$180,MATCH($A100,Backlog!$A$2:$A$180,0))),INDEX(Backlog!$R$2:$R$180,MATCH($A100,Backlog!$A$2:$A$180,0)),"")</t>
  </si>
  <si>
    <t>=IF(ISNUMBER(INDEX(Backlog!$AT$2:$AT$180,MATCH($A100,Backlog!$A$2:$A$180,0))),INDEX(Backlog!$AT$2:$AT$180,MATCH($A100,Backlog!$A$2:$A$180,0)),"")</t>
  </si>
  <si>
    <t>F101</t>
  </si>
  <si>
    <t>=IF(ISNUMBER(INDEX(Backlog!$R$2:$R$180,MATCH($A101,Backlog!$A$2:$A$180,0))),INDEX(Backlog!$R$2:$R$180,MATCH($A101,Backlog!$A$2:$A$180,0)),"")</t>
  </si>
  <si>
    <t>=IF(ISNUMBER(INDEX(Backlog!$AT$2:$AT$180,MATCH($A101,Backlog!$A$2:$A$180,0))),INDEX(Backlog!$AT$2:$AT$180,MATCH($A101,Backlog!$A$2:$A$180,0)),"")</t>
  </si>
  <si>
    <t>F102</t>
  </si>
  <si>
    <t>=IF(ISNUMBER(INDEX(Backlog!$R$2:$R$180,MATCH($A102,Backlog!$A$2:$A$180,0))),INDEX(Backlog!$R$2:$R$180,MATCH($A102,Backlog!$A$2:$A$180,0)),"")</t>
  </si>
  <si>
    <t>=IF(ISNUMBER(INDEX(Backlog!$AT$2:$AT$180,MATCH($A102,Backlog!$A$2:$A$180,0))),INDEX(Backlog!$AT$2:$AT$180,MATCH($A102,Backlog!$A$2:$A$180,0)),"")</t>
  </si>
  <si>
    <t>F103</t>
  </si>
  <si>
    <t>=IF(ISNUMBER(INDEX(Backlog!$R$2:$R$180,MATCH($A103,Backlog!$A$2:$A$180,0))),INDEX(Backlog!$R$2:$R$180,MATCH($A103,Backlog!$A$2:$A$180,0)),"")</t>
  </si>
  <si>
    <t>=IF(ISNUMBER(INDEX(Backlog!$AT$2:$AT$180,MATCH($A103,Backlog!$A$2:$A$180,0))),INDEX(Backlog!$AT$2:$AT$180,MATCH($A103,Backlog!$A$2:$A$180,0)),"")</t>
  </si>
  <si>
    <t>F104</t>
  </si>
  <si>
    <t>=IF(ISNUMBER(INDEX(Backlog!$R$2:$R$180,MATCH($A104,Backlog!$A$2:$A$180,0))),INDEX(Backlog!$R$2:$R$180,MATCH($A104,Backlog!$A$2:$A$180,0)),"")</t>
  </si>
  <si>
    <t>=IF(ISNUMBER(INDEX(Backlog!$AT$2:$AT$180,MATCH($A104,Backlog!$A$2:$A$180,0))),INDEX(Backlog!$AT$2:$AT$180,MATCH($A104,Backlog!$A$2:$A$180,0)),"")</t>
  </si>
  <si>
    <t>F105</t>
  </si>
  <si>
    <t>=IF(ISNUMBER(INDEX(Backlog!$R$2:$R$180,MATCH($A105,Backlog!$A$2:$A$180,0))),INDEX(Backlog!$R$2:$R$180,MATCH($A105,Backlog!$A$2:$A$180,0)),"")</t>
  </si>
  <si>
    <t>=IF(ISNUMBER(INDEX(Backlog!$AT$2:$AT$180,MATCH($A105,Backlog!$A$2:$A$180,0))),INDEX(Backlog!$AT$2:$AT$180,MATCH($A105,Backlog!$A$2:$A$180,0)),"")</t>
  </si>
  <si>
    <t>F106</t>
  </si>
  <si>
    <t>=IF(ISNUMBER(INDEX(Backlog!$R$2:$R$180,MATCH($A106,Backlog!$A$2:$A$180,0))),INDEX(Backlog!$R$2:$R$180,MATCH($A106,Backlog!$A$2:$A$180,0)),"")</t>
  </si>
  <si>
    <t>=IF(ISNUMBER(INDEX(Backlog!$AT$2:$AT$180,MATCH($A106,Backlog!$A$2:$A$180,0))),INDEX(Backlog!$AT$2:$AT$180,MATCH($A106,Backlog!$A$2:$A$180,0)),"")</t>
  </si>
  <si>
    <t>F107</t>
  </si>
  <si>
    <t>=IF(ISNUMBER(INDEX(Backlog!$R$2:$R$180,MATCH($A107,Backlog!$A$2:$A$180,0))),INDEX(Backlog!$R$2:$R$180,MATCH($A107,Backlog!$A$2:$A$180,0)),"")</t>
  </si>
  <si>
    <t>=IF(ISNUMBER(INDEX(Backlog!$AT$2:$AT$180,MATCH($A107,Backlog!$A$2:$A$180,0))),INDEX(Backlog!$AT$2:$AT$180,MATCH($A107,Backlog!$A$2:$A$180,0)),"")</t>
  </si>
  <si>
    <t>F108</t>
  </si>
  <si>
    <t>=IF(ISNUMBER(INDEX(Backlog!$R$2:$R$180,MATCH($A108,Backlog!$A$2:$A$180,0))),INDEX(Backlog!$R$2:$R$180,MATCH($A108,Backlog!$A$2:$A$180,0)),"")</t>
  </si>
  <si>
    <t>=IF(ISNUMBER(INDEX(Backlog!$AT$2:$AT$180,MATCH($A108,Backlog!$A$2:$A$180,0))),INDEX(Backlog!$AT$2:$AT$180,MATCH($A108,Backlog!$A$2:$A$180,0)),"")</t>
  </si>
  <si>
    <t>F109</t>
  </si>
  <si>
    <t>=IF(ISNUMBER(INDEX(Backlog!$R$2:$R$180,MATCH($A109,Backlog!$A$2:$A$180,0))),INDEX(Backlog!$R$2:$R$180,MATCH($A109,Backlog!$A$2:$A$180,0)),"")</t>
  </si>
  <si>
    <t>=IF(ISNUMBER(INDEX(Backlog!$AT$2:$AT$180,MATCH($A109,Backlog!$A$2:$A$180,0))),INDEX(Backlog!$AT$2:$AT$180,MATCH($A109,Backlog!$A$2:$A$180,0)),"")</t>
  </si>
  <si>
    <t>F110</t>
  </si>
  <si>
    <t>=IF(ISNUMBER(INDEX(Backlog!$R$2:$R$180,MATCH($A110,Backlog!$A$2:$A$180,0))),INDEX(Backlog!$R$2:$R$180,MATCH($A110,Backlog!$A$2:$A$180,0)),"")</t>
  </si>
  <si>
    <t>=IF(ISNUMBER(INDEX(Backlog!$AT$2:$AT$180,MATCH($A110,Backlog!$A$2:$A$180,0))),INDEX(Backlog!$AT$2:$AT$180,MATCH($A110,Backlog!$A$2:$A$180,0)),"")</t>
  </si>
  <si>
    <t>F111</t>
  </si>
  <si>
    <t>=IF(ISNUMBER(INDEX(Backlog!$R$2:$R$180,MATCH($A111,Backlog!$A$2:$A$180,0))),INDEX(Backlog!$R$2:$R$180,MATCH($A111,Backlog!$A$2:$A$180,0)),"")</t>
  </si>
  <si>
    <t>=IF(ISNUMBER(INDEX(Backlog!$AT$2:$AT$180,MATCH($A111,Backlog!$A$2:$A$180,0))),INDEX(Backlog!$AT$2:$AT$180,MATCH($A111,Backlog!$A$2:$A$180,0)),"")</t>
  </si>
  <si>
    <t>F112</t>
  </si>
  <si>
    <t>=IF(ISNUMBER(INDEX(Backlog!$R$2:$R$180,MATCH($A112,Backlog!$A$2:$A$180,0))),INDEX(Backlog!$R$2:$R$180,MATCH($A112,Backlog!$A$2:$A$180,0)),"")</t>
  </si>
  <si>
    <t>=IF(ISNUMBER(INDEX(Backlog!$AT$2:$AT$180,MATCH($A112,Backlog!$A$2:$A$180,0))),INDEX(Backlog!$AT$2:$AT$180,MATCH($A112,Backlog!$A$2:$A$180,0)),"")</t>
  </si>
  <si>
    <t>F113</t>
  </si>
  <si>
    <t>=IF(ISNUMBER(INDEX(Backlog!$R$2:$R$180,MATCH($A113,Backlog!$A$2:$A$180,0))),INDEX(Backlog!$R$2:$R$180,MATCH($A113,Backlog!$A$2:$A$180,0)),"")</t>
  </si>
  <si>
    <t>=IF(ISNUMBER(INDEX(Backlog!$AT$2:$AT$180,MATCH($A113,Backlog!$A$2:$A$180,0))),INDEX(Backlog!$AT$2:$AT$180,MATCH($A113,Backlog!$A$2:$A$180,0)),"")</t>
  </si>
  <si>
    <t>F114</t>
  </si>
  <si>
    <t>=IF(ISNUMBER(INDEX(Backlog!$R$2:$R$180,MATCH($A114,Backlog!$A$2:$A$180,0))),INDEX(Backlog!$R$2:$R$180,MATCH($A114,Backlog!$A$2:$A$180,0)),"")</t>
  </si>
  <si>
    <t>=IF(ISNUMBER(INDEX(Backlog!$AT$2:$AT$180,MATCH($A114,Backlog!$A$2:$A$180,0))),INDEX(Backlog!$AT$2:$AT$180,MATCH($A114,Backlog!$A$2:$A$180,0)),"")</t>
  </si>
  <si>
    <t>F115</t>
  </si>
  <si>
    <t>=IF(ISNUMBER(INDEX(Backlog!$R$2:$R$180,MATCH($A115,Backlog!$A$2:$A$180,0))),INDEX(Backlog!$R$2:$R$180,MATCH($A115,Backlog!$A$2:$A$180,0)),"")</t>
  </si>
  <si>
    <t>=IF(ISNUMBER(INDEX(Backlog!$AT$2:$AT$180,MATCH($A115,Backlog!$A$2:$A$180,0))),INDEX(Backlog!$AT$2:$AT$180,MATCH($A115,Backlog!$A$2:$A$180,0)),"")</t>
  </si>
  <si>
    <t>F116</t>
  </si>
  <si>
    <t>=IF(ISNUMBER(INDEX(Backlog!$R$2:$R$180,MATCH($A116,Backlog!$A$2:$A$180,0))),INDEX(Backlog!$R$2:$R$180,MATCH($A116,Backlog!$A$2:$A$180,0)),"")</t>
  </si>
  <si>
    <t>=IF(ISNUMBER(INDEX(Backlog!$AT$2:$AT$180,MATCH($A116,Backlog!$A$2:$A$180,0))),INDEX(Backlog!$AT$2:$AT$180,MATCH($A116,Backlog!$A$2:$A$180,0)),"")</t>
  </si>
  <si>
    <t>F117</t>
  </si>
  <si>
    <t>=IF(ISNUMBER(INDEX(Backlog!$R$2:$R$180,MATCH($A117,Backlog!$A$2:$A$180,0))),INDEX(Backlog!$R$2:$R$180,MATCH($A117,Backlog!$A$2:$A$180,0)),"")</t>
  </si>
  <si>
    <t>=IF(ISNUMBER(INDEX(Backlog!$AT$2:$AT$180,MATCH($A117,Backlog!$A$2:$A$180,0))),INDEX(Backlog!$AT$2:$AT$180,MATCH($A117,Backlog!$A$2:$A$180,0)),"")</t>
  </si>
  <si>
    <t>F118</t>
  </si>
  <si>
    <t>=IF(ISNUMBER(INDEX(Backlog!$R$2:$R$180,MATCH($A118,Backlog!$A$2:$A$180,0))),INDEX(Backlog!$R$2:$R$180,MATCH($A118,Backlog!$A$2:$A$180,0)),"")</t>
  </si>
  <si>
    <t>=IF(ISNUMBER(INDEX(Backlog!$AT$2:$AT$180,MATCH($A118,Backlog!$A$2:$A$180,0))),INDEX(Backlog!$AT$2:$AT$180,MATCH($A118,Backlog!$A$2:$A$180,0)),"")</t>
  </si>
  <si>
    <t>F119</t>
  </si>
  <si>
    <t>=IF(ISNUMBER(INDEX(Backlog!$R$2:$R$180,MATCH($A119,Backlog!$A$2:$A$180,0))),INDEX(Backlog!$R$2:$R$180,MATCH($A119,Backlog!$A$2:$A$180,0)),"")</t>
  </si>
  <si>
    <t>=IF(ISNUMBER(INDEX(Backlog!$AT$2:$AT$180,MATCH($A119,Backlog!$A$2:$A$180,0))),INDEX(Backlog!$AT$2:$AT$180,MATCH($A119,Backlog!$A$2:$A$180,0)),"")</t>
  </si>
  <si>
    <t>F120</t>
  </si>
  <si>
    <t>=IF(ISNUMBER(INDEX(Backlog!$R$2:$R$180,MATCH($A120,Backlog!$A$2:$A$180,0))),INDEX(Backlog!$R$2:$R$180,MATCH($A120,Backlog!$A$2:$A$180,0)),"")</t>
  </si>
  <si>
    <t>=IF(ISNUMBER(INDEX(Backlog!$AT$2:$AT$180,MATCH($A120,Backlog!$A$2:$A$180,0))),INDEX(Backlog!$AT$2:$AT$180,MATCH($A120,Backlog!$A$2:$A$180,0)),"")</t>
  </si>
  <si>
    <t>F121</t>
  </si>
  <si>
    <t>=IF(ISNUMBER(INDEX(Backlog!$R$2:$R$180,MATCH($A121,Backlog!$A$2:$A$180,0))),INDEX(Backlog!$R$2:$R$180,MATCH($A121,Backlog!$A$2:$A$180,0)),"")</t>
  </si>
  <si>
    <t>=IF(ISNUMBER(INDEX(Backlog!$AT$2:$AT$180,MATCH($A121,Backlog!$A$2:$A$180,0))),INDEX(Backlog!$AT$2:$AT$180,MATCH($A121,Backlog!$A$2:$A$180,0)),"")</t>
  </si>
  <si>
    <t>F122</t>
  </si>
  <si>
    <t>=IF(ISNUMBER(INDEX(Backlog!$R$2:$R$180,MATCH($A122,Backlog!$A$2:$A$180,0))),INDEX(Backlog!$R$2:$R$180,MATCH($A122,Backlog!$A$2:$A$180,0)),"")</t>
  </si>
  <si>
    <t>=IF(ISNUMBER(INDEX(Backlog!$AT$2:$AT$180,MATCH($A122,Backlog!$A$2:$A$180,0))),INDEX(Backlog!$AT$2:$AT$180,MATCH($A122,Backlog!$A$2:$A$180,0)),"")</t>
  </si>
  <si>
    <t>F123</t>
  </si>
  <si>
    <t>=IF(ISNUMBER(INDEX(Backlog!$R$2:$R$180,MATCH($A123,Backlog!$A$2:$A$180,0))),INDEX(Backlog!$R$2:$R$180,MATCH($A123,Backlog!$A$2:$A$180,0)),"")</t>
  </si>
  <si>
    <t>=IF(ISNUMBER(INDEX(Backlog!$AT$2:$AT$180,MATCH($A123,Backlog!$A$2:$A$180,0))),INDEX(Backlog!$AT$2:$AT$180,MATCH($A123,Backlog!$A$2:$A$180,0)),"")</t>
  </si>
  <si>
    <t>F124</t>
  </si>
  <si>
    <t>=IF(ISNUMBER(INDEX(Backlog!$R$2:$R$180,MATCH($A124,Backlog!$A$2:$A$180,0))),INDEX(Backlog!$R$2:$R$180,MATCH($A124,Backlog!$A$2:$A$180,0)),"")</t>
  </si>
  <si>
    <t>=IF(ISNUMBER(INDEX(Backlog!$AT$2:$AT$180,MATCH($A124,Backlog!$A$2:$A$180,0))),INDEX(Backlog!$AT$2:$AT$180,MATCH($A124,Backlog!$A$2:$A$180,0)),"")</t>
  </si>
  <si>
    <t>F125</t>
  </si>
  <si>
    <t>=IF(ISNUMBER(INDEX(Backlog!$R$2:$R$180,MATCH($A125,Backlog!$A$2:$A$180,0))),INDEX(Backlog!$R$2:$R$180,MATCH($A125,Backlog!$A$2:$A$180,0)),"")</t>
  </si>
  <si>
    <t>=IF(ISNUMBER(INDEX(Backlog!$AT$2:$AT$180,MATCH($A125,Backlog!$A$2:$A$180,0))),INDEX(Backlog!$AT$2:$AT$180,MATCH($A125,Backlog!$A$2:$A$180,0)),"")</t>
  </si>
  <si>
    <t>F126</t>
  </si>
  <si>
    <t>=IF(ISNUMBER(INDEX(Backlog!$R$2:$R$180,MATCH($A126,Backlog!$A$2:$A$180,0))),INDEX(Backlog!$R$2:$R$180,MATCH($A126,Backlog!$A$2:$A$180,0)),"")</t>
  </si>
  <si>
    <t>=IF(ISNUMBER(INDEX(Backlog!$AT$2:$AT$180,MATCH($A126,Backlog!$A$2:$A$180,0))),INDEX(Backlog!$AT$2:$AT$180,MATCH($A126,Backlog!$A$2:$A$180,0)),"")</t>
  </si>
  <si>
    <t>F127</t>
  </si>
  <si>
    <t>=IF(ISNUMBER(INDEX(Backlog!$R$2:$R$180,MATCH($A127,Backlog!$A$2:$A$180,0))),INDEX(Backlog!$R$2:$R$180,MATCH($A127,Backlog!$A$2:$A$180,0)),"")</t>
  </si>
  <si>
    <t>=IF(ISNUMBER(INDEX(Backlog!$AT$2:$AT$180,MATCH($A127,Backlog!$A$2:$A$180,0))),INDEX(Backlog!$AT$2:$AT$180,MATCH($A127,Backlog!$A$2:$A$180,0)),"")</t>
  </si>
  <si>
    <t>F128</t>
  </si>
  <si>
    <t>=IF(ISNUMBER(INDEX(Backlog!$R$2:$R$180,MATCH($A128,Backlog!$A$2:$A$180,0))),INDEX(Backlog!$R$2:$R$180,MATCH($A128,Backlog!$A$2:$A$180,0)),"")</t>
  </si>
  <si>
    <t>=IF(ISNUMBER(INDEX(Backlog!$AT$2:$AT$180,MATCH($A128,Backlog!$A$2:$A$180,0))),INDEX(Backlog!$AT$2:$AT$180,MATCH($A128,Backlog!$A$2:$A$180,0)),"")</t>
  </si>
  <si>
    <t>F129</t>
  </si>
  <si>
    <t>=IF(ISNUMBER(INDEX(Backlog!$R$2:$R$180,MATCH($A129,Backlog!$A$2:$A$180,0))),INDEX(Backlog!$R$2:$R$180,MATCH($A129,Backlog!$A$2:$A$180,0)),"")</t>
  </si>
  <si>
    <t>=IF(ISNUMBER(INDEX(Backlog!$AT$2:$AT$180,MATCH($A129,Backlog!$A$2:$A$180,0))),INDEX(Backlog!$AT$2:$AT$180,MATCH($A129,Backlog!$A$2:$A$180,0)),"")</t>
  </si>
  <si>
    <t>F130</t>
  </si>
  <si>
    <t>=IF(ISNUMBER(INDEX(Backlog!$R$2:$R$180,MATCH($A130,Backlog!$A$2:$A$180,0))),INDEX(Backlog!$R$2:$R$180,MATCH($A130,Backlog!$A$2:$A$180,0)),"")</t>
  </si>
  <si>
    <t>=IF(ISNUMBER(INDEX(Backlog!$AT$2:$AT$180,MATCH($A130,Backlog!$A$2:$A$180,0))),INDEX(Backlog!$AT$2:$AT$180,MATCH($A130,Backlog!$A$2:$A$180,0)),"")</t>
  </si>
  <si>
    <t>F131</t>
  </si>
  <si>
    <t>=IF(ISNUMBER(INDEX(Backlog!$R$2:$R$180,MATCH($A131,Backlog!$A$2:$A$180,0))),INDEX(Backlog!$R$2:$R$180,MATCH($A131,Backlog!$A$2:$A$180,0)),"")</t>
  </si>
  <si>
    <t>=IF(ISNUMBER(INDEX(Backlog!$AT$2:$AT$180,MATCH($A131,Backlog!$A$2:$A$180,0))),INDEX(Backlog!$AT$2:$AT$180,MATCH($A131,Backlog!$A$2:$A$180,0)),"")</t>
  </si>
  <si>
    <t>F132</t>
  </si>
  <si>
    <t>=IF(ISNUMBER(INDEX(Backlog!$R$2:$R$180,MATCH($A132,Backlog!$A$2:$A$180,0))),INDEX(Backlog!$R$2:$R$180,MATCH($A132,Backlog!$A$2:$A$180,0)),"")</t>
  </si>
  <si>
    <t>=IF(ISNUMBER(INDEX(Backlog!$AT$2:$AT$180,MATCH($A132,Backlog!$A$2:$A$180,0))),INDEX(Backlog!$AT$2:$AT$180,MATCH($A132,Backlog!$A$2:$A$180,0)),"")</t>
  </si>
  <si>
    <t>F133</t>
  </si>
  <si>
    <t>=IF(ISNUMBER(INDEX(Backlog!$R$2:$R$180,MATCH($A133,Backlog!$A$2:$A$180,0))),INDEX(Backlog!$R$2:$R$180,MATCH($A133,Backlog!$A$2:$A$180,0)),"")</t>
  </si>
  <si>
    <t>=IF(ISNUMBER(INDEX(Backlog!$AT$2:$AT$180,MATCH($A133,Backlog!$A$2:$A$180,0))),INDEX(Backlog!$AT$2:$AT$180,MATCH($A133,Backlog!$A$2:$A$180,0)),"")</t>
  </si>
  <si>
    <t>F134</t>
  </si>
  <si>
    <t>=IF(ISNUMBER(INDEX(Backlog!$R$2:$R$180,MATCH($A134,Backlog!$A$2:$A$180,0))),INDEX(Backlog!$R$2:$R$180,MATCH($A134,Backlog!$A$2:$A$180,0)),"")</t>
  </si>
  <si>
    <t>=IF(ISNUMBER(INDEX(Backlog!$AT$2:$AT$180,MATCH($A134,Backlog!$A$2:$A$180,0))),INDEX(Backlog!$AT$2:$AT$180,MATCH($A134,Backlog!$A$2:$A$180,0)),"")</t>
  </si>
  <si>
    <t>F135</t>
  </si>
  <si>
    <t>=IF(ISNUMBER(INDEX(Backlog!$R$2:$R$180,MATCH($A135,Backlog!$A$2:$A$180,0))),INDEX(Backlog!$R$2:$R$180,MATCH($A135,Backlog!$A$2:$A$180,0)),"")</t>
  </si>
  <si>
    <t>=IF(ISNUMBER(INDEX(Backlog!$AT$2:$AT$180,MATCH($A135,Backlog!$A$2:$A$180,0))),INDEX(Backlog!$AT$2:$AT$180,MATCH($A135,Backlog!$A$2:$A$180,0)),"")</t>
  </si>
  <si>
    <t>F136</t>
  </si>
  <si>
    <t>=IF(ISNUMBER(INDEX(Backlog!$R$2:$R$180,MATCH($A136,Backlog!$A$2:$A$180,0))),INDEX(Backlog!$R$2:$R$180,MATCH($A136,Backlog!$A$2:$A$180,0)),"")</t>
  </si>
  <si>
    <t>=IF(ISNUMBER(INDEX(Backlog!$AT$2:$AT$180,MATCH($A136,Backlog!$A$2:$A$180,0))),INDEX(Backlog!$AT$2:$AT$180,MATCH($A136,Backlog!$A$2:$A$180,0)),"")</t>
  </si>
  <si>
    <t>F137</t>
  </si>
  <si>
    <t>=IF(ISNUMBER(INDEX(Backlog!$R$2:$R$180,MATCH($A137,Backlog!$A$2:$A$180,0))),INDEX(Backlog!$R$2:$R$180,MATCH($A137,Backlog!$A$2:$A$180,0)),"")</t>
  </si>
  <si>
    <t>=IF(ISNUMBER(INDEX(Backlog!$AT$2:$AT$180,MATCH($A137,Backlog!$A$2:$A$180,0))),INDEX(Backlog!$AT$2:$AT$180,MATCH($A137,Backlog!$A$2:$A$180,0)),"")</t>
  </si>
  <si>
    <t>F138</t>
  </si>
  <si>
    <t>=IF(ISNUMBER(INDEX(Backlog!$R$2:$R$180,MATCH($A138,Backlog!$A$2:$A$180,0))),INDEX(Backlog!$R$2:$R$180,MATCH($A138,Backlog!$A$2:$A$180,0)),"")</t>
  </si>
  <si>
    <t>=IF(ISNUMBER(INDEX(Backlog!$AT$2:$AT$180,MATCH($A138,Backlog!$A$2:$A$180,0))),INDEX(Backlog!$AT$2:$AT$180,MATCH($A138,Backlog!$A$2:$A$180,0)),"")</t>
  </si>
  <si>
    <t>F139</t>
  </si>
  <si>
    <t>=IF(ISNUMBER(INDEX(Backlog!$R$2:$R$180,MATCH($A139,Backlog!$A$2:$A$180,0))),INDEX(Backlog!$R$2:$R$180,MATCH($A139,Backlog!$A$2:$A$180,0)),"")</t>
  </si>
  <si>
    <t>=IF(ISNUMBER(INDEX(Backlog!$AT$2:$AT$180,MATCH($A139,Backlog!$A$2:$A$180,0))),INDEX(Backlog!$AT$2:$AT$180,MATCH($A139,Backlog!$A$2:$A$180,0)),"")</t>
  </si>
  <si>
    <t>F140</t>
  </si>
  <si>
    <t>=IF(ISNUMBER(INDEX(Backlog!$R$2:$R$180,MATCH($A140,Backlog!$A$2:$A$180,0))),INDEX(Backlog!$R$2:$R$180,MATCH($A140,Backlog!$A$2:$A$180,0)),"")</t>
  </si>
  <si>
    <t>=IF(ISNUMBER(INDEX(Backlog!$AT$2:$AT$180,MATCH($A140,Backlog!$A$2:$A$180,0))),INDEX(Backlog!$AT$2:$AT$180,MATCH($A140,Backlog!$A$2:$A$180,0)),"")</t>
  </si>
  <si>
    <t>F141</t>
  </si>
  <si>
    <t>=IF(ISNUMBER(INDEX(Backlog!$R$2:$R$180,MATCH($A141,Backlog!$A$2:$A$180,0))),INDEX(Backlog!$R$2:$R$180,MATCH($A141,Backlog!$A$2:$A$180,0)),"")</t>
  </si>
  <si>
    <t>=IF(ISNUMBER(INDEX(Backlog!$AT$2:$AT$180,MATCH($A141,Backlog!$A$2:$A$180,0))),INDEX(Backlog!$AT$2:$AT$180,MATCH($A141,Backlog!$A$2:$A$180,0)),"")</t>
  </si>
  <si>
    <t>F142</t>
  </si>
  <si>
    <t>=IF(ISNUMBER(INDEX(Backlog!$R$2:$R$180,MATCH($A142,Backlog!$A$2:$A$180,0))),INDEX(Backlog!$R$2:$R$180,MATCH($A142,Backlog!$A$2:$A$180,0)),"")</t>
  </si>
  <si>
    <t>=IF(ISNUMBER(INDEX(Backlog!$AT$2:$AT$180,MATCH($A142,Backlog!$A$2:$A$180,0))),INDEX(Backlog!$AT$2:$AT$180,MATCH($A142,Backlog!$A$2:$A$180,0)),"")</t>
  </si>
  <si>
    <t>F143</t>
  </si>
  <si>
    <t>=IF(ISNUMBER(INDEX(Backlog!$R$2:$R$180,MATCH($A143,Backlog!$A$2:$A$180,0))),INDEX(Backlog!$R$2:$R$180,MATCH($A143,Backlog!$A$2:$A$180,0)),"")</t>
  </si>
  <si>
    <t>=IF(ISNUMBER(INDEX(Backlog!$AT$2:$AT$180,MATCH($A143,Backlog!$A$2:$A$180,0))),INDEX(Backlog!$AT$2:$AT$180,MATCH($A143,Backlog!$A$2:$A$180,0)),"")</t>
  </si>
  <si>
    <t>F144</t>
  </si>
  <si>
    <t>=IF(ISNUMBER(INDEX(Backlog!$R$2:$R$180,MATCH($A144,Backlog!$A$2:$A$180,0))),INDEX(Backlog!$R$2:$R$180,MATCH($A144,Backlog!$A$2:$A$180,0)),"")</t>
  </si>
  <si>
    <t>=IF(ISNUMBER(INDEX(Backlog!$AT$2:$AT$180,MATCH($A144,Backlog!$A$2:$A$180,0))),INDEX(Backlog!$AT$2:$AT$180,MATCH($A144,Backlog!$A$2:$A$180,0)),"")</t>
  </si>
  <si>
    <t>F145</t>
  </si>
  <si>
    <t>=IF(ISNUMBER(INDEX(Backlog!$R$2:$R$180,MATCH($A145,Backlog!$A$2:$A$180,0))),INDEX(Backlog!$R$2:$R$180,MATCH($A145,Backlog!$A$2:$A$180,0)),"")</t>
  </si>
  <si>
    <t>=IF(ISNUMBER(INDEX(Backlog!$AT$2:$AT$180,MATCH($A145,Backlog!$A$2:$A$180,0))),INDEX(Backlog!$AT$2:$AT$180,MATCH($A145,Backlog!$A$2:$A$180,0)),"")</t>
  </si>
  <si>
    <t>F146</t>
  </si>
  <si>
    <t>=IF(ISNUMBER(INDEX(Backlog!$R$2:$R$180,MATCH($A146,Backlog!$A$2:$A$180,0))),INDEX(Backlog!$R$2:$R$180,MATCH($A146,Backlog!$A$2:$A$180,0)),"")</t>
  </si>
  <si>
    <t>=IF(ISNUMBER(INDEX(Backlog!$AT$2:$AT$180,MATCH($A146,Backlog!$A$2:$A$180,0))),INDEX(Backlog!$AT$2:$AT$180,MATCH($A146,Backlog!$A$2:$A$180,0)),"")</t>
  </si>
  <si>
    <t>F147</t>
  </si>
  <si>
    <t>=IF(ISNUMBER(INDEX(Backlog!$R$2:$R$180,MATCH($A147,Backlog!$A$2:$A$180,0))),INDEX(Backlog!$R$2:$R$180,MATCH($A147,Backlog!$A$2:$A$180,0)),"")</t>
  </si>
  <si>
    <t>=IF(ISNUMBER(INDEX(Backlog!$AT$2:$AT$180,MATCH($A147,Backlog!$A$2:$A$180,0))),INDEX(Backlog!$AT$2:$AT$180,MATCH($A147,Backlog!$A$2:$A$180,0)),"")</t>
  </si>
  <si>
    <t>F148</t>
  </si>
  <si>
    <t>=IF(ISNUMBER(INDEX(Backlog!$R$2:$R$180,MATCH($A148,Backlog!$A$2:$A$180,0))),INDEX(Backlog!$R$2:$R$180,MATCH($A148,Backlog!$A$2:$A$180,0)),"")</t>
  </si>
  <si>
    <t>=IF(ISNUMBER(INDEX(Backlog!$AT$2:$AT$180,MATCH($A148,Backlog!$A$2:$A$180,0))),INDEX(Backlog!$AT$2:$AT$180,MATCH($A148,Backlog!$A$2:$A$180,0)),"")</t>
  </si>
  <si>
    <t>F149</t>
  </si>
  <si>
    <t>=IF(ISNUMBER(INDEX(Backlog!$R$2:$R$180,MATCH($A149,Backlog!$A$2:$A$180,0))),INDEX(Backlog!$R$2:$R$180,MATCH($A149,Backlog!$A$2:$A$180,0)),"")</t>
  </si>
  <si>
    <t>=IF(ISNUMBER(INDEX(Backlog!$AT$2:$AT$180,MATCH($A149,Backlog!$A$2:$A$180,0))),INDEX(Backlog!$AT$2:$AT$180,MATCH($A149,Backlog!$A$2:$A$180,0)),"")</t>
  </si>
  <si>
    <t>F150</t>
  </si>
  <si>
    <t>=IF(ISNUMBER(INDEX(Backlog!$R$2:$R$180,MATCH($A150,Backlog!$A$2:$A$180,0))),INDEX(Backlog!$R$2:$R$180,MATCH($A150,Backlog!$A$2:$A$180,0)),"")</t>
  </si>
  <si>
    <t>=IF(ISNUMBER(INDEX(Backlog!$AT$2:$AT$180,MATCH($A150,Backlog!$A$2:$A$180,0))),INDEX(Backlog!$AT$2:$AT$180,MATCH($A150,Backlog!$A$2:$A$180,0)),"")</t>
  </si>
  <si>
    <t>F151</t>
  </si>
  <si>
    <t>=IF(ISNUMBER(INDEX(Backlog!$R$2:$R$180,MATCH($A151,Backlog!$A$2:$A$180,0))),INDEX(Backlog!$R$2:$R$180,MATCH($A151,Backlog!$A$2:$A$180,0)),"")</t>
  </si>
  <si>
    <t>=IF(ISNUMBER(INDEX(Backlog!$AT$2:$AT$180,MATCH($A151,Backlog!$A$2:$A$180,0))),INDEX(Backlog!$AT$2:$AT$180,MATCH($A151,Backlog!$A$2:$A$180,0)),"")</t>
  </si>
  <si>
    <t>F152</t>
  </si>
  <si>
    <t>=IF(ISNUMBER(INDEX(Backlog!$R$2:$R$180,MATCH($A152,Backlog!$A$2:$A$180,0))),INDEX(Backlog!$R$2:$R$180,MATCH($A152,Backlog!$A$2:$A$180,0)),"")</t>
  </si>
  <si>
    <t>=IF(ISNUMBER(INDEX(Backlog!$AT$2:$AT$180,MATCH($A152,Backlog!$A$2:$A$180,0))),INDEX(Backlog!$AT$2:$AT$180,MATCH($A152,Backlog!$A$2:$A$180,0)),"")</t>
  </si>
  <si>
    <t>F153</t>
  </si>
  <si>
    <t>=IF(ISNUMBER(INDEX(Backlog!$R$2:$R$180,MATCH($A153,Backlog!$A$2:$A$180,0))),INDEX(Backlog!$R$2:$R$180,MATCH($A153,Backlog!$A$2:$A$180,0)),"")</t>
  </si>
  <si>
    <t>=IF(ISNUMBER(INDEX(Backlog!$AT$2:$AT$180,MATCH($A153,Backlog!$A$2:$A$180,0))),INDEX(Backlog!$AT$2:$AT$180,MATCH($A153,Backlog!$A$2:$A$180,0)),"")</t>
  </si>
  <si>
    <t>F154</t>
  </si>
  <si>
    <t>=IF(ISNUMBER(INDEX(Backlog!$R$2:$R$180,MATCH($A154,Backlog!$A$2:$A$180,0))),INDEX(Backlog!$R$2:$R$180,MATCH($A154,Backlog!$A$2:$A$180,0)),"")</t>
  </si>
  <si>
    <t>=IF(ISNUMBER(INDEX(Backlog!$AT$2:$AT$180,MATCH($A154,Backlog!$A$2:$A$180,0))),INDEX(Backlog!$AT$2:$AT$180,MATCH($A154,Backlog!$A$2:$A$180,0)),"")</t>
  </si>
  <si>
    <t>F155</t>
  </si>
  <si>
    <t>=IF(ISNUMBER(INDEX(Backlog!$R$2:$R$180,MATCH($A155,Backlog!$A$2:$A$180,0))),INDEX(Backlog!$R$2:$R$180,MATCH($A155,Backlog!$A$2:$A$180,0)),"")</t>
  </si>
  <si>
    <t>=IF(ISNUMBER(INDEX(Backlog!$AT$2:$AT$180,MATCH($A155,Backlog!$A$2:$A$180,0))),INDEX(Backlog!$AT$2:$AT$180,MATCH($A155,Backlog!$A$2:$A$180,0)),"")</t>
  </si>
  <si>
    <t>F156</t>
  </si>
  <si>
    <t>=IF(ISNUMBER(INDEX(Backlog!$R$2:$R$180,MATCH($A156,Backlog!$A$2:$A$180,0))),INDEX(Backlog!$R$2:$R$180,MATCH($A156,Backlog!$A$2:$A$180,0)),"")</t>
  </si>
  <si>
    <t>=IF(ISNUMBER(INDEX(Backlog!$AT$2:$AT$180,MATCH($A156,Backlog!$A$2:$A$180,0))),INDEX(Backlog!$AT$2:$AT$180,MATCH($A156,Backlog!$A$2:$A$180,0)),"")</t>
  </si>
  <si>
    <t>F157</t>
  </si>
  <si>
    <t>=IF(ISNUMBER(INDEX(Backlog!$R$2:$R$180,MATCH($A157,Backlog!$A$2:$A$180,0))),INDEX(Backlog!$R$2:$R$180,MATCH($A157,Backlog!$A$2:$A$180,0)),"")</t>
  </si>
  <si>
    <t>=IF(ISNUMBER(INDEX(Backlog!$AT$2:$AT$180,MATCH($A157,Backlog!$A$2:$A$180,0))),INDEX(Backlog!$AT$2:$AT$180,MATCH($A157,Backlog!$A$2:$A$180,0)),"")</t>
  </si>
  <si>
    <t>F158</t>
  </si>
  <si>
    <t>=IF(ISNUMBER(INDEX(Backlog!$R$2:$R$180,MATCH($A158,Backlog!$A$2:$A$180,0))),INDEX(Backlog!$R$2:$R$180,MATCH($A158,Backlog!$A$2:$A$180,0)),"")</t>
  </si>
  <si>
    <t>=IF(ISNUMBER(INDEX(Backlog!$AT$2:$AT$180,MATCH($A158,Backlog!$A$2:$A$180,0))),INDEX(Backlog!$AT$2:$AT$180,MATCH($A158,Backlog!$A$2:$A$180,0)),"")</t>
  </si>
  <si>
    <t>F159</t>
  </si>
  <si>
    <t>=IF(ISNUMBER(INDEX(Backlog!$R$2:$R$180,MATCH($A159,Backlog!$A$2:$A$180,0))),INDEX(Backlog!$R$2:$R$180,MATCH($A159,Backlog!$A$2:$A$180,0)),"")</t>
  </si>
  <si>
    <t>=IF(ISNUMBER(INDEX(Backlog!$AT$2:$AT$180,MATCH($A159,Backlog!$A$2:$A$180,0))),INDEX(Backlog!$AT$2:$AT$180,MATCH($A159,Backlog!$A$2:$A$180,0)),"")</t>
  </si>
  <si>
    <t>F160</t>
  </si>
  <si>
    <t>=IF(ISNUMBER(INDEX(Backlog!$R$2:$R$180,MATCH($A160,Backlog!$A$2:$A$180,0))),INDEX(Backlog!$R$2:$R$180,MATCH($A160,Backlog!$A$2:$A$180,0)),"")</t>
  </si>
  <si>
    <t>=IF(ISNUMBER(INDEX(Backlog!$AT$2:$AT$180,MATCH($A160,Backlog!$A$2:$A$180,0))),INDEX(Backlog!$AT$2:$AT$180,MATCH($A160,Backlog!$A$2:$A$180,0)),"")</t>
  </si>
  <si>
    <t>F161</t>
  </si>
  <si>
    <t>=IF(ISNUMBER(INDEX(Backlog!$R$2:$R$180,MATCH($A161,Backlog!$A$2:$A$180,0))),INDEX(Backlog!$R$2:$R$180,MATCH($A161,Backlog!$A$2:$A$180,0)),"")</t>
  </si>
  <si>
    <t>=IF(ISNUMBER(INDEX(Backlog!$AT$2:$AT$180,MATCH($A161,Backlog!$A$2:$A$180,0))),INDEX(Backlog!$AT$2:$AT$180,MATCH($A161,Backlog!$A$2:$A$180,0)),"")</t>
  </si>
  <si>
    <t>F162</t>
  </si>
  <si>
    <t>=IF(ISNUMBER(INDEX(Backlog!$R$2:$R$180,MATCH($A162,Backlog!$A$2:$A$180,0))),INDEX(Backlog!$R$2:$R$180,MATCH($A162,Backlog!$A$2:$A$180,0)),"")</t>
  </si>
  <si>
    <t>=IF(ISNUMBER(INDEX(Backlog!$AT$2:$AT$180,MATCH($A162,Backlog!$A$2:$A$180,0))),INDEX(Backlog!$AT$2:$AT$180,MATCH($A162,Backlog!$A$2:$A$180,0)),"")</t>
  </si>
  <si>
    <t>F163</t>
  </si>
  <si>
    <t>=IF(ISNUMBER(INDEX(Backlog!$R$2:$R$180,MATCH($A163,Backlog!$A$2:$A$180,0))),INDEX(Backlog!$R$2:$R$180,MATCH($A163,Backlog!$A$2:$A$180,0)),"")</t>
  </si>
  <si>
    <t>=IF(ISNUMBER(INDEX(Backlog!$AT$2:$AT$180,MATCH($A163,Backlog!$A$2:$A$180,0))),INDEX(Backlog!$AT$2:$AT$180,MATCH($A163,Backlog!$A$2:$A$180,0)),"")</t>
  </si>
  <si>
    <t>F164</t>
  </si>
  <si>
    <t>=IF(ISNUMBER(INDEX(Backlog!$R$2:$R$180,MATCH($A164,Backlog!$A$2:$A$180,0))),INDEX(Backlog!$R$2:$R$180,MATCH($A164,Backlog!$A$2:$A$180,0)),"")</t>
  </si>
  <si>
    <t>=IF(ISNUMBER(INDEX(Backlog!$AT$2:$AT$180,MATCH($A164,Backlog!$A$2:$A$180,0))),INDEX(Backlog!$AT$2:$AT$180,MATCH($A164,Backlog!$A$2:$A$180,0)),"")</t>
  </si>
  <si>
    <t>F165</t>
  </si>
  <si>
    <t>=IF(ISNUMBER(INDEX(Backlog!$R$2:$R$180,MATCH($A165,Backlog!$A$2:$A$180,0))),INDEX(Backlog!$R$2:$R$180,MATCH($A165,Backlog!$A$2:$A$180,0)),"")</t>
  </si>
  <si>
    <t>=IF(ISNUMBER(INDEX(Backlog!$AT$2:$AT$180,MATCH($A165,Backlog!$A$2:$A$180,0))),INDEX(Backlog!$AT$2:$AT$180,MATCH($A165,Backlog!$A$2:$A$180,0)),"")</t>
  </si>
  <si>
    <t>F166</t>
  </si>
  <si>
    <t>=IF(ISNUMBER(INDEX(Backlog!$R$2:$R$180,MATCH($A166,Backlog!$A$2:$A$180,0))),INDEX(Backlog!$R$2:$R$180,MATCH($A166,Backlog!$A$2:$A$180,0)),"")</t>
  </si>
  <si>
    <t>=IF(ISNUMBER(INDEX(Backlog!$AT$2:$AT$180,MATCH($A166,Backlog!$A$2:$A$180,0))),INDEX(Backlog!$AT$2:$AT$180,MATCH($A166,Backlog!$A$2:$A$180,0)),"")</t>
  </si>
  <si>
    <t>F167</t>
  </si>
  <si>
    <t>=IF(ISNUMBER(INDEX(Backlog!$R$2:$R$180,MATCH($A167,Backlog!$A$2:$A$180,0))),INDEX(Backlog!$R$2:$R$180,MATCH($A167,Backlog!$A$2:$A$180,0)),"")</t>
  </si>
  <si>
    <t>=IF(ISNUMBER(INDEX(Backlog!$AT$2:$AT$180,MATCH($A167,Backlog!$A$2:$A$180,0))),INDEX(Backlog!$AT$2:$AT$180,MATCH($A167,Backlog!$A$2:$A$180,0)),"")</t>
  </si>
  <si>
    <t>F168</t>
  </si>
  <si>
    <t>=IF(ISNUMBER(INDEX(Backlog!$R$2:$R$180,MATCH($A168,Backlog!$A$2:$A$180,0))),INDEX(Backlog!$R$2:$R$180,MATCH($A168,Backlog!$A$2:$A$180,0)),"")</t>
  </si>
  <si>
    <t>=IF(ISNUMBER(INDEX(Backlog!$AT$2:$AT$180,MATCH($A168,Backlog!$A$2:$A$180,0))),INDEX(Backlog!$AT$2:$AT$180,MATCH($A168,Backlog!$A$2:$A$180,0)),"")</t>
  </si>
  <si>
    <t>F169</t>
  </si>
  <si>
    <t>=IF(ISNUMBER(INDEX(Backlog!$R$2:$R$180,MATCH($A169,Backlog!$A$2:$A$180,0))),INDEX(Backlog!$R$2:$R$180,MATCH($A169,Backlog!$A$2:$A$180,0)),"")</t>
  </si>
  <si>
    <t>=IF(ISNUMBER(INDEX(Backlog!$AT$2:$AT$180,MATCH($A169,Backlog!$A$2:$A$180,0))),INDEX(Backlog!$AT$2:$AT$180,MATCH($A169,Backlog!$A$2:$A$180,0)),"")</t>
  </si>
  <si>
    <t>F170</t>
  </si>
  <si>
    <t>=IF(ISNUMBER(INDEX(Backlog!$R$2:$R$180,MATCH($A170,Backlog!$A$2:$A$180,0))),INDEX(Backlog!$R$2:$R$180,MATCH($A170,Backlog!$A$2:$A$180,0)),"")</t>
  </si>
  <si>
    <t>=IF(ISNUMBER(INDEX(Backlog!$AT$2:$AT$180,MATCH($A170,Backlog!$A$2:$A$180,0))),INDEX(Backlog!$AT$2:$AT$180,MATCH($A170,Backlog!$A$2:$A$180,0)),"")</t>
  </si>
  <si>
    <t>F171</t>
  </si>
  <si>
    <t>=IF(ISNUMBER(INDEX(Backlog!$R$2:$R$180,MATCH($A171,Backlog!$A$2:$A$180,0))),INDEX(Backlog!$R$2:$R$180,MATCH($A171,Backlog!$A$2:$A$180,0)),"")</t>
  </si>
  <si>
    <t>=IF(ISNUMBER(INDEX(Backlog!$AT$2:$AT$180,MATCH($A171,Backlog!$A$2:$A$180,0))),INDEX(Backlog!$AT$2:$AT$180,MATCH($A171,Backlog!$A$2:$A$180,0)),"")</t>
  </si>
  <si>
    <t>F172</t>
  </si>
  <si>
    <t>=IF(ISNUMBER(INDEX(Backlog!$R$2:$R$180,MATCH($A172,Backlog!$A$2:$A$180,0))),INDEX(Backlog!$R$2:$R$180,MATCH($A172,Backlog!$A$2:$A$180,0)),"")</t>
  </si>
  <si>
    <t>=IF(ISNUMBER(INDEX(Backlog!$AT$2:$AT$180,MATCH($A172,Backlog!$A$2:$A$180,0))),INDEX(Backlog!$AT$2:$AT$180,MATCH($A172,Backlog!$A$2:$A$180,0)),"")</t>
  </si>
  <si>
    <t>F173</t>
  </si>
  <si>
    <t>=IF(ISNUMBER(INDEX(Backlog!$R$2:$R$180,MATCH($A173,Backlog!$A$2:$A$180,0))),INDEX(Backlog!$R$2:$R$180,MATCH($A173,Backlog!$A$2:$A$180,0)),"")</t>
  </si>
  <si>
    <t>=IF(ISNUMBER(INDEX(Backlog!$AT$2:$AT$180,MATCH($A173,Backlog!$A$2:$A$180,0))),INDEX(Backlog!$AT$2:$AT$180,MATCH($A173,Backlog!$A$2:$A$180,0)),"")</t>
  </si>
  <si>
    <t>F174</t>
  </si>
  <si>
    <t>=IF(ISNUMBER(INDEX(Backlog!$R$2:$R$180,MATCH($A174,Backlog!$A$2:$A$180,0))),INDEX(Backlog!$R$2:$R$180,MATCH($A174,Backlog!$A$2:$A$180,0)),"")</t>
  </si>
  <si>
    <t>=IF(ISNUMBER(INDEX(Backlog!$AT$2:$AT$180,MATCH($A174,Backlog!$A$2:$A$180,0))),INDEX(Backlog!$AT$2:$AT$180,MATCH($A174,Backlog!$A$2:$A$180,0)),"")</t>
  </si>
  <si>
    <t>F175</t>
  </si>
  <si>
    <t>=IF(ISNUMBER(INDEX(Backlog!$R$2:$R$180,MATCH($A175,Backlog!$A$2:$A$180,0))),INDEX(Backlog!$R$2:$R$180,MATCH($A175,Backlog!$A$2:$A$180,0)),"")</t>
  </si>
  <si>
    <t>=IF(ISNUMBER(INDEX(Backlog!$AT$2:$AT$180,MATCH($A175,Backlog!$A$2:$A$180,0))),INDEX(Backlog!$AT$2:$AT$180,MATCH($A175,Backlog!$A$2:$A$180,0)),"")</t>
  </si>
  <si>
    <t>F176</t>
  </si>
  <si>
    <t>=IF(ISNUMBER(INDEX(Backlog!$R$2:$R$180,MATCH($A176,Backlog!$A$2:$A$180,0))),INDEX(Backlog!$R$2:$R$180,MATCH($A176,Backlog!$A$2:$A$180,0)),"")</t>
  </si>
  <si>
    <t>=IF(ISNUMBER(INDEX(Backlog!$AT$2:$AT$180,MATCH($A176,Backlog!$A$2:$A$180,0))),INDEX(Backlog!$AT$2:$AT$180,MATCH($A176,Backlog!$A$2:$A$180,0)),"")</t>
  </si>
  <si>
    <t>F177</t>
  </si>
  <si>
    <t>=IF(ISNUMBER(INDEX(Backlog!$R$2:$R$180,MATCH($A177,Backlog!$A$2:$A$180,0))),INDEX(Backlog!$R$2:$R$180,MATCH($A177,Backlog!$A$2:$A$180,0)),"")</t>
  </si>
  <si>
    <t>=IF(ISNUMBER(INDEX(Backlog!$AT$2:$AT$180,MATCH($A177,Backlog!$A$2:$A$180,0))),INDEX(Backlog!$AT$2:$AT$180,MATCH($A177,Backlog!$A$2:$A$180,0)),"")</t>
  </si>
  <si>
    <t>F178</t>
  </si>
  <si>
    <t>=IF(ISNUMBER(INDEX(Backlog!$R$2:$R$180,MATCH($A178,Backlog!$A$2:$A$180,0))),INDEX(Backlog!$R$2:$R$180,MATCH($A178,Backlog!$A$2:$A$180,0)),"")</t>
  </si>
  <si>
    <t>=IF(ISNUMBER(INDEX(Backlog!$AT$2:$AT$180,MATCH($A178,Backlog!$A$2:$A$180,0))),INDEX(Backlog!$AT$2:$AT$180,MATCH($A178,Backlog!$A$2:$A$180,0)),"")</t>
  </si>
  <si>
    <t>F179</t>
  </si>
  <si>
    <t>=IF(ISNUMBER(INDEX(Backlog!$R$2:$R$180,MATCH($A179,Backlog!$A$2:$A$180,0))),INDEX(Backlog!$R$2:$R$180,MATCH($A179,Backlog!$A$2:$A$180,0)),"")</t>
  </si>
  <si>
    <t>=IF(ISNUMBER(INDEX(Backlog!$AT$2:$AT$180,MATCH($A179,Backlog!$A$2:$A$180,0))),INDEX(Backlog!$AT$2:$AT$180,MATCH($A179,Backlog!$A$2:$A$180,0)),"")</t>
  </si>
  <si>
    <t>F180</t>
  </si>
  <si>
    <t>=IF(ISNUMBER(INDEX(Backlog!$R$2:$R$180,MATCH($A180,Backlog!$A$2:$A$180,0))),INDEX(Backlog!$R$2:$R$180,MATCH($A180,Backlog!$A$2:$A$180,0)),"")</t>
  </si>
  <si>
    <t>=IF(ISNUMBER(INDEX(Backlog!$AT$2:$AT$180,MATCH($A180,Backlog!$A$2:$A$180,0))),INDEX(Backlog!$AT$2:$AT$180,MATCH($A180,Backlog!$A$2:$A$180,0)),"")</t>
  </si>
  <si>
    <t>Method and Notes — v2.22.1</t>
  </si>
  <si>
    <t>Method and Notes — v2.23.0 |15Sep2026 evidence reconciliation</t>
  </si>
  <si>
    <t>B19</t>
  </si>
  <si>
    <t>Historical 08-Sep checkpoint superseded. Current Backlog records T-243 In Progress/source-present; not automatically closed. T-253 accepted work remains preserved.</t>
  </si>
  <si>
    <t>T-243 baseline closure6f65bba1 is proven by an executed10Sep ancestry report. Its later transactional relationship-publication extension remains unverified. Do not relabel the original work as merely source-present.</t>
  </si>
  <si>
    <t>B38</t>
  </si>
  <si>
    <t>Backlog, Current Authority and current generated views are v2.22.1. v220 summaries and Prior/Retired/previous-revision sheets are immutable historical snapshots.</t>
  </si>
  <si>
    <t>Current execution views use Backlog v2.23.0. Historical v220/Prior/Retired/previous-revision sheets preserve past states, not current truth.</t>
  </si>
  <si>
    <t>B41</t>
  </si>
  <si>
    <t>B42</t>
  </si>
  <si>
    <t>In Progress is the execution category. Evidence state is SOURCE PRESENT / UNCLOSED. No commit timestamp or successful closure is invented.</t>
  </si>
  <si>
    <t>T-262 producer contract GREEN committed86e1b677; live integration explicitly unexecuted. Current expanded acceptance remains open pending disposition; no claim that the producer lacks a SHA.</t>
  </si>
  <si>
    <t>B45</t>
  </si>
  <si>
    <t>T-106 16h and T-108 8h are archived, not current totals. Their P80 values are also withdrawn; blank means unknown, not zero.</t>
  </si>
  <si>
    <t>J/R hold supplied scope estimates, not measured actual time.8 entries have no accepted numeric estimate;19 additional changed-scope rows are stale. AS/AT exclude all27 from live planning sums. No remaining-hours forecast is certified.</t>
  </si>
  <si>
    <t>Make estimate policy consistent across rows and dashboards.</t>
  </si>
  <si>
    <t>A48</t>
  </si>
  <si>
    <t>Historical closure versus current scope</t>
  </si>
  <si>
    <t>Add status semantics.</t>
  </si>
  <si>
    <t>B48</t>
  </si>
  <si>
    <t>Progress is not execution readiness. Current In Progress may combine a closed baseline with an unstarted extension. Preserve both facts in Task Evidence15Sep; do not infer an active worker or release certification from the status color.</t>
  </si>
  <si>
    <t>Add explicit, non-misleading status semantics.</t>
  </si>
  <si>
    <t>A45</t>
  </si>
  <si>
    <t>Task-ID keyed recovery of lost evidence.</t>
  </si>
  <si>
    <t>Source references in columnI.</t>
  </si>
  <si>
    <t>C45</t>
  </si>
  <si>
    <t>D45</t>
  </si>
  <si>
    <t>E45</t>
  </si>
  <si>
    <t>Exact Git timestamp not recovered; dated source is observation evidence.</t>
  </si>
  <si>
    <t>Source-bound terminal/central/ancestry evidence; not a live repository rerun.</t>
  </si>
  <si>
    <t>I45</t>
  </si>
  <si>
    <t>A46</t>
  </si>
  <si>
    <t>Recover commit evidence by Task ID without manufacturing timestamps.</t>
  </si>
  <si>
    <t>B46</t>
  </si>
  <si>
    <t>C46</t>
  </si>
  <si>
    <t>D46</t>
  </si>
  <si>
    <t>E46</t>
  </si>
  <si>
    <t>Exact Git timestamp not recovered; source document date is evidence date, not commit time.</t>
  </si>
  <si>
    <t>Executed transcript/closure excerpt; no live Git verification in this review.</t>
  </si>
  <si>
    <t>I46</t>
  </si>
  <si>
    <t>A47</t>
  </si>
  <si>
    <t>B47</t>
  </si>
  <si>
    <t>C47</t>
  </si>
  <si>
    <t>D47</t>
  </si>
  <si>
    <t>E47</t>
  </si>
  <si>
    <t>I47</t>
  </si>
  <si>
    <t>C48</t>
  </si>
  <si>
    <t>D48</t>
  </si>
  <si>
    <t>E48</t>
  </si>
  <si>
    <t>I48</t>
  </si>
  <si>
    <t>A49</t>
  </si>
  <si>
    <t>B49</t>
  </si>
  <si>
    <t>C49</t>
  </si>
  <si>
    <t>D49</t>
  </si>
  <si>
    <t>E49</t>
  </si>
  <si>
    <t>I49</t>
  </si>
  <si>
    <t>A50</t>
  </si>
  <si>
    <t>B50</t>
  </si>
  <si>
    <t>C50</t>
  </si>
  <si>
    <t>D50</t>
  </si>
  <si>
    <t>E50</t>
  </si>
  <si>
    <t>I50</t>
  </si>
  <si>
    <t>K4</t>
  </si>
  <si>
    <t>=COUNTIF('Secondary Capability Links'!$B$2:$B$150,A4)</t>
  </si>
  <si>
    <t>=COUNTIF('Secondary Capability Links'!$B$2:$B$149,A4)</t>
  </si>
  <si>
    <t>Keep counts on exact regenerated membership extent.</t>
  </si>
  <si>
    <t>=COUNTIFS('Secondary Capability Links'!$B$2:$B$150,A4,'Secondary Capability Links'!$C$2:$C$150,"Done")</t>
  </si>
  <si>
    <t>=COUNTIFS('Secondary Capability Links'!$B$2:$B$149,A4,'Secondary Capability Links'!$C$2:$C$149,"Done")</t>
  </si>
  <si>
    <t>K5</t>
  </si>
  <si>
    <t>=COUNTIF('Secondary Capability Links'!$B$2:$B$150,A5)</t>
  </si>
  <si>
    <t>=COUNTIF('Secondary Capability Links'!$B$2:$B$149,A5)</t>
  </si>
  <si>
    <t>=COUNTIFS('Secondary Capability Links'!$B$2:$B$150,A5,'Secondary Capability Links'!$C$2:$C$150,"Done")</t>
  </si>
  <si>
    <t>=COUNTIFS('Secondary Capability Links'!$B$2:$B$149,A5,'Secondary Capability Links'!$C$2:$C$149,"Done")</t>
  </si>
  <si>
    <t>K6</t>
  </si>
  <si>
    <t>=COUNTIF('Secondary Capability Links'!$B$2:$B$150,A6)</t>
  </si>
  <si>
    <t>=COUNTIF('Secondary Capability Links'!$B$2:$B$149,A6)</t>
  </si>
  <si>
    <t>=COUNTIFS('Secondary Capability Links'!$B$2:$B$150,A6,'Secondary Capability Links'!$C$2:$C$150,"Done")</t>
  </si>
  <si>
    <t>=COUNTIFS('Secondary Capability Links'!$B$2:$B$149,A6,'Secondary Capability Links'!$C$2:$C$149,"Done")</t>
  </si>
  <si>
    <t>K7</t>
  </si>
  <si>
    <t>=COUNTIF('Secondary Capability Links'!$B$2:$B$150,A7)</t>
  </si>
  <si>
    <t>=COUNTIF('Secondary Capability Links'!$B$2:$B$149,A7)</t>
  </si>
  <si>
    <t>=COUNTIFS('Secondary Capability Links'!$B$2:$B$150,A7,'Secondary Capability Links'!$C$2:$C$150,"Done")</t>
  </si>
  <si>
    <t>=COUNTIFS('Secondary Capability Links'!$B$2:$B$149,A7,'Secondary Capability Links'!$C$2:$C$149,"Done")</t>
  </si>
  <si>
    <t>M7</t>
  </si>
  <si>
    <t>=TEXTJOIN("; ",TRUE,IFERROR(INDEX(Backlog!$A$2:$A$180,MATCH("T-254",Backlog!$A$2:$A$180,0)),""),IFERROR(INDEX(Backlog!$A$2:$A$180,MATCH("T-153",Backlog!$A$2:$A$180,0)),""),IFERROR(INDEX(Backlog!$A$2:$A$180,MATCH("T-266",Backlog!$A$2:$A$180,0)),""))</t>
  </si>
  <si>
    <t>=TEXTJOIN("; ",TRUE,IFERROR(INDEX(Backlog!$A$2:$A$180,MATCH("T-153",Backlog!$A$2:$A$180,0)),""),IFERROR(INDEX(Backlog!$A$2:$A$180,MATCH("T-266",Backlog!$A$2:$A$180,0)),""))</t>
  </si>
  <si>
    <t>Rebuild capability membership from current primary/secondary IDs; remove duplicate primary-secondary link.</t>
  </si>
  <si>
    <t>K8</t>
  </si>
  <si>
    <t>=COUNTIF('Secondary Capability Links'!$B$2:$B$150,A8)</t>
  </si>
  <si>
    <t>=COUNTIF('Secondary Capability Links'!$B$2:$B$149,A8)</t>
  </si>
  <si>
    <t>=COUNTIFS('Secondary Capability Links'!$B$2:$B$150,A8,'Secondary Capability Links'!$C$2:$C$150,"Done")</t>
  </si>
  <si>
    <t>=COUNTIFS('Secondary Capability Links'!$B$2:$B$149,A8,'Secondary Capability Links'!$C$2:$C$149,"Done")</t>
  </si>
  <si>
    <t>K9</t>
  </si>
  <si>
    <t>=COUNTIF('Secondary Capability Links'!$B$2:$B$150,A9)</t>
  </si>
  <si>
    <t>=COUNTIF('Secondary Capability Links'!$B$2:$B$149,A9)</t>
  </si>
  <si>
    <t>=COUNTIFS('Secondary Capability Links'!$B$2:$B$150,A9,'Secondary Capability Links'!$C$2:$C$150,"Done")</t>
  </si>
  <si>
    <t>=COUNTIFS('Secondary Capability Links'!$B$2:$B$149,A9,'Secondary Capability Links'!$C$2:$C$149,"Done")</t>
  </si>
  <si>
    <t>K10</t>
  </si>
  <si>
    <t>=COUNTIF('Secondary Capability Links'!$B$2:$B$150,A10)</t>
  </si>
  <si>
    <t>=COUNTIF('Secondary Capability Links'!$B$2:$B$149,A10)</t>
  </si>
  <si>
    <t>=COUNTIFS('Secondary Capability Links'!$B$2:$B$150,A10,'Secondary Capability Links'!$C$2:$C$150,"Done")</t>
  </si>
  <si>
    <t>=COUNTIFS('Secondary Capability Links'!$B$2:$B$149,A10,'Secondary Capability Links'!$C$2:$C$149,"Done")</t>
  </si>
  <si>
    <t>K11</t>
  </si>
  <si>
    <t>=COUNTIF('Secondary Capability Links'!$B$2:$B$150,A11)</t>
  </si>
  <si>
    <t>=COUNTIF('Secondary Capability Links'!$B$2:$B$149,A11)</t>
  </si>
  <si>
    <t>L11</t>
  </si>
  <si>
    <t>=COUNTIFS('Secondary Capability Links'!$B$2:$B$150,A11,'Secondary Capability Links'!$C$2:$C$150,"Done")</t>
  </si>
  <si>
    <t>=COUNTIFS('Secondary Capability Links'!$B$2:$B$149,A11,'Secondary Capability Links'!$C$2:$C$149,"Done")</t>
  </si>
  <si>
    <t>K12</t>
  </si>
  <si>
    <t>=COUNTIF('Secondary Capability Links'!$B$2:$B$150,A12)</t>
  </si>
  <si>
    <t>=COUNTIF('Secondary Capability Links'!$B$2:$B$149,A12)</t>
  </si>
  <si>
    <t>L12</t>
  </si>
  <si>
    <t>=COUNTIFS('Secondary Capability Links'!$B$2:$B$150,A12,'Secondary Capability Links'!$C$2:$C$150,"Done")</t>
  </si>
  <si>
    <t>=COUNTIFS('Secondary Capability Links'!$B$2:$B$149,A12,'Secondary Capability Links'!$C$2:$C$149,"Done")</t>
  </si>
  <si>
    <t>K13</t>
  </si>
  <si>
    <t>=COUNTIF('Secondary Capability Links'!$B$2:$B$150,A13)</t>
  </si>
  <si>
    <t>=COUNTIF('Secondary Capability Links'!$B$2:$B$149,A13)</t>
  </si>
  <si>
    <t>L13</t>
  </si>
  <si>
    <t>=COUNTIFS('Secondary Capability Links'!$B$2:$B$150,A13,'Secondary Capability Links'!$C$2:$C$150,"Done")</t>
  </si>
  <si>
    <t>=COUNTIFS('Secondary Capability Links'!$B$2:$B$149,A13,'Secondary Capability Links'!$C$2:$C$149,"Done")</t>
  </si>
  <si>
    <t>K14</t>
  </si>
  <si>
    <t>=COUNTIF('Secondary Capability Links'!$B$2:$B$150,A14)</t>
  </si>
  <si>
    <t>=COUNTIF('Secondary Capability Links'!$B$2:$B$149,A14)</t>
  </si>
  <si>
    <t>L14</t>
  </si>
  <si>
    <t>=COUNTIFS('Secondary Capability Links'!$B$2:$B$150,A14,'Secondary Capability Links'!$C$2:$C$150,"Done")</t>
  </si>
  <si>
    <t>=COUNTIFS('Secondary Capability Links'!$B$2:$B$149,A14,'Secondary Capability Links'!$C$2:$C$149,"Done")</t>
  </si>
  <si>
    <t>K15</t>
  </si>
  <si>
    <t>=COUNTIF('Secondary Capability Links'!$B$2:$B$150,A15)</t>
  </si>
  <si>
    <t>=COUNTIF('Secondary Capability Links'!$B$2:$B$149,A15)</t>
  </si>
  <si>
    <t>L15</t>
  </si>
  <si>
    <t>=COUNTIFS('Secondary Capability Links'!$B$2:$B$150,A15,'Secondary Capability Links'!$C$2:$C$150,"Done")</t>
  </si>
  <si>
    <t>=COUNTIFS('Secondary Capability Links'!$B$2:$B$149,A15,'Secondary Capability Links'!$C$2:$C$149,"Done")</t>
  </si>
  <si>
    <t>K16</t>
  </si>
  <si>
    <t>=COUNTIF('Secondary Capability Links'!$B$2:$B$150,A16)</t>
  </si>
  <si>
    <t>=COUNTIF('Secondary Capability Links'!$B$2:$B$149,A16)</t>
  </si>
  <si>
    <t>L16</t>
  </si>
  <si>
    <t>=COUNTIFS('Secondary Capability Links'!$B$2:$B$150,A16,'Secondary Capability Links'!$C$2:$C$150,"Done")</t>
  </si>
  <si>
    <t>=COUNTIFS('Secondary Capability Links'!$B$2:$B$149,A16,'Secondary Capability Links'!$C$2:$C$149,"Done")</t>
  </si>
  <si>
    <t>K17</t>
  </si>
  <si>
    <t>=COUNTIF('Secondary Capability Links'!$B$2:$B$150,A17)</t>
  </si>
  <si>
    <t>=COUNTIF('Secondary Capability Links'!$B$2:$B$149,A17)</t>
  </si>
  <si>
    <t>L17</t>
  </si>
  <si>
    <t>=COUNTIFS('Secondary Capability Links'!$B$2:$B$150,A17,'Secondary Capability Links'!$C$2:$C$150,"Done")</t>
  </si>
  <si>
    <t>=COUNTIFS('Secondary Capability Links'!$B$2:$B$149,A17,'Secondary Capability Links'!$C$2:$C$149,"Done")</t>
  </si>
  <si>
    <t>K18</t>
  </si>
  <si>
    <t>=COUNTIF('Secondary Capability Links'!$B$2:$B$150,A18)</t>
  </si>
  <si>
    <t>=COUNTIF('Secondary Capability Links'!$B$2:$B$149,A18)</t>
  </si>
  <si>
    <t>L18</t>
  </si>
  <si>
    <t>=COUNTIFS('Secondary Capability Links'!$B$2:$B$150,A18,'Secondary Capability Links'!$C$2:$C$150,"Done")</t>
  </si>
  <si>
    <t>=COUNTIFS('Secondary Capability Links'!$B$2:$B$149,A18,'Secondary Capability Links'!$C$2:$C$149,"Done")</t>
  </si>
  <si>
    <t>K19</t>
  </si>
  <si>
    <t>=COUNTIF('Secondary Capability Links'!$B$2:$B$150,A19)</t>
  </si>
  <si>
    <t>=COUNTIF('Secondary Capability Links'!$B$2:$B$149,A19)</t>
  </si>
  <si>
    <t>L19</t>
  </si>
  <si>
    <t>=COUNTIFS('Secondary Capability Links'!$B$2:$B$150,A19,'Secondary Capability Links'!$C$2:$C$150,"Done")</t>
  </si>
  <si>
    <t>=COUNTIFS('Secondary Capability Links'!$B$2:$B$149,A19,'Secondary Capability Links'!$C$2:$C$149,"Done")</t>
  </si>
  <si>
    <t>K20</t>
  </si>
  <si>
    <t>=COUNTIF('Secondary Capability Links'!$B$2:$B$150,A20)</t>
  </si>
  <si>
    <t>=COUNTIF('Secondary Capability Links'!$B$2:$B$149,A20)</t>
  </si>
  <si>
    <t>L20</t>
  </si>
  <si>
    <t>=COUNTIFS('Secondary Capability Links'!$B$2:$B$150,A20,'Secondary Capability Links'!$C$2:$C$150,"Done")</t>
  </si>
  <si>
    <t>=COUNTIFS('Secondary Capability Links'!$B$2:$B$149,A20,'Secondary Capability Links'!$C$2:$C$149,"Done")</t>
  </si>
  <si>
    <t>K21</t>
  </si>
  <si>
    <t>=COUNTIF('Secondary Capability Links'!$B$2:$B$150,A21)</t>
  </si>
  <si>
    <t>=COUNTIF('Secondary Capability Links'!$B$2:$B$149,A21)</t>
  </si>
  <si>
    <t>L21</t>
  </si>
  <si>
    <t>=COUNTIFS('Secondary Capability Links'!$B$2:$B$150,A21,'Secondary Capability Links'!$C$2:$C$150,"Done")</t>
  </si>
  <si>
    <t>=COUNTIFS('Secondary Capability Links'!$B$2:$B$149,A21,'Secondary Capability Links'!$C$2:$C$149,"Done")</t>
  </si>
  <si>
    <t>K22</t>
  </si>
  <si>
    <t>=COUNTIF('Secondary Capability Links'!$B$2:$B$150,A22)</t>
  </si>
  <si>
    <t>=COUNTIF('Secondary Capability Links'!$B$2:$B$149,A22)</t>
  </si>
  <si>
    <t>L22</t>
  </si>
  <si>
    <t>=COUNTIFS('Secondary Capability Links'!$B$2:$B$150,A22,'Secondary Capability Links'!$C$2:$C$150,"Done")</t>
  </si>
  <si>
    <t>=COUNTIFS('Secondary Capability Links'!$B$2:$B$149,A22,'Secondary Capability Links'!$C$2:$C$149,"Done")</t>
  </si>
  <si>
    <t>K23</t>
  </si>
  <si>
    <t>=COUNTIF('Secondary Capability Links'!$B$2:$B$150,A23)</t>
  </si>
  <si>
    <t>=COUNTIF('Secondary Capability Links'!$B$2:$B$149,A23)</t>
  </si>
  <si>
    <t>L23</t>
  </si>
  <si>
    <t>=COUNTIFS('Secondary Capability Links'!$B$2:$B$150,A23,'Secondary Capability Links'!$C$2:$C$150,"Done")</t>
  </si>
  <si>
    <t>=COUNTIFS('Secondary Capability Links'!$B$2:$B$149,A23,'Secondary Capability Links'!$C$2:$C$149,"Done")</t>
  </si>
  <si>
    <t>K24</t>
  </si>
  <si>
    <t>=COUNTIF('Secondary Capability Links'!$B$2:$B$150,A24)</t>
  </si>
  <si>
    <t>=COUNTIF('Secondary Capability Links'!$B$2:$B$149,A24)</t>
  </si>
  <si>
    <t>L24</t>
  </si>
  <si>
    <t>=COUNTIFS('Secondary Capability Links'!$B$2:$B$150,A24,'Secondary Capability Links'!$C$2:$C$150,"Done")</t>
  </si>
  <si>
    <t>=COUNTIFS('Secondary Capability Links'!$B$2:$B$149,A24,'Secondary Capability Links'!$C$2:$C$149,"Done")</t>
  </si>
  <si>
    <t>K25</t>
  </si>
  <si>
    <t>=COUNTIF('Secondary Capability Links'!$B$2:$B$150,A25)</t>
  </si>
  <si>
    <t>=COUNTIF('Secondary Capability Links'!$B$2:$B$149,A25)</t>
  </si>
  <si>
    <t>L25</t>
  </si>
  <si>
    <t>=COUNTIFS('Secondary Capability Links'!$B$2:$B$150,A25,'Secondary Capability Links'!$C$2:$C$150,"Done")</t>
  </si>
  <si>
    <t>=COUNTIFS('Secondary Capability Links'!$B$2:$B$149,A25,'Secondary Capability Links'!$C$2:$C$149,"Done")</t>
  </si>
  <si>
    <t>K26</t>
  </si>
  <si>
    <t>=COUNTIF('Secondary Capability Links'!$B$2:$B$150,A26)</t>
  </si>
  <si>
    <t>=COUNTIF('Secondary Capability Links'!$B$2:$B$149,A26)</t>
  </si>
  <si>
    <t>L26</t>
  </si>
  <si>
    <t>=COUNTIFS('Secondary Capability Links'!$B$2:$B$150,A26,'Secondary Capability Links'!$C$2:$C$150,"Done")</t>
  </si>
  <si>
    <t>=COUNTIFS('Secondary Capability Links'!$B$2:$B$149,A26,'Secondary Capability Links'!$C$2:$C$149,"Done")</t>
  </si>
  <si>
    <t>K27</t>
  </si>
  <si>
    <t>=COUNTIF('Secondary Capability Links'!$B$2:$B$150,A27)</t>
  </si>
  <si>
    <t>=COUNTIF('Secondary Capability Links'!$B$2:$B$149,A27)</t>
  </si>
  <si>
    <t>L27</t>
  </si>
  <si>
    <t>=COUNTIFS('Secondary Capability Links'!$B$2:$B$150,A27,'Secondary Capability Links'!$C$2:$C$150,"Done")</t>
  </si>
  <si>
    <t>=COUNTIFS('Secondary Capability Links'!$B$2:$B$149,A27,'Secondary Capability Links'!$C$2:$C$149,"Done")</t>
  </si>
  <si>
    <t>K28</t>
  </si>
  <si>
    <t>=COUNTIF('Secondary Capability Links'!$B$2:$B$150,A28)</t>
  </si>
  <si>
    <t>=COUNTIF('Secondary Capability Links'!$B$2:$B$149,A28)</t>
  </si>
  <si>
    <t>L28</t>
  </si>
  <si>
    <t>=COUNTIFS('Secondary Capability Links'!$B$2:$B$150,A28,'Secondary Capability Links'!$C$2:$C$150,"Done")</t>
  </si>
  <si>
    <t>=COUNTIFS('Secondary Capability Links'!$B$2:$B$149,A28,'Secondary Capability Links'!$C$2:$C$149,"Done")</t>
  </si>
  <si>
    <t>K29</t>
  </si>
  <si>
    <t>=COUNTIF('Secondary Capability Links'!$B$2:$B$150,A29)</t>
  </si>
  <si>
    <t>=COUNTIF('Secondary Capability Links'!$B$2:$B$149,A29)</t>
  </si>
  <si>
    <t>L29</t>
  </si>
  <si>
    <t>=COUNTIFS('Secondary Capability Links'!$B$2:$B$150,A29,'Secondary Capability Links'!$C$2:$C$150,"Done")</t>
  </si>
  <si>
    <t>=COUNTIFS('Secondary Capability Links'!$B$2:$B$149,A29,'Secondary Capability Links'!$C$2:$C$149,"Done")</t>
  </si>
  <si>
    <t>K30</t>
  </si>
  <si>
    <t>=COUNTIF('Secondary Capability Links'!$B$2:$B$150,A30)</t>
  </si>
  <si>
    <t>=COUNTIF('Secondary Capability Links'!$B$2:$B$149,A30)</t>
  </si>
  <si>
    <t>L30</t>
  </si>
  <si>
    <t>=COUNTIFS('Secondary Capability Links'!$B$2:$B$150,A30,'Secondary Capability Links'!$C$2:$C$150,"Done")</t>
  </si>
  <si>
    <t>=COUNTIFS('Secondary Capability Links'!$B$2:$B$149,A30,'Secondary Capability Links'!$C$2:$C$149,"Done")</t>
  </si>
  <si>
    <t>K31</t>
  </si>
  <si>
    <t>=COUNTIF('Secondary Capability Links'!$B$2:$B$150,A31)</t>
  </si>
  <si>
    <t>=COUNTIF('Secondary Capability Links'!$B$2:$B$149,A31)</t>
  </si>
  <si>
    <t>L31</t>
  </si>
  <si>
    <t>=COUNTIFS('Secondary Capability Links'!$B$2:$B$150,A31,'Secondary Capability Links'!$C$2:$C$150,"Done")</t>
  </si>
  <si>
    <t>=COUNTIFS('Secondary Capability Links'!$B$2:$B$149,A31,'Secondary Capability Links'!$C$2:$C$149,"Done")</t>
  </si>
  <si>
    <t>K32</t>
  </si>
  <si>
    <t>=COUNTIF('Secondary Capability Links'!$B$2:$B$150,A32)</t>
  </si>
  <si>
    <t>=COUNTIF('Secondary Capability Links'!$B$2:$B$149,A32)</t>
  </si>
  <si>
    <t>L32</t>
  </si>
  <si>
    <t>=COUNTIFS('Secondary Capability Links'!$B$2:$B$150,A32,'Secondary Capability Links'!$C$2:$C$150,"Done")</t>
  </si>
  <si>
    <t>=COUNTIFS('Secondary Capability Links'!$B$2:$B$149,A32,'Secondary Capability Links'!$C$2:$C$149,"Done")</t>
  </si>
  <si>
    <t>K33</t>
  </si>
  <si>
    <t>=COUNTIF('Secondary Capability Links'!$B$2:$B$150,A33)</t>
  </si>
  <si>
    <t>=COUNTIF('Secondary Capability Links'!$B$2:$B$149,A33)</t>
  </si>
  <si>
    <t>L33</t>
  </si>
  <si>
    <t>=COUNTIFS('Secondary Capability Links'!$B$2:$B$150,A33,'Secondary Capability Links'!$C$2:$C$150,"Done")</t>
  </si>
  <si>
    <t>=COUNTIFS('Secondary Capability Links'!$B$2:$B$149,A33,'Secondary Capability Links'!$C$2:$C$149,"Done")</t>
  </si>
  <si>
    <t>K34</t>
  </si>
  <si>
    <t>=COUNTIF('Secondary Capability Links'!$B$2:$B$150,A34)</t>
  </si>
  <si>
    <t>=COUNTIF('Secondary Capability Links'!$B$2:$B$149,A34)</t>
  </si>
  <si>
    <t>L34</t>
  </si>
  <si>
    <t>=COUNTIFS('Secondary Capability Links'!$B$2:$B$150,A34,'Secondary Capability Links'!$C$2:$C$150,"Done")</t>
  </si>
  <si>
    <t>=COUNTIFS('Secondary Capability Links'!$B$2:$B$149,A34,'Secondary Capability Links'!$C$2:$C$149,"Done")</t>
  </si>
  <si>
    <t>K35</t>
  </si>
  <si>
    <t>=COUNTIF('Secondary Capability Links'!$B$2:$B$150,A35)</t>
  </si>
  <si>
    <t>=COUNTIF('Secondary Capability Links'!$B$2:$B$149,A35)</t>
  </si>
  <si>
    <t>L35</t>
  </si>
  <si>
    <t>=COUNTIFS('Secondary Capability Links'!$B$2:$B$150,A35,'Secondary Capability Links'!$C$2:$C$150,"Done")</t>
  </si>
  <si>
    <t>=COUNTIFS('Secondary Capability Links'!$B$2:$B$149,A35,'Secondary Capability Links'!$C$2:$C$149,"Done")</t>
  </si>
  <si>
    <t>K36</t>
  </si>
  <si>
    <t>=COUNTIF('Secondary Capability Links'!$B$2:$B$150,A36)</t>
  </si>
  <si>
    <t>=COUNTIF('Secondary Capability Links'!$B$2:$B$149,A36)</t>
  </si>
  <si>
    <t>L36</t>
  </si>
  <si>
    <t>=COUNTIFS('Secondary Capability Links'!$B$2:$B$150,A36,'Secondary Capability Links'!$C$2:$C$150,"Done")</t>
  </si>
  <si>
    <t>=COUNTIFS('Secondary Capability Links'!$B$2:$B$149,A36,'Secondary Capability Links'!$C$2:$C$149,"Done")</t>
  </si>
  <si>
    <t>K37</t>
  </si>
  <si>
    <t>=COUNTIF('Secondary Capability Links'!$B$2:$B$150,A37)</t>
  </si>
  <si>
    <t>=COUNTIF('Secondary Capability Links'!$B$2:$B$149,A37)</t>
  </si>
  <si>
    <t>L37</t>
  </si>
  <si>
    <t>=COUNTIFS('Secondary Capability Links'!$B$2:$B$150,A37,'Secondary Capability Links'!$C$2:$C$150,"Done")</t>
  </si>
  <si>
    <t>=COUNTIFS('Secondary Capability Links'!$B$2:$B$149,A37,'Secondary Capability Links'!$C$2:$C$149,"Done")</t>
  </si>
  <si>
    <t>K38</t>
  </si>
  <si>
    <t>=COUNTIF('Secondary Capability Links'!$B$2:$B$150,A38)</t>
  </si>
  <si>
    <t>=COUNTIF('Secondary Capability Links'!$B$2:$B$149,A38)</t>
  </si>
  <si>
    <t>L38</t>
  </si>
  <si>
    <t>=COUNTIFS('Secondary Capability Links'!$B$2:$B$150,A38,'Secondary Capability Links'!$C$2:$C$150,"Done")</t>
  </si>
  <si>
    <t>=COUNTIFS('Secondary Capability Links'!$B$2:$B$149,A38,'Secondary Capability Links'!$C$2:$C$149,"Done")</t>
  </si>
  <si>
    <t>K39</t>
  </si>
  <si>
    <t>=COUNTIF('Secondary Capability Links'!$B$2:$B$150,A39)</t>
  </si>
  <si>
    <t>=COUNTIF('Secondary Capability Links'!$B$2:$B$149,A39)</t>
  </si>
  <si>
    <t>L39</t>
  </si>
  <si>
    <t>=COUNTIFS('Secondary Capability Links'!$B$2:$B$150,A39,'Secondary Capability Links'!$C$2:$C$150,"Done")</t>
  </si>
  <si>
    <t>=COUNTIFS('Secondary Capability Links'!$B$2:$B$149,A39,'Secondary Capability Links'!$C$2:$C$149,"Done")</t>
  </si>
  <si>
    <t>K40</t>
  </si>
  <si>
    <t>=COUNTIF('Secondary Capability Links'!$B$2:$B$150,A40)</t>
  </si>
  <si>
    <t>=COUNTIF('Secondary Capability Links'!$B$2:$B$149,A40)</t>
  </si>
  <si>
    <t>L40</t>
  </si>
  <si>
    <t>=COUNTIFS('Secondary Capability Links'!$B$2:$B$150,A40,'Secondary Capability Links'!$C$2:$C$150,"Done")</t>
  </si>
  <si>
    <t>=COUNTIFS('Secondary Capability Links'!$B$2:$B$149,A40,'Secondary Capability Links'!$C$2:$C$149,"Done")</t>
  </si>
  <si>
    <t>K41</t>
  </si>
  <si>
    <t>=COUNTIF('Secondary Capability Links'!$B$2:$B$150,A41)</t>
  </si>
  <si>
    <t>=COUNTIF('Secondary Capability Links'!$B$2:$B$149,A41)</t>
  </si>
  <si>
    <t>L41</t>
  </si>
  <si>
    <t>=COUNTIFS('Secondary Capability Links'!$B$2:$B$150,A41,'Secondary Capability Links'!$C$2:$C$150,"Done")</t>
  </si>
  <si>
    <t>=COUNTIFS('Secondary Capability Links'!$B$2:$B$149,A41,'Secondary Capability Links'!$C$2:$C$149,"Done")</t>
  </si>
  <si>
    <t>K42</t>
  </si>
  <si>
    <t>=COUNTIF('Secondary Capability Links'!$B$2:$B$150,A42)</t>
  </si>
  <si>
    <t>=COUNTIF('Secondary Capability Links'!$B$2:$B$149,A42)</t>
  </si>
  <si>
    <t>L42</t>
  </si>
  <si>
    <t>=COUNTIFS('Secondary Capability Links'!$B$2:$B$150,A42,'Secondary Capability Links'!$C$2:$C$150,"Done")</t>
  </si>
  <si>
    <t>=COUNTIFS('Secondary Capability Links'!$B$2:$B$149,A42,'Secondary Capability Links'!$C$2:$C$149,"Done")</t>
  </si>
  <si>
    <t>K43</t>
  </si>
  <si>
    <t>=COUNTIF('Secondary Capability Links'!$B$2:$B$150,A43)</t>
  </si>
  <si>
    <t>=COUNTIF('Secondary Capability Links'!$B$2:$B$149,A43)</t>
  </si>
  <si>
    <t>L43</t>
  </si>
  <si>
    <t>=COUNTIFS('Secondary Capability Links'!$B$2:$B$150,A43,'Secondary Capability Links'!$C$2:$C$150,"Done")</t>
  </si>
  <si>
    <t>=COUNTIFS('Secondary Capability Links'!$B$2:$B$149,A43,'Secondary Capability Links'!$C$2:$C$149,"Done")</t>
  </si>
  <si>
    <t>K44</t>
  </si>
  <si>
    <t>=COUNTIF('Secondary Capability Links'!$B$2:$B$150,A44)</t>
  </si>
  <si>
    <t>=COUNTIF('Secondary Capability Links'!$B$2:$B$149,A44)</t>
  </si>
  <si>
    <t>L44</t>
  </si>
  <si>
    <t>=COUNTIFS('Secondary Capability Links'!$B$2:$B$150,A44,'Secondary Capability Links'!$C$2:$C$150,"Done")</t>
  </si>
  <si>
    <t>=COUNTIFS('Secondary Capability Links'!$B$2:$B$149,A44,'Secondary Capability Links'!$C$2:$C$149,"Done")</t>
  </si>
  <si>
    <t>K45</t>
  </si>
  <si>
    <t>=COUNTIF('Secondary Capability Links'!$B$2:$B$150,A45)</t>
  </si>
  <si>
    <t>=COUNTIF('Secondary Capability Links'!$B$2:$B$149,A45)</t>
  </si>
  <si>
    <t>L45</t>
  </si>
  <si>
    <t>=COUNTIFS('Secondary Capability Links'!$B$2:$B$150,A45,'Secondary Capability Links'!$C$2:$C$150,"Done")</t>
  </si>
  <si>
    <t>=COUNTIFS('Secondary Capability Links'!$B$2:$B$149,A45,'Secondary Capability Links'!$C$2:$C$149,"Done")</t>
  </si>
  <si>
    <t>K46</t>
  </si>
  <si>
    <t>=COUNTIF('Secondary Capability Links'!$B$2:$B$150,A46)</t>
  </si>
  <si>
    <t>=COUNTIF('Secondary Capability Links'!$B$2:$B$149,A46)</t>
  </si>
  <si>
    <t>L46</t>
  </si>
  <si>
    <t>=COUNTIFS('Secondary Capability Links'!$B$2:$B$150,A46,'Secondary Capability Links'!$C$2:$C$150,"Done")</t>
  </si>
  <si>
    <t>=COUNTIFS('Secondary Capability Links'!$B$2:$B$149,A46,'Secondary Capability Links'!$C$2:$C$149,"Done")</t>
  </si>
  <si>
    <t>K47</t>
  </si>
  <si>
    <t>=COUNTIF('Secondary Capability Links'!$B$2:$B$150,A47)</t>
  </si>
  <si>
    <t>=COUNTIF('Secondary Capability Links'!$B$2:$B$149,A47)</t>
  </si>
  <si>
    <t>L47</t>
  </si>
  <si>
    <t>=COUNTIFS('Secondary Capability Links'!$B$2:$B$150,A47,'Secondary Capability Links'!$C$2:$C$150,"Done")</t>
  </si>
  <si>
    <t>=COUNTIFS('Secondary Capability Links'!$B$2:$B$149,A47,'Secondary Capability Links'!$C$2:$C$149,"Done")</t>
  </si>
  <si>
    <t>K48</t>
  </si>
  <si>
    <t>=COUNTIF('Secondary Capability Links'!$B$2:$B$150,A48)</t>
  </si>
  <si>
    <t>=COUNTIF('Secondary Capability Links'!$B$2:$B$149,A48)</t>
  </si>
  <si>
    <t>L48</t>
  </si>
  <si>
    <t>=COUNTIFS('Secondary Capability Links'!$B$2:$B$150,A48,'Secondary Capability Links'!$C$2:$C$150,"Done")</t>
  </si>
  <si>
    <t>=COUNTIFS('Secondary Capability Links'!$B$2:$B$149,A48,'Secondary Capability Links'!$C$2:$C$149,"Done")</t>
  </si>
  <si>
    <t>K49</t>
  </si>
  <si>
    <t>=COUNTIF('Secondary Capability Links'!$B$2:$B$150,A49)</t>
  </si>
  <si>
    <t>=COUNTIF('Secondary Capability Links'!$B$2:$B$149,A49)</t>
  </si>
  <si>
    <t>L49</t>
  </si>
  <si>
    <t>=COUNTIFS('Secondary Capability Links'!$B$2:$B$150,A49,'Secondary Capability Links'!$C$2:$C$150,"Done")</t>
  </si>
  <si>
    <t>=COUNTIFS('Secondary Capability Links'!$B$2:$B$149,A49,'Secondary Capability Links'!$C$2:$C$149,"Done")</t>
  </si>
  <si>
    <t>K50</t>
  </si>
  <si>
    <t>=COUNTIF('Secondary Capability Links'!$B$2:$B$150,A50)</t>
  </si>
  <si>
    <t>=COUNTIF('Secondary Capability Links'!$B$2:$B$149,A50)</t>
  </si>
  <si>
    <t>L50</t>
  </si>
  <si>
    <t>=COUNTIFS('Secondary Capability Links'!$B$2:$B$150,A50,'Secondary Capability Links'!$C$2:$C$150,"Done")</t>
  </si>
  <si>
    <t>=COUNTIFS('Secondary Capability Links'!$B$2:$B$149,A50,'Secondary Capability Links'!$C$2:$C$149,"Done")</t>
  </si>
  <si>
    <t>K51</t>
  </si>
  <si>
    <t>=COUNTIF('Secondary Capability Links'!$B$2:$B$150,A51)</t>
  </si>
  <si>
    <t>=COUNTIF('Secondary Capability Links'!$B$2:$B$149,A51)</t>
  </si>
  <si>
    <t>L51</t>
  </si>
  <si>
    <t>=COUNTIFS('Secondary Capability Links'!$B$2:$B$150,A51,'Secondary Capability Links'!$C$2:$C$150,"Done")</t>
  </si>
  <si>
    <t>=COUNTIFS('Secondary Capability Links'!$B$2:$B$149,A51,'Secondary Capability Links'!$C$2:$C$149,"Done")</t>
  </si>
  <si>
    <t>K52</t>
  </si>
  <si>
    <t>=COUNTIF('Secondary Capability Links'!$B$2:$B$150,A52)</t>
  </si>
  <si>
    <t>=COUNTIF('Secondary Capability Links'!$B$2:$B$149,A52)</t>
  </si>
  <si>
    <t>L52</t>
  </si>
  <si>
    <t>=COUNTIFS('Secondary Capability Links'!$B$2:$B$150,A52,'Secondary Capability Links'!$C$2:$C$150,"Done")</t>
  </si>
  <si>
    <t>=COUNTIFS('Secondary Capability Links'!$B$2:$B$149,A52,'Secondary Capability Links'!$C$2:$C$149,"Done")</t>
  </si>
  <si>
    <t>K53</t>
  </si>
  <si>
    <t>=COUNTIF('Secondary Capability Links'!$B$2:$B$150,A53)</t>
  </si>
  <si>
    <t>=COUNTIF('Secondary Capability Links'!$B$2:$B$149,A53)</t>
  </si>
  <si>
    <t>L53</t>
  </si>
  <si>
    <t>=COUNTIFS('Secondary Capability Links'!$B$2:$B$150,A53,'Secondary Capability Links'!$C$2:$C$150,"Done")</t>
  </si>
  <si>
    <t>=COUNTIFS('Secondary Capability Links'!$B$2:$B$149,A53,'Secondary Capability Links'!$C$2:$C$149,"Done")</t>
  </si>
  <si>
    <t>K54</t>
  </si>
  <si>
    <t>=COUNTIF('Secondary Capability Links'!$B$2:$B$150,A54)</t>
  </si>
  <si>
    <t>=COUNTIF('Secondary Capability Links'!$B$2:$B$149,A54)</t>
  </si>
  <si>
    <t>L54</t>
  </si>
  <si>
    <t>=COUNTIFS('Secondary Capability Links'!$B$2:$B$150,A54,'Secondary Capability Links'!$C$2:$C$150,"Done")</t>
  </si>
  <si>
    <t>=COUNTIFS('Secondary Capability Links'!$B$2:$B$149,A54,'Secondary Capability Links'!$C$2:$C$149,"Done")</t>
  </si>
  <si>
    <t>K55</t>
  </si>
  <si>
    <t>=COUNTIF('Secondary Capability Links'!$B$2:$B$150,A55)</t>
  </si>
  <si>
    <t>=COUNTIF('Secondary Capability Links'!$B$2:$B$149,A55)</t>
  </si>
  <si>
    <t>L55</t>
  </si>
  <si>
    <t>=COUNTIFS('Secondary Capability Links'!$B$2:$B$150,A55,'Secondary Capability Links'!$C$2:$C$150,"Done")</t>
  </si>
  <si>
    <t>=COUNTIFS('Secondary Capability Links'!$B$2:$B$149,A55,'Secondary Capability Links'!$C$2:$C$149,"Done")</t>
  </si>
  <si>
    <t>K56</t>
  </si>
  <si>
    <t>=COUNTIF('Secondary Capability Links'!$B$2:$B$150,A56)</t>
  </si>
  <si>
    <t>=COUNTIF('Secondary Capability Links'!$B$2:$B$149,A56)</t>
  </si>
  <si>
    <t>L56</t>
  </si>
  <si>
    <t>=COUNTIFS('Secondary Capability Links'!$B$2:$B$150,A56,'Secondary Capability Links'!$C$2:$C$150,"Done")</t>
  </si>
  <si>
    <t>=COUNTIFS('Secondary Capability Links'!$B$2:$B$149,A56,'Secondary Capability Links'!$C$2:$C$149,"Done")</t>
  </si>
  <si>
    <t>K57</t>
  </si>
  <si>
    <t>=COUNTIF('Secondary Capability Links'!$B$2:$B$150,A57)</t>
  </si>
  <si>
    <t>=COUNTIF('Secondary Capability Links'!$B$2:$B$149,A57)</t>
  </si>
  <si>
    <t>L57</t>
  </si>
  <si>
    <t>=COUNTIFS('Secondary Capability Links'!$B$2:$B$150,A57,'Secondary Capability Links'!$C$2:$C$150,"Done")</t>
  </si>
  <si>
    <t>=COUNTIFS('Secondary Capability Links'!$B$2:$B$149,A57,'Secondary Capability Links'!$C$2:$C$149,"Done")</t>
  </si>
  <si>
    <t>=COUNTIF('Secondary Capability Links'!$B$2:$B$150,A58)</t>
  </si>
  <si>
    <t>=COUNTIF('Secondary Capability Links'!$B$2:$B$149,A58)</t>
  </si>
  <si>
    <t>L58</t>
  </si>
  <si>
    <t>=COUNTIFS('Secondary Capability Links'!$B$2:$B$150,A58,'Secondary Capability Links'!$C$2:$C$150,"Done")</t>
  </si>
  <si>
    <t>=COUNTIFS('Secondary Capability Links'!$B$2:$B$149,A58,'Secondary Capability Links'!$C$2:$C$149,"Done")</t>
  </si>
  <si>
    <t>K59</t>
  </si>
  <si>
    <t>=COUNTIF('Secondary Capability Links'!$B$2:$B$150,A59)</t>
  </si>
  <si>
    <t>=COUNTIF('Secondary Capability Links'!$B$2:$B$149,A59)</t>
  </si>
  <si>
    <t>L59</t>
  </si>
  <si>
    <t>=COUNTIFS('Secondary Capability Links'!$B$2:$B$150,A59,'Secondary Capability Links'!$C$2:$C$150,"Done")</t>
  </si>
  <si>
    <t>=COUNTIFS('Secondary Capability Links'!$B$2:$B$149,A59,'Secondary Capability Links'!$C$2:$C$149,"Done")</t>
  </si>
  <si>
    <t>K60</t>
  </si>
  <si>
    <t>=COUNTIF('Secondary Capability Links'!$B$2:$B$150,A60)</t>
  </si>
  <si>
    <t>=COUNTIF('Secondary Capability Links'!$B$2:$B$149,A60)</t>
  </si>
  <si>
    <t>L60</t>
  </si>
  <si>
    <t>=COUNTIFS('Secondary Capability Links'!$B$2:$B$150,A60,'Secondary Capability Links'!$C$2:$C$150,"Done")</t>
  </si>
  <si>
    <t>=COUNTIFS('Secondary Capability Links'!$B$2:$B$149,A60,'Secondary Capability Links'!$C$2:$C$149,"Done")</t>
  </si>
  <si>
    <t>K61</t>
  </si>
  <si>
    <t>=COUNTIF('Secondary Capability Links'!$B$2:$B$150,A61)</t>
  </si>
  <si>
    <t>=COUNTIF('Secondary Capability Links'!$B$2:$B$149,A61)</t>
  </si>
  <si>
    <t>L61</t>
  </si>
  <si>
    <t>=COUNTIFS('Secondary Capability Links'!$B$2:$B$150,A61,'Secondary Capability Links'!$C$2:$C$150,"Done")</t>
  </si>
  <si>
    <t>=COUNTIFS('Secondary Capability Links'!$B$2:$B$149,A61,'Secondary Capability Links'!$C$2:$C$149,"Done")</t>
  </si>
  <si>
    <t>K62</t>
  </si>
  <si>
    <t>=COUNTIF('Secondary Capability Links'!$B$2:$B$150,A62)</t>
  </si>
  <si>
    <t>=COUNTIF('Secondary Capability Links'!$B$2:$B$149,A62)</t>
  </si>
  <si>
    <t>L62</t>
  </si>
  <si>
    <t>=COUNTIFS('Secondary Capability Links'!$B$2:$B$150,A62,'Secondary Capability Links'!$C$2:$C$150,"Done")</t>
  </si>
  <si>
    <t>=COUNTIFS('Secondary Capability Links'!$B$2:$B$149,A62,'Secondary Capability Links'!$C$2:$C$149,"Done")</t>
  </si>
  <si>
    <t>K63</t>
  </si>
  <si>
    <t>=COUNTIF('Secondary Capability Links'!$B$2:$B$150,A63)</t>
  </si>
  <si>
    <t>=COUNTIF('Secondary Capability Links'!$B$2:$B$149,A63)</t>
  </si>
  <si>
    <t>L63</t>
  </si>
  <si>
    <t>=COUNTIFS('Secondary Capability Links'!$B$2:$B$150,A63,'Secondary Capability Links'!$C$2:$C$150,"Done")</t>
  </si>
  <si>
    <t>=COUNTIFS('Secondary Capability Links'!$B$2:$B$149,A63,'Secondary Capability Links'!$C$2:$C$149,"Done")</t>
  </si>
  <si>
    <t>K64</t>
  </si>
  <si>
    <t>=COUNTIF('Secondary Capability Links'!$B$2:$B$150,A64)</t>
  </si>
  <si>
    <t>=COUNTIF('Secondary Capability Links'!$B$2:$B$149,A64)</t>
  </si>
  <si>
    <t>L64</t>
  </si>
  <si>
    <t>=COUNTIFS('Secondary Capability Links'!$B$2:$B$150,A64,'Secondary Capability Links'!$C$2:$C$150,"Done")</t>
  </si>
  <si>
    <t>=COUNTIFS('Secondary Capability Links'!$B$2:$B$149,A64,'Secondary Capability Links'!$C$2:$C$149,"Done")</t>
  </si>
  <si>
    <t>K65</t>
  </si>
  <si>
    <t>=COUNTIF('Secondary Capability Links'!$B$2:$B$150,A65)</t>
  </si>
  <si>
    <t>=COUNTIF('Secondary Capability Links'!$B$2:$B$149,A65)</t>
  </si>
  <si>
    <t>L65</t>
  </si>
  <si>
    <t>=COUNTIFS('Secondary Capability Links'!$B$2:$B$150,A65,'Secondary Capability Links'!$C$2:$C$150,"Done")</t>
  </si>
  <si>
    <t>=COUNTIFS('Secondary Capability Links'!$B$2:$B$149,A65,'Secondary Capability Links'!$C$2:$C$149,"Done")</t>
  </si>
  <si>
    <t>K66</t>
  </si>
  <si>
    <t>=COUNTIF('Secondary Capability Links'!$B$2:$B$150,A66)</t>
  </si>
  <si>
    <t>=COUNTIF('Secondary Capability Links'!$B$2:$B$149,A66)</t>
  </si>
  <si>
    <t>L66</t>
  </si>
  <si>
    <t>=COUNTIFS('Secondary Capability Links'!$B$2:$B$150,A66,'Secondary Capability Links'!$C$2:$C$150,"Done")</t>
  </si>
  <si>
    <t>=COUNTIFS('Secondary Capability Links'!$B$2:$B$149,A66,'Secondary Capability Links'!$C$2:$C$149,"Done")</t>
  </si>
  <si>
    <t>K67</t>
  </si>
  <si>
    <t>=COUNTIF('Secondary Capability Links'!$B$2:$B$150,A67)</t>
  </si>
  <si>
    <t>=COUNTIF('Secondary Capability Links'!$B$2:$B$149,A67)</t>
  </si>
  <si>
    <t>L67</t>
  </si>
  <si>
    <t>=COUNTIFS('Secondary Capability Links'!$B$2:$B$150,A67,'Secondary Capability Links'!$C$2:$C$150,"Done")</t>
  </si>
  <si>
    <t>=COUNTIFS('Secondary Capability Links'!$B$2:$B$149,A67,'Secondary Capability Links'!$C$2:$C$149,"Done")</t>
  </si>
  <si>
    <t>K68</t>
  </si>
  <si>
    <t>=COUNTIF('Secondary Capability Links'!$B$2:$B$150,A68)</t>
  </si>
  <si>
    <t>=COUNTIF('Secondary Capability Links'!$B$2:$B$149,A68)</t>
  </si>
  <si>
    <t>L68</t>
  </si>
  <si>
    <t>=COUNTIFS('Secondary Capability Links'!$B$2:$B$150,A68,'Secondary Capability Links'!$C$2:$C$150,"Done")</t>
  </si>
  <si>
    <t>=COUNTIFS('Secondary Capability Links'!$B$2:$B$149,A68,'Secondary Capability Links'!$C$2:$C$149,"Done")</t>
  </si>
  <si>
    <t>K69</t>
  </si>
  <si>
    <t>=COUNTIF('Secondary Capability Links'!$B$2:$B$150,A69)</t>
  </si>
  <si>
    <t>=COUNTIF('Secondary Capability Links'!$B$2:$B$149,A69)</t>
  </si>
  <si>
    <t>L69</t>
  </si>
  <si>
    <t>=COUNTIFS('Secondary Capability Links'!$B$2:$B$150,A69,'Secondary Capability Links'!$C$2:$C$150,"Done")</t>
  </si>
  <si>
    <t>=COUNTIFS('Secondary Capability Links'!$B$2:$B$149,A69,'Secondary Capability Links'!$C$2:$C$149,"Done")</t>
  </si>
  <si>
    <t>K70</t>
  </si>
  <si>
    <t>=COUNTIF('Secondary Capability Links'!$B$2:$B$150,A70)</t>
  </si>
  <si>
    <t>=COUNTIF('Secondary Capability Links'!$B$2:$B$149,A70)</t>
  </si>
  <si>
    <t>L70</t>
  </si>
  <si>
    <t>=COUNTIFS('Secondary Capability Links'!$B$2:$B$150,A70,'Secondary Capability Links'!$C$2:$C$150,"Done")</t>
  </si>
  <si>
    <t>=COUNTIFS('Secondary Capability Links'!$B$2:$B$149,A70,'Secondary Capability Links'!$C$2:$C$149,"Done")</t>
  </si>
  <si>
    <t>K71</t>
  </si>
  <si>
    <t>=COUNTIF('Secondary Capability Links'!$B$2:$B$150,A71)</t>
  </si>
  <si>
    <t>=COUNTIF('Secondary Capability Links'!$B$2:$B$149,A71)</t>
  </si>
  <si>
    <t>L71</t>
  </si>
  <si>
    <t>=COUNTIFS('Secondary Capability Links'!$B$2:$B$150,A71,'Secondary Capability Links'!$C$2:$C$150,"Done")</t>
  </si>
  <si>
    <t>=COUNTIFS('Secondary Capability Links'!$B$2:$B$149,A71,'Secondary Capability Links'!$C$2:$C$149,"Done")</t>
  </si>
  <si>
    <t>K72</t>
  </si>
  <si>
    <t>=COUNTIF('Secondary Capability Links'!$B$2:$B$150,A72)</t>
  </si>
  <si>
    <t>=COUNTIF('Secondary Capability Links'!$B$2:$B$149,A72)</t>
  </si>
  <si>
    <t>L72</t>
  </si>
  <si>
    <t>=COUNTIFS('Secondary Capability Links'!$B$2:$B$150,A72,'Secondary Capability Links'!$C$2:$C$150,"Done")</t>
  </si>
  <si>
    <t>=COUNTIFS('Secondary Capability Links'!$B$2:$B$149,A72,'Secondary Capability Links'!$C$2:$C$149,"Done")</t>
  </si>
  <si>
    <t>K73</t>
  </si>
  <si>
    <t>=COUNTIF('Secondary Capability Links'!$B$2:$B$150,A73)</t>
  </si>
  <si>
    <t>=COUNTIF('Secondary Capability Links'!$B$2:$B$149,A73)</t>
  </si>
  <si>
    <t>L73</t>
  </si>
  <si>
    <t>=COUNTIFS('Secondary Capability Links'!$B$2:$B$150,A73,'Secondary Capability Links'!$C$2:$C$150,"Done")</t>
  </si>
  <si>
    <t>=COUNTIFS('Secondary Capability Links'!$B$2:$B$149,A73,'Secondary Capability Links'!$C$2:$C$149,"Done")</t>
  </si>
  <si>
    <t>K74</t>
  </si>
  <si>
    <t>=COUNTIF('Secondary Capability Links'!$B$2:$B$150,A74)</t>
  </si>
  <si>
    <t>=COUNTIF('Secondary Capability Links'!$B$2:$B$149,A74)</t>
  </si>
  <si>
    <t>L74</t>
  </si>
  <si>
    <t>=COUNTIFS('Secondary Capability Links'!$B$2:$B$150,A74,'Secondary Capability Links'!$C$2:$C$150,"Done")</t>
  </si>
  <si>
    <t>=COUNTIFS('Secondary Capability Links'!$B$2:$B$149,A74,'Secondary Capability Links'!$C$2:$C$149,"Done")</t>
  </si>
  <si>
    <t>K75</t>
  </si>
  <si>
    <t>=COUNTIF('Secondary Capability Links'!$B$2:$B$150,A75)</t>
  </si>
  <si>
    <t>=COUNTIF('Secondary Capability Links'!$B$2:$B$149,A75)</t>
  </si>
  <si>
    <t>L75</t>
  </si>
  <si>
    <t>=COUNTIFS('Secondary Capability Links'!$B$2:$B$150,A75,'Secondary Capability Links'!$C$2:$C$150,"Done")</t>
  </si>
  <si>
    <t>=COUNTIFS('Secondary Capability Links'!$B$2:$B$149,A75,'Secondary Capability Links'!$C$2:$C$149,"Done")</t>
  </si>
  <si>
    <t>K76</t>
  </si>
  <si>
    <t>=COUNTIF('Secondary Capability Links'!$B$2:$B$150,A76)</t>
  </si>
  <si>
    <t>=COUNTIF('Secondary Capability Links'!$B$2:$B$149,A76)</t>
  </si>
  <si>
    <t>L76</t>
  </si>
  <si>
    <t>=COUNTIFS('Secondary Capability Links'!$B$2:$B$150,A76,'Secondary Capability Links'!$C$2:$C$150,"Done")</t>
  </si>
  <si>
    <t>=COUNTIFS('Secondary Capability Links'!$B$2:$B$149,A76,'Secondary Capability Links'!$C$2:$C$149,"Done")</t>
  </si>
  <si>
    <t>K77</t>
  </si>
  <si>
    <t>=COUNTIF('Secondary Capability Links'!$B$2:$B$150,A77)</t>
  </si>
  <si>
    <t>=COUNTIF('Secondary Capability Links'!$B$2:$B$149,A77)</t>
  </si>
  <si>
    <t>L77</t>
  </si>
  <si>
    <t>=COUNTIFS('Secondary Capability Links'!$B$2:$B$150,A77,'Secondary Capability Links'!$C$2:$C$150,"Done")</t>
  </si>
  <si>
    <t>=COUNTIFS('Secondary Capability Links'!$B$2:$B$149,A77,'Secondary Capability Links'!$C$2:$C$149,"Done")</t>
  </si>
  <si>
    <t>K78</t>
  </si>
  <si>
    <t>=COUNTIF('Secondary Capability Links'!$B$2:$B$150,A78)</t>
  </si>
  <si>
    <t>=COUNTIF('Secondary Capability Links'!$B$2:$B$149,A78)</t>
  </si>
  <si>
    <t>L78</t>
  </si>
  <si>
    <t>=COUNTIFS('Secondary Capability Links'!$B$2:$B$150,A78,'Secondary Capability Links'!$C$2:$C$150,"Done")</t>
  </si>
  <si>
    <t>=COUNTIFS('Secondary Capability Links'!$B$2:$B$149,A78,'Secondary Capability Links'!$C$2:$C$149,"Done")</t>
  </si>
  <si>
    <t>K79</t>
  </si>
  <si>
    <t>=COUNTIF('Secondary Capability Links'!$B$2:$B$150,A79)</t>
  </si>
  <si>
    <t>=COUNTIF('Secondary Capability Links'!$B$2:$B$149,A79)</t>
  </si>
  <si>
    <t>L79</t>
  </si>
  <si>
    <t>=COUNTIFS('Secondary Capability Links'!$B$2:$B$150,A79,'Secondary Capability Links'!$C$2:$C$150,"Done")</t>
  </si>
  <si>
    <t>=COUNTIFS('Secondary Capability Links'!$B$2:$B$149,A79,'Secondary Capability Links'!$C$2:$C$149,"Done")</t>
  </si>
  <si>
    <t>K80</t>
  </si>
  <si>
    <t>=COUNTIF('Secondary Capability Links'!$B$2:$B$150,A80)</t>
  </si>
  <si>
    <t>=COUNTIF('Secondary Capability Links'!$B$2:$B$149,A80)</t>
  </si>
  <si>
    <t>L80</t>
  </si>
  <si>
    <t>=COUNTIFS('Secondary Capability Links'!$B$2:$B$150,A80,'Secondary Capability Links'!$C$2:$C$150,"Done")</t>
  </si>
  <si>
    <t>=COUNTIFS('Secondary Capability Links'!$B$2:$B$149,A80,'Secondary Capability Links'!$C$2:$C$149,"Done")</t>
  </si>
  <si>
    <t>K81</t>
  </si>
  <si>
    <t>=COUNTIF('Secondary Capability Links'!$B$2:$B$150,A81)</t>
  </si>
  <si>
    <t>=COUNTIF('Secondary Capability Links'!$B$2:$B$149,A81)</t>
  </si>
  <si>
    <t>L81</t>
  </si>
  <si>
    <t>=COUNTIFS('Secondary Capability Links'!$B$2:$B$150,A81,'Secondary Capability Links'!$C$2:$C$150,"Done")</t>
  </si>
  <si>
    <t>=COUNTIFS('Secondary Capability Links'!$B$2:$B$149,A81,'Secondary Capability Links'!$C$2:$C$149,"Done")</t>
  </si>
  <si>
    <t>Phase × Worker — v2.23.0 | blanks are unknown effort, never zero</t>
  </si>
  <si>
    <t>Phase × Worker — v2.23.0 | reviewed15Sep2026; not an actual/remaining-hours ledger</t>
  </si>
  <si>
    <t>Known done h</t>
  </si>
  <si>
    <t>I2</t>
  </si>
  <si>
    <t>J2</t>
  </si>
  <si>
    <t>=SUMIFS(Backlog!$J$2:$J$180,Backlog!$B$2:$B$180,A3,Backlog!$C$2:$C$180,B3,Backlog!$L$2:$L$180,C3)</t>
  </si>
  <si>
    <t>=SUMIFS(Backlog!$AS$2:$AS$180,Backlog!$B$2:$B$180,A3,Backlog!$C$2:$C$180,B3,Backlog!$L$2:$L$180,C3)</t>
  </si>
  <si>
    <t>=SUMIFS(Backlog!$J$2:$J$180,Backlog!$B$2:$B$180,A3,Backlog!$C$2:$C$180,B3,Backlog!$L$2:$L$180,C3,Backlog!$K$2:$K$180,"Done")</t>
  </si>
  <si>
    <t>=SUMIFS(Backlog!$AS$2:$AS$180,Backlog!$B$2:$B$180,A3,Backlog!$C$2:$C$180,B3,Backlog!$L$2:$L$180,C3,Backlog!$K$2:$K$180,"Done")</t>
  </si>
  <si>
    <t>=SUMIFS(Backlog!$J$2:$J$180,Backlog!$B$2:$B$180,A4,Backlog!$C$2:$C$180,B4,Backlog!$L$2:$L$180,C4)</t>
  </si>
  <si>
    <t>=SUMIFS(Backlog!$AS$2:$AS$180,Backlog!$B$2:$B$180,A4,Backlog!$C$2:$C$180,B4,Backlog!$L$2:$L$180,C4)</t>
  </si>
  <si>
    <t>=SUMIFS(Backlog!$J$2:$J$180,Backlog!$B$2:$B$180,A4,Backlog!$C$2:$C$180,B4,Backlog!$L$2:$L$180,C4,Backlog!$K$2:$K$180,"Done")</t>
  </si>
  <si>
    <t>=SUMIFS(Backlog!$AS$2:$AS$180,Backlog!$B$2:$B$180,A4,Backlog!$C$2:$C$180,B4,Backlog!$L$2:$L$180,C4,Backlog!$K$2:$K$180,"Done")</t>
  </si>
  <si>
    <t>=SUMIFS(Backlog!$J$2:$J$180,Backlog!$B$2:$B$180,A5,Backlog!$C$2:$C$180,B5,Backlog!$L$2:$L$180,C5)</t>
  </si>
  <si>
    <t>=SUMIFS(Backlog!$AS$2:$AS$180,Backlog!$B$2:$B$180,A5,Backlog!$C$2:$C$180,B5,Backlog!$L$2:$L$180,C5)</t>
  </si>
  <si>
    <t>=SUMIFS(Backlog!$J$2:$J$180,Backlog!$B$2:$B$180,A5,Backlog!$C$2:$C$180,B5,Backlog!$L$2:$L$180,C5,Backlog!$K$2:$K$180,"Done")</t>
  </si>
  <si>
    <t>=SUMIFS(Backlog!$AS$2:$AS$180,Backlog!$B$2:$B$180,A5,Backlog!$C$2:$C$180,B5,Backlog!$L$2:$L$180,C5,Backlog!$K$2:$K$180,"Done")</t>
  </si>
  <si>
    <t>=SUMIFS(Backlog!$J$2:$J$180,Backlog!$B$2:$B$180,A6,Backlog!$C$2:$C$180,B6,Backlog!$L$2:$L$180,C6)</t>
  </si>
  <si>
    <t>=SUMIFS(Backlog!$AS$2:$AS$180,Backlog!$B$2:$B$180,A6,Backlog!$C$2:$C$180,B6,Backlog!$L$2:$L$180,C6)</t>
  </si>
  <si>
    <t>=SUMIFS(Backlog!$J$2:$J$180,Backlog!$B$2:$B$180,A6,Backlog!$C$2:$C$180,B6,Backlog!$L$2:$L$180,C6,Backlog!$K$2:$K$180,"Done")</t>
  </si>
  <si>
    <t>=SUMIFS(Backlog!$AS$2:$AS$180,Backlog!$B$2:$B$180,A6,Backlog!$C$2:$C$180,B6,Backlog!$L$2:$L$180,C6,Backlog!$K$2:$K$180,"Done")</t>
  </si>
  <si>
    <t>=SUMIFS(Backlog!$J$2:$J$180,Backlog!$B$2:$B$180,A7,Backlog!$C$2:$C$180,B7,Backlog!$L$2:$L$180,C7)</t>
  </si>
  <si>
    <t>=SUMIFS(Backlog!$AS$2:$AS$180,Backlog!$B$2:$B$180,A7,Backlog!$C$2:$C$180,B7,Backlog!$L$2:$L$180,C7)</t>
  </si>
  <si>
    <t>=SUMIFS(Backlog!$J$2:$J$180,Backlog!$B$2:$B$180,A7,Backlog!$C$2:$C$180,B7,Backlog!$L$2:$L$180,C7,Backlog!$K$2:$K$180,"Done")</t>
  </si>
  <si>
    <t>=SUMIFS(Backlog!$AS$2:$AS$180,Backlog!$B$2:$B$180,A7,Backlog!$C$2:$C$180,B7,Backlog!$L$2:$L$180,C7,Backlog!$K$2:$K$180,"Done")</t>
  </si>
  <si>
    <t>=SUMIFS(Backlog!$J$2:$J$180,Backlog!$B$2:$B$180,A8,Backlog!$C$2:$C$180,B8,Backlog!$L$2:$L$180,C8)</t>
  </si>
  <si>
    <t>=SUMIFS(Backlog!$AS$2:$AS$180,Backlog!$B$2:$B$180,A8,Backlog!$C$2:$C$180,B8,Backlog!$L$2:$L$180,C8)</t>
  </si>
  <si>
    <t>=SUMIFS(Backlog!$J$2:$J$180,Backlog!$B$2:$B$180,A8,Backlog!$C$2:$C$180,B8,Backlog!$L$2:$L$180,C8,Backlog!$K$2:$K$180,"Done")</t>
  </si>
  <si>
    <t>=SUMIFS(Backlog!$AS$2:$AS$180,Backlog!$B$2:$B$180,A8,Backlog!$C$2:$C$180,B8,Backlog!$L$2:$L$180,C8,Backlog!$K$2:$K$180,"Done")</t>
  </si>
  <si>
    <t>=SUMIFS(Backlog!$J$2:$J$180,Backlog!$B$2:$B$180,A9,Backlog!$C$2:$C$180,B9,Backlog!$L$2:$L$180,C9)</t>
  </si>
  <si>
    <t>=SUMIFS(Backlog!$AS$2:$AS$180,Backlog!$B$2:$B$180,A9,Backlog!$C$2:$C$180,B9,Backlog!$L$2:$L$180,C9)</t>
  </si>
  <si>
    <t>=SUMIFS(Backlog!$J$2:$J$180,Backlog!$B$2:$B$180,A9,Backlog!$C$2:$C$180,B9,Backlog!$L$2:$L$180,C9,Backlog!$K$2:$K$180,"Done")</t>
  </si>
  <si>
    <t>=SUMIFS(Backlog!$AS$2:$AS$180,Backlog!$B$2:$B$180,A9,Backlog!$C$2:$C$180,B9,Backlog!$L$2:$L$180,C9,Backlog!$K$2:$K$180,"Done")</t>
  </si>
  <si>
    <t>=SUMIFS(Backlog!$J$2:$J$180,Backlog!$B$2:$B$180,A10,Backlog!$C$2:$C$180,B10,Backlog!$L$2:$L$180,C10)</t>
  </si>
  <si>
    <t>=SUMIFS(Backlog!$AS$2:$AS$180,Backlog!$B$2:$B$180,A10,Backlog!$C$2:$C$180,B10,Backlog!$L$2:$L$180,C10)</t>
  </si>
  <si>
    <t>=SUMIFS(Backlog!$J$2:$J$180,Backlog!$B$2:$B$180,A10,Backlog!$C$2:$C$180,B10,Backlog!$L$2:$L$180,C10,Backlog!$K$2:$K$180,"Done")</t>
  </si>
  <si>
    <t>=SUMIFS(Backlog!$AS$2:$AS$180,Backlog!$B$2:$B$180,A10,Backlog!$C$2:$C$180,B10,Backlog!$L$2:$L$180,C10,Backlog!$K$2:$K$180,"Done")</t>
  </si>
  <si>
    <t>=SUMIFS(Backlog!$J$2:$J$180,Backlog!$B$2:$B$180,A11,Backlog!$C$2:$C$180,B11,Backlog!$L$2:$L$180,C11)</t>
  </si>
  <si>
    <t>=SUMIFS(Backlog!$AS$2:$AS$180,Backlog!$B$2:$B$180,A11,Backlog!$C$2:$C$180,B11,Backlog!$L$2:$L$180,C11)</t>
  </si>
  <si>
    <t>=SUMIFS(Backlog!$J$2:$J$180,Backlog!$B$2:$B$180,A11,Backlog!$C$2:$C$180,B11,Backlog!$L$2:$L$180,C11,Backlog!$K$2:$K$180,"Done")</t>
  </si>
  <si>
    <t>=SUMIFS(Backlog!$AS$2:$AS$180,Backlog!$B$2:$B$180,A11,Backlog!$C$2:$C$180,B11,Backlog!$L$2:$L$180,C11,Backlog!$K$2:$K$180,"Done")</t>
  </si>
  <si>
    <t>=SUMIFS(Backlog!$J$2:$J$180,Backlog!$B$2:$B$180,A12,Backlog!$C$2:$C$180,B12,Backlog!$L$2:$L$180,C12)</t>
  </si>
  <si>
    <t>=SUMIFS(Backlog!$AS$2:$AS$180,Backlog!$B$2:$B$180,A12,Backlog!$C$2:$C$180,B12,Backlog!$L$2:$L$180,C12)</t>
  </si>
  <si>
    <t>=SUMIFS(Backlog!$J$2:$J$180,Backlog!$B$2:$B$180,A12,Backlog!$C$2:$C$180,B12,Backlog!$L$2:$L$180,C12,Backlog!$K$2:$K$180,"Done")</t>
  </si>
  <si>
    <t>=SUMIFS(Backlog!$AS$2:$AS$180,Backlog!$B$2:$B$180,A12,Backlog!$C$2:$C$180,B12,Backlog!$L$2:$L$180,C12,Backlog!$K$2:$K$180,"Done")</t>
  </si>
  <si>
    <t>=SUMIFS(Backlog!$J$2:$J$180,Backlog!$B$2:$B$180,A13,Backlog!$C$2:$C$180,B13,Backlog!$L$2:$L$180,C13)</t>
  </si>
  <si>
    <t>=SUMIFS(Backlog!$AS$2:$AS$180,Backlog!$B$2:$B$180,A13,Backlog!$C$2:$C$180,B13,Backlog!$L$2:$L$180,C13)</t>
  </si>
  <si>
    <t>=SUMIFS(Backlog!$J$2:$J$180,Backlog!$B$2:$B$180,A13,Backlog!$C$2:$C$180,B13,Backlog!$L$2:$L$180,C13,Backlog!$K$2:$K$180,"Done")</t>
  </si>
  <si>
    <t>=SUMIFS(Backlog!$AS$2:$AS$180,Backlog!$B$2:$B$180,A13,Backlog!$C$2:$C$180,B13,Backlog!$L$2:$L$180,C13,Backlog!$K$2:$K$180,"Done")</t>
  </si>
  <si>
    <t>=SUMIFS(Backlog!$J$2:$J$180,Backlog!$B$2:$B$180,A14,Backlog!$C$2:$C$180,B14,Backlog!$L$2:$L$180,C14)</t>
  </si>
  <si>
    <t>=SUMIFS(Backlog!$AS$2:$AS$180,Backlog!$B$2:$B$180,A14,Backlog!$C$2:$C$180,B14,Backlog!$L$2:$L$180,C14)</t>
  </si>
  <si>
    <t>=SUMIFS(Backlog!$J$2:$J$180,Backlog!$B$2:$B$180,A14,Backlog!$C$2:$C$180,B14,Backlog!$L$2:$L$180,C14,Backlog!$K$2:$K$180,"Done")</t>
  </si>
  <si>
    <t>=SUMIFS(Backlog!$AS$2:$AS$180,Backlog!$B$2:$B$180,A14,Backlog!$C$2:$C$180,B14,Backlog!$L$2:$L$180,C14,Backlog!$K$2:$K$180,"Done")</t>
  </si>
  <si>
    <t>=SUMIFS(Backlog!$J$2:$J$180,Backlog!$B$2:$B$180,A15,Backlog!$C$2:$C$180,B15,Backlog!$L$2:$L$180,C15)</t>
  </si>
  <si>
    <t>=SUMIFS(Backlog!$AS$2:$AS$180,Backlog!$B$2:$B$180,A15,Backlog!$C$2:$C$180,B15,Backlog!$L$2:$L$180,C15)</t>
  </si>
  <si>
    <t>=SUMIFS(Backlog!$J$2:$J$180,Backlog!$B$2:$B$180,A15,Backlog!$C$2:$C$180,B15,Backlog!$L$2:$L$180,C15,Backlog!$K$2:$K$180,"Done")</t>
  </si>
  <si>
    <t>=SUMIFS(Backlog!$AS$2:$AS$180,Backlog!$B$2:$B$180,A15,Backlog!$C$2:$C$180,B15,Backlog!$L$2:$L$180,C15,Backlog!$K$2:$K$180,"Done")</t>
  </si>
  <si>
    <t>=SUMIFS(Backlog!$J$2:$J$180,Backlog!$B$2:$B$180,A16,Backlog!$C$2:$C$180,B16,Backlog!$L$2:$L$180,C16)</t>
  </si>
  <si>
    <t>=SUMIFS(Backlog!$AS$2:$AS$180,Backlog!$B$2:$B$180,A16,Backlog!$C$2:$C$180,B16,Backlog!$L$2:$L$180,C16)</t>
  </si>
  <si>
    <t>=SUMIFS(Backlog!$J$2:$J$180,Backlog!$B$2:$B$180,A16,Backlog!$C$2:$C$180,B16,Backlog!$L$2:$L$180,C16,Backlog!$K$2:$K$180,"Done")</t>
  </si>
  <si>
    <t>=SUMIFS(Backlog!$AS$2:$AS$180,Backlog!$B$2:$B$180,A16,Backlog!$C$2:$C$180,B16,Backlog!$L$2:$L$180,C16,Backlog!$K$2:$K$180,"Done")</t>
  </si>
  <si>
    <t>=SUMIFS(Backlog!$J$2:$J$180,Backlog!$B$2:$B$180,A17,Backlog!$C$2:$C$180,B17,Backlog!$L$2:$L$180,C17)</t>
  </si>
  <si>
    <t>=SUMIFS(Backlog!$AS$2:$AS$180,Backlog!$B$2:$B$180,A17,Backlog!$C$2:$C$180,B17,Backlog!$L$2:$L$180,C17)</t>
  </si>
  <si>
    <t>=SUMIFS(Backlog!$J$2:$J$180,Backlog!$B$2:$B$180,A17,Backlog!$C$2:$C$180,B17,Backlog!$L$2:$L$180,C17,Backlog!$K$2:$K$180,"Done")</t>
  </si>
  <si>
    <t>=SUMIFS(Backlog!$AS$2:$AS$180,Backlog!$B$2:$B$180,A17,Backlog!$C$2:$C$180,B17,Backlog!$L$2:$L$180,C17,Backlog!$K$2:$K$180,"Done")</t>
  </si>
  <si>
    <t>=SUMIFS(Backlog!$J$2:$J$180,Backlog!$B$2:$B$180,A18,Backlog!$C$2:$C$180,B18,Backlog!$L$2:$L$180,C18)</t>
  </si>
  <si>
    <t>=SUMIFS(Backlog!$AS$2:$AS$180,Backlog!$B$2:$B$180,A18,Backlog!$C$2:$C$180,B18,Backlog!$L$2:$L$180,C18)</t>
  </si>
  <si>
    <t>=SUMIFS(Backlog!$J$2:$J$180,Backlog!$B$2:$B$180,A18,Backlog!$C$2:$C$180,B18,Backlog!$L$2:$L$180,C18,Backlog!$K$2:$K$180,"Done")</t>
  </si>
  <si>
    <t>=SUMIFS(Backlog!$AS$2:$AS$180,Backlog!$B$2:$B$180,A18,Backlog!$C$2:$C$180,B18,Backlog!$L$2:$L$180,C18,Backlog!$K$2:$K$180,"Done")</t>
  </si>
  <si>
    <t>=SUMIFS(Backlog!$J$2:$J$180,Backlog!$B$2:$B$180,A19,Backlog!$C$2:$C$180,B19,Backlog!$L$2:$L$180,C19)</t>
  </si>
  <si>
    <t>=SUMIFS(Backlog!$AS$2:$AS$180,Backlog!$B$2:$B$180,A19,Backlog!$C$2:$C$180,B19,Backlog!$L$2:$L$180,C19)</t>
  </si>
  <si>
    <t>=SUMIFS(Backlog!$J$2:$J$180,Backlog!$B$2:$B$180,A19,Backlog!$C$2:$C$180,B19,Backlog!$L$2:$L$180,C19,Backlog!$K$2:$K$180,"Done")</t>
  </si>
  <si>
    <t>=SUMIFS(Backlog!$AS$2:$AS$180,Backlog!$B$2:$B$180,A19,Backlog!$C$2:$C$180,B19,Backlog!$L$2:$L$180,C19,Backlog!$K$2:$K$180,"Done")</t>
  </si>
  <si>
    <t>=SUMIFS(Backlog!$J$2:$J$180,Backlog!$B$2:$B$180,A20,Backlog!$C$2:$C$180,B20,Backlog!$L$2:$L$180,C20)</t>
  </si>
  <si>
    <t>=SUMIFS(Backlog!$AS$2:$AS$180,Backlog!$B$2:$B$180,A20,Backlog!$C$2:$C$180,B20,Backlog!$L$2:$L$180,C20)</t>
  </si>
  <si>
    <t>=SUMIFS(Backlog!$J$2:$J$180,Backlog!$B$2:$B$180,A20,Backlog!$C$2:$C$180,B20,Backlog!$L$2:$L$180,C20,Backlog!$K$2:$K$180,"Done")</t>
  </si>
  <si>
    <t>=SUMIFS(Backlog!$AS$2:$AS$180,Backlog!$B$2:$B$180,A20,Backlog!$C$2:$C$180,B20,Backlog!$L$2:$L$180,C20,Backlog!$K$2:$K$180,"Done")</t>
  </si>
  <si>
    <t>=SUMIFS(Backlog!$J$2:$J$180,Backlog!$B$2:$B$180,A21,Backlog!$C$2:$C$180,B21,Backlog!$L$2:$L$180,C21)</t>
  </si>
  <si>
    <t>=SUMIFS(Backlog!$AS$2:$AS$180,Backlog!$B$2:$B$180,A21,Backlog!$C$2:$C$180,B21,Backlog!$L$2:$L$180,C21)</t>
  </si>
  <si>
    <t>=SUMIFS(Backlog!$J$2:$J$180,Backlog!$B$2:$B$180,A21,Backlog!$C$2:$C$180,B21,Backlog!$L$2:$L$180,C21,Backlog!$K$2:$K$180,"Done")</t>
  </si>
  <si>
    <t>=SUMIFS(Backlog!$AS$2:$AS$180,Backlog!$B$2:$B$180,A21,Backlog!$C$2:$C$180,B21,Backlog!$L$2:$L$180,C21,Backlog!$K$2:$K$180,"Done")</t>
  </si>
  <si>
    <t>=SUMIFS(Backlog!$J$2:$J$180,Backlog!$B$2:$B$180,A22,Backlog!$C$2:$C$180,B22,Backlog!$L$2:$L$180,C22)</t>
  </si>
  <si>
    <t>=SUMIFS(Backlog!$AS$2:$AS$180,Backlog!$B$2:$B$180,A22,Backlog!$C$2:$C$180,B22,Backlog!$L$2:$L$180,C22)</t>
  </si>
  <si>
    <t>=SUMIFS(Backlog!$J$2:$J$180,Backlog!$B$2:$B$180,A22,Backlog!$C$2:$C$180,B22,Backlog!$L$2:$L$180,C22,Backlog!$K$2:$K$180,"Done")</t>
  </si>
  <si>
    <t>=SUMIFS(Backlog!$AS$2:$AS$180,Backlog!$B$2:$B$180,A22,Backlog!$C$2:$C$180,B22,Backlog!$L$2:$L$180,C22,Backlog!$K$2:$K$180,"Done")</t>
  </si>
  <si>
    <t>=SUMIFS(Backlog!$J$2:$J$180,Backlog!$B$2:$B$180,A23,Backlog!$C$2:$C$180,B23,Backlog!$L$2:$L$180,C23)</t>
  </si>
  <si>
    <t>=SUMIFS(Backlog!$AS$2:$AS$180,Backlog!$B$2:$B$180,A23,Backlog!$C$2:$C$180,B23,Backlog!$L$2:$L$180,C23)</t>
  </si>
  <si>
    <t>=SUMIFS(Backlog!$J$2:$J$180,Backlog!$B$2:$B$180,A23,Backlog!$C$2:$C$180,B23,Backlog!$L$2:$L$180,C23,Backlog!$K$2:$K$180,"Done")</t>
  </si>
  <si>
    <t>=SUMIFS(Backlog!$AS$2:$AS$180,Backlog!$B$2:$B$180,A23,Backlog!$C$2:$C$180,B23,Backlog!$L$2:$L$180,C23,Backlog!$K$2:$K$180,"Done")</t>
  </si>
  <si>
    <t>=SUMIFS(Backlog!$J$2:$J$180,Backlog!$B$2:$B$180,A24,Backlog!$C$2:$C$180,B24,Backlog!$L$2:$L$180,C24)</t>
  </si>
  <si>
    <t>=SUMIFS(Backlog!$AS$2:$AS$180,Backlog!$B$2:$B$180,A24,Backlog!$C$2:$C$180,B24,Backlog!$L$2:$L$180,C24)</t>
  </si>
  <si>
    <t>=SUMIFS(Backlog!$J$2:$J$180,Backlog!$B$2:$B$180,A24,Backlog!$C$2:$C$180,B24,Backlog!$L$2:$L$180,C24,Backlog!$K$2:$K$180,"Done")</t>
  </si>
  <si>
    <t>=SUMIFS(Backlog!$AS$2:$AS$180,Backlog!$B$2:$B$180,A24,Backlog!$C$2:$C$180,B24,Backlog!$L$2:$L$180,C24,Backlog!$K$2:$K$180,"Done")</t>
  </si>
  <si>
    <t>=SUMIFS(Backlog!$J$2:$J$180,Backlog!$B$2:$B$180,A25,Backlog!$C$2:$C$180,B25,Backlog!$L$2:$L$180,C25)</t>
  </si>
  <si>
    <t>=SUMIFS(Backlog!$AS$2:$AS$180,Backlog!$B$2:$B$180,A25,Backlog!$C$2:$C$180,B25,Backlog!$L$2:$L$180,C25)</t>
  </si>
  <si>
    <t>=SUMIFS(Backlog!$J$2:$J$180,Backlog!$B$2:$B$180,A25,Backlog!$C$2:$C$180,B25,Backlog!$L$2:$L$180,C25,Backlog!$K$2:$K$180,"Done")</t>
  </si>
  <si>
    <t>=SUMIFS(Backlog!$AS$2:$AS$180,Backlog!$B$2:$B$180,A25,Backlog!$C$2:$C$180,B25,Backlog!$L$2:$L$180,C25,Backlog!$K$2:$K$180,"Done")</t>
  </si>
  <si>
    <t>=SUMIFS(Backlog!$J$2:$J$180,Backlog!$B$2:$B$180,A26,Backlog!$C$2:$C$180,B26,Backlog!$L$2:$L$180,C26)</t>
  </si>
  <si>
    <t>=SUMIFS(Backlog!$AS$2:$AS$180,Backlog!$B$2:$B$180,A26,Backlog!$C$2:$C$180,B26,Backlog!$L$2:$L$180,C26)</t>
  </si>
  <si>
    <t>=SUMIFS(Backlog!$J$2:$J$180,Backlog!$B$2:$B$180,A26,Backlog!$C$2:$C$180,B26,Backlog!$L$2:$L$180,C26,Backlog!$K$2:$K$180,"Done")</t>
  </si>
  <si>
    <t>=SUMIFS(Backlog!$AS$2:$AS$180,Backlog!$B$2:$B$180,A26,Backlog!$C$2:$C$180,B26,Backlog!$L$2:$L$180,C26,Backlog!$K$2:$K$180,"Done")</t>
  </si>
  <si>
    <t>=SUMIFS(Backlog!$J$2:$J$180,Backlog!$B$2:$B$180,A27,Backlog!$C$2:$C$180,B27,Backlog!$L$2:$L$180,C27)</t>
  </si>
  <si>
    <t>=SUMIFS(Backlog!$AS$2:$AS$180,Backlog!$B$2:$B$180,A27,Backlog!$C$2:$C$180,B27,Backlog!$L$2:$L$180,C27)</t>
  </si>
  <si>
    <t>=SUMIFS(Backlog!$J$2:$J$180,Backlog!$B$2:$B$180,A27,Backlog!$C$2:$C$180,B27,Backlog!$L$2:$L$180,C27,Backlog!$K$2:$K$180,"Done")</t>
  </si>
  <si>
    <t>=SUMIFS(Backlog!$AS$2:$AS$180,Backlog!$B$2:$B$180,A27,Backlog!$C$2:$C$180,B27,Backlog!$L$2:$L$180,C27,Backlog!$K$2:$K$180,"Done")</t>
  </si>
  <si>
    <t>=SUMIFS(Backlog!$J$2:$J$180,Backlog!$B$2:$B$180,A28,Backlog!$C$2:$C$180,B28,Backlog!$L$2:$L$180,C28)</t>
  </si>
  <si>
    <t>=SUMIFS(Backlog!$AS$2:$AS$180,Backlog!$B$2:$B$180,A28,Backlog!$C$2:$C$180,B28,Backlog!$L$2:$L$180,C28)</t>
  </si>
  <si>
    <t>=SUMIFS(Backlog!$J$2:$J$180,Backlog!$B$2:$B$180,A28,Backlog!$C$2:$C$180,B28,Backlog!$L$2:$L$180,C28,Backlog!$K$2:$K$180,"Done")</t>
  </si>
  <si>
    <t>=SUMIFS(Backlog!$AS$2:$AS$180,Backlog!$B$2:$B$180,A28,Backlog!$C$2:$C$180,B28,Backlog!$L$2:$L$180,C28,Backlog!$K$2:$K$180,"Done")</t>
  </si>
  <si>
    <t>=SUMIFS(Backlog!$J$2:$J$180,Backlog!$B$2:$B$180,A29,Backlog!$C$2:$C$180,B29,Backlog!$L$2:$L$180,C29)</t>
  </si>
  <si>
    <t>=SUMIFS(Backlog!$AS$2:$AS$180,Backlog!$B$2:$B$180,A29,Backlog!$C$2:$C$180,B29,Backlog!$L$2:$L$180,C29)</t>
  </si>
  <si>
    <t>=SUMIFS(Backlog!$J$2:$J$180,Backlog!$B$2:$B$180,A29,Backlog!$C$2:$C$180,B29,Backlog!$L$2:$L$180,C29,Backlog!$K$2:$K$180,"Done")</t>
  </si>
  <si>
    <t>=SUMIFS(Backlog!$AS$2:$AS$180,Backlog!$B$2:$B$180,A29,Backlog!$C$2:$C$180,B29,Backlog!$L$2:$L$180,C29,Backlog!$K$2:$K$180,"Done")</t>
  </si>
  <si>
    <t>=SUMIFS(Backlog!$J$2:$J$180,Backlog!$B$2:$B$180,A30,Backlog!$C$2:$C$180,B30,Backlog!$L$2:$L$180,C30)</t>
  </si>
  <si>
    <t>=SUMIFS(Backlog!$AS$2:$AS$180,Backlog!$B$2:$B$180,A30,Backlog!$C$2:$C$180,B30,Backlog!$L$2:$L$180,C30)</t>
  </si>
  <si>
    <t>=SUMIFS(Backlog!$J$2:$J$180,Backlog!$B$2:$B$180,A30,Backlog!$C$2:$C$180,B30,Backlog!$L$2:$L$180,C30,Backlog!$K$2:$K$180,"Done")</t>
  </si>
  <si>
    <t>=SUMIFS(Backlog!$AS$2:$AS$180,Backlog!$B$2:$B$180,A30,Backlog!$C$2:$C$180,B30,Backlog!$L$2:$L$180,C30,Backlog!$K$2:$K$180,"Done")</t>
  </si>
  <si>
    <t>=SUMIFS(Backlog!$J$2:$J$180,Backlog!$B$2:$B$180,A31,Backlog!$C$2:$C$180,B31,Backlog!$L$2:$L$180,C31)</t>
  </si>
  <si>
    <t>=SUMIFS(Backlog!$AS$2:$AS$180,Backlog!$B$2:$B$180,A31,Backlog!$C$2:$C$180,B31,Backlog!$L$2:$L$180,C31)</t>
  </si>
  <si>
    <t>=SUMIFS(Backlog!$J$2:$J$180,Backlog!$B$2:$B$180,A31,Backlog!$C$2:$C$180,B31,Backlog!$L$2:$L$180,C31,Backlog!$K$2:$K$180,"Done")</t>
  </si>
  <si>
    <t>=SUMIFS(Backlog!$AS$2:$AS$180,Backlog!$B$2:$B$180,A31,Backlog!$C$2:$C$180,B31,Backlog!$L$2:$L$180,C31,Backlog!$K$2:$K$180,"Done")</t>
  </si>
  <si>
    <t>=SUMIFS(Backlog!$J$2:$J$180,Backlog!$B$2:$B$180,A32,Backlog!$C$2:$C$180,B32,Backlog!$L$2:$L$180,C32)</t>
  </si>
  <si>
    <t>=SUMIFS(Backlog!$AS$2:$AS$180,Backlog!$B$2:$B$180,A32,Backlog!$C$2:$C$180,B32,Backlog!$L$2:$L$180,C32)</t>
  </si>
  <si>
    <t>=SUMIFS(Backlog!$J$2:$J$180,Backlog!$B$2:$B$180,A32,Backlog!$C$2:$C$180,B32,Backlog!$L$2:$L$180,C32,Backlog!$K$2:$K$180,"Done")</t>
  </si>
  <si>
    <t>=SUMIFS(Backlog!$AS$2:$AS$180,Backlog!$B$2:$B$180,A32,Backlog!$C$2:$C$180,B32,Backlog!$L$2:$L$180,C32,Backlog!$K$2:$K$180,"Done")</t>
  </si>
  <si>
    <t>A2</t>
  </si>
  <si>
    <t>Repaired baseline preserved • 3 UI design tasks added • Design v4.10.3 • No new product completion</t>
  </si>
  <si>
    <t>E6</t>
  </si>
  <si>
    <t>Includes owner-reported T-099 closure</t>
  </si>
  <si>
    <t>E7</t>
  </si>
  <si>
    <t>T-262 remains source-present / unclosed</t>
  </si>
  <si>
    <t>A9</t>
  </si>
  <si>
    <t>Known scope hours</t>
  </si>
  <si>
    <t>B9</t>
  </si>
  <si>
    <t>=SUMIF(Backlog!$B$2:$B$180,"M2",Backlog!$J$2:$J$180)</t>
  </si>
  <si>
    <t>=SUMIF(Backlog!$B$2:$B$180,"M2",Backlog!$AS$2:$AS$180)</t>
  </si>
  <si>
    <t>=SUMIF(Backlog!$B$2:$B$180,"M3",Backlog!$J$2:$J$180)</t>
  </si>
  <si>
    <t>=SUMIF(Backlog!$B$2:$B$180,"M3",Backlog!$AS$2:$AS$180)</t>
  </si>
  <si>
    <t>E9</t>
  </si>
  <si>
    <t>Partial sum: eight estimates unresolved</t>
  </si>
  <si>
    <t>A10</t>
  </si>
  <si>
    <t>Known open hours</t>
  </si>
  <si>
    <t>=SUMIFS(Backlog!$J$2:$J$180,Backlog!$B$2:$B$180,"M2",Backlog!$K$2:$K$180,"&lt;&gt;Done")</t>
  </si>
  <si>
    <t>=SUMIFS(Backlog!$AS$2:$AS$180,Backlog!$B$2:$B$180,"M2",Backlog!$K$2:$K$180,"&lt;&gt;Done")</t>
  </si>
  <si>
    <t>=SUMIFS(Backlog!$J$2:$J$180,Backlog!$B$2:$B$180,"M3",Backlog!$K$2:$K$180,"&lt;&gt;Done")</t>
  </si>
  <si>
    <t>=SUMIFS(Backlog!$AS$2:$AS$180,Backlog!$B$2:$B$180,"M3",Backlog!$K$2:$K$180,"&lt;&gt;Done")</t>
  </si>
  <si>
    <t>E10</t>
  </si>
  <si>
    <t>Not a remaining-time commitment</t>
  </si>
  <si>
    <t>A11</t>
  </si>
  <si>
    <t>E11</t>
  </si>
  <si>
    <t>T-106 / T-108 / T-262–T-267</t>
  </si>
  <si>
    <t>A19</t>
  </si>
  <si>
    <t>Use v2.23.0. Both earlier v2.22.1 forks are superseded; no product functionality is implied by design-task counts.</t>
  </si>
  <si>
    <t>Do not overclaim audit completeness.</t>
  </si>
  <si>
    <t>Current hours</t>
  </si>
  <si>
    <t>Recorded hours (may be stale)</t>
  </si>
  <si>
    <t>Avoid labelling retained historical numbers current usable hours.</t>
  </si>
  <si>
    <t>STALE SCOPE — retained in Backlog J/R as historical figures; not valid for current widened scope or remaining-time forecast.</t>
  </si>
  <si>
    <t>=IF(INDEX(Backlog!$L$2:$L$180,MATCH($A10,Backlog!$A$2:$A$180,0))="","",INDEX(Backlog!$L$2:$L$180,MATCH($A10,Backlog!$A$2:$A$180,0)))</t>
  </si>
  <si>
    <t>=IF(INDEX(Backlog!$J$2:$J$180,MATCH($A10,Backlog!$A$2:$A$180,0))="","",INDEX(Backlog!$J$2:$J$180,MATCH($A10,Backlog!$A$2:$A$180,0)))</t>
  </si>
  <si>
    <t>=IF(INDEX(Backlog!$AR$2:$AR$180,MATCH($A10,Backlog!$A$2:$A$180,0))="","",INDEX(Backlog!$AR$2:$AR$180,MATCH($A10,Backlog!$A$2:$A$180,0)))</t>
  </si>
  <si>
    <t>=IF(INDEX(Backlog!$L$2:$L$180,MATCH($A11,Backlog!$A$2:$A$180,0))="","",INDEX(Backlog!$L$2:$L$180,MATCH($A11,Backlog!$A$2:$A$180,0)))</t>
  </si>
  <si>
    <t>=IF(INDEX(Backlog!$J$2:$J$180,MATCH($A11,Backlog!$A$2:$A$180,0))="","",INDEX(Backlog!$J$2:$J$180,MATCH($A11,Backlog!$A$2:$A$180,0)))</t>
  </si>
  <si>
    <t>=IF(INDEX(Backlog!$AR$2:$AR$180,MATCH($A11,Backlog!$A$2:$A$180,0))="","",INDEX(Backlog!$AR$2:$AR$180,MATCH($A11,Backlog!$A$2:$A$180,0)))</t>
  </si>
  <si>
    <t>A12</t>
  </si>
  <si>
    <t>C12</t>
  </si>
  <si>
    <t>D12</t>
  </si>
  <si>
    <t>E12</t>
  </si>
  <si>
    <t>=IF(INDEX(Backlog!$L$2:$L$180,MATCH($A12,Backlog!$A$2:$A$180,0))="","",INDEX(Backlog!$L$2:$L$180,MATCH($A12,Backlog!$A$2:$A$180,0)))</t>
  </si>
  <si>
    <t>=IF(INDEX(Backlog!$J$2:$J$180,MATCH($A12,Backlog!$A$2:$A$180,0))="","",INDEX(Backlog!$J$2:$J$180,MATCH($A12,Backlog!$A$2:$A$180,0)))</t>
  </si>
  <si>
    <t>=IF(INDEX(Backlog!$AR$2:$AR$180,MATCH($A12,Backlog!$A$2:$A$180,0))="","",INDEX(Backlog!$AR$2:$AR$180,MATCH($A12,Backlog!$A$2:$A$180,0)))</t>
  </si>
  <si>
    <t>A13</t>
  </si>
  <si>
    <t>B13</t>
  </si>
  <si>
    <t>C13</t>
  </si>
  <si>
    <t>D13</t>
  </si>
  <si>
    <t>E13</t>
  </si>
  <si>
    <t>=IF(INDEX(Backlog!$L$2:$L$180,MATCH($A13,Backlog!$A$2:$A$180,0))="","",INDEX(Backlog!$L$2:$L$180,MATCH($A13,Backlog!$A$2:$A$180,0)))</t>
  </si>
  <si>
    <t>=IF(INDEX(Backlog!$J$2:$J$180,MATCH($A13,Backlog!$A$2:$A$180,0))="","",INDEX(Backlog!$J$2:$J$180,MATCH($A13,Backlog!$A$2:$A$180,0)))</t>
  </si>
  <si>
    <t>=IF(INDEX(Backlog!$AR$2:$AR$180,MATCH($A13,Backlog!$A$2:$A$180,0))="","",INDEX(Backlog!$AR$2:$AR$180,MATCH($A13,Backlog!$A$2:$A$180,0)))</t>
  </si>
  <si>
    <t>A14</t>
  </si>
  <si>
    <t>E14</t>
  </si>
  <si>
    <t>=IF(INDEX(Backlog!$L$2:$L$180,MATCH($A14,Backlog!$A$2:$A$180,0))="","",INDEX(Backlog!$L$2:$L$180,MATCH($A14,Backlog!$A$2:$A$180,0)))</t>
  </si>
  <si>
    <t>=IF(INDEX(Backlog!$J$2:$J$180,MATCH($A14,Backlog!$A$2:$A$180,0))="","",INDEX(Backlog!$J$2:$J$180,MATCH($A14,Backlog!$A$2:$A$180,0)))</t>
  </si>
  <si>
    <t>=IF(INDEX(Backlog!$AR$2:$AR$180,MATCH($A14,Backlog!$A$2:$A$180,0))="","",INDEX(Backlog!$AR$2:$AR$180,MATCH($A14,Backlog!$A$2:$A$180,0)))</t>
  </si>
  <si>
    <t>A15</t>
  </si>
  <si>
    <t>B15</t>
  </si>
  <si>
    <t>C15</t>
  </si>
  <si>
    <t>D15</t>
  </si>
  <si>
    <t>E15</t>
  </si>
  <si>
    <t>=IF(INDEX(Backlog!$L$2:$L$180,MATCH($A15,Backlog!$A$2:$A$180,0))="","",INDEX(Backlog!$L$2:$L$180,MATCH($A15,Backlog!$A$2:$A$180,0)))</t>
  </si>
  <si>
    <t>=IF(INDEX(Backlog!$J$2:$J$180,MATCH($A15,Backlog!$A$2:$A$180,0))="","",INDEX(Backlog!$J$2:$J$180,MATCH($A15,Backlog!$A$2:$A$180,0)))</t>
  </si>
  <si>
    <t>=IF(INDEX(Backlog!$AR$2:$AR$180,MATCH($A15,Backlog!$A$2:$A$180,0))="","",INDEX(Backlog!$AR$2:$AR$180,MATCH($A15,Backlog!$A$2:$A$180,0)))</t>
  </si>
  <si>
    <t>A16</t>
  </si>
  <si>
    <t>B16</t>
  </si>
  <si>
    <t>C16</t>
  </si>
  <si>
    <t>D16</t>
  </si>
  <si>
    <t>E16</t>
  </si>
  <si>
    <t>=IF(INDEX(Backlog!$L$2:$L$180,MATCH($A16,Backlog!$A$2:$A$180,0))="","",INDEX(Backlog!$L$2:$L$180,MATCH($A16,Backlog!$A$2:$A$180,0)))</t>
  </si>
  <si>
    <t>=IF(INDEX(Backlog!$J$2:$J$180,MATCH($A16,Backlog!$A$2:$A$180,0))="","",INDEX(Backlog!$J$2:$J$180,MATCH($A16,Backlog!$A$2:$A$180,0)))</t>
  </si>
  <si>
    <t>=IF(INDEX(Backlog!$AR$2:$AR$180,MATCH($A16,Backlog!$A$2:$A$180,0))="","",INDEX(Backlog!$AR$2:$AR$180,MATCH($A16,Backlog!$A$2:$A$180,0)))</t>
  </si>
  <si>
    <t>E17</t>
  </si>
  <si>
    <t>=IF(INDEX(Backlog!$L$2:$L$180,MATCH($A17,Backlog!$A$2:$A$180,0))="","",INDEX(Backlog!$L$2:$L$180,MATCH($A17,Backlog!$A$2:$A$180,0)))</t>
  </si>
  <si>
    <t>=IF(INDEX(Backlog!$J$2:$J$180,MATCH($A17,Backlog!$A$2:$A$180,0))="","",INDEX(Backlog!$J$2:$J$180,MATCH($A17,Backlog!$A$2:$A$180,0)))</t>
  </si>
  <si>
    <t>=IF(INDEX(Backlog!$AR$2:$AR$180,MATCH($A17,Backlog!$A$2:$A$180,0))="","",INDEX(Backlog!$AR$2:$AR$180,MATCH($A17,Backlog!$A$2:$A$180,0)))</t>
  </si>
  <si>
    <t>A18</t>
  </si>
  <si>
    <t>B18</t>
  </si>
  <si>
    <t>C18</t>
  </si>
  <si>
    <t>D18</t>
  </si>
  <si>
    <t>E18</t>
  </si>
  <si>
    <t>=IF(INDEX(Backlog!$L$2:$L$180,MATCH($A18,Backlog!$A$2:$A$180,0))="","",INDEX(Backlog!$L$2:$L$180,MATCH($A18,Backlog!$A$2:$A$180,0)))</t>
  </si>
  <si>
    <t>=IF(INDEX(Backlog!$J$2:$J$180,MATCH($A18,Backlog!$A$2:$A$180,0))="","",INDEX(Backlog!$J$2:$J$180,MATCH($A18,Backlog!$A$2:$A$180,0)))</t>
  </si>
  <si>
    <t>=IF(INDEX(Backlog!$AR$2:$AR$180,MATCH($A18,Backlog!$A$2:$A$180,0))="","",INDEX(Backlog!$AR$2:$AR$180,MATCH($A18,Backlog!$A$2:$A$180,0)))</t>
  </si>
  <si>
    <t>C19</t>
  </si>
  <si>
    <t>D19</t>
  </si>
  <si>
    <t>E19</t>
  </si>
  <si>
    <t>=IF(INDEX(Backlog!$L$2:$L$180,MATCH($A19,Backlog!$A$2:$A$180,0))="","",INDEX(Backlog!$L$2:$L$180,MATCH($A19,Backlog!$A$2:$A$180,0)))</t>
  </si>
  <si>
    <t>=IF(INDEX(Backlog!$J$2:$J$180,MATCH($A19,Backlog!$A$2:$A$180,0))="","",INDEX(Backlog!$J$2:$J$180,MATCH($A19,Backlog!$A$2:$A$180,0)))</t>
  </si>
  <si>
    <t>=IF(INDEX(Backlog!$AR$2:$AR$180,MATCH($A19,Backlog!$A$2:$A$180,0))="","",INDEX(Backlog!$AR$2:$AR$180,MATCH($A19,Backlog!$A$2:$A$180,0)))</t>
  </si>
  <si>
    <t>A20</t>
  </si>
  <si>
    <t>B20</t>
  </si>
  <si>
    <t>C20</t>
  </si>
  <si>
    <t>D20</t>
  </si>
  <si>
    <t>E20</t>
  </si>
  <si>
    <t>=IF(INDEX(Backlog!$L$2:$L$180,MATCH($A20,Backlog!$A$2:$A$180,0))="","",INDEX(Backlog!$L$2:$L$180,MATCH($A20,Backlog!$A$2:$A$180,0)))</t>
  </si>
  <si>
    <t>=IF(INDEX(Backlog!$J$2:$J$180,MATCH($A20,Backlog!$A$2:$A$180,0))="","",INDEX(Backlog!$J$2:$J$180,MATCH($A20,Backlog!$A$2:$A$180,0)))</t>
  </si>
  <si>
    <t>=IF(INDEX(Backlog!$AR$2:$AR$180,MATCH($A20,Backlog!$A$2:$A$180,0))="","",INDEX(Backlog!$AR$2:$AR$180,MATCH($A20,Backlog!$A$2:$A$180,0)))</t>
  </si>
  <si>
    <t>A21</t>
  </si>
  <si>
    <t>B21</t>
  </si>
  <si>
    <t>C21</t>
  </si>
  <si>
    <t>D21</t>
  </si>
  <si>
    <t>E21</t>
  </si>
  <si>
    <t>=IF(INDEX(Backlog!$L$2:$L$180,MATCH($A21,Backlog!$A$2:$A$180,0))="","",INDEX(Backlog!$L$2:$L$180,MATCH($A21,Backlog!$A$2:$A$180,0)))</t>
  </si>
  <si>
    <t>=IF(INDEX(Backlog!$J$2:$J$180,MATCH($A21,Backlog!$A$2:$A$180,0))="","",INDEX(Backlog!$J$2:$J$180,MATCH($A21,Backlog!$A$2:$A$180,0)))</t>
  </si>
  <si>
    <t>=IF(INDEX(Backlog!$AR$2:$AR$180,MATCH($A21,Backlog!$A$2:$A$180,0))="","",INDEX(Backlog!$AR$2:$AR$180,MATCH($A21,Backlog!$A$2:$A$180,0)))</t>
  </si>
  <si>
    <t>A22</t>
  </si>
  <si>
    <t>B22</t>
  </si>
  <si>
    <t>C22</t>
  </si>
  <si>
    <t>D22</t>
  </si>
  <si>
    <t>E22</t>
  </si>
  <si>
    <t>=IF(INDEX(Backlog!$L$2:$L$180,MATCH($A22,Backlog!$A$2:$A$180,0))="","",INDEX(Backlog!$L$2:$L$180,MATCH($A22,Backlog!$A$2:$A$180,0)))</t>
  </si>
  <si>
    <t>=IF(INDEX(Backlog!$J$2:$J$180,MATCH($A22,Backlog!$A$2:$A$180,0))="","",INDEX(Backlog!$J$2:$J$180,MATCH($A22,Backlog!$A$2:$A$180,0)))</t>
  </si>
  <si>
    <t>=IF(INDEX(Backlog!$AR$2:$AR$180,MATCH($A22,Backlog!$A$2:$A$180,0))="","",INDEX(Backlog!$AR$2:$AR$180,MATCH($A22,Backlog!$A$2:$A$180,0)))</t>
  </si>
  <si>
    <t>A23</t>
  </si>
  <si>
    <t>B23</t>
  </si>
  <si>
    <t>C23</t>
  </si>
  <si>
    <t>D23</t>
  </si>
  <si>
    <t>E23</t>
  </si>
  <si>
    <t>=IF(INDEX(Backlog!$L$2:$L$180,MATCH($A23,Backlog!$A$2:$A$180,0))="","",INDEX(Backlog!$L$2:$L$180,MATCH($A23,Backlog!$A$2:$A$180,0)))</t>
  </si>
  <si>
    <t>=IF(INDEX(Backlog!$J$2:$J$180,MATCH($A23,Backlog!$A$2:$A$180,0))="","",INDEX(Backlog!$J$2:$J$180,MATCH($A23,Backlog!$A$2:$A$180,0)))</t>
  </si>
  <si>
    <t>=IF(INDEX(Backlog!$AR$2:$AR$180,MATCH($A23,Backlog!$A$2:$A$180,0))="","",INDEX(Backlog!$AR$2:$AR$180,MATCH($A23,Backlog!$A$2:$A$180,0)))</t>
  </si>
  <si>
    <t>A24</t>
  </si>
  <si>
    <t>B24</t>
  </si>
  <si>
    <t>C24</t>
  </si>
  <si>
    <t>D24</t>
  </si>
  <si>
    <t>E24</t>
  </si>
  <si>
    <t>=IF(INDEX(Backlog!$L$2:$L$180,MATCH($A24,Backlog!$A$2:$A$180,0))="","",INDEX(Backlog!$L$2:$L$180,MATCH($A24,Backlog!$A$2:$A$180,0)))</t>
  </si>
  <si>
    <t>=IF(INDEX(Backlog!$J$2:$J$180,MATCH($A24,Backlog!$A$2:$A$180,0))="","",INDEX(Backlog!$J$2:$J$180,MATCH($A24,Backlog!$A$2:$A$180,0)))</t>
  </si>
  <si>
    <t>=IF(INDEX(Backlog!$AR$2:$AR$180,MATCH($A24,Backlog!$A$2:$A$180,0))="","",INDEX(Backlog!$AR$2:$AR$180,MATCH($A24,Backlog!$A$2:$A$180,0)))</t>
  </si>
  <si>
    <t>A25</t>
  </si>
  <si>
    <t>B25</t>
  </si>
  <si>
    <t>C25</t>
  </si>
  <si>
    <t>D25</t>
  </si>
  <si>
    <t>E25</t>
  </si>
  <si>
    <t>=IF(INDEX(Backlog!$L$2:$L$180,MATCH($A25,Backlog!$A$2:$A$180,0))="","",INDEX(Backlog!$L$2:$L$180,MATCH($A25,Backlog!$A$2:$A$180,0)))</t>
  </si>
  <si>
    <t>=IF(INDEX(Backlog!$J$2:$J$180,MATCH($A25,Backlog!$A$2:$A$180,0))="","",INDEX(Backlog!$J$2:$J$180,MATCH($A25,Backlog!$A$2:$A$180,0)))</t>
  </si>
  <si>
    <t>=IF(INDEX(Backlog!$AR$2:$AR$180,MATCH($A25,Backlog!$A$2:$A$180,0))="","",INDEX(Backlog!$AR$2:$AR$180,MATCH($A25,Backlog!$A$2:$A$180,0)))</t>
  </si>
  <si>
    <t>A26</t>
  </si>
  <si>
    <t>B26</t>
  </si>
  <si>
    <t>C26</t>
  </si>
  <si>
    <t>D26</t>
  </si>
  <si>
    <t>E26</t>
  </si>
  <si>
    <t>=IF(INDEX(Backlog!$L$2:$L$180,MATCH($A26,Backlog!$A$2:$A$180,0))="","",INDEX(Backlog!$L$2:$L$180,MATCH($A26,Backlog!$A$2:$A$180,0)))</t>
  </si>
  <si>
    <t>=IF(INDEX(Backlog!$J$2:$J$180,MATCH($A26,Backlog!$A$2:$A$180,0))="","",INDEX(Backlog!$J$2:$J$180,MATCH($A26,Backlog!$A$2:$A$180,0)))</t>
  </si>
  <si>
    <t>=IF(INDEX(Backlog!$AR$2:$AR$180,MATCH($A26,Backlog!$A$2:$A$180,0))="","",INDEX(Backlog!$AR$2:$AR$180,MATCH($A26,Backlog!$A$2:$A$180,0)))</t>
  </si>
  <si>
    <t>A27</t>
  </si>
  <si>
    <t>B27</t>
  </si>
  <si>
    <t>C27</t>
  </si>
  <si>
    <t>D27</t>
  </si>
  <si>
    <t>E27</t>
  </si>
  <si>
    <t>=IF(INDEX(Backlog!$L$2:$L$180,MATCH($A27,Backlog!$A$2:$A$180,0))="","",INDEX(Backlog!$L$2:$L$180,MATCH($A27,Backlog!$A$2:$A$180,0)))</t>
  </si>
  <si>
    <t>=IF(INDEX(Backlog!$J$2:$J$180,MATCH($A27,Backlog!$A$2:$A$180,0))="","",INDEX(Backlog!$J$2:$J$180,MATCH($A27,Backlog!$A$2:$A$180,0)))</t>
  </si>
  <si>
    <t>=IF(INDEX(Backlog!$AR$2:$AR$180,MATCH($A27,Backlog!$A$2:$A$180,0))="","",INDEX(Backlog!$AR$2:$AR$180,MATCH($A27,Backlog!$A$2:$A$180,0)))</t>
  </si>
  <si>
    <t>A28</t>
  </si>
  <si>
    <t>B28</t>
  </si>
  <si>
    <t>C28</t>
  </si>
  <si>
    <t>D28</t>
  </si>
  <si>
    <t>E28</t>
  </si>
  <si>
    <t>=IF(INDEX(Backlog!$L$2:$L$180,MATCH($A28,Backlog!$A$2:$A$180,0))="","",INDEX(Backlog!$L$2:$L$180,MATCH($A28,Backlog!$A$2:$A$180,0)))</t>
  </si>
  <si>
    <t>=IF(INDEX(Backlog!$J$2:$J$180,MATCH($A28,Backlog!$A$2:$A$180,0))="","",INDEX(Backlog!$J$2:$J$180,MATCH($A28,Backlog!$A$2:$A$180,0)))</t>
  </si>
  <si>
    <t>=IF(INDEX(Backlog!$AR$2:$AR$180,MATCH($A28,Backlog!$A$2:$A$180,0))="","",INDEX(Backlog!$AR$2:$AR$180,MATCH($A28,Backlog!$A$2:$A$180,0)))</t>
  </si>
  <si>
    <t>C2</t>
  </si>
  <si>
    <t>=IF(INDEX(Backlog!$K$2:$K$180,MATCH($A2,Backlog!$A$2:$A$180,0))="","",INDEX(Backlog!$K$2:$K$180,MATCH($A2,Backlog!$A$2:$A$180,0)))</t>
  </si>
  <si>
    <t>=INDEX(Backlog!$K$2:$K$180,MATCH(A2,Backlog!$A$2:$A$180,0))</t>
  </si>
  <si>
    <t>D2</t>
  </si>
  <si>
    <t>=IF(INDEX(Backlog!$B$2:$B$180,MATCH($A2,Backlog!$A$2:$A$180,0))="","",INDEX(Backlog!$B$2:$B$180,MATCH($A2,Backlog!$A$2:$A$180,0)))</t>
  </si>
  <si>
    <t>=INDEX(Backlog!$B$2:$B$180,MATCH(A2,Backlog!$A$2:$A$180,0))</t>
  </si>
  <si>
    <t>C3</t>
  </si>
  <si>
    <t>=IF(INDEX(Backlog!$K$2:$K$180,MATCH($A3,Backlog!$A$2:$A$180,0))="","",INDEX(Backlog!$K$2:$K$180,MATCH($A3,Backlog!$A$2:$A$180,0)))</t>
  </si>
  <si>
    <t>=INDEX(Backlog!$K$2:$K$180,MATCH(A3,Backlog!$A$2:$A$180,0))</t>
  </si>
  <si>
    <t>D3</t>
  </si>
  <si>
    <t>=IF(INDEX(Backlog!$B$2:$B$180,MATCH($A3,Backlog!$A$2:$A$180,0))="","",INDEX(Backlog!$B$2:$B$180,MATCH($A3,Backlog!$A$2:$A$180,0)))</t>
  </si>
  <si>
    <t>=INDEX(Backlog!$B$2:$B$180,MATCH(A3,Backlog!$A$2:$A$180,0))</t>
  </si>
  <si>
    <t>=IF(INDEX(Backlog!$K$2:$K$180,MATCH($A4,Backlog!$A$2:$A$180,0))="","",INDEX(Backlog!$K$2:$K$180,MATCH($A4,Backlog!$A$2:$A$180,0)))</t>
  </si>
  <si>
    <t>=INDEX(Backlog!$K$2:$K$180,MATCH(A4,Backlog!$A$2:$A$180,0))</t>
  </si>
  <si>
    <t>=IF(INDEX(Backlog!$B$2:$B$180,MATCH($A4,Backlog!$A$2:$A$180,0))="","",INDEX(Backlog!$B$2:$B$180,MATCH($A4,Backlog!$A$2:$A$180,0)))</t>
  </si>
  <si>
    <t>=INDEX(Backlog!$B$2:$B$180,MATCH(A4,Backlog!$A$2:$A$180,0))</t>
  </si>
  <si>
    <t>C5</t>
  </si>
  <si>
    <t>=IF(INDEX(Backlog!$K$2:$K$180,MATCH($A5,Backlog!$A$2:$A$180,0))="","",INDEX(Backlog!$K$2:$K$180,MATCH($A5,Backlog!$A$2:$A$180,0)))</t>
  </si>
  <si>
    <t>=INDEX(Backlog!$K$2:$K$180,MATCH(A5,Backlog!$A$2:$A$180,0))</t>
  </si>
  <si>
    <t>D5</t>
  </si>
  <si>
    <t>=IF(INDEX(Backlog!$B$2:$B$180,MATCH($A5,Backlog!$A$2:$A$180,0))="","",INDEX(Backlog!$B$2:$B$180,MATCH($A5,Backlog!$A$2:$A$180,0)))</t>
  </si>
  <si>
    <t>=INDEX(Backlog!$B$2:$B$180,MATCH(A5,Backlog!$A$2:$A$180,0))</t>
  </si>
  <si>
    <t>C6</t>
  </si>
  <si>
    <t>=IF(INDEX(Backlog!$K$2:$K$180,MATCH($A6,Backlog!$A$2:$A$180,0))="","",INDEX(Backlog!$K$2:$K$180,MATCH($A6,Backlog!$A$2:$A$180,0)))</t>
  </si>
  <si>
    <t>=INDEX(Backlog!$K$2:$K$180,MATCH(A6,Backlog!$A$2:$A$180,0))</t>
  </si>
  <si>
    <t>D6</t>
  </si>
  <si>
    <t>=IF(INDEX(Backlog!$B$2:$B$180,MATCH($A6,Backlog!$A$2:$A$180,0))="","",INDEX(Backlog!$B$2:$B$180,MATCH($A6,Backlog!$A$2:$A$180,0)))</t>
  </si>
  <si>
    <t>=INDEX(Backlog!$B$2:$B$180,MATCH(A6,Backlog!$A$2:$A$180,0))</t>
  </si>
  <si>
    <t>C7</t>
  </si>
  <si>
    <t>=IF(INDEX(Backlog!$K$2:$K$180,MATCH($A7,Backlog!$A$2:$A$180,0))="","",INDEX(Backlog!$K$2:$K$180,MATCH($A7,Backlog!$A$2:$A$180,0)))</t>
  </si>
  <si>
    <t>=INDEX(Backlog!$K$2:$K$180,MATCH(A7,Backlog!$A$2:$A$180,0))</t>
  </si>
  <si>
    <t>D7</t>
  </si>
  <si>
    <t>=IF(INDEX(Backlog!$B$2:$B$180,MATCH($A7,Backlog!$A$2:$A$180,0))="","",INDEX(Backlog!$B$2:$B$180,MATCH($A7,Backlog!$A$2:$A$180,0)))</t>
  </si>
  <si>
    <t>=INDEX(Backlog!$B$2:$B$180,MATCH(A7,Backlog!$A$2:$A$180,0))</t>
  </si>
  <si>
    <t>C8</t>
  </si>
  <si>
    <t>=IF(INDEX(Backlog!$K$2:$K$180,MATCH($A8,Backlog!$A$2:$A$180,0))="","",INDEX(Backlog!$K$2:$K$180,MATCH($A8,Backlog!$A$2:$A$180,0)))</t>
  </si>
  <si>
    <t>=INDEX(Backlog!$K$2:$K$180,MATCH(A8,Backlog!$A$2:$A$180,0))</t>
  </si>
  <si>
    <t>D8</t>
  </si>
  <si>
    <t>=IF(INDEX(Backlog!$B$2:$B$180,MATCH($A8,Backlog!$A$2:$A$180,0))="","",INDEX(Backlog!$B$2:$B$180,MATCH($A8,Backlog!$A$2:$A$180,0)))</t>
  </si>
  <si>
    <t>=INDEX(Backlog!$B$2:$B$180,MATCH(A8,Backlog!$A$2:$A$180,0))</t>
  </si>
  <si>
    <t>=IF(INDEX(Backlog!$K$2:$K$180,MATCH($A9,Backlog!$A$2:$A$180,0))="","",INDEX(Backlog!$K$2:$K$180,MATCH($A9,Backlog!$A$2:$A$180,0)))</t>
  </si>
  <si>
    <t>=INDEX(Backlog!$K$2:$K$180,MATCH(A9,Backlog!$A$2:$A$180,0))</t>
  </si>
  <si>
    <t>=IF(INDEX(Backlog!$B$2:$B$180,MATCH($A9,Backlog!$A$2:$A$180,0))="","",INDEX(Backlog!$B$2:$B$180,MATCH($A9,Backlog!$A$2:$A$180,0)))</t>
  </si>
  <si>
    <t>=INDEX(Backlog!$B$2:$B$180,MATCH(A9,Backlog!$A$2:$A$180,0))</t>
  </si>
  <si>
    <t>=IF(INDEX(Backlog!$K$2:$K$180,MATCH($A10,Backlog!$A$2:$A$180,0))="","",INDEX(Backlog!$K$2:$K$180,MATCH($A10,Backlog!$A$2:$A$180,0)))</t>
  </si>
  <si>
    <t>=INDEX(Backlog!$K$2:$K$180,MATCH(A10,Backlog!$A$2:$A$180,0))</t>
  </si>
  <si>
    <t>=IF(INDEX(Backlog!$B$2:$B$180,MATCH($A10,Backlog!$A$2:$A$180,0))="","",INDEX(Backlog!$B$2:$B$180,MATCH($A10,Backlog!$A$2:$A$180,0)))</t>
  </si>
  <si>
    <t>=INDEX(Backlog!$B$2:$B$180,MATCH(A10,Backlog!$A$2:$A$180,0))</t>
  </si>
  <si>
    <t>=IF(INDEX(Backlog!$K$2:$K$180,MATCH($A11,Backlog!$A$2:$A$180,0))="","",INDEX(Backlog!$K$2:$K$180,MATCH($A11,Backlog!$A$2:$A$180,0)))</t>
  </si>
  <si>
    <t>=INDEX(Backlog!$K$2:$K$180,MATCH(A11,Backlog!$A$2:$A$180,0))</t>
  </si>
  <si>
    <t>=IF(INDEX(Backlog!$B$2:$B$180,MATCH($A11,Backlog!$A$2:$A$180,0))="","",INDEX(Backlog!$B$2:$B$180,MATCH($A11,Backlog!$A$2:$A$180,0)))</t>
  </si>
  <si>
    <t>=INDEX(Backlog!$B$2:$B$180,MATCH(A11,Backlog!$A$2:$A$180,0))</t>
  </si>
  <si>
    <t>=IF(INDEX(Backlog!$K$2:$K$180,MATCH($A12,Backlog!$A$2:$A$180,0))="","",INDEX(Backlog!$K$2:$K$180,MATCH($A12,Backlog!$A$2:$A$180,0)))</t>
  </si>
  <si>
    <t>=INDEX(Backlog!$K$2:$K$180,MATCH(A12,Backlog!$A$2:$A$180,0))</t>
  </si>
  <si>
    <t>=IF(INDEX(Backlog!$B$2:$B$180,MATCH($A12,Backlog!$A$2:$A$180,0))="","",INDEX(Backlog!$B$2:$B$180,MATCH($A12,Backlog!$A$2:$A$180,0)))</t>
  </si>
  <si>
    <t>=INDEX(Backlog!$B$2:$B$180,MATCH(A12,Backlog!$A$2:$A$180,0))</t>
  </si>
  <si>
    <t>=IF(INDEX(Backlog!$K$2:$K$180,MATCH($A13,Backlog!$A$2:$A$180,0))="","",INDEX(Backlog!$K$2:$K$180,MATCH($A13,Backlog!$A$2:$A$180,0)))</t>
  </si>
  <si>
    <t>=INDEX(Backlog!$K$2:$K$180,MATCH(A13,Backlog!$A$2:$A$180,0))</t>
  </si>
  <si>
    <t>=IF(INDEX(Backlog!$B$2:$B$180,MATCH($A13,Backlog!$A$2:$A$180,0))="","",INDEX(Backlog!$B$2:$B$180,MATCH($A13,Backlog!$A$2:$A$180,0)))</t>
  </si>
  <si>
    <t>=INDEX(Backlog!$B$2:$B$180,MATCH(A13,Backlog!$A$2:$A$180,0))</t>
  </si>
  <si>
    <t>=IF(INDEX(Backlog!$K$2:$K$180,MATCH($A14,Backlog!$A$2:$A$180,0))="","",INDEX(Backlog!$K$2:$K$180,MATCH($A14,Backlog!$A$2:$A$180,0)))</t>
  </si>
  <si>
    <t>=INDEX(Backlog!$K$2:$K$180,MATCH(A14,Backlog!$A$2:$A$180,0))</t>
  </si>
  <si>
    <t>=IF(INDEX(Backlog!$B$2:$B$180,MATCH($A14,Backlog!$A$2:$A$180,0))="","",INDEX(Backlog!$B$2:$B$180,MATCH($A14,Backlog!$A$2:$A$180,0)))</t>
  </si>
  <si>
    <t>=INDEX(Backlog!$B$2:$B$180,MATCH(A14,Backlog!$A$2:$A$180,0))</t>
  </si>
  <si>
    <t>=IF(INDEX(Backlog!$K$2:$K$180,MATCH($A15,Backlog!$A$2:$A$180,0))="","",INDEX(Backlog!$K$2:$K$180,MATCH($A15,Backlog!$A$2:$A$180,0)))</t>
  </si>
  <si>
    <t>=INDEX(Backlog!$K$2:$K$180,MATCH(A15,Backlog!$A$2:$A$180,0))</t>
  </si>
  <si>
    <t>=IF(INDEX(Backlog!$B$2:$B$180,MATCH($A15,Backlog!$A$2:$A$180,0))="","",INDEX(Backlog!$B$2:$B$180,MATCH($A15,Backlog!$A$2:$A$180,0)))</t>
  </si>
  <si>
    <t>=INDEX(Backlog!$B$2:$B$180,MATCH(A15,Backlog!$A$2:$A$180,0))</t>
  </si>
  <si>
    <t>=IF(INDEX(Backlog!$K$2:$K$180,MATCH($A16,Backlog!$A$2:$A$180,0))="","",INDEX(Backlog!$K$2:$K$180,MATCH($A16,Backlog!$A$2:$A$180,0)))</t>
  </si>
  <si>
    <t>=INDEX(Backlog!$K$2:$K$180,MATCH(A16,Backlog!$A$2:$A$180,0))</t>
  </si>
  <si>
    <t>=IF(INDEX(Backlog!$B$2:$B$180,MATCH($A16,Backlog!$A$2:$A$180,0))="","",INDEX(Backlog!$B$2:$B$180,MATCH($A16,Backlog!$A$2:$A$180,0)))</t>
  </si>
  <si>
    <t>=INDEX(Backlog!$B$2:$B$180,MATCH(A16,Backlog!$A$2:$A$180,0))</t>
  </si>
  <si>
    <t>=IF(INDEX(Backlog!$K$2:$K$180,MATCH($A17,Backlog!$A$2:$A$180,0))="","",INDEX(Backlog!$K$2:$K$180,MATCH($A17,Backlog!$A$2:$A$180,0)))</t>
  </si>
  <si>
    <t>=INDEX(Backlog!$K$2:$K$180,MATCH(A17,Backlog!$A$2:$A$180,0))</t>
  </si>
  <si>
    <t>=IF(INDEX(Backlog!$B$2:$B$180,MATCH($A17,Backlog!$A$2:$A$180,0))="","",INDEX(Backlog!$B$2:$B$180,MATCH($A17,Backlog!$A$2:$A$180,0)))</t>
  </si>
  <si>
    <t>=INDEX(Backlog!$B$2:$B$180,MATCH(A17,Backlog!$A$2:$A$180,0))</t>
  </si>
  <si>
    <t>=IF(INDEX(Backlog!$K$2:$K$180,MATCH($A18,Backlog!$A$2:$A$180,0))="","",INDEX(Backlog!$K$2:$K$180,MATCH($A18,Backlog!$A$2:$A$180,0)))</t>
  </si>
  <si>
    <t>=INDEX(Backlog!$K$2:$K$180,MATCH(A18,Backlog!$A$2:$A$180,0))</t>
  </si>
  <si>
    <t>=IF(INDEX(Backlog!$B$2:$B$180,MATCH($A18,Backlog!$A$2:$A$180,0))="","",INDEX(Backlog!$B$2:$B$180,MATCH($A18,Backlog!$A$2:$A$180,0)))</t>
  </si>
  <si>
    <t>=INDEX(Backlog!$B$2:$B$180,MATCH(A18,Backlog!$A$2:$A$180,0))</t>
  </si>
  <si>
    <t>=IF(INDEX(Backlog!$K$2:$K$180,MATCH($A19,Backlog!$A$2:$A$180,0))="","",INDEX(Backlog!$K$2:$K$180,MATCH($A19,Backlog!$A$2:$A$180,0)))</t>
  </si>
  <si>
    <t>=INDEX(Backlog!$K$2:$K$180,MATCH(A19,Backlog!$A$2:$A$180,0))</t>
  </si>
  <si>
    <t>=IF(INDEX(Backlog!$B$2:$B$180,MATCH($A19,Backlog!$A$2:$A$180,0))="","",INDEX(Backlog!$B$2:$B$180,MATCH($A19,Backlog!$A$2:$A$180,0)))</t>
  </si>
  <si>
    <t>=INDEX(Backlog!$B$2:$B$180,MATCH(A19,Backlog!$A$2:$A$180,0))</t>
  </si>
  <si>
    <t>=IF(INDEX(Backlog!$K$2:$K$180,MATCH($A20,Backlog!$A$2:$A$180,0))="","",INDEX(Backlog!$K$2:$K$180,MATCH($A20,Backlog!$A$2:$A$180,0)))</t>
  </si>
  <si>
    <t>=INDEX(Backlog!$K$2:$K$180,MATCH(A20,Backlog!$A$2:$A$180,0))</t>
  </si>
  <si>
    <t>=IF(INDEX(Backlog!$B$2:$B$180,MATCH($A20,Backlog!$A$2:$A$180,0))="","",INDEX(Backlog!$B$2:$B$180,MATCH($A20,Backlog!$A$2:$A$180,0)))</t>
  </si>
  <si>
    <t>=INDEX(Backlog!$B$2:$B$180,MATCH(A20,Backlog!$A$2:$A$180,0))</t>
  </si>
  <si>
    <t>=IF(INDEX(Backlog!$K$2:$K$180,MATCH($A21,Backlog!$A$2:$A$180,0))="","",INDEX(Backlog!$K$2:$K$180,MATCH($A21,Backlog!$A$2:$A$180,0)))</t>
  </si>
  <si>
    <t>=INDEX(Backlog!$K$2:$K$180,MATCH(A21,Backlog!$A$2:$A$180,0))</t>
  </si>
  <si>
    <t>=IF(INDEX(Backlog!$B$2:$B$180,MATCH($A21,Backlog!$A$2:$A$180,0))="","",INDEX(Backlog!$B$2:$B$180,MATCH($A21,Backlog!$A$2:$A$180,0)))</t>
  </si>
  <si>
    <t>=INDEX(Backlog!$B$2:$B$180,MATCH(A21,Backlog!$A$2:$A$180,0))</t>
  </si>
  <si>
    <t>=IF(INDEX(Backlog!$K$2:$K$180,MATCH($A22,Backlog!$A$2:$A$180,0))="","",INDEX(Backlog!$K$2:$K$180,MATCH($A22,Backlog!$A$2:$A$180,0)))</t>
  </si>
  <si>
    <t>=INDEX(Backlog!$K$2:$K$180,MATCH(A22,Backlog!$A$2:$A$180,0))</t>
  </si>
  <si>
    <t>=IF(INDEX(Backlog!$B$2:$B$180,MATCH($A22,Backlog!$A$2:$A$180,0))="","",INDEX(Backlog!$B$2:$B$180,MATCH($A22,Backlog!$A$2:$A$180,0)))</t>
  </si>
  <si>
    <t>=INDEX(Backlog!$B$2:$B$180,MATCH(A22,Backlog!$A$2:$A$180,0))</t>
  </si>
  <si>
    <t>=IF(INDEX(Backlog!$K$2:$K$180,MATCH($A23,Backlog!$A$2:$A$180,0))="","",INDEX(Backlog!$K$2:$K$180,MATCH($A23,Backlog!$A$2:$A$180,0)))</t>
  </si>
  <si>
    <t>=INDEX(Backlog!$K$2:$K$180,MATCH(A23,Backlog!$A$2:$A$180,0))</t>
  </si>
  <si>
    <t>=IF(INDEX(Backlog!$B$2:$B$180,MATCH($A23,Backlog!$A$2:$A$180,0))="","",INDEX(Backlog!$B$2:$B$180,MATCH($A23,Backlog!$A$2:$A$180,0)))</t>
  </si>
  <si>
    <t>=INDEX(Backlog!$B$2:$B$180,MATCH(A23,Backlog!$A$2:$A$180,0))</t>
  </si>
  <si>
    <t>=IF(INDEX(Backlog!$K$2:$K$180,MATCH($A24,Backlog!$A$2:$A$180,0))="","",INDEX(Backlog!$K$2:$K$180,MATCH($A24,Backlog!$A$2:$A$180,0)))</t>
  </si>
  <si>
    <t>=INDEX(Backlog!$K$2:$K$180,MATCH(A24,Backlog!$A$2:$A$180,0))</t>
  </si>
  <si>
    <t>=IF(INDEX(Backlog!$B$2:$B$180,MATCH($A24,Backlog!$A$2:$A$180,0))="","",INDEX(Backlog!$B$2:$B$180,MATCH($A24,Backlog!$A$2:$A$180,0)))</t>
  </si>
  <si>
    <t>=INDEX(Backlog!$B$2:$B$180,MATCH(A24,Backlog!$A$2:$A$180,0))</t>
  </si>
  <si>
    <t>=IF(INDEX(Backlog!$K$2:$K$180,MATCH($A25,Backlog!$A$2:$A$180,0))="","",INDEX(Backlog!$K$2:$K$180,MATCH($A25,Backlog!$A$2:$A$180,0)))</t>
  </si>
  <si>
    <t>=INDEX(Backlog!$K$2:$K$180,MATCH(A25,Backlog!$A$2:$A$180,0))</t>
  </si>
  <si>
    <t>=IF(INDEX(Backlog!$B$2:$B$180,MATCH($A25,Backlog!$A$2:$A$180,0))="","",INDEX(Backlog!$B$2:$B$180,MATCH($A25,Backlog!$A$2:$A$180,0)))</t>
  </si>
  <si>
    <t>=INDEX(Backlog!$B$2:$B$180,MATCH(A25,Backlog!$A$2:$A$180,0))</t>
  </si>
  <si>
    <t>=IF(INDEX(Backlog!$K$2:$K$180,MATCH($A26,Backlog!$A$2:$A$180,0))="","",INDEX(Backlog!$K$2:$K$180,MATCH($A26,Backlog!$A$2:$A$180,0)))</t>
  </si>
  <si>
    <t>=INDEX(Backlog!$K$2:$K$180,MATCH(A26,Backlog!$A$2:$A$180,0))</t>
  </si>
  <si>
    <t>=IF(INDEX(Backlog!$B$2:$B$180,MATCH($A26,Backlog!$A$2:$A$180,0))="","",INDEX(Backlog!$B$2:$B$180,MATCH($A26,Backlog!$A$2:$A$180,0)))</t>
  </si>
  <si>
    <t>=INDEX(Backlog!$B$2:$B$180,MATCH(A26,Backlog!$A$2:$A$180,0))</t>
  </si>
  <si>
    <t>=IF(INDEX(Backlog!$K$2:$K$180,MATCH($A27,Backlog!$A$2:$A$180,0))="","",INDEX(Backlog!$K$2:$K$180,MATCH($A27,Backlog!$A$2:$A$180,0)))</t>
  </si>
  <si>
    <t>=INDEX(Backlog!$K$2:$K$180,MATCH(A27,Backlog!$A$2:$A$180,0))</t>
  </si>
  <si>
    <t>=IF(INDEX(Backlog!$B$2:$B$180,MATCH($A27,Backlog!$A$2:$A$180,0))="","",INDEX(Backlog!$B$2:$B$180,MATCH($A27,Backlog!$A$2:$A$180,0)))</t>
  </si>
  <si>
    <t>=INDEX(Backlog!$B$2:$B$180,MATCH(A27,Backlog!$A$2:$A$180,0))</t>
  </si>
  <si>
    <t>=IF(INDEX(Backlog!$K$2:$K$180,MATCH($A28,Backlog!$A$2:$A$180,0))="","",INDEX(Backlog!$K$2:$K$180,MATCH($A28,Backlog!$A$2:$A$180,0)))</t>
  </si>
  <si>
    <t>=INDEX(Backlog!$K$2:$K$180,MATCH(A28,Backlog!$A$2:$A$180,0))</t>
  </si>
  <si>
    <t>=IF(INDEX(Backlog!$B$2:$B$180,MATCH($A28,Backlog!$A$2:$A$180,0))="","",INDEX(Backlog!$B$2:$B$180,MATCH($A28,Backlog!$A$2:$A$180,0)))</t>
  </si>
  <si>
    <t>=INDEX(Backlog!$B$2:$B$180,MATCH(A28,Backlog!$A$2:$A$180,0))</t>
  </si>
  <si>
    <t>C29</t>
  </si>
  <si>
    <t>=IF(INDEX(Backlog!$K$2:$K$180,MATCH($A29,Backlog!$A$2:$A$180,0))="","",INDEX(Backlog!$K$2:$K$180,MATCH($A29,Backlog!$A$2:$A$180,0)))</t>
  </si>
  <si>
    <t>=INDEX(Backlog!$K$2:$K$180,MATCH(A29,Backlog!$A$2:$A$180,0))</t>
  </si>
  <si>
    <t>D29</t>
  </si>
  <si>
    <t>=IF(INDEX(Backlog!$B$2:$B$180,MATCH($A29,Backlog!$A$2:$A$180,0))="","",INDEX(Backlog!$B$2:$B$180,MATCH($A29,Backlog!$A$2:$A$180,0)))</t>
  </si>
  <si>
    <t>=INDEX(Backlog!$B$2:$B$180,MATCH(A29,Backlog!$A$2:$A$180,0))</t>
  </si>
  <si>
    <t>C30</t>
  </si>
  <si>
    <t>=IF(INDEX(Backlog!$K$2:$K$180,MATCH($A30,Backlog!$A$2:$A$180,0))="","",INDEX(Backlog!$K$2:$K$180,MATCH($A30,Backlog!$A$2:$A$180,0)))</t>
  </si>
  <si>
    <t>=INDEX(Backlog!$K$2:$K$180,MATCH(A30,Backlog!$A$2:$A$180,0))</t>
  </si>
  <si>
    <t>D30</t>
  </si>
  <si>
    <t>=IF(INDEX(Backlog!$B$2:$B$180,MATCH($A30,Backlog!$A$2:$A$180,0))="","",INDEX(Backlog!$B$2:$B$180,MATCH($A30,Backlog!$A$2:$A$180,0)))</t>
  </si>
  <si>
    <t>=INDEX(Backlog!$B$2:$B$180,MATCH(A30,Backlog!$A$2:$A$180,0))</t>
  </si>
  <si>
    <t>C31</t>
  </si>
  <si>
    <t>=IF(INDEX(Backlog!$K$2:$K$180,MATCH($A31,Backlog!$A$2:$A$180,0))="","",INDEX(Backlog!$K$2:$K$180,MATCH($A31,Backlog!$A$2:$A$180,0)))</t>
  </si>
  <si>
    <t>=INDEX(Backlog!$K$2:$K$180,MATCH(A31,Backlog!$A$2:$A$180,0))</t>
  </si>
  <si>
    <t>D31</t>
  </si>
  <si>
    <t>=IF(INDEX(Backlog!$B$2:$B$180,MATCH($A31,Backlog!$A$2:$A$180,0))="","",INDEX(Backlog!$B$2:$B$180,MATCH($A31,Backlog!$A$2:$A$180,0)))</t>
  </si>
  <si>
    <t>=INDEX(Backlog!$B$2:$B$180,MATCH(A31,Backlog!$A$2:$A$180,0))</t>
  </si>
  <si>
    <t>C32</t>
  </si>
  <si>
    <t>=IF(INDEX(Backlog!$K$2:$K$180,MATCH($A32,Backlog!$A$2:$A$180,0))="","",INDEX(Backlog!$K$2:$K$180,MATCH($A32,Backlog!$A$2:$A$180,0)))</t>
  </si>
  <si>
    <t>=INDEX(Backlog!$K$2:$K$180,MATCH(A32,Backlog!$A$2:$A$180,0))</t>
  </si>
  <si>
    <t>D32</t>
  </si>
  <si>
    <t>=IF(INDEX(Backlog!$B$2:$B$180,MATCH($A32,Backlog!$A$2:$A$180,0))="","",INDEX(Backlog!$B$2:$B$180,MATCH($A32,Backlog!$A$2:$A$180,0)))</t>
  </si>
  <si>
    <t>=INDEX(Backlog!$B$2:$B$180,MATCH(A32,Backlog!$A$2:$A$180,0))</t>
  </si>
  <si>
    <t>C33</t>
  </si>
  <si>
    <t>=IF(INDEX(Backlog!$K$2:$K$180,MATCH($A33,Backlog!$A$2:$A$180,0))="","",INDEX(Backlog!$K$2:$K$180,MATCH($A33,Backlog!$A$2:$A$180,0)))</t>
  </si>
  <si>
    <t>=INDEX(Backlog!$K$2:$K$180,MATCH(A33,Backlog!$A$2:$A$180,0))</t>
  </si>
  <si>
    <t>D33</t>
  </si>
  <si>
    <t>=IF(INDEX(Backlog!$B$2:$B$180,MATCH($A33,Backlog!$A$2:$A$180,0))="","",INDEX(Backlog!$B$2:$B$180,MATCH($A33,Backlog!$A$2:$A$180,0)))</t>
  </si>
  <si>
    <t>=INDEX(Backlog!$B$2:$B$180,MATCH(A33,Backlog!$A$2:$A$180,0))</t>
  </si>
  <si>
    <t>C34</t>
  </si>
  <si>
    <t>=IF(INDEX(Backlog!$K$2:$K$180,MATCH($A34,Backlog!$A$2:$A$180,0))="","",INDEX(Backlog!$K$2:$K$180,MATCH($A34,Backlog!$A$2:$A$180,0)))</t>
  </si>
  <si>
    <t>=INDEX(Backlog!$K$2:$K$180,MATCH(A34,Backlog!$A$2:$A$180,0))</t>
  </si>
  <si>
    <t>D34</t>
  </si>
  <si>
    <t>=IF(INDEX(Backlog!$B$2:$B$180,MATCH($A34,Backlog!$A$2:$A$180,0))="","",INDEX(Backlog!$B$2:$B$180,MATCH($A34,Backlog!$A$2:$A$180,0)))</t>
  </si>
  <si>
    <t>=INDEX(Backlog!$B$2:$B$180,MATCH(A34,Backlog!$A$2:$A$180,0))</t>
  </si>
  <si>
    <t>C35</t>
  </si>
  <si>
    <t>=IF(INDEX(Backlog!$K$2:$K$180,MATCH($A35,Backlog!$A$2:$A$180,0))="","",INDEX(Backlog!$K$2:$K$180,MATCH($A35,Backlog!$A$2:$A$180,0)))</t>
  </si>
  <si>
    <t>=INDEX(Backlog!$K$2:$K$180,MATCH(A35,Backlog!$A$2:$A$180,0))</t>
  </si>
  <si>
    <t>D35</t>
  </si>
  <si>
    <t>=IF(INDEX(Backlog!$B$2:$B$180,MATCH($A35,Backlog!$A$2:$A$180,0))="","",INDEX(Backlog!$B$2:$B$180,MATCH($A35,Backlog!$A$2:$A$180,0)))</t>
  </si>
  <si>
    <t>=INDEX(Backlog!$B$2:$B$180,MATCH(A35,Backlog!$A$2:$A$180,0))</t>
  </si>
  <si>
    <t>C36</t>
  </si>
  <si>
    <t>=IF(INDEX(Backlog!$K$2:$K$180,MATCH($A36,Backlog!$A$2:$A$180,0))="","",INDEX(Backlog!$K$2:$K$180,MATCH($A36,Backlog!$A$2:$A$180,0)))</t>
  </si>
  <si>
    <t>=INDEX(Backlog!$K$2:$K$180,MATCH(A36,Backlog!$A$2:$A$180,0))</t>
  </si>
  <si>
    <t>D36</t>
  </si>
  <si>
    <t>=IF(INDEX(Backlog!$B$2:$B$180,MATCH($A36,Backlog!$A$2:$A$180,0))="","",INDEX(Backlog!$B$2:$B$180,MATCH($A36,Backlog!$A$2:$A$180,0)))</t>
  </si>
  <si>
    <t>=INDEX(Backlog!$B$2:$B$180,MATCH(A36,Backlog!$A$2:$A$180,0))</t>
  </si>
  <si>
    <t>C37</t>
  </si>
  <si>
    <t>=IF(INDEX(Backlog!$K$2:$K$180,MATCH($A37,Backlog!$A$2:$A$180,0))="","",INDEX(Backlog!$K$2:$K$180,MATCH($A37,Backlog!$A$2:$A$180,0)))</t>
  </si>
  <si>
    <t>=INDEX(Backlog!$K$2:$K$180,MATCH(A37,Backlog!$A$2:$A$180,0))</t>
  </si>
  <si>
    <t>D37</t>
  </si>
  <si>
    <t>=IF(INDEX(Backlog!$B$2:$B$180,MATCH($A37,Backlog!$A$2:$A$180,0))="","",INDEX(Backlog!$B$2:$B$180,MATCH($A37,Backlog!$A$2:$A$180,0)))</t>
  </si>
  <si>
    <t>=INDEX(Backlog!$B$2:$B$180,MATCH(A37,Backlog!$A$2:$A$180,0))</t>
  </si>
  <si>
    <t>C38</t>
  </si>
  <si>
    <t>=IF(INDEX(Backlog!$K$2:$K$180,MATCH($A38,Backlog!$A$2:$A$180,0))="","",INDEX(Backlog!$K$2:$K$180,MATCH($A38,Backlog!$A$2:$A$180,0)))</t>
  </si>
  <si>
    <t>=INDEX(Backlog!$K$2:$K$180,MATCH(A38,Backlog!$A$2:$A$180,0))</t>
  </si>
  <si>
    <t>D38</t>
  </si>
  <si>
    <t>=IF(INDEX(Backlog!$B$2:$B$180,MATCH($A38,Backlog!$A$2:$A$180,0))="","",INDEX(Backlog!$B$2:$B$180,MATCH($A38,Backlog!$A$2:$A$180,0)))</t>
  </si>
  <si>
    <t>=INDEX(Backlog!$B$2:$B$180,MATCH(A38,Backlog!$A$2:$A$180,0))</t>
  </si>
  <si>
    <t>C39</t>
  </si>
  <si>
    <t>=IF(INDEX(Backlog!$K$2:$K$180,MATCH($A39,Backlog!$A$2:$A$180,0))="","",INDEX(Backlog!$K$2:$K$180,MATCH($A39,Backlog!$A$2:$A$180,0)))</t>
  </si>
  <si>
    <t>=INDEX(Backlog!$K$2:$K$180,MATCH(A39,Backlog!$A$2:$A$180,0))</t>
  </si>
  <si>
    <t>D39</t>
  </si>
  <si>
    <t>=IF(INDEX(Backlog!$B$2:$B$180,MATCH($A39,Backlog!$A$2:$A$180,0))="","",INDEX(Backlog!$B$2:$B$180,MATCH($A39,Backlog!$A$2:$A$180,0)))</t>
  </si>
  <si>
    <t>=INDEX(Backlog!$B$2:$B$180,MATCH(A39,Backlog!$A$2:$A$180,0))</t>
  </si>
  <si>
    <t>C40</t>
  </si>
  <si>
    <t>=IF(INDEX(Backlog!$K$2:$K$180,MATCH($A40,Backlog!$A$2:$A$180,0))="","",INDEX(Backlog!$K$2:$K$180,MATCH($A40,Backlog!$A$2:$A$180,0)))</t>
  </si>
  <si>
    <t>=INDEX(Backlog!$K$2:$K$180,MATCH(A40,Backlog!$A$2:$A$180,0))</t>
  </si>
  <si>
    <t>D40</t>
  </si>
  <si>
    <t>=IF(INDEX(Backlog!$B$2:$B$180,MATCH($A40,Backlog!$A$2:$A$180,0))="","",INDEX(Backlog!$B$2:$B$180,MATCH($A40,Backlog!$A$2:$A$180,0)))</t>
  </si>
  <si>
    <t>=INDEX(Backlog!$B$2:$B$180,MATCH(A40,Backlog!$A$2:$A$180,0))</t>
  </si>
  <si>
    <t>C41</t>
  </si>
  <si>
    <t>=IF(INDEX(Backlog!$K$2:$K$180,MATCH($A41,Backlog!$A$2:$A$180,0))="","",INDEX(Backlog!$K$2:$K$180,MATCH($A41,Backlog!$A$2:$A$180,0)))</t>
  </si>
  <si>
    <t>=INDEX(Backlog!$K$2:$K$180,MATCH(A41,Backlog!$A$2:$A$180,0))</t>
  </si>
  <si>
    <t>D41</t>
  </si>
  <si>
    <t>=IF(INDEX(Backlog!$B$2:$B$180,MATCH($A41,Backlog!$A$2:$A$180,0))="","",INDEX(Backlog!$B$2:$B$180,MATCH($A41,Backlog!$A$2:$A$180,0)))</t>
  </si>
  <si>
    <t>=INDEX(Backlog!$B$2:$B$180,MATCH(A41,Backlog!$A$2:$A$180,0))</t>
  </si>
  <si>
    <t>C42</t>
  </si>
  <si>
    <t>=IF(INDEX(Backlog!$K$2:$K$180,MATCH($A42,Backlog!$A$2:$A$180,0))="","",INDEX(Backlog!$K$2:$K$180,MATCH($A42,Backlog!$A$2:$A$180,0)))</t>
  </si>
  <si>
    <t>=INDEX(Backlog!$K$2:$K$180,MATCH(A42,Backlog!$A$2:$A$180,0))</t>
  </si>
  <si>
    <t>D42</t>
  </si>
  <si>
    <t>=IF(INDEX(Backlog!$B$2:$B$180,MATCH($A42,Backlog!$A$2:$A$180,0))="","",INDEX(Backlog!$B$2:$B$180,MATCH($A42,Backlog!$A$2:$A$180,0)))</t>
  </si>
  <si>
    <t>=INDEX(Backlog!$B$2:$B$180,MATCH(A42,Backlog!$A$2:$A$180,0))</t>
  </si>
  <si>
    <t>C43</t>
  </si>
  <si>
    <t>=IF(INDEX(Backlog!$K$2:$K$180,MATCH($A43,Backlog!$A$2:$A$180,0))="","",INDEX(Backlog!$K$2:$K$180,MATCH($A43,Backlog!$A$2:$A$180,0)))</t>
  </si>
  <si>
    <t>=INDEX(Backlog!$K$2:$K$180,MATCH(A43,Backlog!$A$2:$A$180,0))</t>
  </si>
  <si>
    <t>D43</t>
  </si>
  <si>
    <t>=IF(INDEX(Backlog!$B$2:$B$180,MATCH($A43,Backlog!$A$2:$A$180,0))="","",INDEX(Backlog!$B$2:$B$180,MATCH($A43,Backlog!$A$2:$A$180,0)))</t>
  </si>
  <si>
    <t>=INDEX(Backlog!$B$2:$B$180,MATCH(A43,Backlog!$A$2:$A$180,0))</t>
  </si>
  <si>
    <t>C44</t>
  </si>
  <si>
    <t>=IF(INDEX(Backlog!$K$2:$K$180,MATCH($A44,Backlog!$A$2:$A$180,0))="","",INDEX(Backlog!$K$2:$K$180,MATCH($A44,Backlog!$A$2:$A$180,0)))</t>
  </si>
  <si>
    <t>=INDEX(Backlog!$K$2:$K$180,MATCH(A44,Backlog!$A$2:$A$180,0))</t>
  </si>
  <si>
    <t>D44</t>
  </si>
  <si>
    <t>=IF(INDEX(Backlog!$B$2:$B$180,MATCH($A44,Backlog!$A$2:$A$180,0))="","",INDEX(Backlog!$B$2:$B$180,MATCH($A44,Backlog!$A$2:$A$180,0)))</t>
  </si>
  <si>
    <t>=INDEX(Backlog!$B$2:$B$180,MATCH(A44,Backlog!$A$2:$A$180,0))</t>
  </si>
  <si>
    <t>=IF(INDEX(Backlog!$K$2:$K$180,MATCH($A45,Backlog!$A$2:$A$180,0))="","",INDEX(Backlog!$K$2:$K$180,MATCH($A45,Backlog!$A$2:$A$180,0)))</t>
  </si>
  <si>
    <t>=INDEX(Backlog!$K$2:$K$180,MATCH(A45,Backlog!$A$2:$A$180,0))</t>
  </si>
  <si>
    <t>=IF(INDEX(Backlog!$B$2:$B$180,MATCH($A45,Backlog!$A$2:$A$180,0))="","",INDEX(Backlog!$B$2:$B$180,MATCH($A45,Backlog!$A$2:$A$180,0)))</t>
  </si>
  <si>
    <t>=INDEX(Backlog!$B$2:$B$180,MATCH(A45,Backlog!$A$2:$A$180,0))</t>
  </si>
  <si>
    <t>=IF(INDEX(Backlog!$K$2:$K$180,MATCH($A46,Backlog!$A$2:$A$180,0))="","",INDEX(Backlog!$K$2:$K$180,MATCH($A46,Backlog!$A$2:$A$180,0)))</t>
  </si>
  <si>
    <t>=INDEX(Backlog!$K$2:$K$180,MATCH(A46,Backlog!$A$2:$A$180,0))</t>
  </si>
  <si>
    <t>=IF(INDEX(Backlog!$B$2:$B$180,MATCH($A46,Backlog!$A$2:$A$180,0))="","",INDEX(Backlog!$B$2:$B$180,MATCH($A46,Backlog!$A$2:$A$180,0)))</t>
  </si>
  <si>
    <t>=INDEX(Backlog!$B$2:$B$180,MATCH(A46,Backlog!$A$2:$A$180,0))</t>
  </si>
  <si>
    <t>=IF(INDEX(Backlog!$K$2:$K$180,MATCH($A47,Backlog!$A$2:$A$180,0))="","",INDEX(Backlog!$K$2:$K$180,MATCH($A47,Backlog!$A$2:$A$180,0)))</t>
  </si>
  <si>
    <t>=INDEX(Backlog!$K$2:$K$180,MATCH(A47,Backlog!$A$2:$A$180,0))</t>
  </si>
  <si>
    <t>=IF(INDEX(Backlog!$B$2:$B$180,MATCH($A47,Backlog!$A$2:$A$180,0))="","",INDEX(Backlog!$B$2:$B$180,MATCH($A47,Backlog!$A$2:$A$180,0)))</t>
  </si>
  <si>
    <t>=INDEX(Backlog!$B$2:$B$180,MATCH(A47,Backlog!$A$2:$A$180,0))</t>
  </si>
  <si>
    <t>=IF(INDEX(Backlog!$K$2:$K$180,MATCH($A48,Backlog!$A$2:$A$180,0))="","",INDEX(Backlog!$K$2:$K$180,MATCH($A48,Backlog!$A$2:$A$180,0)))</t>
  </si>
  <si>
    <t>=INDEX(Backlog!$K$2:$K$180,MATCH(A48,Backlog!$A$2:$A$180,0))</t>
  </si>
  <si>
    <t>=IF(INDEX(Backlog!$B$2:$B$180,MATCH($A48,Backlog!$A$2:$A$180,0))="","",INDEX(Backlog!$B$2:$B$180,MATCH($A48,Backlog!$A$2:$A$180,0)))</t>
  </si>
  <si>
    <t>=INDEX(Backlog!$B$2:$B$180,MATCH(A48,Backlog!$A$2:$A$180,0))</t>
  </si>
  <si>
    <t>=IF(INDEX(Backlog!$K$2:$K$180,MATCH($A49,Backlog!$A$2:$A$180,0))="","",INDEX(Backlog!$K$2:$K$180,MATCH($A49,Backlog!$A$2:$A$180,0)))</t>
  </si>
  <si>
    <t>=INDEX(Backlog!$K$2:$K$180,MATCH(A49,Backlog!$A$2:$A$180,0))</t>
  </si>
  <si>
    <t>=IF(INDEX(Backlog!$B$2:$B$180,MATCH($A49,Backlog!$A$2:$A$180,0))="","",INDEX(Backlog!$B$2:$B$180,MATCH($A49,Backlog!$A$2:$A$180,0)))</t>
  </si>
  <si>
    <t>=INDEX(Backlog!$B$2:$B$180,MATCH(A49,Backlog!$A$2:$A$180,0))</t>
  </si>
  <si>
    <t>=IF(INDEX(Backlog!$K$2:$K$180,MATCH($A50,Backlog!$A$2:$A$180,0))="","",INDEX(Backlog!$K$2:$K$180,MATCH($A50,Backlog!$A$2:$A$180,0)))</t>
  </si>
  <si>
    <t>=INDEX(Backlog!$K$2:$K$180,MATCH(A50,Backlog!$A$2:$A$180,0))</t>
  </si>
  <si>
    <t>=IF(INDEX(Backlog!$B$2:$B$180,MATCH($A50,Backlog!$A$2:$A$180,0))="","",INDEX(Backlog!$B$2:$B$180,MATCH($A50,Backlog!$A$2:$A$180,0)))</t>
  </si>
  <si>
    <t>=INDEX(Backlog!$B$2:$B$180,MATCH(A50,Backlog!$A$2:$A$180,0))</t>
  </si>
  <si>
    <t>A51</t>
  </si>
  <si>
    <t>B51</t>
  </si>
  <si>
    <t>C51</t>
  </si>
  <si>
    <t>=IF(INDEX(Backlog!$K$2:$K$180,MATCH($A51,Backlog!$A$2:$A$180,0))="","",INDEX(Backlog!$K$2:$K$180,MATCH($A51,Backlog!$A$2:$A$180,0)))</t>
  </si>
  <si>
    <t>=INDEX(Backlog!$K$2:$K$180,MATCH(A51,Backlog!$A$2:$A$180,0))</t>
  </si>
  <si>
    <t>D51</t>
  </si>
  <si>
    <t>=IF(INDEX(Backlog!$B$2:$B$180,MATCH($A51,Backlog!$A$2:$A$180,0))="","",INDEX(Backlog!$B$2:$B$180,MATCH($A51,Backlog!$A$2:$A$180,0)))</t>
  </si>
  <si>
    <t>=INDEX(Backlog!$B$2:$B$180,MATCH(A51,Backlog!$A$2:$A$180,0))</t>
  </si>
  <si>
    <t>A52</t>
  </si>
  <si>
    <t>C52</t>
  </si>
  <si>
    <t>=IF(INDEX(Backlog!$K$2:$K$180,MATCH($A52,Backlog!$A$2:$A$180,0))="","",INDEX(Backlog!$K$2:$K$180,MATCH($A52,Backlog!$A$2:$A$180,0)))</t>
  </si>
  <si>
    <t>=INDEX(Backlog!$K$2:$K$180,MATCH(A52,Backlog!$A$2:$A$180,0))</t>
  </si>
  <si>
    <t>D52</t>
  </si>
  <si>
    <t>=IF(INDEX(Backlog!$B$2:$B$180,MATCH($A52,Backlog!$A$2:$A$180,0))="","",INDEX(Backlog!$B$2:$B$180,MATCH($A52,Backlog!$A$2:$A$180,0)))</t>
  </si>
  <si>
    <t>=INDEX(Backlog!$B$2:$B$180,MATCH(A52,Backlog!$A$2:$A$180,0))</t>
  </si>
  <si>
    <t>A53</t>
  </si>
  <si>
    <t>B53</t>
  </si>
  <si>
    <t>C53</t>
  </si>
  <si>
    <t>=IF(INDEX(Backlog!$K$2:$K$180,MATCH($A53,Backlog!$A$2:$A$180,0))="","",INDEX(Backlog!$K$2:$K$180,MATCH($A53,Backlog!$A$2:$A$180,0)))</t>
  </si>
  <si>
    <t>=INDEX(Backlog!$K$2:$K$180,MATCH(A53,Backlog!$A$2:$A$180,0))</t>
  </si>
  <si>
    <t>D53</t>
  </si>
  <si>
    <t>=IF(INDEX(Backlog!$B$2:$B$180,MATCH($A53,Backlog!$A$2:$A$180,0))="","",INDEX(Backlog!$B$2:$B$180,MATCH($A53,Backlog!$A$2:$A$180,0)))</t>
  </si>
  <si>
    <t>=INDEX(Backlog!$B$2:$B$180,MATCH(A53,Backlog!$A$2:$A$180,0))</t>
  </si>
  <si>
    <t>A54</t>
  </si>
  <si>
    <t>B54</t>
  </si>
  <si>
    <t>C54</t>
  </si>
  <si>
    <t>=IF(INDEX(Backlog!$K$2:$K$180,MATCH($A54,Backlog!$A$2:$A$180,0))="","",INDEX(Backlog!$K$2:$K$180,MATCH($A54,Backlog!$A$2:$A$180,0)))</t>
  </si>
  <si>
    <t>=INDEX(Backlog!$K$2:$K$180,MATCH(A54,Backlog!$A$2:$A$180,0))</t>
  </si>
  <si>
    <t>D54</t>
  </si>
  <si>
    <t>=IF(INDEX(Backlog!$B$2:$B$180,MATCH($A54,Backlog!$A$2:$A$180,0))="","",INDEX(Backlog!$B$2:$B$180,MATCH($A54,Backlog!$A$2:$A$180,0)))</t>
  </si>
  <si>
    <t>=INDEX(Backlog!$B$2:$B$180,MATCH(A54,Backlog!$A$2:$A$180,0))</t>
  </si>
  <si>
    <t>A55</t>
  </si>
  <si>
    <t>B55</t>
  </si>
  <si>
    <t>C55</t>
  </si>
  <si>
    <t>=IF(INDEX(Backlog!$K$2:$K$180,MATCH($A55,Backlog!$A$2:$A$180,0))="","",INDEX(Backlog!$K$2:$K$180,MATCH($A55,Backlog!$A$2:$A$180,0)))</t>
  </si>
  <si>
    <t>=INDEX(Backlog!$K$2:$K$180,MATCH(A55,Backlog!$A$2:$A$180,0))</t>
  </si>
  <si>
    <t>D55</t>
  </si>
  <si>
    <t>=IF(INDEX(Backlog!$B$2:$B$180,MATCH($A55,Backlog!$A$2:$A$180,0))="","",INDEX(Backlog!$B$2:$B$180,MATCH($A55,Backlog!$A$2:$A$180,0)))</t>
  </si>
  <si>
    <t>=INDEX(Backlog!$B$2:$B$180,MATCH(A55,Backlog!$A$2:$A$180,0))</t>
  </si>
  <si>
    <t>A56</t>
  </si>
  <si>
    <t>B56</t>
  </si>
  <si>
    <t>C56</t>
  </si>
  <si>
    <t>=IF(INDEX(Backlog!$K$2:$K$180,MATCH($A56,Backlog!$A$2:$A$180,0))="","",INDEX(Backlog!$K$2:$K$180,MATCH($A56,Backlog!$A$2:$A$180,0)))</t>
  </si>
  <si>
    <t>=INDEX(Backlog!$K$2:$K$180,MATCH(A56,Backlog!$A$2:$A$180,0))</t>
  </si>
  <si>
    <t>D56</t>
  </si>
  <si>
    <t>=IF(INDEX(Backlog!$B$2:$B$180,MATCH($A56,Backlog!$A$2:$A$180,0))="","",INDEX(Backlog!$B$2:$B$180,MATCH($A56,Backlog!$A$2:$A$180,0)))</t>
  </si>
  <si>
    <t>=INDEX(Backlog!$B$2:$B$180,MATCH(A56,Backlog!$A$2:$A$180,0))</t>
  </si>
  <si>
    <t>B57</t>
  </si>
  <si>
    <t>C57</t>
  </si>
  <si>
    <t>=IF(INDEX(Backlog!$K$2:$K$180,MATCH($A57,Backlog!$A$2:$A$180,0))="","",INDEX(Backlog!$K$2:$K$180,MATCH($A57,Backlog!$A$2:$A$180,0)))</t>
  </si>
  <si>
    <t>=INDEX(Backlog!$K$2:$K$180,MATCH(A57,Backlog!$A$2:$A$180,0))</t>
  </si>
  <si>
    <t>D57</t>
  </si>
  <si>
    <t>=IF(INDEX(Backlog!$B$2:$B$180,MATCH($A57,Backlog!$A$2:$A$180,0))="","",INDEX(Backlog!$B$2:$B$180,MATCH($A57,Backlog!$A$2:$A$180,0)))</t>
  </si>
  <si>
    <t>=INDEX(Backlog!$B$2:$B$180,MATCH(A57,Backlog!$A$2:$A$180,0))</t>
  </si>
  <si>
    <t>A58</t>
  </si>
  <si>
    <t>B58</t>
  </si>
  <si>
    <t>C58</t>
  </si>
  <si>
    <t>=IF(INDEX(Backlog!$K$2:$K$180,MATCH($A58,Backlog!$A$2:$A$180,0))="","",INDEX(Backlog!$K$2:$K$180,MATCH($A58,Backlog!$A$2:$A$180,0)))</t>
  </si>
  <si>
    <t>=INDEX(Backlog!$K$2:$K$180,MATCH(A58,Backlog!$A$2:$A$180,0))</t>
  </si>
  <si>
    <t>D58</t>
  </si>
  <si>
    <t>=IF(INDEX(Backlog!$B$2:$B$180,MATCH($A58,Backlog!$A$2:$A$180,0))="","",INDEX(Backlog!$B$2:$B$180,MATCH($A58,Backlog!$A$2:$A$180,0)))</t>
  </si>
  <si>
    <t>=INDEX(Backlog!$B$2:$B$180,MATCH(A58,Backlog!$A$2:$A$180,0))</t>
  </si>
  <si>
    <t>A59</t>
  </si>
  <si>
    <t>B59</t>
  </si>
  <si>
    <t>C59</t>
  </si>
  <si>
    <t>=IF(INDEX(Backlog!$K$2:$K$180,MATCH($A59,Backlog!$A$2:$A$180,0))="","",INDEX(Backlog!$K$2:$K$180,MATCH($A59,Backlog!$A$2:$A$180,0)))</t>
  </si>
  <si>
    <t>=INDEX(Backlog!$K$2:$K$180,MATCH(A59,Backlog!$A$2:$A$180,0))</t>
  </si>
  <si>
    <t>D59</t>
  </si>
  <si>
    <t>=IF(INDEX(Backlog!$B$2:$B$180,MATCH($A59,Backlog!$A$2:$A$180,0))="","",INDEX(Backlog!$B$2:$B$180,MATCH($A59,Backlog!$A$2:$A$180,0)))</t>
  </si>
  <si>
    <t>=INDEX(Backlog!$B$2:$B$180,MATCH(A59,Backlog!$A$2:$A$180,0))</t>
  </si>
  <si>
    <t>A60</t>
  </si>
  <si>
    <t>B60</t>
  </si>
  <si>
    <t>C60</t>
  </si>
  <si>
    <t>=IF(INDEX(Backlog!$K$2:$K$180,MATCH($A60,Backlog!$A$2:$A$180,0))="","",INDEX(Backlog!$K$2:$K$180,MATCH($A60,Backlog!$A$2:$A$180,0)))</t>
  </si>
  <si>
    <t>=INDEX(Backlog!$K$2:$K$180,MATCH(A60,Backlog!$A$2:$A$180,0))</t>
  </si>
  <si>
    <t>D60</t>
  </si>
  <si>
    <t>=IF(INDEX(Backlog!$B$2:$B$180,MATCH($A60,Backlog!$A$2:$A$180,0))="","",INDEX(Backlog!$B$2:$B$180,MATCH($A60,Backlog!$A$2:$A$180,0)))</t>
  </si>
  <si>
    <t>=INDEX(Backlog!$B$2:$B$180,MATCH(A60,Backlog!$A$2:$A$180,0))</t>
  </si>
  <si>
    <t>B61</t>
  </si>
  <si>
    <t>C61</t>
  </si>
  <si>
    <t>=IF(INDEX(Backlog!$K$2:$K$180,MATCH($A61,Backlog!$A$2:$A$180,0))="","",INDEX(Backlog!$K$2:$K$180,MATCH($A61,Backlog!$A$2:$A$180,0)))</t>
  </si>
  <si>
    <t>=INDEX(Backlog!$K$2:$K$180,MATCH(A61,Backlog!$A$2:$A$180,0))</t>
  </si>
  <si>
    <t>D61</t>
  </si>
  <si>
    <t>=IF(INDEX(Backlog!$B$2:$B$180,MATCH($A61,Backlog!$A$2:$A$180,0))="","",INDEX(Backlog!$B$2:$B$180,MATCH($A61,Backlog!$A$2:$A$180,0)))</t>
  </si>
  <si>
    <t>=INDEX(Backlog!$B$2:$B$180,MATCH(A61,Backlog!$A$2:$A$180,0))</t>
  </si>
  <si>
    <t>A62</t>
  </si>
  <si>
    <t>B62</t>
  </si>
  <si>
    <t>C62</t>
  </si>
  <si>
    <t>=IF(INDEX(Backlog!$K$2:$K$180,MATCH($A62,Backlog!$A$2:$A$180,0))="","",INDEX(Backlog!$K$2:$K$180,MATCH($A62,Backlog!$A$2:$A$180,0)))</t>
  </si>
  <si>
    <t>=INDEX(Backlog!$K$2:$K$180,MATCH(A62,Backlog!$A$2:$A$180,0))</t>
  </si>
  <si>
    <t>D62</t>
  </si>
  <si>
    <t>=IF(INDEX(Backlog!$B$2:$B$180,MATCH($A62,Backlog!$A$2:$A$180,0))="","",INDEX(Backlog!$B$2:$B$180,MATCH($A62,Backlog!$A$2:$A$180,0)))</t>
  </si>
  <si>
    <t>=INDEX(Backlog!$B$2:$B$180,MATCH(A62,Backlog!$A$2:$A$180,0))</t>
  </si>
  <si>
    <t>B63</t>
  </si>
  <si>
    <t>C63</t>
  </si>
  <si>
    <t>=IF(INDEX(Backlog!$K$2:$K$180,MATCH($A63,Backlog!$A$2:$A$180,0))="","",INDEX(Backlog!$K$2:$K$180,MATCH($A63,Backlog!$A$2:$A$180,0)))</t>
  </si>
  <si>
    <t>=INDEX(Backlog!$K$2:$K$180,MATCH(A63,Backlog!$A$2:$A$180,0))</t>
  </si>
  <si>
    <t>D63</t>
  </si>
  <si>
    <t>=IF(INDEX(Backlog!$B$2:$B$180,MATCH($A63,Backlog!$A$2:$A$180,0))="","",INDEX(Backlog!$B$2:$B$180,MATCH($A63,Backlog!$A$2:$A$180,0)))</t>
  </si>
  <si>
    <t>=INDEX(Backlog!$B$2:$B$180,MATCH(A63,Backlog!$A$2:$A$180,0))</t>
  </si>
  <si>
    <t>A64</t>
  </si>
  <si>
    <t>B64</t>
  </si>
  <si>
    <t>C64</t>
  </si>
  <si>
    <t>=IF(INDEX(Backlog!$K$2:$K$180,MATCH($A64,Backlog!$A$2:$A$180,0))="","",INDEX(Backlog!$K$2:$K$180,MATCH($A64,Backlog!$A$2:$A$180,0)))</t>
  </si>
  <si>
    <t>=INDEX(Backlog!$K$2:$K$180,MATCH(A64,Backlog!$A$2:$A$180,0))</t>
  </si>
  <si>
    <t>D64</t>
  </si>
  <si>
    <t>=IF(INDEX(Backlog!$B$2:$B$180,MATCH($A64,Backlog!$A$2:$A$180,0))="","",INDEX(Backlog!$B$2:$B$180,MATCH($A64,Backlog!$A$2:$A$180,0)))</t>
  </si>
  <si>
    <t>=INDEX(Backlog!$B$2:$B$180,MATCH(A64,Backlog!$A$2:$A$180,0))</t>
  </si>
  <si>
    <t>A65</t>
  </si>
  <si>
    <t>B65</t>
  </si>
  <si>
    <t>C65</t>
  </si>
  <si>
    <t>=IF(INDEX(Backlog!$K$2:$K$180,MATCH($A65,Backlog!$A$2:$A$180,0))="","",INDEX(Backlog!$K$2:$K$180,MATCH($A65,Backlog!$A$2:$A$180,0)))</t>
  </si>
  <si>
    <t>=INDEX(Backlog!$K$2:$K$180,MATCH(A65,Backlog!$A$2:$A$180,0))</t>
  </si>
  <si>
    <t>D65</t>
  </si>
  <si>
    <t>=IF(INDEX(Backlog!$B$2:$B$180,MATCH($A65,Backlog!$A$2:$A$180,0))="","",INDEX(Backlog!$B$2:$B$180,MATCH($A65,Backlog!$A$2:$A$180,0)))</t>
  </si>
  <si>
    <t>=INDEX(Backlog!$B$2:$B$180,MATCH(A65,Backlog!$A$2:$A$180,0))</t>
  </si>
  <si>
    <t>A66</t>
  </si>
  <si>
    <t>B66</t>
  </si>
  <si>
    <t>C66</t>
  </si>
  <si>
    <t>=IF(INDEX(Backlog!$K$2:$K$180,MATCH($A66,Backlog!$A$2:$A$180,0))="","",INDEX(Backlog!$K$2:$K$180,MATCH($A66,Backlog!$A$2:$A$180,0)))</t>
  </si>
  <si>
    <t>=INDEX(Backlog!$K$2:$K$180,MATCH(A66,Backlog!$A$2:$A$180,0))</t>
  </si>
  <si>
    <t>D66</t>
  </si>
  <si>
    <t>=IF(INDEX(Backlog!$B$2:$B$180,MATCH($A66,Backlog!$A$2:$A$180,0))="","",INDEX(Backlog!$B$2:$B$180,MATCH($A66,Backlog!$A$2:$A$180,0)))</t>
  </si>
  <si>
    <t>=INDEX(Backlog!$B$2:$B$180,MATCH(A66,Backlog!$A$2:$A$180,0))</t>
  </si>
  <si>
    <t>A67</t>
  </si>
  <si>
    <t>B67</t>
  </si>
  <si>
    <t>C67</t>
  </si>
  <si>
    <t>=IF(INDEX(Backlog!$K$2:$K$180,MATCH($A67,Backlog!$A$2:$A$180,0))="","",INDEX(Backlog!$K$2:$K$180,MATCH($A67,Backlog!$A$2:$A$180,0)))</t>
  </si>
  <si>
    <t>=INDEX(Backlog!$K$2:$K$180,MATCH(A67,Backlog!$A$2:$A$180,0))</t>
  </si>
  <si>
    <t>D67</t>
  </si>
  <si>
    <t>=IF(INDEX(Backlog!$B$2:$B$180,MATCH($A67,Backlog!$A$2:$A$180,0))="","",INDEX(Backlog!$B$2:$B$180,MATCH($A67,Backlog!$A$2:$A$180,0)))</t>
  </si>
  <si>
    <t>=INDEX(Backlog!$B$2:$B$180,MATCH(A67,Backlog!$A$2:$A$180,0))</t>
  </si>
  <si>
    <t>A68</t>
  </si>
  <si>
    <t>B68</t>
  </si>
  <si>
    <t>C68</t>
  </si>
  <si>
    <t>=IF(INDEX(Backlog!$K$2:$K$180,MATCH($A68,Backlog!$A$2:$A$180,0))="","",INDEX(Backlog!$K$2:$K$180,MATCH($A68,Backlog!$A$2:$A$180,0)))</t>
  </si>
  <si>
    <t>=INDEX(Backlog!$K$2:$K$180,MATCH(A68,Backlog!$A$2:$A$180,0))</t>
  </si>
  <si>
    <t>D68</t>
  </si>
  <si>
    <t>=IF(INDEX(Backlog!$B$2:$B$180,MATCH($A68,Backlog!$A$2:$A$180,0))="","",INDEX(Backlog!$B$2:$B$180,MATCH($A68,Backlog!$A$2:$A$180,0)))</t>
  </si>
  <si>
    <t>=INDEX(Backlog!$B$2:$B$180,MATCH(A68,Backlog!$A$2:$A$180,0))</t>
  </si>
  <si>
    <t>A69</t>
  </si>
  <si>
    <t>B69</t>
  </si>
  <si>
    <t>C69</t>
  </si>
  <si>
    <t>=IF(INDEX(Backlog!$K$2:$K$180,MATCH($A69,Backlog!$A$2:$A$180,0))="","",INDEX(Backlog!$K$2:$K$180,MATCH($A69,Backlog!$A$2:$A$180,0)))</t>
  </si>
  <si>
    <t>=INDEX(Backlog!$K$2:$K$180,MATCH(A69,Backlog!$A$2:$A$180,0))</t>
  </si>
  <si>
    <t>D69</t>
  </si>
  <si>
    <t>=IF(INDEX(Backlog!$B$2:$B$180,MATCH($A69,Backlog!$A$2:$A$180,0))="","",INDEX(Backlog!$B$2:$B$180,MATCH($A69,Backlog!$A$2:$A$180,0)))</t>
  </si>
  <si>
    <t>=INDEX(Backlog!$B$2:$B$180,MATCH(A69,Backlog!$A$2:$A$180,0))</t>
  </si>
  <si>
    <t>A70</t>
  </si>
  <si>
    <t>B70</t>
  </si>
  <si>
    <t>C70</t>
  </si>
  <si>
    <t>=IF(INDEX(Backlog!$K$2:$K$180,MATCH($A70,Backlog!$A$2:$A$180,0))="","",INDEX(Backlog!$K$2:$K$180,MATCH($A70,Backlog!$A$2:$A$180,0)))</t>
  </si>
  <si>
    <t>=INDEX(Backlog!$K$2:$K$180,MATCH(A70,Backlog!$A$2:$A$180,0))</t>
  </si>
  <si>
    <t>D70</t>
  </si>
  <si>
    <t>=IF(INDEX(Backlog!$B$2:$B$180,MATCH($A70,Backlog!$A$2:$A$180,0))="","",INDEX(Backlog!$B$2:$B$180,MATCH($A70,Backlog!$A$2:$A$180,0)))</t>
  </si>
  <si>
    <t>=INDEX(Backlog!$B$2:$B$180,MATCH(A70,Backlog!$A$2:$A$180,0))</t>
  </si>
  <si>
    <t>A71</t>
  </si>
  <si>
    <t>B71</t>
  </si>
  <si>
    <t>C71</t>
  </si>
  <si>
    <t>=IF(INDEX(Backlog!$K$2:$K$180,MATCH($A71,Backlog!$A$2:$A$180,0))="","",INDEX(Backlog!$K$2:$K$180,MATCH($A71,Backlog!$A$2:$A$180,0)))</t>
  </si>
  <si>
    <t>=INDEX(Backlog!$K$2:$K$180,MATCH(A71,Backlog!$A$2:$A$180,0))</t>
  </si>
  <si>
    <t>D71</t>
  </si>
  <si>
    <t>=IF(INDEX(Backlog!$B$2:$B$180,MATCH($A71,Backlog!$A$2:$A$180,0))="","",INDEX(Backlog!$B$2:$B$180,MATCH($A71,Backlog!$A$2:$A$180,0)))</t>
  </si>
  <si>
    <t>=INDEX(Backlog!$B$2:$B$180,MATCH(A71,Backlog!$A$2:$A$180,0))</t>
  </si>
  <si>
    <t>A72</t>
  </si>
  <si>
    <t>B72</t>
  </si>
  <si>
    <t>C72</t>
  </si>
  <si>
    <t>=IF(INDEX(Backlog!$K$2:$K$180,MATCH($A72,Backlog!$A$2:$A$180,0))="","",INDEX(Backlog!$K$2:$K$180,MATCH($A72,Backlog!$A$2:$A$180,0)))</t>
  </si>
  <si>
    <t>=INDEX(Backlog!$K$2:$K$180,MATCH(A72,Backlog!$A$2:$A$180,0))</t>
  </si>
  <si>
    <t>D72</t>
  </si>
  <si>
    <t>=IF(INDEX(Backlog!$B$2:$B$180,MATCH($A72,Backlog!$A$2:$A$180,0))="","",INDEX(Backlog!$B$2:$B$180,MATCH($A72,Backlog!$A$2:$A$180,0)))</t>
  </si>
  <si>
    <t>=INDEX(Backlog!$B$2:$B$180,MATCH(A72,Backlog!$A$2:$A$180,0))</t>
  </si>
  <si>
    <t>A73</t>
  </si>
  <si>
    <t>B73</t>
  </si>
  <si>
    <t>C73</t>
  </si>
  <si>
    <t>=IF(INDEX(Backlog!$K$2:$K$180,MATCH($A73,Backlog!$A$2:$A$180,0))="","",INDEX(Backlog!$K$2:$K$180,MATCH($A73,Backlog!$A$2:$A$180,0)))</t>
  </si>
  <si>
    <t>=INDEX(Backlog!$K$2:$K$180,MATCH(A73,Backlog!$A$2:$A$180,0))</t>
  </si>
  <si>
    <t>D73</t>
  </si>
  <si>
    <t>=IF(INDEX(Backlog!$B$2:$B$180,MATCH($A73,Backlog!$A$2:$A$180,0))="","",INDEX(Backlog!$B$2:$B$180,MATCH($A73,Backlog!$A$2:$A$180,0)))</t>
  </si>
  <si>
    <t>=INDEX(Backlog!$B$2:$B$180,MATCH(A73,Backlog!$A$2:$A$180,0))</t>
  </si>
  <si>
    <t>A74</t>
  </si>
  <si>
    <t>B74</t>
  </si>
  <si>
    <t>C74</t>
  </si>
  <si>
    <t>=IF(INDEX(Backlog!$K$2:$K$180,MATCH($A74,Backlog!$A$2:$A$180,0))="","",INDEX(Backlog!$K$2:$K$180,MATCH($A74,Backlog!$A$2:$A$180,0)))</t>
  </si>
  <si>
    <t>=INDEX(Backlog!$K$2:$K$180,MATCH(A74,Backlog!$A$2:$A$180,0))</t>
  </si>
  <si>
    <t>D74</t>
  </si>
  <si>
    <t>=IF(INDEX(Backlog!$B$2:$B$180,MATCH($A74,Backlog!$A$2:$A$180,0))="","",INDEX(Backlog!$B$2:$B$180,MATCH($A74,Backlog!$A$2:$A$180,0)))</t>
  </si>
  <si>
    <t>=INDEX(Backlog!$B$2:$B$180,MATCH(A74,Backlog!$A$2:$A$180,0))</t>
  </si>
  <si>
    <t>A75</t>
  </si>
  <si>
    <t>B75</t>
  </si>
  <si>
    <t>C75</t>
  </si>
  <si>
    <t>=IF(INDEX(Backlog!$K$2:$K$180,MATCH($A75,Backlog!$A$2:$A$180,0))="","",INDEX(Backlog!$K$2:$K$180,MATCH($A75,Backlog!$A$2:$A$180,0)))</t>
  </si>
  <si>
    <t>=INDEX(Backlog!$K$2:$K$180,MATCH(A75,Backlog!$A$2:$A$180,0))</t>
  </si>
  <si>
    <t>D75</t>
  </si>
  <si>
    <t>=IF(INDEX(Backlog!$B$2:$B$180,MATCH($A75,Backlog!$A$2:$A$180,0))="","",INDEX(Backlog!$B$2:$B$180,MATCH($A75,Backlog!$A$2:$A$180,0)))</t>
  </si>
  <si>
    <t>=INDEX(Backlog!$B$2:$B$180,MATCH(A75,Backlog!$A$2:$A$180,0))</t>
  </si>
  <si>
    <t>A76</t>
  </si>
  <si>
    <t>B76</t>
  </si>
  <si>
    <t>C76</t>
  </si>
  <si>
    <t>=IF(INDEX(Backlog!$K$2:$K$180,MATCH($A76,Backlog!$A$2:$A$180,0))="","",INDEX(Backlog!$K$2:$K$180,MATCH($A76,Backlog!$A$2:$A$180,0)))</t>
  </si>
  <si>
    <t>=INDEX(Backlog!$K$2:$K$180,MATCH(A76,Backlog!$A$2:$A$180,0))</t>
  </si>
  <si>
    <t>D76</t>
  </si>
  <si>
    <t>=IF(INDEX(Backlog!$B$2:$B$180,MATCH($A76,Backlog!$A$2:$A$180,0))="","",INDEX(Backlog!$B$2:$B$180,MATCH($A76,Backlog!$A$2:$A$180,0)))</t>
  </si>
  <si>
    <t>=INDEX(Backlog!$B$2:$B$180,MATCH(A76,Backlog!$A$2:$A$180,0))</t>
  </si>
  <si>
    <t>A77</t>
  </si>
  <si>
    <t>B77</t>
  </si>
  <si>
    <t>C77</t>
  </si>
  <si>
    <t>=IF(INDEX(Backlog!$K$2:$K$180,MATCH($A77,Backlog!$A$2:$A$180,0))="","",INDEX(Backlog!$K$2:$K$180,MATCH($A77,Backlog!$A$2:$A$180,0)))</t>
  </si>
  <si>
    <t>=INDEX(Backlog!$K$2:$K$180,MATCH(A77,Backlog!$A$2:$A$180,0))</t>
  </si>
  <si>
    <t>D77</t>
  </si>
  <si>
    <t>=IF(INDEX(Backlog!$B$2:$B$180,MATCH($A77,Backlog!$A$2:$A$180,0))="","",INDEX(Backlog!$B$2:$B$180,MATCH($A77,Backlog!$A$2:$A$180,0)))</t>
  </si>
  <si>
    <t>=INDEX(Backlog!$B$2:$B$180,MATCH(A77,Backlog!$A$2:$A$180,0))</t>
  </si>
  <si>
    <t>B78</t>
  </si>
  <si>
    <t>C78</t>
  </si>
  <si>
    <t>=IF(INDEX(Backlog!$K$2:$K$180,MATCH($A78,Backlog!$A$2:$A$180,0))="","",INDEX(Backlog!$K$2:$K$180,MATCH($A78,Backlog!$A$2:$A$180,0)))</t>
  </si>
  <si>
    <t>=INDEX(Backlog!$K$2:$K$180,MATCH(A78,Backlog!$A$2:$A$180,0))</t>
  </si>
  <si>
    <t>D78</t>
  </si>
  <si>
    <t>=IF(INDEX(Backlog!$B$2:$B$180,MATCH($A78,Backlog!$A$2:$A$180,0))="","",INDEX(Backlog!$B$2:$B$180,MATCH($A78,Backlog!$A$2:$A$180,0)))</t>
  </si>
  <si>
    <t>=INDEX(Backlog!$B$2:$B$180,MATCH(A78,Backlog!$A$2:$A$180,0))</t>
  </si>
  <si>
    <t>B79</t>
  </si>
  <si>
    <t>C79</t>
  </si>
  <si>
    <t>=IF(INDEX(Backlog!$K$2:$K$180,MATCH($A79,Backlog!$A$2:$A$180,0))="","",INDEX(Backlog!$K$2:$K$180,MATCH($A79,Backlog!$A$2:$A$180,0)))</t>
  </si>
  <si>
    <t>=INDEX(Backlog!$K$2:$K$180,MATCH(A79,Backlog!$A$2:$A$180,0))</t>
  </si>
  <si>
    <t>D79</t>
  </si>
  <si>
    <t>=IF(INDEX(Backlog!$B$2:$B$180,MATCH($A79,Backlog!$A$2:$A$180,0))="","",INDEX(Backlog!$B$2:$B$180,MATCH($A79,Backlog!$A$2:$A$180,0)))</t>
  </si>
  <si>
    <t>=INDEX(Backlog!$B$2:$B$180,MATCH(A79,Backlog!$A$2:$A$180,0))</t>
  </si>
  <si>
    <t>B80</t>
  </si>
  <si>
    <t>C80</t>
  </si>
  <si>
    <t>=IF(INDEX(Backlog!$K$2:$K$180,MATCH($A80,Backlog!$A$2:$A$180,0))="","",INDEX(Backlog!$K$2:$K$180,MATCH($A80,Backlog!$A$2:$A$180,0)))</t>
  </si>
  <si>
    <t>=INDEX(Backlog!$K$2:$K$180,MATCH(A80,Backlog!$A$2:$A$180,0))</t>
  </si>
  <si>
    <t>D80</t>
  </si>
  <si>
    <t>=IF(INDEX(Backlog!$B$2:$B$180,MATCH($A80,Backlog!$A$2:$A$180,0))="","",INDEX(Backlog!$B$2:$B$180,MATCH($A80,Backlog!$A$2:$A$180,0)))</t>
  </si>
  <si>
    <t>=INDEX(Backlog!$B$2:$B$180,MATCH(A80,Backlog!$A$2:$A$180,0))</t>
  </si>
  <si>
    <t>B81</t>
  </si>
  <si>
    <t>C81</t>
  </si>
  <si>
    <t>=IF(INDEX(Backlog!$K$2:$K$180,MATCH($A81,Backlog!$A$2:$A$180,0))="","",INDEX(Backlog!$K$2:$K$180,MATCH($A81,Backlog!$A$2:$A$180,0)))</t>
  </si>
  <si>
    <t>=INDEX(Backlog!$K$2:$K$180,MATCH(A81,Backlog!$A$2:$A$180,0))</t>
  </si>
  <si>
    <t>D81</t>
  </si>
  <si>
    <t>=IF(INDEX(Backlog!$B$2:$B$180,MATCH($A81,Backlog!$A$2:$A$180,0))="","",INDEX(Backlog!$B$2:$B$180,MATCH($A81,Backlog!$A$2:$A$180,0)))</t>
  </si>
  <si>
    <t>=INDEX(Backlog!$B$2:$B$180,MATCH(A81,Backlog!$A$2:$A$180,0))</t>
  </si>
  <si>
    <t>B82</t>
  </si>
  <si>
    <t>C82</t>
  </si>
  <si>
    <t>=IF(INDEX(Backlog!$K$2:$K$180,MATCH($A82,Backlog!$A$2:$A$180,0))="","",INDEX(Backlog!$K$2:$K$180,MATCH($A82,Backlog!$A$2:$A$180,0)))</t>
  </si>
  <si>
    <t>=INDEX(Backlog!$K$2:$K$180,MATCH(A82,Backlog!$A$2:$A$180,0))</t>
  </si>
  <si>
    <t>D82</t>
  </si>
  <si>
    <t>=IF(INDEX(Backlog!$B$2:$B$180,MATCH($A82,Backlog!$A$2:$A$180,0))="","",INDEX(Backlog!$B$2:$B$180,MATCH($A82,Backlog!$A$2:$A$180,0)))</t>
  </si>
  <si>
    <t>=INDEX(Backlog!$B$2:$B$180,MATCH(A82,Backlog!$A$2:$A$180,0))</t>
  </si>
  <si>
    <t>B83</t>
  </si>
  <si>
    <t>C83</t>
  </si>
  <si>
    <t>=IF(INDEX(Backlog!$K$2:$K$180,MATCH($A83,Backlog!$A$2:$A$180,0))="","",INDEX(Backlog!$K$2:$K$180,MATCH($A83,Backlog!$A$2:$A$180,0)))</t>
  </si>
  <si>
    <t>=INDEX(Backlog!$K$2:$K$180,MATCH(A83,Backlog!$A$2:$A$180,0))</t>
  </si>
  <si>
    <t>D83</t>
  </si>
  <si>
    <t>=IF(INDEX(Backlog!$B$2:$B$180,MATCH($A83,Backlog!$A$2:$A$180,0))="","",INDEX(Backlog!$B$2:$B$180,MATCH($A83,Backlog!$A$2:$A$180,0)))</t>
  </si>
  <si>
    <t>=INDEX(Backlog!$B$2:$B$180,MATCH(A83,Backlog!$A$2:$A$180,0))</t>
  </si>
  <si>
    <t>A84</t>
  </si>
  <si>
    <t>B84</t>
  </si>
  <si>
    <t>C84</t>
  </si>
  <si>
    <t>=IF(INDEX(Backlog!$K$2:$K$180,MATCH($A84,Backlog!$A$2:$A$180,0))="","",INDEX(Backlog!$K$2:$K$180,MATCH($A84,Backlog!$A$2:$A$180,0)))</t>
  </si>
  <si>
    <t>=INDEX(Backlog!$K$2:$K$180,MATCH(A84,Backlog!$A$2:$A$180,0))</t>
  </si>
  <si>
    <t>D84</t>
  </si>
  <si>
    <t>=IF(INDEX(Backlog!$B$2:$B$180,MATCH($A84,Backlog!$A$2:$A$180,0))="","",INDEX(Backlog!$B$2:$B$180,MATCH($A84,Backlog!$A$2:$A$180,0)))</t>
  </si>
  <si>
    <t>=INDEX(Backlog!$B$2:$B$180,MATCH(A84,Backlog!$A$2:$A$180,0))</t>
  </si>
  <si>
    <t>B85</t>
  </si>
  <si>
    <t>C85</t>
  </si>
  <si>
    <t>=IF(INDEX(Backlog!$K$2:$K$180,MATCH($A85,Backlog!$A$2:$A$180,0))="","",INDEX(Backlog!$K$2:$K$180,MATCH($A85,Backlog!$A$2:$A$180,0)))</t>
  </si>
  <si>
    <t>=INDEX(Backlog!$K$2:$K$180,MATCH(A85,Backlog!$A$2:$A$180,0))</t>
  </si>
  <si>
    <t>D85</t>
  </si>
  <si>
    <t>=IF(INDEX(Backlog!$B$2:$B$180,MATCH($A85,Backlog!$A$2:$A$180,0))="","",INDEX(Backlog!$B$2:$B$180,MATCH($A85,Backlog!$A$2:$A$180,0)))</t>
  </si>
  <si>
    <t>=INDEX(Backlog!$B$2:$B$180,MATCH(A85,Backlog!$A$2:$A$180,0))</t>
  </si>
  <si>
    <t>A86</t>
  </si>
  <si>
    <t>B86</t>
  </si>
  <si>
    <t>C86</t>
  </si>
  <si>
    <t>=IF(INDEX(Backlog!$K$2:$K$180,MATCH($A86,Backlog!$A$2:$A$180,0))="","",INDEX(Backlog!$K$2:$K$180,MATCH($A86,Backlog!$A$2:$A$180,0)))</t>
  </si>
  <si>
    <t>=INDEX(Backlog!$K$2:$K$180,MATCH(A86,Backlog!$A$2:$A$180,0))</t>
  </si>
  <si>
    <t>D86</t>
  </si>
  <si>
    <t>=IF(INDEX(Backlog!$B$2:$B$180,MATCH($A86,Backlog!$A$2:$A$180,0))="","",INDEX(Backlog!$B$2:$B$180,MATCH($A86,Backlog!$A$2:$A$180,0)))</t>
  </si>
  <si>
    <t>=INDEX(Backlog!$B$2:$B$180,MATCH(A86,Backlog!$A$2:$A$180,0))</t>
  </si>
  <si>
    <t>A87</t>
  </si>
  <si>
    <t>B87</t>
  </si>
  <si>
    <t>C87</t>
  </si>
  <si>
    <t>=IF(INDEX(Backlog!$K$2:$K$180,MATCH($A87,Backlog!$A$2:$A$180,0))="","",INDEX(Backlog!$K$2:$K$180,MATCH($A87,Backlog!$A$2:$A$180,0)))</t>
  </si>
  <si>
    <t>=INDEX(Backlog!$K$2:$K$180,MATCH(A87,Backlog!$A$2:$A$180,0))</t>
  </si>
  <si>
    <t>D87</t>
  </si>
  <si>
    <t>=IF(INDEX(Backlog!$B$2:$B$180,MATCH($A87,Backlog!$A$2:$A$180,0))="","",INDEX(Backlog!$B$2:$B$180,MATCH($A87,Backlog!$A$2:$A$180,0)))</t>
  </si>
  <si>
    <t>=INDEX(Backlog!$B$2:$B$180,MATCH(A87,Backlog!$A$2:$A$180,0))</t>
  </si>
  <si>
    <t>B88</t>
  </si>
  <si>
    <t>C88</t>
  </si>
  <si>
    <t>=IF(INDEX(Backlog!$K$2:$K$180,MATCH($A88,Backlog!$A$2:$A$180,0))="","",INDEX(Backlog!$K$2:$K$180,MATCH($A88,Backlog!$A$2:$A$180,0)))</t>
  </si>
  <si>
    <t>=INDEX(Backlog!$K$2:$K$180,MATCH(A88,Backlog!$A$2:$A$180,0))</t>
  </si>
  <si>
    <t>D88</t>
  </si>
  <si>
    <t>=IF(INDEX(Backlog!$B$2:$B$180,MATCH($A88,Backlog!$A$2:$A$180,0))="","",INDEX(Backlog!$B$2:$B$180,MATCH($A88,Backlog!$A$2:$A$180,0)))</t>
  </si>
  <si>
    <t>=INDEX(Backlog!$B$2:$B$180,MATCH(A88,Backlog!$A$2:$A$180,0))</t>
  </si>
  <si>
    <t>A89</t>
  </si>
  <si>
    <t>B89</t>
  </si>
  <si>
    <t>C89</t>
  </si>
  <si>
    <t>=IF(INDEX(Backlog!$K$2:$K$180,MATCH($A89,Backlog!$A$2:$A$180,0))="","",INDEX(Backlog!$K$2:$K$180,MATCH($A89,Backlog!$A$2:$A$180,0)))</t>
  </si>
  <si>
    <t>=INDEX(Backlog!$K$2:$K$180,MATCH(A89,Backlog!$A$2:$A$180,0))</t>
  </si>
  <si>
    <t>D89</t>
  </si>
  <si>
    <t>=IF(INDEX(Backlog!$B$2:$B$180,MATCH($A89,Backlog!$A$2:$A$180,0))="","",INDEX(Backlog!$B$2:$B$180,MATCH($A89,Backlog!$A$2:$A$180,0)))</t>
  </si>
  <si>
    <t>=INDEX(Backlog!$B$2:$B$180,MATCH(A89,Backlog!$A$2:$A$180,0))</t>
  </si>
  <si>
    <t>A90</t>
  </si>
  <si>
    <t>B90</t>
  </si>
  <si>
    <t>C90</t>
  </si>
  <si>
    <t>=IF(INDEX(Backlog!$K$2:$K$180,MATCH($A90,Backlog!$A$2:$A$180,0))="","",INDEX(Backlog!$K$2:$K$180,MATCH($A90,Backlog!$A$2:$A$180,0)))</t>
  </si>
  <si>
    <t>=INDEX(Backlog!$K$2:$K$180,MATCH(A90,Backlog!$A$2:$A$180,0))</t>
  </si>
  <si>
    <t>D90</t>
  </si>
  <si>
    <t>=IF(INDEX(Backlog!$B$2:$B$180,MATCH($A90,Backlog!$A$2:$A$180,0))="","",INDEX(Backlog!$B$2:$B$180,MATCH($A90,Backlog!$A$2:$A$180,0)))</t>
  </si>
  <si>
    <t>=INDEX(Backlog!$B$2:$B$180,MATCH(A90,Backlog!$A$2:$A$180,0))</t>
  </si>
  <si>
    <t>A91</t>
  </si>
  <si>
    <t>B91</t>
  </si>
  <si>
    <t>C91</t>
  </si>
  <si>
    <t>=IF(INDEX(Backlog!$K$2:$K$180,MATCH($A91,Backlog!$A$2:$A$180,0))="","",INDEX(Backlog!$K$2:$K$180,MATCH($A91,Backlog!$A$2:$A$180,0)))</t>
  </si>
  <si>
    <t>=INDEX(Backlog!$K$2:$K$180,MATCH(A91,Backlog!$A$2:$A$180,0))</t>
  </si>
  <si>
    <t>D91</t>
  </si>
  <si>
    <t>=IF(INDEX(Backlog!$B$2:$B$180,MATCH($A91,Backlog!$A$2:$A$180,0))="","",INDEX(Backlog!$B$2:$B$180,MATCH($A91,Backlog!$A$2:$A$180,0)))</t>
  </si>
  <si>
    <t>=INDEX(Backlog!$B$2:$B$180,MATCH(A91,Backlog!$A$2:$A$180,0))</t>
  </si>
  <si>
    <t>A92</t>
  </si>
  <si>
    <t>B92</t>
  </si>
  <si>
    <t>C92</t>
  </si>
  <si>
    <t>=IF(INDEX(Backlog!$K$2:$K$180,MATCH($A92,Backlog!$A$2:$A$180,0))="","",INDEX(Backlog!$K$2:$K$180,MATCH($A92,Backlog!$A$2:$A$180,0)))</t>
  </si>
  <si>
    <t>=INDEX(Backlog!$K$2:$K$180,MATCH(A92,Backlog!$A$2:$A$180,0))</t>
  </si>
  <si>
    <t>D92</t>
  </si>
  <si>
    <t>=IF(INDEX(Backlog!$B$2:$B$180,MATCH($A92,Backlog!$A$2:$A$180,0))="","",INDEX(Backlog!$B$2:$B$180,MATCH($A92,Backlog!$A$2:$A$180,0)))</t>
  </si>
  <si>
    <t>=INDEX(Backlog!$B$2:$B$180,MATCH(A92,Backlog!$A$2:$A$180,0))</t>
  </si>
  <si>
    <t>B93</t>
  </si>
  <si>
    <t>C93</t>
  </si>
  <si>
    <t>=IF(INDEX(Backlog!$K$2:$K$180,MATCH($A93,Backlog!$A$2:$A$180,0))="","",INDEX(Backlog!$K$2:$K$180,MATCH($A93,Backlog!$A$2:$A$180,0)))</t>
  </si>
  <si>
    <t>=INDEX(Backlog!$K$2:$K$180,MATCH(A93,Backlog!$A$2:$A$180,0))</t>
  </si>
  <si>
    <t>D93</t>
  </si>
  <si>
    <t>=IF(INDEX(Backlog!$B$2:$B$180,MATCH($A93,Backlog!$A$2:$A$180,0))="","",INDEX(Backlog!$B$2:$B$180,MATCH($A93,Backlog!$A$2:$A$180,0)))</t>
  </si>
  <si>
    <t>=INDEX(Backlog!$B$2:$B$180,MATCH(A93,Backlog!$A$2:$A$180,0))</t>
  </si>
  <si>
    <t>B94</t>
  </si>
  <si>
    <t>C94</t>
  </si>
  <si>
    <t>=IF(INDEX(Backlog!$K$2:$K$180,MATCH($A94,Backlog!$A$2:$A$180,0))="","",INDEX(Backlog!$K$2:$K$180,MATCH($A94,Backlog!$A$2:$A$180,0)))</t>
  </si>
  <si>
    <t>=INDEX(Backlog!$K$2:$K$180,MATCH(A94,Backlog!$A$2:$A$180,0))</t>
  </si>
  <si>
    <t>D94</t>
  </si>
  <si>
    <t>=IF(INDEX(Backlog!$B$2:$B$180,MATCH($A94,Backlog!$A$2:$A$180,0))="","",INDEX(Backlog!$B$2:$B$180,MATCH($A94,Backlog!$A$2:$A$180,0)))</t>
  </si>
  <si>
    <t>=INDEX(Backlog!$B$2:$B$180,MATCH(A94,Backlog!$A$2:$A$180,0))</t>
  </si>
  <si>
    <t>A95</t>
  </si>
  <si>
    <t>B95</t>
  </si>
  <si>
    <t>C95</t>
  </si>
  <si>
    <t>=IF(INDEX(Backlog!$K$2:$K$180,MATCH($A95,Backlog!$A$2:$A$180,0))="","",INDEX(Backlog!$K$2:$K$180,MATCH($A95,Backlog!$A$2:$A$180,0)))</t>
  </si>
  <si>
    <t>=INDEX(Backlog!$K$2:$K$180,MATCH(A95,Backlog!$A$2:$A$180,0))</t>
  </si>
  <si>
    <t>D95</t>
  </si>
  <si>
    <t>=IF(INDEX(Backlog!$B$2:$B$180,MATCH($A95,Backlog!$A$2:$A$180,0))="","",INDEX(Backlog!$B$2:$B$180,MATCH($A95,Backlog!$A$2:$A$180,0)))</t>
  </si>
  <si>
    <t>=INDEX(Backlog!$B$2:$B$180,MATCH(A95,Backlog!$A$2:$A$180,0))</t>
  </si>
  <si>
    <t>A96</t>
  </si>
  <si>
    <t>B96</t>
  </si>
  <si>
    <t>C96</t>
  </si>
  <si>
    <t>=IF(INDEX(Backlog!$K$2:$K$180,MATCH($A96,Backlog!$A$2:$A$180,0))="","",INDEX(Backlog!$K$2:$K$180,MATCH($A96,Backlog!$A$2:$A$180,0)))</t>
  </si>
  <si>
    <t>=INDEX(Backlog!$K$2:$K$180,MATCH(A96,Backlog!$A$2:$A$180,0))</t>
  </si>
  <si>
    <t>D96</t>
  </si>
  <si>
    <t>=IF(INDEX(Backlog!$B$2:$B$180,MATCH($A96,Backlog!$A$2:$A$180,0))="","",INDEX(Backlog!$B$2:$B$180,MATCH($A96,Backlog!$A$2:$A$180,0)))</t>
  </si>
  <si>
    <t>=INDEX(Backlog!$B$2:$B$180,MATCH(A96,Backlog!$A$2:$A$180,0))</t>
  </si>
  <si>
    <t>B97</t>
  </si>
  <si>
    <t>C97</t>
  </si>
  <si>
    <t>=IF(INDEX(Backlog!$K$2:$K$180,MATCH($A97,Backlog!$A$2:$A$180,0))="","",INDEX(Backlog!$K$2:$K$180,MATCH($A97,Backlog!$A$2:$A$180,0)))</t>
  </si>
  <si>
    <t>=INDEX(Backlog!$K$2:$K$180,MATCH(A97,Backlog!$A$2:$A$180,0))</t>
  </si>
  <si>
    <t>D97</t>
  </si>
  <si>
    <t>=IF(INDEX(Backlog!$B$2:$B$180,MATCH($A97,Backlog!$A$2:$A$180,0))="","",INDEX(Backlog!$B$2:$B$180,MATCH($A97,Backlog!$A$2:$A$180,0)))</t>
  </si>
  <si>
    <t>=INDEX(Backlog!$B$2:$B$180,MATCH(A97,Backlog!$A$2:$A$180,0))</t>
  </si>
  <si>
    <t>A98</t>
  </si>
  <si>
    <t>B98</t>
  </si>
  <si>
    <t>C98</t>
  </si>
  <si>
    <t>=IF(INDEX(Backlog!$K$2:$K$180,MATCH($A98,Backlog!$A$2:$A$180,0))="","",INDEX(Backlog!$K$2:$K$180,MATCH($A98,Backlog!$A$2:$A$180,0)))</t>
  </si>
  <si>
    <t>=INDEX(Backlog!$K$2:$K$180,MATCH(A98,Backlog!$A$2:$A$180,0))</t>
  </si>
  <si>
    <t>D98</t>
  </si>
  <si>
    <t>=IF(INDEX(Backlog!$B$2:$B$180,MATCH($A98,Backlog!$A$2:$A$180,0))="","",INDEX(Backlog!$B$2:$B$180,MATCH($A98,Backlog!$A$2:$A$180,0)))</t>
  </si>
  <si>
    <t>=INDEX(Backlog!$B$2:$B$180,MATCH(A98,Backlog!$A$2:$A$180,0))</t>
  </si>
  <si>
    <t>A99</t>
  </si>
  <si>
    <t>B99</t>
  </si>
  <si>
    <t>C99</t>
  </si>
  <si>
    <t>=IF(INDEX(Backlog!$K$2:$K$180,MATCH($A99,Backlog!$A$2:$A$180,0))="","",INDEX(Backlog!$K$2:$K$180,MATCH($A99,Backlog!$A$2:$A$180,0)))</t>
  </si>
  <si>
    <t>=INDEX(Backlog!$K$2:$K$180,MATCH(A99,Backlog!$A$2:$A$180,0))</t>
  </si>
  <si>
    <t>D99</t>
  </si>
  <si>
    <t>=IF(INDEX(Backlog!$B$2:$B$180,MATCH($A99,Backlog!$A$2:$A$180,0))="","",INDEX(Backlog!$B$2:$B$180,MATCH($A99,Backlog!$A$2:$A$180,0)))</t>
  </si>
  <si>
    <t>=INDEX(Backlog!$B$2:$B$180,MATCH(A99,Backlog!$A$2:$A$180,0))</t>
  </si>
  <si>
    <t>A100</t>
  </si>
  <si>
    <t>B100</t>
  </si>
  <si>
    <t>C100</t>
  </si>
  <si>
    <t>=IF(INDEX(Backlog!$K$2:$K$180,MATCH($A100,Backlog!$A$2:$A$180,0))="","",INDEX(Backlog!$K$2:$K$180,MATCH($A100,Backlog!$A$2:$A$180,0)))</t>
  </si>
  <si>
    <t>=INDEX(Backlog!$K$2:$K$180,MATCH(A100,Backlog!$A$2:$A$180,0))</t>
  </si>
  <si>
    <t>D100</t>
  </si>
  <si>
    <t>=IF(INDEX(Backlog!$B$2:$B$180,MATCH($A100,Backlog!$A$2:$A$180,0))="","",INDEX(Backlog!$B$2:$B$180,MATCH($A100,Backlog!$A$2:$A$180,0)))</t>
  </si>
  <si>
    <t>=INDEX(Backlog!$B$2:$B$180,MATCH(A100,Backlog!$A$2:$A$180,0))</t>
  </si>
  <si>
    <t>A101</t>
  </si>
  <si>
    <t>B101</t>
  </si>
  <si>
    <t>C101</t>
  </si>
  <si>
    <t>=IF(INDEX(Backlog!$K$2:$K$180,MATCH($A101,Backlog!$A$2:$A$180,0))="","",INDEX(Backlog!$K$2:$K$180,MATCH($A101,Backlog!$A$2:$A$180,0)))</t>
  </si>
  <si>
    <t>=INDEX(Backlog!$K$2:$K$180,MATCH(A101,Backlog!$A$2:$A$180,0))</t>
  </si>
  <si>
    <t>D101</t>
  </si>
  <si>
    <t>=IF(INDEX(Backlog!$B$2:$B$180,MATCH($A101,Backlog!$A$2:$A$180,0))="","",INDEX(Backlog!$B$2:$B$180,MATCH($A101,Backlog!$A$2:$A$180,0)))</t>
  </si>
  <si>
    <t>=INDEX(Backlog!$B$2:$B$180,MATCH(A101,Backlog!$A$2:$A$180,0))</t>
  </si>
  <si>
    <t>B102</t>
  </si>
  <si>
    <t>C102</t>
  </si>
  <si>
    <t>=IF(INDEX(Backlog!$K$2:$K$180,MATCH($A102,Backlog!$A$2:$A$180,0))="","",INDEX(Backlog!$K$2:$K$180,MATCH($A102,Backlog!$A$2:$A$180,0)))</t>
  </si>
  <si>
    <t>=INDEX(Backlog!$K$2:$K$180,MATCH(A102,Backlog!$A$2:$A$180,0))</t>
  </si>
  <si>
    <t>D102</t>
  </si>
  <si>
    <t>=IF(INDEX(Backlog!$B$2:$B$180,MATCH($A102,Backlog!$A$2:$A$180,0))="","",INDEX(Backlog!$B$2:$B$180,MATCH($A102,Backlog!$A$2:$A$180,0)))</t>
  </si>
  <si>
    <t>=INDEX(Backlog!$B$2:$B$180,MATCH(A102,Backlog!$A$2:$A$180,0))</t>
  </si>
  <si>
    <t>A103</t>
  </si>
  <si>
    <t>B103</t>
  </si>
  <si>
    <t>C103</t>
  </si>
  <si>
    <t>=IF(INDEX(Backlog!$K$2:$K$180,MATCH($A103,Backlog!$A$2:$A$180,0))="","",INDEX(Backlog!$K$2:$K$180,MATCH($A103,Backlog!$A$2:$A$180,0)))</t>
  </si>
  <si>
    <t>=INDEX(Backlog!$K$2:$K$180,MATCH(A103,Backlog!$A$2:$A$180,0))</t>
  </si>
  <si>
    <t>D103</t>
  </si>
  <si>
    <t>=IF(INDEX(Backlog!$B$2:$B$180,MATCH($A103,Backlog!$A$2:$A$180,0))="","",INDEX(Backlog!$B$2:$B$180,MATCH($A103,Backlog!$A$2:$A$180,0)))</t>
  </si>
  <si>
    <t>=INDEX(Backlog!$B$2:$B$180,MATCH(A103,Backlog!$A$2:$A$180,0))</t>
  </si>
  <si>
    <t>B104</t>
  </si>
  <si>
    <t>C104</t>
  </si>
  <si>
    <t>=IF(INDEX(Backlog!$K$2:$K$180,MATCH($A104,Backlog!$A$2:$A$180,0))="","",INDEX(Backlog!$K$2:$K$180,MATCH($A104,Backlog!$A$2:$A$180,0)))</t>
  </si>
  <si>
    <t>=INDEX(Backlog!$K$2:$K$180,MATCH(A104,Backlog!$A$2:$A$180,0))</t>
  </si>
  <si>
    <t>D104</t>
  </si>
  <si>
    <t>=IF(INDEX(Backlog!$B$2:$B$180,MATCH($A104,Backlog!$A$2:$A$180,0))="","",INDEX(Backlog!$B$2:$B$180,MATCH($A104,Backlog!$A$2:$A$180,0)))</t>
  </si>
  <si>
    <t>=INDEX(Backlog!$B$2:$B$180,MATCH(A104,Backlog!$A$2:$A$180,0))</t>
  </si>
  <si>
    <t>A105</t>
  </si>
  <si>
    <t>B105</t>
  </si>
  <si>
    <t>C105</t>
  </si>
  <si>
    <t>=IF(INDEX(Backlog!$K$2:$K$180,MATCH($A105,Backlog!$A$2:$A$180,0))="","",INDEX(Backlog!$K$2:$K$180,MATCH($A105,Backlog!$A$2:$A$180,0)))</t>
  </si>
  <si>
    <t>=INDEX(Backlog!$K$2:$K$180,MATCH(A105,Backlog!$A$2:$A$180,0))</t>
  </si>
  <si>
    <t>D105</t>
  </si>
  <si>
    <t>=IF(INDEX(Backlog!$B$2:$B$180,MATCH($A105,Backlog!$A$2:$A$180,0))="","",INDEX(Backlog!$B$2:$B$180,MATCH($A105,Backlog!$A$2:$A$180,0)))</t>
  </si>
  <si>
    <t>=INDEX(Backlog!$B$2:$B$180,MATCH(A105,Backlog!$A$2:$A$180,0))</t>
  </si>
  <si>
    <t>A106</t>
  </si>
  <si>
    <t>B106</t>
  </si>
  <si>
    <t>C106</t>
  </si>
  <si>
    <t>=IF(INDEX(Backlog!$K$2:$K$180,MATCH($A106,Backlog!$A$2:$A$180,0))="","",INDEX(Backlog!$K$2:$K$180,MATCH($A106,Backlog!$A$2:$A$180,0)))</t>
  </si>
  <si>
    <t>=INDEX(Backlog!$K$2:$K$180,MATCH(A106,Backlog!$A$2:$A$180,0))</t>
  </si>
  <si>
    <t>D106</t>
  </si>
  <si>
    <t>=IF(INDEX(Backlog!$B$2:$B$180,MATCH($A106,Backlog!$A$2:$A$180,0))="","",INDEX(Backlog!$B$2:$B$180,MATCH($A106,Backlog!$A$2:$A$180,0)))</t>
  </si>
  <si>
    <t>=INDEX(Backlog!$B$2:$B$180,MATCH(A106,Backlog!$A$2:$A$180,0))</t>
  </si>
  <si>
    <t>B107</t>
  </si>
  <si>
    <t>C107</t>
  </si>
  <si>
    <t>=IF(INDEX(Backlog!$K$2:$K$180,MATCH($A107,Backlog!$A$2:$A$180,0))="","",INDEX(Backlog!$K$2:$K$180,MATCH($A107,Backlog!$A$2:$A$180,0)))</t>
  </si>
  <si>
    <t>=INDEX(Backlog!$K$2:$K$180,MATCH(A107,Backlog!$A$2:$A$180,0))</t>
  </si>
  <si>
    <t>D107</t>
  </si>
  <si>
    <t>=IF(INDEX(Backlog!$B$2:$B$180,MATCH($A107,Backlog!$A$2:$A$180,0))="","",INDEX(Backlog!$B$2:$B$180,MATCH($A107,Backlog!$A$2:$A$180,0)))</t>
  </si>
  <si>
    <t>=INDEX(Backlog!$B$2:$B$180,MATCH(A107,Backlog!$A$2:$A$180,0))</t>
  </si>
  <si>
    <t>A108</t>
  </si>
  <si>
    <t>B108</t>
  </si>
  <si>
    <t>C108</t>
  </si>
  <si>
    <t>=IF(INDEX(Backlog!$K$2:$K$180,MATCH($A108,Backlog!$A$2:$A$180,0))="","",INDEX(Backlog!$K$2:$K$180,MATCH($A108,Backlog!$A$2:$A$180,0)))</t>
  </si>
  <si>
    <t>=INDEX(Backlog!$K$2:$K$180,MATCH(A108,Backlog!$A$2:$A$180,0))</t>
  </si>
  <si>
    <t>D108</t>
  </si>
  <si>
    <t>=IF(INDEX(Backlog!$B$2:$B$180,MATCH($A108,Backlog!$A$2:$A$180,0))="","",INDEX(Backlog!$B$2:$B$180,MATCH($A108,Backlog!$A$2:$A$180,0)))</t>
  </si>
  <si>
    <t>=INDEX(Backlog!$B$2:$B$180,MATCH(A108,Backlog!$A$2:$A$180,0))</t>
  </si>
  <si>
    <t>B109</t>
  </si>
  <si>
    <t>C109</t>
  </si>
  <si>
    <t>=IF(INDEX(Backlog!$K$2:$K$180,MATCH($A109,Backlog!$A$2:$A$180,0))="","",INDEX(Backlog!$K$2:$K$180,MATCH($A109,Backlog!$A$2:$A$180,0)))</t>
  </si>
  <si>
    <t>=INDEX(Backlog!$K$2:$K$180,MATCH(A109,Backlog!$A$2:$A$180,0))</t>
  </si>
  <si>
    <t>D109</t>
  </si>
  <si>
    <t>=IF(INDEX(Backlog!$B$2:$B$180,MATCH($A109,Backlog!$A$2:$A$180,0))="","",INDEX(Backlog!$B$2:$B$180,MATCH($A109,Backlog!$A$2:$A$180,0)))</t>
  </si>
  <si>
    <t>=INDEX(Backlog!$B$2:$B$180,MATCH(A109,Backlog!$A$2:$A$180,0))</t>
  </si>
  <si>
    <t>B110</t>
  </si>
  <si>
    <t>C110</t>
  </si>
  <si>
    <t>=IF(INDEX(Backlog!$K$2:$K$180,MATCH($A110,Backlog!$A$2:$A$180,0))="","",INDEX(Backlog!$K$2:$K$180,MATCH($A110,Backlog!$A$2:$A$180,0)))</t>
  </si>
  <si>
    <t>=INDEX(Backlog!$K$2:$K$180,MATCH(A110,Backlog!$A$2:$A$180,0))</t>
  </si>
  <si>
    <t>D110</t>
  </si>
  <si>
    <t>=IF(INDEX(Backlog!$B$2:$B$180,MATCH($A110,Backlog!$A$2:$A$180,0))="","",INDEX(Backlog!$B$2:$B$180,MATCH($A110,Backlog!$A$2:$A$180,0)))</t>
  </si>
  <si>
    <t>=INDEX(Backlog!$B$2:$B$180,MATCH(A110,Backlog!$A$2:$A$180,0))</t>
  </si>
  <si>
    <t>A111</t>
  </si>
  <si>
    <t>B111</t>
  </si>
  <si>
    <t>C111</t>
  </si>
  <si>
    <t>=IF(INDEX(Backlog!$K$2:$K$180,MATCH($A111,Backlog!$A$2:$A$180,0))="","",INDEX(Backlog!$K$2:$K$180,MATCH($A111,Backlog!$A$2:$A$180,0)))</t>
  </si>
  <si>
    <t>=INDEX(Backlog!$K$2:$K$180,MATCH(A111,Backlog!$A$2:$A$180,0))</t>
  </si>
  <si>
    <t>D111</t>
  </si>
  <si>
    <t>=IF(INDEX(Backlog!$B$2:$B$180,MATCH($A111,Backlog!$A$2:$A$180,0))="","",INDEX(Backlog!$B$2:$B$180,MATCH($A111,Backlog!$A$2:$A$180,0)))</t>
  </si>
  <si>
    <t>=INDEX(Backlog!$B$2:$B$180,MATCH(A111,Backlog!$A$2:$A$180,0))</t>
  </si>
  <si>
    <t>A112</t>
  </si>
  <si>
    <t>B112</t>
  </si>
  <si>
    <t>C112</t>
  </si>
  <si>
    <t>=IF(INDEX(Backlog!$K$2:$K$180,MATCH($A112,Backlog!$A$2:$A$180,0))="","",INDEX(Backlog!$K$2:$K$180,MATCH($A112,Backlog!$A$2:$A$180,0)))</t>
  </si>
  <si>
    <t>=INDEX(Backlog!$K$2:$K$180,MATCH(A112,Backlog!$A$2:$A$180,0))</t>
  </si>
  <si>
    <t>D112</t>
  </si>
  <si>
    <t>=IF(INDEX(Backlog!$B$2:$B$180,MATCH($A112,Backlog!$A$2:$A$180,0))="","",INDEX(Backlog!$B$2:$B$180,MATCH($A112,Backlog!$A$2:$A$180,0)))</t>
  </si>
  <si>
    <t>=INDEX(Backlog!$B$2:$B$180,MATCH(A112,Backlog!$A$2:$A$180,0))</t>
  </si>
  <si>
    <t>A113</t>
  </si>
  <si>
    <t>B113</t>
  </si>
  <si>
    <t>C113</t>
  </si>
  <si>
    <t>=IF(INDEX(Backlog!$K$2:$K$180,MATCH($A113,Backlog!$A$2:$A$180,0))="","",INDEX(Backlog!$K$2:$K$180,MATCH($A113,Backlog!$A$2:$A$180,0)))</t>
  </si>
  <si>
    <t>=INDEX(Backlog!$K$2:$K$180,MATCH(A113,Backlog!$A$2:$A$180,0))</t>
  </si>
  <si>
    <t>D113</t>
  </si>
  <si>
    <t>=IF(INDEX(Backlog!$B$2:$B$180,MATCH($A113,Backlog!$A$2:$A$180,0))="","",INDEX(Backlog!$B$2:$B$180,MATCH($A113,Backlog!$A$2:$A$180,0)))</t>
  </si>
  <si>
    <t>=INDEX(Backlog!$B$2:$B$180,MATCH(A113,Backlog!$A$2:$A$180,0))</t>
  </si>
  <si>
    <t>A114</t>
  </si>
  <si>
    <t>B114</t>
  </si>
  <si>
    <t>C114</t>
  </si>
  <si>
    <t>=IF(INDEX(Backlog!$K$2:$K$180,MATCH($A114,Backlog!$A$2:$A$180,0))="","",INDEX(Backlog!$K$2:$K$180,MATCH($A114,Backlog!$A$2:$A$180,0)))</t>
  </si>
  <si>
    <t>=INDEX(Backlog!$K$2:$K$180,MATCH(A114,Backlog!$A$2:$A$180,0))</t>
  </si>
  <si>
    <t>D114</t>
  </si>
  <si>
    <t>=IF(INDEX(Backlog!$B$2:$B$180,MATCH($A114,Backlog!$A$2:$A$180,0))="","",INDEX(Backlog!$B$2:$B$180,MATCH($A114,Backlog!$A$2:$A$180,0)))</t>
  </si>
  <si>
    <t>=INDEX(Backlog!$B$2:$B$180,MATCH(A114,Backlog!$A$2:$A$180,0))</t>
  </si>
  <si>
    <t>B115</t>
  </si>
  <si>
    <t>C115</t>
  </si>
  <si>
    <t>=IF(INDEX(Backlog!$K$2:$K$180,MATCH($A115,Backlog!$A$2:$A$180,0))="","",INDEX(Backlog!$K$2:$K$180,MATCH($A115,Backlog!$A$2:$A$180,0)))</t>
  </si>
  <si>
    <t>=INDEX(Backlog!$K$2:$K$180,MATCH(A115,Backlog!$A$2:$A$180,0))</t>
  </si>
  <si>
    <t>D115</t>
  </si>
  <si>
    <t>=IF(INDEX(Backlog!$B$2:$B$180,MATCH($A115,Backlog!$A$2:$A$180,0))="","",INDEX(Backlog!$B$2:$B$180,MATCH($A115,Backlog!$A$2:$A$180,0)))</t>
  </si>
  <si>
    <t>=INDEX(Backlog!$B$2:$B$180,MATCH(A115,Backlog!$A$2:$A$180,0))</t>
  </si>
  <si>
    <t>A116</t>
  </si>
  <si>
    <t>B116</t>
  </si>
  <si>
    <t>C116</t>
  </si>
  <si>
    <t>=IF(INDEX(Backlog!$K$2:$K$180,MATCH($A116,Backlog!$A$2:$A$180,0))="","",INDEX(Backlog!$K$2:$K$180,MATCH($A116,Backlog!$A$2:$A$180,0)))</t>
  </si>
  <si>
    <t>=INDEX(Backlog!$K$2:$K$180,MATCH(A116,Backlog!$A$2:$A$180,0))</t>
  </si>
  <si>
    <t>D116</t>
  </si>
  <si>
    <t>=IF(INDEX(Backlog!$B$2:$B$180,MATCH($A116,Backlog!$A$2:$A$180,0))="","",INDEX(Backlog!$B$2:$B$180,MATCH($A116,Backlog!$A$2:$A$180,0)))</t>
  </si>
  <si>
    <t>=INDEX(Backlog!$B$2:$B$180,MATCH(A116,Backlog!$A$2:$A$180,0))</t>
  </si>
  <si>
    <t>B117</t>
  </si>
  <si>
    <t>C117</t>
  </si>
  <si>
    <t>=IF(INDEX(Backlog!$K$2:$K$180,MATCH($A117,Backlog!$A$2:$A$180,0))="","",INDEX(Backlog!$K$2:$K$180,MATCH($A117,Backlog!$A$2:$A$180,0)))</t>
  </si>
  <si>
    <t>=INDEX(Backlog!$K$2:$K$180,MATCH(A117,Backlog!$A$2:$A$180,0))</t>
  </si>
  <si>
    <t>D117</t>
  </si>
  <si>
    <t>=IF(INDEX(Backlog!$B$2:$B$180,MATCH($A117,Backlog!$A$2:$A$180,0))="","",INDEX(Backlog!$B$2:$B$180,MATCH($A117,Backlog!$A$2:$A$180,0)))</t>
  </si>
  <si>
    <t>=INDEX(Backlog!$B$2:$B$180,MATCH(A117,Backlog!$A$2:$A$180,0))</t>
  </si>
  <si>
    <t>A118</t>
  </si>
  <si>
    <t>B118</t>
  </si>
  <si>
    <t>C118</t>
  </si>
  <si>
    <t>=IF(INDEX(Backlog!$K$2:$K$180,MATCH($A118,Backlog!$A$2:$A$180,0))="","",INDEX(Backlog!$K$2:$K$180,MATCH($A118,Backlog!$A$2:$A$180,0)))</t>
  </si>
  <si>
    <t>=INDEX(Backlog!$K$2:$K$180,MATCH(A118,Backlog!$A$2:$A$180,0))</t>
  </si>
  <si>
    <t>D118</t>
  </si>
  <si>
    <t>=IF(INDEX(Backlog!$B$2:$B$180,MATCH($A118,Backlog!$A$2:$A$180,0))="","",INDEX(Backlog!$B$2:$B$180,MATCH($A118,Backlog!$A$2:$A$180,0)))</t>
  </si>
  <si>
    <t>=INDEX(Backlog!$B$2:$B$180,MATCH(A118,Backlog!$A$2:$A$180,0))</t>
  </si>
  <si>
    <t>A119</t>
  </si>
  <si>
    <t>B119</t>
  </si>
  <si>
    <t>C119</t>
  </si>
  <si>
    <t>=IF(INDEX(Backlog!$K$2:$K$180,MATCH($A119,Backlog!$A$2:$A$180,0))="","",INDEX(Backlog!$K$2:$K$180,MATCH($A119,Backlog!$A$2:$A$180,0)))</t>
  </si>
  <si>
    <t>=INDEX(Backlog!$K$2:$K$180,MATCH(A119,Backlog!$A$2:$A$180,0))</t>
  </si>
  <si>
    <t>D119</t>
  </si>
  <si>
    <t>=IF(INDEX(Backlog!$B$2:$B$180,MATCH($A119,Backlog!$A$2:$A$180,0))="","",INDEX(Backlog!$B$2:$B$180,MATCH($A119,Backlog!$A$2:$A$180,0)))</t>
  </si>
  <si>
    <t>=INDEX(Backlog!$B$2:$B$180,MATCH(A119,Backlog!$A$2:$A$180,0))</t>
  </si>
  <si>
    <t>B120</t>
  </si>
  <si>
    <t>C120</t>
  </si>
  <si>
    <t>=IF(INDEX(Backlog!$K$2:$K$180,MATCH($A120,Backlog!$A$2:$A$180,0))="","",INDEX(Backlog!$K$2:$K$180,MATCH($A120,Backlog!$A$2:$A$180,0)))</t>
  </si>
  <si>
    <t>=INDEX(Backlog!$K$2:$K$180,MATCH(A120,Backlog!$A$2:$A$180,0))</t>
  </si>
  <si>
    <t>D120</t>
  </si>
  <si>
    <t>=IF(INDEX(Backlog!$B$2:$B$180,MATCH($A120,Backlog!$A$2:$A$180,0))="","",INDEX(Backlog!$B$2:$B$180,MATCH($A120,Backlog!$A$2:$A$180,0)))</t>
  </si>
  <si>
    <t>=INDEX(Backlog!$B$2:$B$180,MATCH(A120,Backlog!$A$2:$A$180,0))</t>
  </si>
  <si>
    <t>B121</t>
  </si>
  <si>
    <t>C121</t>
  </si>
  <si>
    <t>=IF(INDEX(Backlog!$K$2:$K$180,MATCH($A121,Backlog!$A$2:$A$180,0))="","",INDEX(Backlog!$K$2:$K$180,MATCH($A121,Backlog!$A$2:$A$180,0)))</t>
  </si>
  <si>
    <t>=INDEX(Backlog!$K$2:$K$180,MATCH(A121,Backlog!$A$2:$A$180,0))</t>
  </si>
  <si>
    <t>D121</t>
  </si>
  <si>
    <t>=IF(INDEX(Backlog!$B$2:$B$180,MATCH($A121,Backlog!$A$2:$A$180,0))="","",INDEX(Backlog!$B$2:$B$180,MATCH($A121,Backlog!$A$2:$A$180,0)))</t>
  </si>
  <si>
    <t>=INDEX(Backlog!$B$2:$B$180,MATCH(A121,Backlog!$A$2:$A$180,0))</t>
  </si>
  <si>
    <t>B122</t>
  </si>
  <si>
    <t>C122</t>
  </si>
  <si>
    <t>=IF(INDEX(Backlog!$K$2:$K$180,MATCH($A122,Backlog!$A$2:$A$180,0))="","",INDEX(Backlog!$K$2:$K$180,MATCH($A122,Backlog!$A$2:$A$180,0)))</t>
  </si>
  <si>
    <t>=INDEX(Backlog!$K$2:$K$180,MATCH(A122,Backlog!$A$2:$A$180,0))</t>
  </si>
  <si>
    <t>D122</t>
  </si>
  <si>
    <t>=IF(INDEX(Backlog!$B$2:$B$180,MATCH($A122,Backlog!$A$2:$A$180,0))="","",INDEX(Backlog!$B$2:$B$180,MATCH($A122,Backlog!$A$2:$A$180,0)))</t>
  </si>
  <si>
    <t>=INDEX(Backlog!$B$2:$B$180,MATCH(A122,Backlog!$A$2:$A$180,0))</t>
  </si>
  <si>
    <t>B123</t>
  </si>
  <si>
    <t>C123</t>
  </si>
  <si>
    <t>=IF(INDEX(Backlog!$K$2:$K$180,MATCH($A123,Backlog!$A$2:$A$180,0))="","",INDEX(Backlog!$K$2:$K$180,MATCH($A123,Backlog!$A$2:$A$180,0)))</t>
  </si>
  <si>
    <t>=INDEX(Backlog!$K$2:$K$180,MATCH(A123,Backlog!$A$2:$A$180,0))</t>
  </si>
  <si>
    <t>D123</t>
  </si>
  <si>
    <t>=IF(INDEX(Backlog!$B$2:$B$180,MATCH($A123,Backlog!$A$2:$A$180,0))="","",INDEX(Backlog!$B$2:$B$180,MATCH($A123,Backlog!$A$2:$A$180,0)))</t>
  </si>
  <si>
    <t>=INDEX(Backlog!$B$2:$B$180,MATCH(A123,Backlog!$A$2:$A$180,0))</t>
  </si>
  <si>
    <t>B124</t>
  </si>
  <si>
    <t>C124</t>
  </si>
  <si>
    <t>=IF(INDEX(Backlog!$K$2:$K$180,MATCH($A124,Backlog!$A$2:$A$180,0))="","",INDEX(Backlog!$K$2:$K$180,MATCH($A124,Backlog!$A$2:$A$180,0)))</t>
  </si>
  <si>
    <t>=INDEX(Backlog!$K$2:$K$180,MATCH(A124,Backlog!$A$2:$A$180,0))</t>
  </si>
  <si>
    <t>D124</t>
  </si>
  <si>
    <t>=IF(INDEX(Backlog!$B$2:$B$180,MATCH($A124,Backlog!$A$2:$A$180,0))="","",INDEX(Backlog!$B$2:$B$180,MATCH($A124,Backlog!$A$2:$A$180,0)))</t>
  </si>
  <si>
    <t>=INDEX(Backlog!$B$2:$B$180,MATCH(A124,Backlog!$A$2:$A$180,0))</t>
  </si>
  <si>
    <t>B125</t>
  </si>
  <si>
    <t>C125</t>
  </si>
  <si>
    <t>=IF(INDEX(Backlog!$K$2:$K$180,MATCH($A125,Backlog!$A$2:$A$180,0))="","",INDEX(Backlog!$K$2:$K$180,MATCH($A125,Backlog!$A$2:$A$180,0)))</t>
  </si>
  <si>
    <t>=INDEX(Backlog!$K$2:$K$180,MATCH(A125,Backlog!$A$2:$A$180,0))</t>
  </si>
  <si>
    <t>D125</t>
  </si>
  <si>
    <t>=IF(INDEX(Backlog!$B$2:$B$180,MATCH($A125,Backlog!$A$2:$A$180,0))="","",INDEX(Backlog!$B$2:$B$180,MATCH($A125,Backlog!$A$2:$A$180,0)))</t>
  </si>
  <si>
    <t>=INDEX(Backlog!$B$2:$B$180,MATCH(A125,Backlog!$A$2:$A$180,0))</t>
  </si>
  <si>
    <t>B126</t>
  </si>
  <si>
    <t>C126</t>
  </si>
  <si>
    <t>=IF(INDEX(Backlog!$K$2:$K$180,MATCH($A126,Backlog!$A$2:$A$180,0))="","",INDEX(Backlog!$K$2:$K$180,MATCH($A126,Backlog!$A$2:$A$180,0)))</t>
  </si>
  <si>
    <t>=INDEX(Backlog!$K$2:$K$180,MATCH(A126,Backlog!$A$2:$A$180,0))</t>
  </si>
  <si>
    <t>D126</t>
  </si>
  <si>
    <t>=IF(INDEX(Backlog!$B$2:$B$180,MATCH($A126,Backlog!$A$2:$A$180,0))="","",INDEX(Backlog!$B$2:$B$180,MATCH($A126,Backlog!$A$2:$A$180,0)))</t>
  </si>
  <si>
    <t>=INDEX(Backlog!$B$2:$B$180,MATCH(A126,Backlog!$A$2:$A$180,0))</t>
  </si>
  <si>
    <t>B127</t>
  </si>
  <si>
    <t>C127</t>
  </si>
  <si>
    <t>=IF(INDEX(Backlog!$K$2:$K$180,MATCH($A127,Backlog!$A$2:$A$180,0))="","",INDEX(Backlog!$K$2:$K$180,MATCH($A127,Backlog!$A$2:$A$180,0)))</t>
  </si>
  <si>
    <t>=INDEX(Backlog!$K$2:$K$180,MATCH(A127,Backlog!$A$2:$A$180,0))</t>
  </si>
  <si>
    <t>D127</t>
  </si>
  <si>
    <t>=IF(INDEX(Backlog!$B$2:$B$180,MATCH($A127,Backlog!$A$2:$A$180,0))="","",INDEX(Backlog!$B$2:$B$180,MATCH($A127,Backlog!$A$2:$A$180,0)))</t>
  </si>
  <si>
    <t>=INDEX(Backlog!$B$2:$B$180,MATCH(A127,Backlog!$A$2:$A$180,0))</t>
  </si>
  <si>
    <t>B128</t>
  </si>
  <si>
    <t>C128</t>
  </si>
  <si>
    <t>=IF(INDEX(Backlog!$K$2:$K$180,MATCH($A128,Backlog!$A$2:$A$180,0))="","",INDEX(Backlog!$K$2:$K$180,MATCH($A128,Backlog!$A$2:$A$180,0)))</t>
  </si>
  <si>
    <t>=INDEX(Backlog!$K$2:$K$180,MATCH(A128,Backlog!$A$2:$A$180,0))</t>
  </si>
  <si>
    <t>D128</t>
  </si>
  <si>
    <t>=IF(INDEX(Backlog!$B$2:$B$180,MATCH($A128,Backlog!$A$2:$A$180,0))="","",INDEX(Backlog!$B$2:$B$180,MATCH($A128,Backlog!$A$2:$A$180,0)))</t>
  </si>
  <si>
    <t>=INDEX(Backlog!$B$2:$B$180,MATCH(A128,Backlog!$A$2:$A$180,0))</t>
  </si>
  <si>
    <t>B129</t>
  </si>
  <si>
    <t>C129</t>
  </si>
  <si>
    <t>=IF(INDEX(Backlog!$K$2:$K$180,MATCH($A129,Backlog!$A$2:$A$180,0))="","",INDEX(Backlog!$K$2:$K$180,MATCH($A129,Backlog!$A$2:$A$180,0)))</t>
  </si>
  <si>
    <t>=INDEX(Backlog!$K$2:$K$180,MATCH(A129,Backlog!$A$2:$A$180,0))</t>
  </si>
  <si>
    <t>D129</t>
  </si>
  <si>
    <t>=IF(INDEX(Backlog!$B$2:$B$180,MATCH($A129,Backlog!$A$2:$A$180,0))="","",INDEX(Backlog!$B$2:$B$180,MATCH($A129,Backlog!$A$2:$A$180,0)))</t>
  </si>
  <si>
    <t>=INDEX(Backlog!$B$2:$B$180,MATCH(A129,Backlog!$A$2:$A$180,0))</t>
  </si>
  <si>
    <t>B130</t>
  </si>
  <si>
    <t>C130</t>
  </si>
  <si>
    <t>=IF(INDEX(Backlog!$K$2:$K$180,MATCH($A130,Backlog!$A$2:$A$180,0))="","",INDEX(Backlog!$K$2:$K$180,MATCH($A130,Backlog!$A$2:$A$180,0)))</t>
  </si>
  <si>
    <t>=INDEX(Backlog!$K$2:$K$180,MATCH(A130,Backlog!$A$2:$A$180,0))</t>
  </si>
  <si>
    <t>D130</t>
  </si>
  <si>
    <t>=IF(INDEX(Backlog!$B$2:$B$180,MATCH($A130,Backlog!$A$2:$A$180,0))="","",INDEX(Backlog!$B$2:$B$180,MATCH($A130,Backlog!$A$2:$A$180,0)))</t>
  </si>
  <si>
    <t>=INDEX(Backlog!$B$2:$B$180,MATCH(A130,Backlog!$A$2:$A$180,0))</t>
  </si>
  <si>
    <t>B131</t>
  </si>
  <si>
    <t>C131</t>
  </si>
  <si>
    <t>=IF(INDEX(Backlog!$K$2:$K$180,MATCH($A131,Backlog!$A$2:$A$180,0))="","",INDEX(Backlog!$K$2:$K$180,MATCH($A131,Backlog!$A$2:$A$180,0)))</t>
  </si>
  <si>
    <t>=INDEX(Backlog!$K$2:$K$180,MATCH(A131,Backlog!$A$2:$A$180,0))</t>
  </si>
  <si>
    <t>D131</t>
  </si>
  <si>
    <t>=IF(INDEX(Backlog!$B$2:$B$180,MATCH($A131,Backlog!$A$2:$A$180,0))="","",INDEX(Backlog!$B$2:$B$180,MATCH($A131,Backlog!$A$2:$A$180,0)))</t>
  </si>
  <si>
    <t>=INDEX(Backlog!$B$2:$B$180,MATCH(A131,Backlog!$A$2:$A$180,0))</t>
  </si>
  <si>
    <t>B132</t>
  </si>
  <si>
    <t>C132</t>
  </si>
  <si>
    <t>=IF(INDEX(Backlog!$K$2:$K$180,MATCH($A132,Backlog!$A$2:$A$180,0))="","",INDEX(Backlog!$K$2:$K$180,MATCH($A132,Backlog!$A$2:$A$180,0)))</t>
  </si>
  <si>
    <t>=INDEX(Backlog!$K$2:$K$180,MATCH(A132,Backlog!$A$2:$A$180,0))</t>
  </si>
  <si>
    <t>D132</t>
  </si>
  <si>
    <t>=IF(INDEX(Backlog!$B$2:$B$180,MATCH($A132,Backlog!$A$2:$A$180,0))="","",INDEX(Backlog!$B$2:$B$180,MATCH($A132,Backlog!$A$2:$A$180,0)))</t>
  </si>
  <si>
    <t>=INDEX(Backlog!$B$2:$B$180,MATCH(A132,Backlog!$A$2:$A$180,0))</t>
  </si>
  <si>
    <t>B133</t>
  </si>
  <si>
    <t>C133</t>
  </si>
  <si>
    <t>=IF(INDEX(Backlog!$K$2:$K$180,MATCH($A133,Backlog!$A$2:$A$180,0))="","",INDEX(Backlog!$K$2:$K$180,MATCH($A133,Backlog!$A$2:$A$180,0)))</t>
  </si>
  <si>
    <t>=INDEX(Backlog!$K$2:$K$180,MATCH(A133,Backlog!$A$2:$A$180,0))</t>
  </si>
  <si>
    <t>D133</t>
  </si>
  <si>
    <t>=IF(INDEX(Backlog!$B$2:$B$180,MATCH($A133,Backlog!$A$2:$A$180,0))="","",INDEX(Backlog!$B$2:$B$180,MATCH($A133,Backlog!$A$2:$A$180,0)))</t>
  </si>
  <si>
    <t>=INDEX(Backlog!$B$2:$B$180,MATCH(A133,Backlog!$A$2:$A$180,0))</t>
  </si>
  <si>
    <t>B134</t>
  </si>
  <si>
    <t>C134</t>
  </si>
  <si>
    <t>=IF(INDEX(Backlog!$K$2:$K$180,MATCH($A134,Backlog!$A$2:$A$180,0))="","",INDEX(Backlog!$K$2:$K$180,MATCH($A134,Backlog!$A$2:$A$180,0)))</t>
  </si>
  <si>
    <t>=INDEX(Backlog!$K$2:$K$180,MATCH(A134,Backlog!$A$2:$A$180,0))</t>
  </si>
  <si>
    <t>D134</t>
  </si>
  <si>
    <t>=IF(INDEX(Backlog!$B$2:$B$180,MATCH($A134,Backlog!$A$2:$A$180,0))="","",INDEX(Backlog!$B$2:$B$180,MATCH($A134,Backlog!$A$2:$A$180,0)))</t>
  </si>
  <si>
    <t>=INDEX(Backlog!$B$2:$B$180,MATCH(A134,Backlog!$A$2:$A$180,0))</t>
  </si>
  <si>
    <t>A135</t>
  </si>
  <si>
    <t>B135</t>
  </si>
  <si>
    <t>C135</t>
  </si>
  <si>
    <t>=IF(INDEX(Backlog!$K$2:$K$180,MATCH($A135,Backlog!$A$2:$A$180,0))="","",INDEX(Backlog!$K$2:$K$180,MATCH($A135,Backlog!$A$2:$A$180,0)))</t>
  </si>
  <si>
    <t>=INDEX(Backlog!$K$2:$K$180,MATCH(A135,Backlog!$A$2:$A$180,0))</t>
  </si>
  <si>
    <t>D135</t>
  </si>
  <si>
    <t>=IF(INDEX(Backlog!$B$2:$B$180,MATCH($A135,Backlog!$A$2:$A$180,0))="","",INDEX(Backlog!$B$2:$B$180,MATCH($A135,Backlog!$A$2:$A$180,0)))</t>
  </si>
  <si>
    <t>=INDEX(Backlog!$B$2:$B$180,MATCH(A135,Backlog!$A$2:$A$180,0))</t>
  </si>
  <si>
    <t>B136</t>
  </si>
  <si>
    <t>C136</t>
  </si>
  <si>
    <t>=IF(INDEX(Backlog!$K$2:$K$180,MATCH($A136,Backlog!$A$2:$A$180,0))="","",INDEX(Backlog!$K$2:$K$180,MATCH($A136,Backlog!$A$2:$A$180,0)))</t>
  </si>
  <si>
    <t>=INDEX(Backlog!$K$2:$K$180,MATCH(A136,Backlog!$A$2:$A$180,0))</t>
  </si>
  <si>
    <t>D136</t>
  </si>
  <si>
    <t>=IF(INDEX(Backlog!$B$2:$B$180,MATCH($A136,Backlog!$A$2:$A$180,0))="","",INDEX(Backlog!$B$2:$B$180,MATCH($A136,Backlog!$A$2:$A$180,0)))</t>
  </si>
  <si>
    <t>=INDEX(Backlog!$B$2:$B$180,MATCH(A136,Backlog!$A$2:$A$180,0))</t>
  </si>
  <si>
    <t>B137</t>
  </si>
  <si>
    <t>C137</t>
  </si>
  <si>
    <t>=IF(INDEX(Backlog!$K$2:$K$180,MATCH($A137,Backlog!$A$2:$A$180,0))="","",INDEX(Backlog!$K$2:$K$180,MATCH($A137,Backlog!$A$2:$A$180,0)))</t>
  </si>
  <si>
    <t>=INDEX(Backlog!$K$2:$K$180,MATCH(A137,Backlog!$A$2:$A$180,0))</t>
  </si>
  <si>
    <t>D137</t>
  </si>
  <si>
    <t>=IF(INDEX(Backlog!$B$2:$B$180,MATCH($A137,Backlog!$A$2:$A$180,0))="","",INDEX(Backlog!$B$2:$B$180,MATCH($A137,Backlog!$A$2:$A$180,0)))</t>
  </si>
  <si>
    <t>=INDEX(Backlog!$B$2:$B$180,MATCH(A137,Backlog!$A$2:$A$180,0))</t>
  </si>
  <si>
    <t>B138</t>
  </si>
  <si>
    <t>C138</t>
  </si>
  <si>
    <t>=IF(INDEX(Backlog!$K$2:$K$180,MATCH($A138,Backlog!$A$2:$A$180,0))="","",INDEX(Backlog!$K$2:$K$180,MATCH($A138,Backlog!$A$2:$A$180,0)))</t>
  </si>
  <si>
    <t>=INDEX(Backlog!$K$2:$K$180,MATCH(A138,Backlog!$A$2:$A$180,0))</t>
  </si>
  <si>
    <t>D138</t>
  </si>
  <si>
    <t>=IF(INDEX(Backlog!$B$2:$B$180,MATCH($A138,Backlog!$A$2:$A$180,0))="","",INDEX(Backlog!$B$2:$B$180,MATCH($A138,Backlog!$A$2:$A$180,0)))</t>
  </si>
  <si>
    <t>=INDEX(Backlog!$B$2:$B$180,MATCH(A138,Backlog!$A$2:$A$180,0))</t>
  </si>
  <si>
    <t>A139</t>
  </si>
  <si>
    <t>B139</t>
  </si>
  <si>
    <t>C139</t>
  </si>
  <si>
    <t>=IF(INDEX(Backlog!$K$2:$K$180,MATCH($A139,Backlog!$A$2:$A$180,0))="","",INDEX(Backlog!$K$2:$K$180,MATCH($A139,Backlog!$A$2:$A$180,0)))</t>
  </si>
  <si>
    <t>=INDEX(Backlog!$K$2:$K$180,MATCH(A139,Backlog!$A$2:$A$180,0))</t>
  </si>
  <si>
    <t>D139</t>
  </si>
  <si>
    <t>=IF(INDEX(Backlog!$B$2:$B$180,MATCH($A139,Backlog!$A$2:$A$180,0))="","",INDEX(Backlog!$B$2:$B$180,MATCH($A139,Backlog!$A$2:$A$180,0)))</t>
  </si>
  <si>
    <t>=INDEX(Backlog!$B$2:$B$180,MATCH(A139,Backlog!$A$2:$A$180,0))</t>
  </si>
  <si>
    <t>B140</t>
  </si>
  <si>
    <t>C140</t>
  </si>
  <si>
    <t>=IF(INDEX(Backlog!$K$2:$K$180,MATCH($A140,Backlog!$A$2:$A$180,0))="","",INDEX(Backlog!$K$2:$K$180,MATCH($A140,Backlog!$A$2:$A$180,0)))</t>
  </si>
  <si>
    <t>=INDEX(Backlog!$K$2:$K$180,MATCH(A140,Backlog!$A$2:$A$180,0))</t>
  </si>
  <si>
    <t>D140</t>
  </si>
  <si>
    <t>=IF(INDEX(Backlog!$B$2:$B$180,MATCH($A140,Backlog!$A$2:$A$180,0))="","",INDEX(Backlog!$B$2:$B$180,MATCH($A140,Backlog!$A$2:$A$180,0)))</t>
  </si>
  <si>
    <t>=INDEX(Backlog!$B$2:$B$180,MATCH(A140,Backlog!$A$2:$A$180,0))</t>
  </si>
  <si>
    <t>B141</t>
  </si>
  <si>
    <t>C141</t>
  </si>
  <si>
    <t>=IF(INDEX(Backlog!$K$2:$K$180,MATCH($A141,Backlog!$A$2:$A$180,0))="","",INDEX(Backlog!$K$2:$K$180,MATCH($A141,Backlog!$A$2:$A$180,0)))</t>
  </si>
  <si>
    <t>=INDEX(Backlog!$K$2:$K$180,MATCH(A141,Backlog!$A$2:$A$180,0))</t>
  </si>
  <si>
    <t>D141</t>
  </si>
  <si>
    <t>=IF(INDEX(Backlog!$B$2:$B$180,MATCH($A141,Backlog!$A$2:$A$180,0))="","",INDEX(Backlog!$B$2:$B$180,MATCH($A141,Backlog!$A$2:$A$180,0)))</t>
  </si>
  <si>
    <t>=INDEX(Backlog!$B$2:$B$180,MATCH(A141,Backlog!$A$2:$A$180,0))</t>
  </si>
  <si>
    <t>B142</t>
  </si>
  <si>
    <t>C142</t>
  </si>
  <si>
    <t>=IF(INDEX(Backlog!$K$2:$K$180,MATCH($A142,Backlog!$A$2:$A$180,0))="","",INDEX(Backlog!$K$2:$K$180,MATCH($A142,Backlog!$A$2:$A$180,0)))</t>
  </si>
  <si>
    <t>=INDEX(Backlog!$K$2:$K$180,MATCH(A142,Backlog!$A$2:$A$180,0))</t>
  </si>
  <si>
    <t>D142</t>
  </si>
  <si>
    <t>=IF(INDEX(Backlog!$B$2:$B$180,MATCH($A142,Backlog!$A$2:$A$180,0))="","",INDEX(Backlog!$B$2:$B$180,MATCH($A142,Backlog!$A$2:$A$180,0)))</t>
  </si>
  <si>
    <t>=INDEX(Backlog!$B$2:$B$180,MATCH(A142,Backlog!$A$2:$A$180,0))</t>
  </si>
  <si>
    <t>B143</t>
  </si>
  <si>
    <t>C143</t>
  </si>
  <si>
    <t>=IF(INDEX(Backlog!$K$2:$K$180,MATCH($A143,Backlog!$A$2:$A$180,0))="","",INDEX(Backlog!$K$2:$K$180,MATCH($A143,Backlog!$A$2:$A$180,0)))</t>
  </si>
  <si>
    <t>=INDEX(Backlog!$K$2:$K$180,MATCH(A143,Backlog!$A$2:$A$180,0))</t>
  </si>
  <si>
    <t>D143</t>
  </si>
  <si>
    <t>=IF(INDEX(Backlog!$B$2:$B$180,MATCH($A143,Backlog!$A$2:$A$180,0))="","",INDEX(Backlog!$B$2:$B$180,MATCH($A143,Backlog!$A$2:$A$180,0)))</t>
  </si>
  <si>
    <t>=INDEX(Backlog!$B$2:$B$180,MATCH(A143,Backlog!$A$2:$A$180,0))</t>
  </si>
  <si>
    <t>B144</t>
  </si>
  <si>
    <t>C144</t>
  </si>
  <si>
    <t>=IF(INDEX(Backlog!$K$2:$K$180,MATCH($A144,Backlog!$A$2:$A$180,0))="","",INDEX(Backlog!$K$2:$K$180,MATCH($A144,Backlog!$A$2:$A$180,0)))</t>
  </si>
  <si>
    <t>=INDEX(Backlog!$K$2:$K$180,MATCH(A144,Backlog!$A$2:$A$180,0))</t>
  </si>
  <si>
    <t>D144</t>
  </si>
  <si>
    <t>=IF(INDEX(Backlog!$B$2:$B$180,MATCH($A144,Backlog!$A$2:$A$180,0))="","",INDEX(Backlog!$B$2:$B$180,MATCH($A144,Backlog!$A$2:$A$180,0)))</t>
  </si>
  <si>
    <t>=INDEX(Backlog!$B$2:$B$180,MATCH(A144,Backlog!$A$2:$A$180,0))</t>
  </si>
  <si>
    <t>B145</t>
  </si>
  <si>
    <t>C145</t>
  </si>
  <si>
    <t>=IF(INDEX(Backlog!$K$2:$K$180,MATCH($A145,Backlog!$A$2:$A$180,0))="","",INDEX(Backlog!$K$2:$K$180,MATCH($A145,Backlog!$A$2:$A$180,0)))</t>
  </si>
  <si>
    <t>=INDEX(Backlog!$K$2:$K$180,MATCH(A145,Backlog!$A$2:$A$180,0))</t>
  </si>
  <si>
    <t>D145</t>
  </si>
  <si>
    <t>=IF(INDEX(Backlog!$B$2:$B$180,MATCH($A145,Backlog!$A$2:$A$180,0))="","",INDEX(Backlog!$B$2:$B$180,MATCH($A145,Backlog!$A$2:$A$180,0)))</t>
  </si>
  <si>
    <t>=INDEX(Backlog!$B$2:$B$180,MATCH(A145,Backlog!$A$2:$A$180,0))</t>
  </si>
  <si>
    <t>B146</t>
  </si>
  <si>
    <t>C146</t>
  </si>
  <si>
    <t>=IF(INDEX(Backlog!$K$2:$K$180,MATCH($A146,Backlog!$A$2:$A$180,0))="","",INDEX(Backlog!$K$2:$K$180,MATCH($A146,Backlog!$A$2:$A$180,0)))</t>
  </si>
  <si>
    <t>=INDEX(Backlog!$K$2:$K$180,MATCH(A146,Backlog!$A$2:$A$180,0))</t>
  </si>
  <si>
    <t>D146</t>
  </si>
  <si>
    <t>=IF(INDEX(Backlog!$B$2:$B$180,MATCH($A146,Backlog!$A$2:$A$180,0))="","",INDEX(Backlog!$B$2:$B$180,MATCH($A146,Backlog!$A$2:$A$180,0)))</t>
  </si>
  <si>
    <t>=INDEX(Backlog!$B$2:$B$180,MATCH(A146,Backlog!$A$2:$A$180,0))</t>
  </si>
  <si>
    <t>B147</t>
  </si>
  <si>
    <t>C147</t>
  </si>
  <si>
    <t>=IF(INDEX(Backlog!$K$2:$K$180,MATCH($A147,Backlog!$A$2:$A$180,0))="","",INDEX(Backlog!$K$2:$K$180,MATCH($A147,Backlog!$A$2:$A$180,0)))</t>
  </si>
  <si>
    <t>=INDEX(Backlog!$K$2:$K$180,MATCH(A147,Backlog!$A$2:$A$180,0))</t>
  </si>
  <si>
    <t>D147</t>
  </si>
  <si>
    <t>=IF(INDEX(Backlog!$B$2:$B$180,MATCH($A147,Backlog!$A$2:$A$180,0))="","",INDEX(Backlog!$B$2:$B$180,MATCH($A147,Backlog!$A$2:$A$180,0)))</t>
  </si>
  <si>
    <t>=INDEX(Backlog!$B$2:$B$180,MATCH(A147,Backlog!$A$2:$A$180,0))</t>
  </si>
  <si>
    <t>B148</t>
  </si>
  <si>
    <t>C148</t>
  </si>
  <si>
    <t>=IF(INDEX(Backlog!$K$2:$K$180,MATCH($A148,Backlog!$A$2:$A$180,0))="","",INDEX(Backlog!$K$2:$K$180,MATCH($A148,Backlog!$A$2:$A$180,0)))</t>
  </si>
  <si>
    <t>=INDEX(Backlog!$K$2:$K$180,MATCH(A148,Backlog!$A$2:$A$180,0))</t>
  </si>
  <si>
    <t>D148</t>
  </si>
  <si>
    <t>=IF(INDEX(Backlog!$B$2:$B$180,MATCH($A148,Backlog!$A$2:$A$180,0))="","",INDEX(Backlog!$B$2:$B$180,MATCH($A148,Backlog!$A$2:$A$180,0)))</t>
  </si>
  <si>
    <t>=INDEX(Backlog!$B$2:$B$180,MATCH(A148,Backlog!$A$2:$A$180,0))</t>
  </si>
  <si>
    <t>B149</t>
  </si>
  <si>
    <t>C149</t>
  </si>
  <si>
    <t>=IF(INDEX(Backlog!$K$2:$K$180,MATCH($A149,Backlog!$A$2:$A$180,0))="","",INDEX(Backlog!$K$2:$K$180,MATCH($A149,Backlog!$A$2:$A$180,0)))</t>
  </si>
  <si>
    <t>=INDEX(Backlog!$K$2:$K$180,MATCH(A149,Backlog!$A$2:$A$180,0))</t>
  </si>
  <si>
    <t>D149</t>
  </si>
  <si>
    <t>=IF(INDEX(Backlog!$B$2:$B$180,MATCH($A149,Backlog!$A$2:$A$180,0))="","",INDEX(Backlog!$B$2:$B$180,MATCH($A149,Backlog!$A$2:$A$180,0)))</t>
  </si>
  <si>
    <t>=INDEX(Backlog!$B$2:$B$180,MATCH(A149,Backlog!$A$2:$A$180,0))</t>
  </si>
  <si>
    <t>A150</t>
  </si>
  <si>
    <t>B150</t>
  </si>
  <si>
    <t>C150</t>
  </si>
  <si>
    <t>=IF(INDEX(Backlog!$K$2:$K$180,MATCH($A150,Backlog!$A$2:$A$180,0))="","",INDEX(Backlog!$K$2:$K$180,MATCH($A150,Backlog!$A$2:$A$180,0)))</t>
  </si>
  <si>
    <t>D150</t>
  </si>
  <si>
    <t>=IF(INDEX(Backlog!$B$2:$B$180,MATCH($A150,Backlog!$A$2:$A$180,0))="","",INDEX(Backlog!$B$2:$B$180,MATCH($A150,Backlog!$A$2:$A$180,0)))</t>
  </si>
  <si>
    <t>14Sep book-consolidation check (historical)</t>
  </si>
  <si>
    <t>Old PASS values were true of the prior consolidation, not this new cell audit.</t>
  </si>
  <si>
    <t>Preserved task totals</t>
  </si>
  <si>
    <t>Current task totals (formula)</t>
  </si>
  <si>
    <t>Live counters distinguished from historical checks.</t>
  </si>
  <si>
    <t>K2 [FORMAT]</t>
  </si>
  <si>
    <t>Source style index 100</t>
  </si>
  <si>
    <t>Saved style index 270</t>
  </si>
  <si>
    <t>Status fill now follows status text through four conditional rules; static color removed.</t>
  </si>
  <si>
    <t>Style index is package-local, not evidence of semantic change by itself; saved CF ranges verified.</t>
  </si>
  <si>
    <t>J2 [FORMAT]</t>
  </si>
  <si>
    <t>Source style index 106</t>
  </si>
  <si>
    <t>Saved style index 271</t>
  </si>
  <si>
    <t>Estimate number formatting and unusable-estimate conditional highlight.</t>
  </si>
  <si>
    <t>R2 [FORMAT]</t>
  </si>
  <si>
    <t>Source style index 195</t>
  </si>
  <si>
    <t>Saved style index 272</t>
  </si>
  <si>
    <t>P80 formatting; unusable estimate amber; missing inherited P80 violet.</t>
  </si>
  <si>
    <t>K3 [FORMAT]</t>
  </si>
  <si>
    <t>J3 [FORMAT]</t>
  </si>
  <si>
    <t>R3 [FORMAT]</t>
  </si>
  <si>
    <t>K4 [FORMAT]</t>
  </si>
  <si>
    <t>J4 [FORMAT]</t>
  </si>
  <si>
    <t>R4 [FORMAT]</t>
  </si>
  <si>
    <t>K5 [FORMAT]</t>
  </si>
  <si>
    <t>J5 [FORMAT]</t>
  </si>
  <si>
    <t>R5 [FORMAT]</t>
  </si>
  <si>
    <t>K6 [FORMAT]</t>
  </si>
  <si>
    <t>Source style index 98</t>
  </si>
  <si>
    <t>J6 [FORMAT]</t>
  </si>
  <si>
    <t>R6 [FORMAT]</t>
  </si>
  <si>
    <t>K7 [FORMAT]</t>
  </si>
  <si>
    <t>J7 [FORMAT]</t>
  </si>
  <si>
    <t>R7 [FORMAT]</t>
  </si>
  <si>
    <t>K8 [FORMAT]</t>
  </si>
  <si>
    <t>J8 [FORMAT]</t>
  </si>
  <si>
    <t>R8 [FORMAT]</t>
  </si>
  <si>
    <t>K9 [FORMAT]</t>
  </si>
  <si>
    <t>J9 [FORMAT]</t>
  </si>
  <si>
    <t>R9 [FORMAT]</t>
  </si>
  <si>
    <t>K10 [FORMAT]</t>
  </si>
  <si>
    <t>J10 [FORMAT]</t>
  </si>
  <si>
    <t>R10 [FORMAT]</t>
  </si>
  <si>
    <t>K11 [FORMAT]</t>
  </si>
  <si>
    <t>J11 [FORMAT]</t>
  </si>
  <si>
    <t>R11 [FORMAT]</t>
  </si>
  <si>
    <t>K12 [FORMAT]</t>
  </si>
  <si>
    <t>J12 [FORMAT]</t>
  </si>
  <si>
    <t>R12 [FORMAT]</t>
  </si>
  <si>
    <t>K13 [FORMAT]</t>
  </si>
  <si>
    <t>J13 [FORMAT]</t>
  </si>
  <si>
    <t>R13 [FORMAT]</t>
  </si>
  <si>
    <t>K14 [FORMAT]</t>
  </si>
  <si>
    <t>J14 [FORMAT]</t>
  </si>
  <si>
    <t>R14 [FORMAT]</t>
  </si>
  <si>
    <t>K15 [FORMAT]</t>
  </si>
  <si>
    <t>J15 [FORMAT]</t>
  </si>
  <si>
    <t>R15 [FORMAT]</t>
  </si>
  <si>
    <t>K16 [FORMAT]</t>
  </si>
  <si>
    <t>J16 [FORMAT]</t>
  </si>
  <si>
    <t>R16 [FORMAT]</t>
  </si>
  <si>
    <t>K17 [FORMAT]</t>
  </si>
  <si>
    <t>J17 [FORMAT]</t>
  </si>
  <si>
    <t>R17 [FORMAT]</t>
  </si>
  <si>
    <t>K18 [FORMAT]</t>
  </si>
  <si>
    <t>J18 [FORMAT]</t>
  </si>
  <si>
    <t>R18 [FORMAT]</t>
  </si>
  <si>
    <t>K19 [FORMAT]</t>
  </si>
  <si>
    <t>J19 [FORMAT]</t>
  </si>
  <si>
    <t>R19 [FORMAT]</t>
  </si>
  <si>
    <t>K20 [FORMAT]</t>
  </si>
  <si>
    <t>J20 [FORMAT]</t>
  </si>
  <si>
    <t>R20 [FORMAT]</t>
  </si>
  <si>
    <t>K21 [FORMAT]</t>
  </si>
  <si>
    <t>J21 [FORMAT]</t>
  </si>
  <si>
    <t>R21 [FORMAT]</t>
  </si>
  <si>
    <t>K22 [FORMAT]</t>
  </si>
  <si>
    <t>J22 [FORMAT]</t>
  </si>
  <si>
    <t>R22 [FORMAT]</t>
  </si>
  <si>
    <t>K23 [FORMAT]</t>
  </si>
  <si>
    <t>J23 [FORMAT]</t>
  </si>
  <si>
    <t>R23 [FORMAT]</t>
  </si>
  <si>
    <t>K24 [FORMAT]</t>
  </si>
  <si>
    <t>J24 [FORMAT]</t>
  </si>
  <si>
    <t>R24 [FORMAT]</t>
  </si>
  <si>
    <t>K25 [FORMAT]</t>
  </si>
  <si>
    <t>Source style index 101</t>
  </si>
  <si>
    <t>J25 [FORMAT]</t>
  </si>
  <si>
    <t>Source style index 107</t>
  </si>
  <si>
    <t>R25 [FORMAT]</t>
  </si>
  <si>
    <t>K26 [FORMAT]</t>
  </si>
  <si>
    <t>Source style index 104</t>
  </si>
  <si>
    <t>J26 [FORMAT]</t>
  </si>
  <si>
    <t>Source style index 108</t>
  </si>
  <si>
    <t>Saved style index 273</t>
  </si>
  <si>
    <t>R26 [FORMAT]</t>
  </si>
  <si>
    <t>K27 [FORMAT]</t>
  </si>
  <si>
    <t>J27 [FORMAT]</t>
  </si>
  <si>
    <t>R27 [FORMAT]</t>
  </si>
  <si>
    <t>K28 [FORMAT]</t>
  </si>
  <si>
    <t>J28 [FORMAT]</t>
  </si>
  <si>
    <t>R28 [FORMAT]</t>
  </si>
  <si>
    <t>K29 [FORMAT]</t>
  </si>
  <si>
    <t>J29 [FORMAT]</t>
  </si>
  <si>
    <t>R29 [FORMAT]</t>
  </si>
  <si>
    <t>K30 [FORMAT]</t>
  </si>
  <si>
    <t>J30 [FORMAT]</t>
  </si>
  <si>
    <t>R30 [FORMAT]</t>
  </si>
  <si>
    <t>K31 [FORMAT]</t>
  </si>
  <si>
    <t>J31 [FORMAT]</t>
  </si>
  <si>
    <t>R31 [FORMAT]</t>
  </si>
  <si>
    <t>K32 [FORMAT]</t>
  </si>
  <si>
    <t>Source style index 202</t>
  </si>
  <si>
    <t>J32 [FORMAT]</t>
  </si>
  <si>
    <t>R32 [FORMAT]</t>
  </si>
  <si>
    <t>K33 [FORMAT]</t>
  </si>
  <si>
    <t>J33 [FORMAT]</t>
  </si>
  <si>
    <t>R33 [FORMAT]</t>
  </si>
  <si>
    <t>K34 [FORMAT]</t>
  </si>
  <si>
    <t>J34 [FORMAT]</t>
  </si>
  <si>
    <t>R34 [FORMAT]</t>
  </si>
  <si>
    <t>K35 [FORMAT]</t>
  </si>
  <si>
    <t>J35 [FORMAT]</t>
  </si>
  <si>
    <t>R35 [FORMAT]</t>
  </si>
  <si>
    <t>K36 [FORMAT]</t>
  </si>
  <si>
    <t>J36 [FORMAT]</t>
  </si>
  <si>
    <t>R36 [FORMAT]</t>
  </si>
  <si>
    <t>K37 [FORMAT]</t>
  </si>
  <si>
    <t>J37 [FORMAT]</t>
  </si>
  <si>
    <t>R37 [FORMAT]</t>
  </si>
  <si>
    <t>K38 [FORMAT]</t>
  </si>
  <si>
    <t>J38 [FORMAT]</t>
  </si>
  <si>
    <t>Source style index 198</t>
  </si>
  <si>
    <t>Saved style index 274</t>
  </si>
  <si>
    <t>R38 [FORMAT]</t>
  </si>
  <si>
    <t>K39 [FORMAT]</t>
  </si>
  <si>
    <t>J39 [FORMAT]</t>
  </si>
  <si>
    <t>R39 [FORMAT]</t>
  </si>
  <si>
    <t>K40 [FORMAT]</t>
  </si>
  <si>
    <t>J40 [FORMAT]</t>
  </si>
  <si>
    <t>R40 [FORMAT]</t>
  </si>
  <si>
    <t>K41 [FORMAT]</t>
  </si>
  <si>
    <t>J41 [FORMAT]</t>
  </si>
  <si>
    <t>R41 [FORMAT]</t>
  </si>
  <si>
    <t>K42 [FORMAT]</t>
  </si>
  <si>
    <t>J42 [FORMAT]</t>
  </si>
  <si>
    <t>R42 [FORMAT]</t>
  </si>
  <si>
    <t>K43 [FORMAT]</t>
  </si>
  <si>
    <t>J43 [FORMAT]</t>
  </si>
  <si>
    <t>R43 [FORMAT]</t>
  </si>
  <si>
    <t>K44 [FORMAT]</t>
  </si>
  <si>
    <t>J44 [FORMAT]</t>
  </si>
  <si>
    <t>R44 [FORMAT]</t>
  </si>
  <si>
    <t>K45 [FORMAT]</t>
  </si>
  <si>
    <t>J45 [FORMAT]</t>
  </si>
  <si>
    <t>R45 [FORMAT]</t>
  </si>
  <si>
    <t>K46 [FORMAT]</t>
  </si>
  <si>
    <t>J46 [FORMAT]</t>
  </si>
  <si>
    <t>R46 [FORMAT]</t>
  </si>
  <si>
    <t>K47 [FORMAT]</t>
  </si>
  <si>
    <t>J47 [FORMAT]</t>
  </si>
  <si>
    <t>R47 [FORMAT]</t>
  </si>
  <si>
    <t>K48 [FORMAT]</t>
  </si>
  <si>
    <t>J48 [FORMAT]</t>
  </si>
  <si>
    <t>R48 [FORMAT]</t>
  </si>
  <si>
    <t>K49 [FORMAT]</t>
  </si>
  <si>
    <t>J49 [FORMAT]</t>
  </si>
  <si>
    <t>R49 [FORMAT]</t>
  </si>
  <si>
    <t>K50 [FORMAT]</t>
  </si>
  <si>
    <t>J50 [FORMAT]</t>
  </si>
  <si>
    <t>R50 [FORMAT]</t>
  </si>
  <si>
    <t>K51 [FORMAT]</t>
  </si>
  <si>
    <t>J51 [FORMAT]</t>
  </si>
  <si>
    <t>R51 [FORMAT]</t>
  </si>
  <si>
    <t>K52 [FORMAT]</t>
  </si>
  <si>
    <t>J52 [FORMAT]</t>
  </si>
  <si>
    <t>R52 [FORMAT]</t>
  </si>
  <si>
    <t>K53 [FORMAT]</t>
  </si>
  <si>
    <t>J53 [FORMAT]</t>
  </si>
  <si>
    <t>R53 [FORMAT]</t>
  </si>
  <si>
    <t>K54 [FORMAT]</t>
  </si>
  <si>
    <t>J54 [FORMAT]</t>
  </si>
  <si>
    <t>R54 [FORMAT]</t>
  </si>
  <si>
    <t>K55 [FORMAT]</t>
  </si>
  <si>
    <t>J55 [FORMAT]</t>
  </si>
  <si>
    <t>R55 [FORMAT]</t>
  </si>
  <si>
    <t>K56 [FORMAT]</t>
  </si>
  <si>
    <t>J56 [FORMAT]</t>
  </si>
  <si>
    <t>R56 [FORMAT]</t>
  </si>
  <si>
    <t>K57 [FORMAT]</t>
  </si>
  <si>
    <t>J57 [FORMAT]</t>
  </si>
  <si>
    <t>R57 [FORMAT]</t>
  </si>
  <si>
    <t>K58 [FORMAT]</t>
  </si>
  <si>
    <t>J58 [FORMAT]</t>
  </si>
  <si>
    <t>R58 [FORMAT]</t>
  </si>
  <si>
    <t>K59 [FORMAT]</t>
  </si>
  <si>
    <t>J59 [FORMAT]</t>
  </si>
  <si>
    <t>R59 [FORMAT]</t>
  </si>
  <si>
    <t>K60 [FORMAT]</t>
  </si>
  <si>
    <t>J60 [FORMAT]</t>
  </si>
  <si>
    <t>R60 [FORMAT]</t>
  </si>
  <si>
    <t>K61 [FORMAT]</t>
  </si>
  <si>
    <t>J61 [FORMAT]</t>
  </si>
  <si>
    <t>R61 [FORMAT]</t>
  </si>
  <si>
    <t>K62 [FORMAT]</t>
  </si>
  <si>
    <t>J62 [FORMAT]</t>
  </si>
  <si>
    <t>R62 [FORMAT]</t>
  </si>
  <si>
    <t>K63 [FORMAT]</t>
  </si>
  <si>
    <t>J63 [FORMAT]</t>
  </si>
  <si>
    <t>R63 [FORMAT]</t>
  </si>
  <si>
    <t>K64 [FORMAT]</t>
  </si>
  <si>
    <t>J64 [FORMAT]</t>
  </si>
  <si>
    <t>R64 [FORMAT]</t>
  </si>
  <si>
    <t>K65 [FORMAT]</t>
  </si>
  <si>
    <t>J65 [FORMAT]</t>
  </si>
  <si>
    <t>R65 [FORMAT]</t>
  </si>
  <si>
    <t>K66 [FORMAT]</t>
  </si>
  <si>
    <t>J66 [FORMAT]</t>
  </si>
  <si>
    <t>R66 [FORMAT]</t>
  </si>
  <si>
    <t>K67 [FORMAT]</t>
  </si>
  <si>
    <t>J67 [FORMAT]</t>
  </si>
  <si>
    <t>R67 [FORMAT]</t>
  </si>
  <si>
    <t>K68 [FORMAT]</t>
  </si>
  <si>
    <t>J68 [FORMAT]</t>
  </si>
  <si>
    <t>R68 [FORMAT]</t>
  </si>
  <si>
    <t>K69 [FORMAT]</t>
  </si>
  <si>
    <t>J69 [FORMAT]</t>
  </si>
  <si>
    <t>R69 [FORMAT]</t>
  </si>
  <si>
    <t>K70 [FORMAT]</t>
  </si>
  <si>
    <t>J70 [FORMAT]</t>
  </si>
  <si>
    <t>R70 [FORMAT]</t>
  </si>
  <si>
    <t>K71 [FORMAT]</t>
  </si>
  <si>
    <t>J71 [FORMAT]</t>
  </si>
  <si>
    <t>R71 [FORMAT]</t>
  </si>
  <si>
    <t>K72 [FORMAT]</t>
  </si>
  <si>
    <t>J72 [FORMAT]</t>
  </si>
  <si>
    <t>R72 [FORMAT]</t>
  </si>
  <si>
    <t>K73 [FORMAT]</t>
  </si>
  <si>
    <t>J73 [FORMAT]</t>
  </si>
  <si>
    <t>R73 [FORMAT]</t>
  </si>
  <si>
    <t>K74 [FORMAT]</t>
  </si>
  <si>
    <t>J74 [FORMAT]</t>
  </si>
  <si>
    <t>R74 [FORMAT]</t>
  </si>
  <si>
    <t>K75 [FORMAT]</t>
  </si>
  <si>
    <t>J75 [FORMAT]</t>
  </si>
  <si>
    <t>R75 [FORMAT]</t>
  </si>
  <si>
    <t>K76 [FORMAT]</t>
  </si>
  <si>
    <t>J76 [FORMAT]</t>
  </si>
  <si>
    <t>R76 [FORMAT]</t>
  </si>
  <si>
    <t>K77 [FORMAT]</t>
  </si>
  <si>
    <t>J77 [FORMAT]</t>
  </si>
  <si>
    <t>R77 [FORMAT]</t>
  </si>
  <si>
    <t>K78 [FORMAT]</t>
  </si>
  <si>
    <t>J78 [FORMAT]</t>
  </si>
  <si>
    <t>R78 [FORMAT]</t>
  </si>
  <si>
    <t>K79 [FORMAT]</t>
  </si>
  <si>
    <t>J79 [FORMAT]</t>
  </si>
  <si>
    <t>R79 [FORMAT]</t>
  </si>
  <si>
    <t>K80 [FORMAT]</t>
  </si>
  <si>
    <t>J80 [FORMAT]</t>
  </si>
  <si>
    <t>R80 [FORMAT]</t>
  </si>
  <si>
    <t>K81 [FORMAT]</t>
  </si>
  <si>
    <t>J81 [FORMAT]</t>
  </si>
  <si>
    <t>R81 [FORMAT]</t>
  </si>
  <si>
    <t>K82 [FORMAT]</t>
  </si>
  <si>
    <t>J82 [FORMAT]</t>
  </si>
  <si>
    <t>R82 [FORMAT]</t>
  </si>
  <si>
    <t>K83 [FORMAT]</t>
  </si>
  <si>
    <t>J83 [FORMAT]</t>
  </si>
  <si>
    <t>R83 [FORMAT]</t>
  </si>
  <si>
    <t>K84 [FORMAT]</t>
  </si>
  <si>
    <t>J84 [FORMAT]</t>
  </si>
  <si>
    <t>R84 [FORMAT]</t>
  </si>
  <si>
    <t>K85 [FORMAT]</t>
  </si>
  <si>
    <t>J85 [FORMAT]</t>
  </si>
  <si>
    <t>R85 [FORMAT]</t>
  </si>
  <si>
    <t>K86 [FORMAT]</t>
  </si>
  <si>
    <t>J86 [FORMAT]</t>
  </si>
  <si>
    <t>R86 [FORMAT]</t>
  </si>
  <si>
    <t>K87 [FORMAT]</t>
  </si>
  <si>
    <t>J87 [FORMAT]</t>
  </si>
  <si>
    <t>R87 [FORMAT]</t>
  </si>
  <si>
    <t>K88 [FORMAT]</t>
  </si>
  <si>
    <t>J88 [FORMAT]</t>
  </si>
  <si>
    <t>R88 [FORMAT]</t>
  </si>
  <si>
    <t>K89 [FORMAT]</t>
  </si>
  <si>
    <t>J89 [FORMAT]</t>
  </si>
  <si>
    <t>R89 [FORMAT]</t>
  </si>
  <si>
    <t>K90 [FORMAT]</t>
  </si>
  <si>
    <t>J90 [FORMAT]</t>
  </si>
  <si>
    <t>R90 [FORMAT]</t>
  </si>
  <si>
    <t>K91 [FORMAT]</t>
  </si>
  <si>
    <t>J91 [FORMAT]</t>
  </si>
  <si>
    <t>R91 [FORMAT]</t>
  </si>
  <si>
    <t>K92 [FORMAT]</t>
  </si>
  <si>
    <t>J92 [FORMAT]</t>
  </si>
  <si>
    <t>R92 [FORMAT]</t>
  </si>
  <si>
    <t>K93 [FORMAT]</t>
  </si>
  <si>
    <t>J93 [FORMAT]</t>
  </si>
  <si>
    <t>R93 [FORMAT]</t>
  </si>
  <si>
    <t>K94 [FORMAT]</t>
  </si>
  <si>
    <t>J94 [FORMAT]</t>
  </si>
  <si>
    <t>R94 [FORMAT]</t>
  </si>
  <si>
    <t>K95 [FORMAT]</t>
  </si>
  <si>
    <t>J95 [FORMAT]</t>
  </si>
  <si>
    <t>R95 [FORMAT]</t>
  </si>
  <si>
    <t>K96 [FORMAT]</t>
  </si>
  <si>
    <t>J96 [FORMAT]</t>
  </si>
  <si>
    <t>R96 [FORMAT]</t>
  </si>
  <si>
    <t>K97 [FORMAT]</t>
  </si>
  <si>
    <t>J97 [FORMAT]</t>
  </si>
  <si>
    <t>R97 [FORMAT]</t>
  </si>
  <si>
    <t>K98 [FORMAT]</t>
  </si>
  <si>
    <t>J98 [FORMAT]</t>
  </si>
  <si>
    <t>R98 [FORMAT]</t>
  </si>
  <si>
    <t>K99 [FORMAT]</t>
  </si>
  <si>
    <t>J99 [FORMAT]</t>
  </si>
  <si>
    <t>R99 [FORMAT]</t>
  </si>
  <si>
    <t>K100 [FORMAT]</t>
  </si>
  <si>
    <t>J100 [FORMAT]</t>
  </si>
  <si>
    <t>R100 [FORMAT]</t>
  </si>
  <si>
    <t>K101 [FORMAT]</t>
  </si>
  <si>
    <t>J101 [FORMAT]</t>
  </si>
  <si>
    <t>R101 [FORMAT]</t>
  </si>
  <si>
    <t>K102 [FORMAT]</t>
  </si>
  <si>
    <t>J102 [FORMAT]</t>
  </si>
  <si>
    <t>R102 [FORMAT]</t>
  </si>
  <si>
    <t>K103 [FORMAT]</t>
  </si>
  <si>
    <t>J103 [FORMAT]</t>
  </si>
  <si>
    <t>R103 [FORMAT]</t>
  </si>
  <si>
    <t>K104 [FORMAT]</t>
  </si>
  <si>
    <t>J104 [FORMAT]</t>
  </si>
  <si>
    <t>R104 [FORMAT]</t>
  </si>
  <si>
    <t>K105 [FORMAT]</t>
  </si>
  <si>
    <t>J105 [FORMAT]</t>
  </si>
  <si>
    <t>R105 [FORMAT]</t>
  </si>
  <si>
    <t>K106 [FORMAT]</t>
  </si>
  <si>
    <t>J106 [FORMAT]</t>
  </si>
  <si>
    <t>R106 [FORMAT]</t>
  </si>
  <si>
    <t>K107 [FORMAT]</t>
  </si>
  <si>
    <t>J107 [FORMAT]</t>
  </si>
  <si>
    <t>R107 [FORMAT]</t>
  </si>
  <si>
    <t>K108 [FORMAT]</t>
  </si>
  <si>
    <t>J108 [FORMAT]</t>
  </si>
  <si>
    <t>R108 [FORMAT]</t>
  </si>
  <si>
    <t>K109 [FORMAT]</t>
  </si>
  <si>
    <t>J109 [FORMAT]</t>
  </si>
  <si>
    <t>R109 [FORMAT]</t>
  </si>
  <si>
    <t>K110 [FORMAT]</t>
  </si>
  <si>
    <t>J110 [FORMAT]</t>
  </si>
  <si>
    <t>R110 [FORMAT]</t>
  </si>
  <si>
    <t>K111 [FORMAT]</t>
  </si>
  <si>
    <t>J111 [FORMAT]</t>
  </si>
  <si>
    <t>R111 [FORMAT]</t>
  </si>
  <si>
    <t>K112 [FORMAT]</t>
  </si>
  <si>
    <t>J112 [FORMAT]</t>
  </si>
  <si>
    <t>R112 [FORMAT]</t>
  </si>
  <si>
    <t>K113 [FORMAT]</t>
  </si>
  <si>
    <t>J113 [FORMAT]</t>
  </si>
  <si>
    <t>R113 [FORMAT]</t>
  </si>
  <si>
    <t>K114 [FORMAT]</t>
  </si>
  <si>
    <t>J114 [FORMAT]</t>
  </si>
  <si>
    <t>R114 [FORMAT]</t>
  </si>
  <si>
    <t>K115 [FORMAT]</t>
  </si>
  <si>
    <t>J115 [FORMAT]</t>
  </si>
  <si>
    <t>R115 [FORMAT]</t>
  </si>
  <si>
    <t>K116 [FORMAT]</t>
  </si>
  <si>
    <t>J116 [FORMAT]</t>
  </si>
  <si>
    <t>R116 [FORMAT]</t>
  </si>
  <si>
    <t>K117 [FORMAT]</t>
  </si>
  <si>
    <t>J117 [FORMAT]</t>
  </si>
  <si>
    <t>R117 [FORMAT]</t>
  </si>
  <si>
    <t>K118 [FORMAT]</t>
  </si>
  <si>
    <t>J118 [FORMAT]</t>
  </si>
  <si>
    <t>R118 [FORMAT]</t>
  </si>
  <si>
    <t>K119 [FORMAT]</t>
  </si>
  <si>
    <t>J119 [FORMAT]</t>
  </si>
  <si>
    <t>R119 [FORMAT]</t>
  </si>
  <si>
    <t>K120 [FORMAT]</t>
  </si>
  <si>
    <t>J120 [FORMAT]</t>
  </si>
  <si>
    <t>R120 [FORMAT]</t>
  </si>
  <si>
    <t>K121 [FORMAT]</t>
  </si>
  <si>
    <t>J121 [FORMAT]</t>
  </si>
  <si>
    <t>R121 [FORMAT]</t>
  </si>
  <si>
    <t>K122 [FORMAT]</t>
  </si>
  <si>
    <t>J122 [FORMAT]</t>
  </si>
  <si>
    <t>R122 [FORMAT]</t>
  </si>
  <si>
    <t>K123 [FORMAT]</t>
  </si>
  <si>
    <t>J123 [FORMAT]</t>
  </si>
  <si>
    <t>R123 [FORMAT]</t>
  </si>
  <si>
    <t>K124 [FORMAT]</t>
  </si>
  <si>
    <t>J124 [FORMAT]</t>
  </si>
  <si>
    <t>R124 [FORMAT]</t>
  </si>
  <si>
    <t>K125 [FORMAT]</t>
  </si>
  <si>
    <t>J125 [FORMAT]</t>
  </si>
  <si>
    <t>R125 [FORMAT]</t>
  </si>
  <si>
    <t>K126 [FORMAT]</t>
  </si>
  <si>
    <t>J126 [FORMAT]</t>
  </si>
  <si>
    <t>R126 [FORMAT]</t>
  </si>
  <si>
    <t>K127 [FORMAT]</t>
  </si>
  <si>
    <t>J127 [FORMAT]</t>
  </si>
  <si>
    <t>R127 [FORMAT]</t>
  </si>
  <si>
    <t>K128 [FORMAT]</t>
  </si>
  <si>
    <t>J128 [FORMAT]</t>
  </si>
  <si>
    <t>R128 [FORMAT]</t>
  </si>
  <si>
    <t>K129 [FORMAT]</t>
  </si>
  <si>
    <t>J129 [FORMAT]</t>
  </si>
  <si>
    <t>R129 [FORMAT]</t>
  </si>
  <si>
    <t>K130 [FORMAT]</t>
  </si>
  <si>
    <t>J130 [FORMAT]</t>
  </si>
  <si>
    <t>R130 [FORMAT]</t>
  </si>
  <si>
    <t>K131 [FORMAT]</t>
  </si>
  <si>
    <t>J131 [FORMAT]</t>
  </si>
  <si>
    <t>R131 [FORMAT]</t>
  </si>
  <si>
    <t>K132 [FORMAT]</t>
  </si>
  <si>
    <t>J132 [FORMAT]</t>
  </si>
  <si>
    <t>R132 [FORMAT]</t>
  </si>
  <si>
    <t>K133 [FORMAT]</t>
  </si>
  <si>
    <t>J133 [FORMAT]</t>
  </si>
  <si>
    <t>R133 [FORMAT]</t>
  </si>
  <si>
    <t>K134 [FORMAT]</t>
  </si>
  <si>
    <t>J134 [FORMAT]</t>
  </si>
  <si>
    <t>R134 [FORMAT]</t>
  </si>
  <si>
    <t>K135 [FORMAT]</t>
  </si>
  <si>
    <t>J135 [FORMAT]</t>
  </si>
  <si>
    <t>R135 [FORMAT]</t>
  </si>
  <si>
    <t>K136 [FORMAT]</t>
  </si>
  <si>
    <t>J136 [FORMAT]</t>
  </si>
  <si>
    <t>R136 [FORMAT]</t>
  </si>
  <si>
    <t>K137 [FORMAT]</t>
  </si>
  <si>
    <t>J137 [FORMAT]</t>
  </si>
  <si>
    <t>R137 [FORMAT]</t>
  </si>
  <si>
    <t>K138 [FORMAT]</t>
  </si>
  <si>
    <t>J138 [FORMAT]</t>
  </si>
  <si>
    <t>R138 [FORMAT]</t>
  </si>
  <si>
    <t>K139 [FORMAT]</t>
  </si>
  <si>
    <t>J139 [FORMAT]</t>
  </si>
  <si>
    <t>R139 [FORMAT]</t>
  </si>
  <si>
    <t>K140 [FORMAT]</t>
  </si>
  <si>
    <t>J140 [FORMAT]</t>
  </si>
  <si>
    <t>R140 [FORMAT]</t>
  </si>
  <si>
    <t>K141 [FORMAT]</t>
  </si>
  <si>
    <t>J141 [FORMAT]</t>
  </si>
  <si>
    <t>R141 [FORMAT]</t>
  </si>
  <si>
    <t>K142 [FORMAT]</t>
  </si>
  <si>
    <t>J142 [FORMAT]</t>
  </si>
  <si>
    <t>R142 [FORMAT]</t>
  </si>
  <si>
    <t>K143 [FORMAT]</t>
  </si>
  <si>
    <t>J143 [FORMAT]</t>
  </si>
  <si>
    <t>R143 [FORMAT]</t>
  </si>
  <si>
    <t>K144 [FORMAT]</t>
  </si>
  <si>
    <t>J144 [FORMAT]</t>
  </si>
  <si>
    <t>R144 [FORMAT]</t>
  </si>
  <si>
    <t>K145 [FORMAT]</t>
  </si>
  <si>
    <t>J145 [FORMAT]</t>
  </si>
  <si>
    <t>R145 [FORMAT]</t>
  </si>
  <si>
    <t>K146 [FORMAT]</t>
  </si>
  <si>
    <t>J146 [FORMAT]</t>
  </si>
  <si>
    <t>R146 [FORMAT]</t>
  </si>
  <si>
    <t>K147 [FORMAT]</t>
  </si>
  <si>
    <t>J147 [FORMAT]</t>
  </si>
  <si>
    <t>R147 [FORMAT]</t>
  </si>
  <si>
    <t>K148 [FORMAT]</t>
  </si>
  <si>
    <t>J148 [FORMAT]</t>
  </si>
  <si>
    <t>R148 [FORMAT]</t>
  </si>
  <si>
    <t>K149 [FORMAT]</t>
  </si>
  <si>
    <t>J149 [FORMAT]</t>
  </si>
  <si>
    <t>R149 [FORMAT]</t>
  </si>
  <si>
    <t>K150 [FORMAT]</t>
  </si>
  <si>
    <t>J150 [FORMAT]</t>
  </si>
  <si>
    <t>R150 [FORMAT]</t>
  </si>
  <si>
    <t>K151 [FORMAT]</t>
  </si>
  <si>
    <t>J151 [FORMAT]</t>
  </si>
  <si>
    <t>R151 [FORMAT]</t>
  </si>
  <si>
    <t>K152 [FORMAT]</t>
  </si>
  <si>
    <t>J152 [FORMAT]</t>
  </si>
  <si>
    <t>R152 [FORMAT]</t>
  </si>
  <si>
    <t>K153 [FORMAT]</t>
  </si>
  <si>
    <t>J153 [FORMAT]</t>
  </si>
  <si>
    <t>R153 [FORMAT]</t>
  </si>
  <si>
    <t>K154 [FORMAT]</t>
  </si>
  <si>
    <t>J154 [FORMAT]</t>
  </si>
  <si>
    <t>R154 [FORMAT]</t>
  </si>
  <si>
    <t>K155 [FORMAT]</t>
  </si>
  <si>
    <t>J155 [FORMAT]</t>
  </si>
  <si>
    <t>R155 [FORMAT]</t>
  </si>
  <si>
    <t>K156 [FORMAT]</t>
  </si>
  <si>
    <t>J156 [FORMAT]</t>
  </si>
  <si>
    <t>R156 [FORMAT]</t>
  </si>
  <si>
    <t>K157 [FORMAT]</t>
  </si>
  <si>
    <t>J157 [FORMAT]</t>
  </si>
  <si>
    <t>R157 [FORMAT]</t>
  </si>
  <si>
    <t>K158 [FORMAT]</t>
  </si>
  <si>
    <t>J158 [FORMAT]</t>
  </si>
  <si>
    <t>R158 [FORMAT]</t>
  </si>
  <si>
    <t>K159 [FORMAT]</t>
  </si>
  <si>
    <t>J159 [FORMAT]</t>
  </si>
  <si>
    <t>R159 [FORMAT]</t>
  </si>
  <si>
    <t>K160 [FORMAT]</t>
  </si>
  <si>
    <t>J160 [FORMAT]</t>
  </si>
  <si>
    <t>R160 [FORMAT]</t>
  </si>
  <si>
    <t>K161 [FORMAT]</t>
  </si>
  <si>
    <t>J161 [FORMAT]</t>
  </si>
  <si>
    <t>R161 [FORMAT]</t>
  </si>
  <si>
    <t>K162 [FORMAT]</t>
  </si>
  <si>
    <t>J162 [FORMAT]</t>
  </si>
  <si>
    <t>R162 [FORMAT]</t>
  </si>
  <si>
    <t>K163 [FORMAT]</t>
  </si>
  <si>
    <t>J163 [FORMAT]</t>
  </si>
  <si>
    <t>R163 [FORMAT]</t>
  </si>
  <si>
    <t>K164 [FORMAT]</t>
  </si>
  <si>
    <t>J164 [FORMAT]</t>
  </si>
  <si>
    <t>R164 [FORMAT]</t>
  </si>
  <si>
    <t>K165 [FORMAT]</t>
  </si>
  <si>
    <t>J165 [FORMAT]</t>
  </si>
  <si>
    <t>R165 [FORMAT]</t>
  </si>
  <si>
    <t>K166 [FORMAT]</t>
  </si>
  <si>
    <t>J166 [FORMAT]</t>
  </si>
  <si>
    <t>R166 [FORMAT]</t>
  </si>
  <si>
    <t>K167 [FORMAT]</t>
  </si>
  <si>
    <t>J167 [FORMAT]</t>
  </si>
  <si>
    <t>R167 [FORMAT]</t>
  </si>
  <si>
    <t>K168 [FORMAT]</t>
  </si>
  <si>
    <t>J168 [FORMAT]</t>
  </si>
  <si>
    <t>R168 [FORMAT]</t>
  </si>
  <si>
    <t>K169 [FORMAT]</t>
  </si>
  <si>
    <t>J169 [FORMAT]</t>
  </si>
  <si>
    <t>R169 [FORMAT]</t>
  </si>
  <si>
    <t>K170 [FORMAT]</t>
  </si>
  <si>
    <t>J170 [FORMAT]</t>
  </si>
  <si>
    <t>R170 [FORMAT]</t>
  </si>
  <si>
    <t>K171 [FORMAT]</t>
  </si>
  <si>
    <t>J171 [FORMAT]</t>
  </si>
  <si>
    <t>R171 [FORMAT]</t>
  </si>
  <si>
    <t>K172 [FORMAT]</t>
  </si>
  <si>
    <t>J172 [FORMAT]</t>
  </si>
  <si>
    <t>R172 [FORMAT]</t>
  </si>
  <si>
    <t>K173 [FORMAT]</t>
  </si>
  <si>
    <t>J173 [FORMAT]</t>
  </si>
  <si>
    <t>R173 [FORMAT]</t>
  </si>
  <si>
    <t>K174 [FORMAT]</t>
  </si>
  <si>
    <t>J174 [FORMAT]</t>
  </si>
  <si>
    <t>R174 [FORMAT]</t>
  </si>
  <si>
    <t>K175 [FORMAT]</t>
  </si>
  <si>
    <t>J175 [FORMAT]</t>
  </si>
  <si>
    <t>R175 [FORMAT]</t>
  </si>
  <si>
    <t>K176 [FORMAT]</t>
  </si>
  <si>
    <t>J176 [FORMAT]</t>
  </si>
  <si>
    <t>R176 [FORMAT]</t>
  </si>
  <si>
    <t>K177 [FORMAT]</t>
  </si>
  <si>
    <t>J177 [FORMAT]</t>
  </si>
  <si>
    <t>R177 [FORMAT]</t>
  </si>
  <si>
    <t>K178 [FORMAT]</t>
  </si>
  <si>
    <t>J178 [FORMAT]</t>
  </si>
  <si>
    <t>R178 [FORMAT]</t>
  </si>
  <si>
    <t>K179 [FORMAT]</t>
  </si>
  <si>
    <t>J179 [FORMAT]</t>
  </si>
  <si>
    <t>R179 [FORMAT]</t>
  </si>
  <si>
    <t>K180 [FORMAT]</t>
  </si>
  <si>
    <t>J180 [FORMAT]</t>
  </si>
  <si>
    <t>R180 [FORMAT]</t>
  </si>
  <si>
    <t>Conditional formatting</t>
  </si>
  <si>
    <t>B2:B166;K2:K166;K2:K173;Y2:Y168</t>
  </si>
  <si>
    <t>K2:K180;B2:B180;J2:J180;R2:R180;AR2:AR180</t>
  </si>
  <si>
    <t>Replace overlapping/truncated groups with full-range current rules.</t>
  </si>
  <si>
    <t>Independent OOXML read-back.</t>
  </si>
  <si>
    <t>Data validations</t>
  </si>
  <si>
    <t>5 overlapping/truncated categorical ranges</t>
  </si>
  <si>
    <t>K2:K180;B2:B180;C2:C180;J2:J180;R2:R180;AR2:AR180</t>
  </si>
  <si>
    <t>6 non-overlapping full-range validations; last task rows included.</t>
  </si>
  <si>
    <t>AU1:BB180</t>
  </si>
  <si>
    <t>No implementation-specific remaining estimate columns</t>
  </si>
  <si>
    <t>51 linked source reviews + low/base/high remainder; 128 explicit unreviewed</t>
  </si>
  <si>
    <t>Separate actual remaining scope from historical task Hours/P80</t>
  </si>
  <si>
    <t>Source Review; Source Evidence; 14-Sep snapshot</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</si>
  <si>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
v2.22.0 — Converge production statistical methods and discipline onto the accepted authorities; StatisticalDiscipline.cs contains currently consumed EffectRanking, BenjaminiHochberg, Stratification and Bootstrap functions and is not dead code. Converge only measured duplicate execution authorities after consumer and test obligations move; preserve these live discipline functions. No performance/style-only rewrite.</t>
  </si>
  <si>
    <t>Withdraw unsupported dead-file diagnosis; preserve live discipline functions</t>
  </si>
  <si>
    <t>ManagedStatisticalComputeEngine.cs:91-115; AdvancedCorrelationComputeService.cs:117-137</t>
  </si>
  <si>
    <t>M2-P2 Review</t>
  </si>
  <si>
    <t>A1:N35</t>
  </si>
  <si>
    <t>History-only bounded review</t>
  </si>
  <si>
    <t>All 34 P2 source traces, remaining scope and estimates</t>
  </si>
  <si>
    <t>Source-level audit requested by owner</t>
  </si>
  <si>
    <t>51-record Source Review data, Task ID lookup</t>
  </si>
  <si>
    <t>Task Evidence 15Sep</t>
  </si>
  <si>
    <t>51 Task-ID selected rows</t>
  </si>
  <si>
    <t>Historical-only conclusion</t>
  </si>
  <si>
    <t>Implementation evidence and remaining scope</t>
  </si>
  <si>
    <t>Do not erase original closures or claim new runtime tests</t>
  </si>
  <si>
    <t>Source Evidence</t>
  </si>
  <si>
    <t>A32:H84</t>
  </si>
  <si>
    <t>No current remaining breakdown</t>
  </si>
  <si>
    <t>51 proposed low/base/high remaining work estimates</t>
  </si>
  <si>
    <t>Budget estimates unconfirmed; not P80 or actual hours</t>
  </si>
  <si>
    <t>Bottom-up work packages; overlapping ownership separated</t>
  </si>
  <si>
    <t>B11:D17</t>
  </si>
  <si>
    <t>Previous cell-review coverage</t>
  </si>
  <si>
    <t>New source-review/estimate boundaries</t>
  </si>
  <si>
    <t>Explicit coverage and limitations</t>
  </si>
  <si>
    <t>Source Summary</t>
  </si>
  <si>
    <t>CurrentBacklogTable</t>
  </si>
  <si>
    <t>A1:AT180</t>
  </si>
  <si>
    <t>A1:BB180</t>
  </si>
  <si>
    <t>Include new linked columns without shifting task rows</t>
  </si>
  <si>
    <t>Task-ID alignment checks on final XLSX</t>
  </si>
  <si>
    <t>Review 15Sep</t>
  </si>
  <si>
    <t>F10;H10</t>
  </si>
  <si>
    <t>No new remaining estimates</t>
  </si>
  <si>
    <t>Source proposals now available, unconfirmed</t>
  </si>
  <si>
    <t>Preserve old audit while disclosing new work</t>
  </si>
  <si>
    <t>Source Review</t>
  </si>
  <si>
    <t>[['Not Started']]</t>
  </si>
  <si>
    <t>Latest user-supplied T-100/T-261 runner report and CENTRAL sequencing reset</t>
  </si>
  <si>
    <t>Latest owner-supplied runner/hold update; no new live execution claimed</t>
  </si>
  <si>
    <t>AO33</t>
  </si>
  <si>
    <t>[['Not started — no completion claimed']]</t>
  </si>
  <si>
    <t>RUNNER 1 GREEN REPORTED / DB BUILD PASSED / LIVE HARNESS BLOCKED / UNCOMMITTED</t>
  </si>
  <si>
    <t>AP33</t>
  </si>
  <si>
    <t>[['Inherited v2.22.0 intended record; no new runtime certification in this repair.']]</t>
  </si>
  <si>
    <t>Latest owner-supplied conversation update, received 15-Sep-2026; runner/host logs and script bytes were not independently inspected in this workbook update. This supersedes the earlier 14-Sep source-only T-100 estimate, not the frozen Design.
Reported Runner 1 v1.0.5 completed: Backend build GREEN, integration-project build GREEN, 20/20 targeted unit tests, PPIQ_T100_RUNNER1_HANDOFF.json written; no staging, commit or DB mutation in Runner 1. Later certification reportedly executed 110/110 canonical SQL scripts, built a fresh disposable DB with 264 tables, and verified the constraint is exactly PV01..PV15. That run failed in harness setup BEFORE live classification; its disposable certification DB was cleaned up. No T-100 commit or live PV01..PV15 pass has been supplied.
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
Expected Runner-2 parent (not an observed commit parent): 4e0f1219ddbac3163bafe7ce510b62520683a77c</t>
  </si>
  <si>
    <t>[['Use the accepted M1 regression baseline; require empty index and clean owned paths, preserving unrelated user work. Then: T-099 canonical quarantine table/API and first eight PV classes.']]</t>
  </si>
  <si>
    <t>RUNNER-1 CANDIDATE IS PRESENT; DO NOT RERUN RUNNER 1 or require a clean owned tree relative to HEAD. Resume from the exact handoff/postimages. Resume v1.0.1 is issued; success is not yet reported. Validate HEAD against the handoff and all owned postimage hashes before continuing. Expected parent supplied for closure is 4e0f1219ddbac3163bafe7ce510b62520683a77c; do not substitute the older T-099-only HEAD. If the exact gates fail, stop and report without manual resets, cleanup of unrelated work, or a fresh mutation pack. Worker 1/CENTRAL retains the execution lock through T-100 final commit; Worker 2 remains held.</t>
  </si>
  <si>
    <t>U33</t>
  </si>
  <si>
    <t>[['Own canonical DB/backend/security/API/infra. No W2-owned UI/admin task files and no W3 ML/Assistant runtime.']]</t>
  </si>
  <si>
    <t>Worker 1 is the recorded execution owner; CENTRAL-assisted delivery. Preserve the existing T-100 candidate and unrelated dirty work. Exclusive shared repository mutation lock until T-100 is committed.</t>
  </si>
  <si>
    <t>V33</t>
  </si>
  <si>
    <t>[['Commit before downstream consumer starts; consumer must use the contract, not redesign producer-owned semantics.']]</t>
  </si>
  <si>
    <t>Release Worker 2 only after T-100 final commit SHA and closure evidence. The successor consumes PROJECTION_* declaration, PV01..PV15 row-validation and JOB_EXEC_* runtime boundaries without duplication.</t>
  </si>
  <si>
    <t>I33</t>
  </si>
  <si>
    <t>[['Fifteen fixtures, fifteen codes, fifteen passing tests. A test that enumerates the PV enum and fails if any member has no fixture.']]</t>
  </si>
  <si>
    <t>Distinct governed validation codes and fixture coverage must equal PV01..PV15 exactly. At least 15 classification fixtures; additional regression fixtures for an existing code are allowed. The completeness ratchet fails for an unproved enum member, not for duplicate display names or extra same-code tests. Live PostgreSQL proof executes every PV class; PV15 quarantine→cross-batch reference arrival→bounded reprocess passes; PV13 .60+.40=1.00 must not be quarantined. Exact live constraint, canonical migration order, disposable cleanup and exact single-commit closure required.</t>
  </si>
  <si>
    <t>AR33</t>
  </si>
  <si>
    <t>[['INHERITED ESTIMATE']]</t>
  </si>
  <si>
    <t>AJ33</t>
  </si>
  <si>
    <t>[['Inherited baseline estimate']]</t>
  </si>
  <si>
    <t>SUPERSEDED: prior remaining LOW/BASE/HIGH 6/10/16 h included validators and unit tests now reported complete. Do not charge that implementation again. Closure-only remaining effort (harness recovery, live certification, cleanup, commit proof) is UNCONFIRMED, not zero; no invented elapsed time or calibrated P80. Preserve J/R as historical scope values, excluded from usable totals.</t>
  </si>
  <si>
    <t>AY33</t>
  </si>
  <si>
    <t>[['UNCONFIRMED REVIEW ESTIMATE - not P80 or elapsed']]</t>
  </si>
  <si>
    <t>UNCONFIRMED — closure-only remaining effort; prior 6/10/16 h superseded</t>
  </si>
  <si>
    <t>BB33</t>
  </si>
  <si>
    <t>[['14-Sep-2026 snapshot; later closure evidence separate; no live HEAD verification']]</t>
  </si>
  <si>
    <t>14-Sep snapshot supplemented by latest 15-Sep user-reported runner progress; no current-HEAD or runner-byte verification</t>
  </si>
  <si>
    <t>M59</t>
  </si>
  <si>
    <t>[['T-106; T-241; T-242; T-243; T-099; T-262']]</t>
  </si>
  <si>
    <t>T-106; T-241; T-242; T-243; T-099; T-262; T-100</t>
  </si>
  <si>
    <t>Latest CENTRAL order makes T-100 final commit the explicit predecessor of T-261</t>
  </si>
  <si>
    <t>N33</t>
  </si>
  <si>
    <t>[['T-101; T-107; T-109; T-128; T-183']]</t>
  </si>
  <si>
    <t>T-101; T-107; T-109; T-128; T-183; T-261</t>
  </si>
  <si>
    <t>Reciprocal of T-100→T-261 dependency, keyed by Task ID</t>
  </si>
  <si>
    <t>T59</t>
  </si>
  <si>
    <t>[['Consume accepted producer contracts; remaining dependencies: T-106; T-241; T-242; T-243; T-099; T-262. No private scheduler/definition authority. Source-present is not closure proof.\n\nv2.22.1 — Completion prerequisites are the task IDs in column M; contract-only predecessors, if any, are exclusively in column AN. Do not use the rejected v2.22.0 positional columns.']]</t>
  </si>
  <si>
    <t>AO59</t>
  </si>
  <si>
    <t>[['In progress — closure not recorded']]</t>
  </si>
  <si>
    <t>SEMANTIC CONTRACT/PACKAGE IN PROGRESS; HOST MUTATION HELD PENDING T-100 COMMIT</t>
  </si>
  <si>
    <t>AP59</t>
  </si>
  <si>
    <t>Latest owner-supplied conversation update, received 15-Sep-2026; runner/host logs and script bytes were not independently inspected in this workbook update. This supersedes the earlier 14-Sep source-only T-100 estimate, not the frozen Design.
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t>
  </si>
  <si>
    <t>U59</t>
  </si>
  <si>
    <t>[['Own the governed Transformation/Projection executor, job-runtime adapter/evidence seam and targeted tests. Do not redesign Canvas authoring, T-106 capability authority, scheduling, definition lifecycle or frontend UX.']]</t>
  </si>
  <si>
    <t>Worker 2 owns executor/runtime work, but holds no mutation permission until T-100 commits. Preserve the shared producer frontier; one bounded delta only after the final SHA.</t>
  </si>
  <si>
    <t>V59</t>
  </si>
  <si>
    <t>[['T-245 consumes the committed executor. Stable board.nodes[].id remains canonical block identity; T-106 remains the job capability/target/version authority.']]</t>
  </si>
  <si>
    <t>After T-100 commits: one bounded delta, then T-261 Runner 1/2; after T-261 closes proceed to T-245. No second compiler, capability policy, run store or block-evidence authority.</t>
  </si>
  <si>
    <t>T55</t>
  </si>
  <si>
    <t>[['Consume accepted producer contracts; remaining dependencies: T-243; T-244; T-106; T-261. No private scheduler/definition authority. Source-present is not closure proof.\n\nv2.22.1 — Completion prerequisites are the task IDs in column M; contract-only predecessors, if any, are exclusively in column AN. Do not use the rejected v2.22.0 positional columns.']]</t>
  </si>
  <si>
    <t>QUEUED after T-261 closure; current mutation sequence is T-099 → T-100 → T-261 → T-245. T-245 consumes the proven executor/runtime and per-block evidence, never recreates them. Retain all listed canonical prerequisite contracts.</t>
  </si>
  <si>
    <t>[['PREFLIGHT EXECUTED; IMPLEMENTATION NOT STARTED / BLOCKED']]</t>
  </si>
  <si>
    <t>QUEUED — T-261 NOT CLOSED; NO NEW IMPLEMENTATION OR LIVE RUN CLAIM</t>
  </si>
  <si>
    <t>B7</t>
  </si>
  <si>
    <t>[['FIRST EIGHT PRESENT; REMAINING EXECUTION NOT ESTABLISHED']]</t>
  </si>
  <si>
    <t>[['The shared row projector, refusal model, quarantine storage and first-eight-PV tests already exist. Production ProjectionValidationCode call-site census in the supplied backend contains PV01–PV08; enum/catalogue presence alone is not PV09–PV15 execution.']]</t>
  </si>
  <si>
    <t>[['Implement and prove remaining seven PV outcomes using the existing projector/context/quarantine boundary, with positive and per-code negative cases and inherited-boundary regressions.']]</t>
  </si>
  <si>
    <t>[['Backend/PlantProcess.Api/Endpoints/Quarantine/QuarantineEndpoints.cs:8-13 — ownership\nBackend/PlantProcess.Application/Integration/Services/Mapping/MappingRowProjector.cs:630-690 — existing validation pattern']]</t>
  </si>
  <si>
    <t>Backend/PlantProcess.Api/Endpoints/Quarantine/QuarantineEndpoints.cs:8-13 — ownership
Backend/PlantProcess.Application/Integration/Services/Mapping/MappingRowProjector.cs:630-690 — existing validation pattern
Latest owner-supplied conversation update, received 15-Sep-2026; runner/host logs and script bytes were not independently inspected in this workbook update. This supersedes the earlier 14-Sep source-only T-100 estimate, not the frozen Design.
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t>
  </si>
  <si>
    <t>Preserve prior source findings while recording later reported progress</t>
  </si>
  <si>
    <t>[[6]]</t>
  </si>
  <si>
    <t>[[10]]</t>
  </si>
  <si>
    <t>[[16]]</t>
  </si>
  <si>
    <t>[['Remaining validators 3/5/8 + per-class tests 2/4/6 + packaging/closure 1/1/2. No new quarantine engine.']]</t>
  </si>
  <si>
    <t>[[None]]</t>
  </si>
  <si>
    <t>Latest update is reported evidence, not a fresh source/host read. Live classification failed to start; it did not establish a PV product failure. Resume v1.0.1's fix is issued but not verified here. No new commit SHA.</t>
  </si>
  <si>
    <t>T-099 remains CLOSED GREEN at ca02b40ea1b69050a45cb35a3e1d64f15b1f66af; T-100 Runner 1 completed by report, final closure pending.</t>
  </si>
  <si>
    <t>[['T-099 closed; no duplicate declaration/runtime failure vocabulary from T-261/T-262.']]</t>
  </si>
  <si>
    <t>Worker 1/CENTRAL owns the current mutation lock. T-261/Worker 2 waits for T-100 commit. Existing candidate must be preserved; no duplicate projector or PV authority.</t>
  </si>
  <si>
    <t>B33</t>
  </si>
  <si>
    <t>[['CONTRACTS PRESENT; EXECUTOR NOT APPLIED IN PROVIDED SNAPSHOT']]</t>
  </si>
  <si>
    <t>CONTRACTS PRESENT; EXECUTOR NOT APPLIED IN PROVIDED SNAPSHOT
LATEST: HELD PENDING T-100 COMMIT</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</si>
  <si>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</si>
  <si>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
Latest user report retains the semantic design but forbids host mutation until T-100 SHA. No new applied T-261 candidate is evidenced here.</t>
  </si>
  <si>
    <t>[['Do not implement a new schedule or PV taxonomy. Common cancellation seam billed once here; T-106 handles policy/endpoint coordination.']]</t>
  </si>
  <si>
    <t>J33</t>
  </si>
  <si>
    <t>Latest reset supersedes old T-099→T-261→T-100 sequencing. StorageTopologyMap/manifest must be read during the single post-T100 delta; no migration number fixed now.</t>
  </si>
  <si>
    <t>[['REVIEW PROPOSAL — NOT CONFIRMED / NOT P80']]</t>
  </si>
  <si>
    <t>N7</t>
  </si>
  <si>
    <t>[['14-Sep-2026 supplied repository snapshot; later verified session evidence cited separately; No .NET/product DB/browser suite executed in this continuation; test source and cited historical executions distinguished.']]</t>
  </si>
  <si>
    <t>M33</t>
  </si>
  <si>
    <t>M29</t>
  </si>
  <si>
    <t>[['T-261 owns executor and block-evidence storage, T-106 schedule/outcome policy; do not count those implementations again.']]</t>
  </si>
  <si>
    <t>E33</t>
  </si>
  <si>
    <t>[['Accepted workbook state retained; no new task-specific closure recovered. This is not proof that no work happened.']]</t>
  </si>
  <si>
    <t>[['The shared row projector, refusal model, quarantine storage and first-eight-PV tests already exist. Production ProjectionValidationCode call-site census in the supplied backend contains PV01–PV08; enum/catalogue presence alone is not PV09–PV15 execution.\nREMAINS: Implement and prove remaining seven PV outcomes using the existing projector/context/quarantine boundary, with positive and per-code negative cases and inherited-boundary regressions.']]</t>
  </si>
  <si>
    <t>[['Proposed remaining 6/10/16 h, UNCONFIRMED; historical J/R unchanged.']]</t>
  </si>
  <si>
    <t>Prior 6/10/16 h superseded; closure-only effort UNCONFIRMED. Reported implementation and unit gates are not charged again.</t>
  </si>
  <si>
    <t>Latest owner-supplied conversation update, received 15-Sep-2026; runner/host logs and script bytes were not independently inspected in this workbook update. This supersedes the earlier 14-Sep source-only T-100 estimate, not the frozen Design.
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t>
  </si>
  <si>
    <t>[['HISTORICAL PRESENTATION WAIT REPLACED BY CURRENT BASELINE/GATE WORDING']]</t>
  </si>
  <si>
    <t>Previous Not Started and PV01..PV08-only current-state wording superseded by reported Runner-1 implementation. No Done/commit inference.</t>
  </si>
  <si>
    <t>[['\nT-099 closed; no duplicate declaration/runtime failure vocabulary from T-261/T-262.\nRuntime/complete-session proof still not executed/recovered here.']]</t>
  </si>
  <si>
    <t>HOST MUTATION HELD — T-100 final commit required</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</si>
  <si>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commit.\nREMAINS: Extract/reuse the compiler; implement resolver+executor, carry the pre-admission target into the real run, canonical row effects/idempotency/provenance and stable block evidence, common cancellation/status wiring; run Graph/SQL and failure/cancel proof on disposable DB. Include T-262 live Gate 0 once.']]</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</si>
  <si>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
REMAINS: Extract/reuse the compiler; implement resolver+executor, carry the pre-admission target into the real run, canonical row effects/idempotency/provenance and stable block evidence, common cancellation/status wiring; run Graph/SQL and failure/cancel proof on disposable DB. Include T-262 live Gate 0 once.
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t>
  </si>
  <si>
    <t>[['\nDo not implement a new schedule or PV taxonomy. Common cancellation seam billed once here; T-106 handles policy/endpoint coordination.\nRuntime/complete-session proof still not executed/recovered here.']]</t>
  </si>
  <si>
    <t>Do not implement a new schedule or PV taxonomy. Common cancellation seam billed once here; T-106 handles policy/endpoint coordination.
Runtime/complete-session proof still not executed/recovered here.
One bounded delta only after T-100 final SHA; no interim mutation or final migration allocation.</t>
  </si>
  <si>
    <t>I59</t>
  </si>
  <si>
    <t>[['=TEXTJOIN("; ",TRUE,IF(INDEX(Backlog!$K$2:$K$180,MATCH("T-099",Backlog!$A$2:$A$180,0))="Done","","T-099"),IF(INDEX(Backlog!$K$2:$K$180,MATCH("T-106",Backlog!$A$2:$A$180,0))="Done","","T-106"),IF(INDEX(Backlog!$K$2:$K$180,MATCH("T-241",Backlog!$A$2:$A$180,0))="Done","","T-241"),IF(INDEX(Backlog!$K$2:$K$180,MATCH("T-242",Backlog!$A$2:$A$180,0))="Done","","T-242"),IF(INDEX(Backlog!$K$2:$K$180,MATCH("T-243",Backlog!$A$2:$A$180,0))="Done","","T-243"),IF(INDEX(Backlog!$K$2:$K$180,MATCH("T-262",Backlog!$A$2:$A$180,0))="Done","","T-262"))']]</t>
  </si>
  <si>
    <t>Derived from current saved task/evidence inputs</t>
  </si>
  <si>
    <t>B39</t>
  </si>
  <si>
    <t>[['Remaining validators 3/5/8 + per-class tests 2/4/6 + packaging/closure 1/1/2. No new quarantine engine.\nT-099 closed; no duplicate declaration/runtime failure vocabulary from T-261/T-262.']]</t>
  </si>
  <si>
    <t>COMPLETION + MUTATION LOCK — NOT CONTRACT-ONLY</t>
  </si>
  <si>
    <t>Final T-100 commit SHA; exact closure/cleanup evidence; then one bounded delta over shared producer/runtime/migration surfaces. PROJECTION_* / PV01..PV15 / JOB_EXEC_* boundaries preserved.</t>
  </si>
  <si>
    <t>HELD — Runner 1 GREEN and DB build reported; live certification/commit not yet supplied.</t>
  </si>
  <si>
    <t>[['Same task/scope version. This review corrects evidence, current labels, estimate usability and formatting; no tasks/releases/dependency edges added or removed.']]</t>
  </si>
  <si>
    <t>Same v2.23.0 task/scope version. Latest owner-reported runner progress and CENTRAL sequence are recorded. T-100→T-261 predecessor and reciprocal link updated by Task ID; no new task, feature, release or Design change.</t>
  </si>
  <si>
    <t>[['27 historical estimates not usable; 51 remaining-work proposals now recorded']]</t>
  </si>
  <si>
    <t>28 historical scope estimates unusable; 51 reviews, 50 numeric remainder proposals + 1 unpriced closure remainder</t>
  </si>
  <si>
    <t>[['J/R and historical AS/AT preserved. AV:AX are source-derived low/base/high remaining engineer-hour proposals, UNCONFIRMED and NOT P80; unreviewed work remains blank, not zero.']]</t>
  </si>
  <si>
    <t>T-100 historical J/R retained but unusable; previous 6/10/16 remaining proposal is superseded by reported implementation. UNCONFIRMED closure-only remainder excluded from numerical subtotals, not zero.</t>
  </si>
  <si>
    <t>Current mutation order</t>
  </si>
  <si>
    <t>T-099 → T-100 → T-261 → T-245</t>
  </si>
  <si>
    <t>Latest owner update /15-Sep-2026</t>
  </si>
  <si>
    <t>Supersedes T-099→T-261→T-100; Worker 2 held pending final T-100 SHA.</t>
  </si>
  <si>
    <t>T-100 stage</t>
  </si>
  <si>
    <t>USER-REPORTED</t>
  </si>
  <si>
    <t>Not independently rerun or source-verified; no T-100 commit recorded.</t>
  </si>
  <si>
    <t>T-261 permission</t>
  </si>
  <si>
    <t>HELD PENDING T-100 COMMIT</t>
  </si>
  <si>
    <t>No host mutation/final anchors/migration number. One bounded delta only after SHA.</t>
  </si>
  <si>
    <t>Latest issued recovery artifact</t>
  </si>
  <si>
    <t>Resume-ProjectionQuarantineCompletion_1.0.1.ps1</t>
  </si>
  <si>
    <t>Not executed/verified here</t>
  </si>
  <si>
    <t>5F6668258E8CAC517793B825AF712C8D8C9355F8CE9C0C69FBC5CAFCBDCB80E6</t>
  </si>
  <si>
    <t>T-100 expected closure parent</t>
  </si>
  <si>
    <t>4e0f1219ddbac3163bafe7ce510b62520683a77c</t>
  </si>
  <si>
    <t>EXPECTED, NOT OBSERVED</t>
  </si>
  <si>
    <t>Verify against Runner-1 handoff/current HEAD. Do not overwrite an actual commit/parent ledger until commit occurs.</t>
  </si>
  <si>
    <t>Evidence distinction</t>
  </si>
  <si>
    <t>DB bootstrap/constraint is not live classification</t>
  </si>
  <si>
    <t>110/110 SQL and 264 tables reported; harness stopped before live fixtures. Cleanup means certification DB must be rebuilt by recovery runner.</t>
  </si>
  <si>
    <t>[['v2.23.0 maintained · Source snapshot 14-Sep-2026 · review 15-Sep-2026 · NOT live-HEAD or release certification']]</t>
  </si>
  <si>
    <t>v2.23.0 maintained · 14-Sep source snapshot + latest 15-Sep USER-REPORTED T-100 runner progress · not live-HEAD certification</t>
  </si>
  <si>
    <t>A3</t>
  </si>
  <si>
    <t>[['51 scoped source assessments: all 34 M2-P2 + 17 other changed-estimate tasks. Full transcripts of the ten named sessions remain unavailable.']]</t>
  </si>
  <si>
    <t>51 source assessments remain; T-100 updated from later reported runner progress. 50 have numeric remainder proposals; T-100 closure-only remainder is UNCONFIRMED. Full ten-session coverage remains incomplete.</t>
  </si>
  <si>
    <t>[['=COUNT(Backlog!$AW$2:$AW$180)']]</t>
  </si>
  <si>
    <t>[['Task set and current status preserved']]</t>
  </si>
  <si>
    <t>179 tasks retained; T-100 Not Started→In Progress only</t>
  </si>
  <si>
    <t>[['Reviewed subset only; focused nominal engineer-hours']]</t>
  </si>
  <si>
    <t>Incomplete subtotal; excludes T-100 UNCONFIRMED closure remainder and unreviewed tasks</t>
  </si>
  <si>
    <t>[['Unconfirmed work breakdown, NOT measured AI P80']]</t>
  </si>
  <si>
    <t>Not a release forecast or P80; excludes unpriced T-100 remainder</t>
  </si>
  <si>
    <t>[['Includes uncertainty; excludes site waits/elapsed soak']]</t>
  </si>
  <si>
    <t>Does not bound T-100 closure effort; estimate not supplied</t>
  </si>
  <si>
    <t>[['Originally invalid/missing estimates reviewed']]</t>
  </si>
  <si>
    <t>Unusable historical scope estimates with source review</t>
  </si>
  <si>
    <t>[['Low/base/high are new engineering review proposals for remaining work, not recovered session facts, owner-confirmed estimates or elapsed time.']]</t>
  </si>
  <si>
    <t>Numeric low/base/high values remain unconfirmed engineering proposals. T-100's previous 6/10/16 was superseded by reported implementation and is now UNCONFIRMED closure-only, not zero.</t>
  </si>
  <si>
    <t>[["The supplied repository dump is dated 14-Sep. Changes on the user's machine after that snapshot cannot be inferred from this workbook."]]</t>
  </si>
  <si>
    <t>Source dump remains 14-Sep. Later T-100 progress is owner-reported, not inspected live source. No inference that issued recovery scripts already passed.</t>
  </si>
  <si>
    <t>A34</t>
  </si>
  <si>
    <t>[['23 saved-XLSX checks passed; 3 injected faults detected. OPEN items are stated below and are not converted to PASS.']]</t>
  </si>
  <si>
    <t>Historical validation below concerns the prior source-review artifact; current runner-update validation is recorded from row 70. Historical checks are not re-claimed as fresh product proof.</t>
  </si>
  <si>
    <t>[['M2-P2 totals 194 / 316 / 511']]</t>
  </si>
  <si>
    <t>HISTORICAL: M2-P2 estimates before T-100 runner update = 194/316/511</t>
  </si>
  <si>
    <t>[['Saved XLSX read-back']]</t>
  </si>
  <si>
    <t>Prior source-review XLSX, not current totals</t>
  </si>
  <si>
    <t>[['Review totals 416 / 694 / 1133']]</t>
  </si>
  <si>
    <t>HISTORICAL: all reviewed estimates before T-100 update = 416/694/1133</t>
  </si>
  <si>
    <t>[['Statuses retained 58/5/116']]</t>
  </si>
  <si>
    <t>HISTORICAL: statuses before T-100 update = 58/5/116</t>
  </si>
  <si>
    <t>Prior source-review XLSX, not current counts</t>
  </si>
  <si>
    <t>[['51 remaining-work estimates are unconfirmed proposals, not calibrated P80.']]</t>
  </si>
  <si>
    <t>50 numeric remainder proposals remain unconfirmed; T-100 closure-only remainder is unpriced. Historical Hours/P80 are not remaining work.</t>
  </si>
  <si>
    <t>LATEST T-100 RUNNER / LOCK UPDATE</t>
  </si>
  <si>
    <t>Evidence class</t>
  </si>
  <si>
    <t>Detail</t>
  </si>
  <si>
    <t>179 tasks / M2 107 / M3 72 retained</t>
  </si>
  <si>
    <t>CHECK ON SAVED FILE</t>
  </si>
  <si>
    <t>Workbook structure</t>
  </si>
  <si>
    <t>No task/release changes</t>
  </si>
  <si>
    <t>Current status counts</t>
  </si>
  <si>
    <t>Workbook values</t>
  </si>
  <si>
    <t>58 Done / 6 In Progress / 115 Not Started</t>
  </si>
  <si>
    <t>T-100 progress, not closure</t>
  </si>
  <si>
    <t>User report recorded</t>
  </si>
  <si>
    <t>Runner1 GREEN, build/constraint passed; live harness blocked; no commit invented</t>
  </si>
  <si>
    <t>T-100→T-261 and reciprocal edge</t>
  </si>
  <si>
    <t>Current owner instruction</t>
  </si>
  <si>
    <t>Backlog, Dependency Graph and Worker Tracks must agree by Task ID</t>
  </si>
  <si>
    <t>No self edges / cycles / M2-on-M3</t>
  </si>
  <si>
    <t>Workbook dependency checks</t>
  </si>
  <si>
    <t>Five external prerequisite IDs retained</t>
  </si>
  <si>
    <t>T-099 frozen record preserved</t>
  </si>
  <si>
    <t>Preserved closure evidence</t>
  </si>
  <si>
    <t>Commit/parent/status unchanged</t>
  </si>
  <si>
    <t>T-100 proposed remainder</t>
  </si>
  <si>
    <t>Forecast hygiene</t>
  </si>
  <si>
    <t>UNCONFIRMED; prior 6/10/16 kept in change history; unknown is not zero</t>
  </si>
  <si>
    <t>A78</t>
  </si>
  <si>
    <t>Current M2-P2 numeric subtotal</t>
  </si>
  <si>
    <t>Incomplete subtotal</t>
  </si>
  <si>
    <t>188/306/495, PLUS unknown T-100 closure effort</t>
  </si>
  <si>
    <t>A79</t>
  </si>
  <si>
    <t>Current reviewed numeric subtotal</t>
  </si>
  <si>
    <t>410/684/1117, PLUS unknown T-100 closure effort</t>
  </si>
  <si>
    <t>A80</t>
  </si>
  <si>
    <t>Source-review coverage</t>
  </si>
  <si>
    <t>Assessment count, not time count</t>
  </si>
  <si>
    <t>51 reviewed scopes; 34 M2-P2; 128 still unreviewed</t>
  </si>
  <si>
    <t>A81</t>
  </si>
  <si>
    <t>Latest recovery runner execution</t>
  </si>
  <si>
    <t>NOT OBSERVED</t>
  </si>
  <si>
    <t>Explicit runtime boundary</t>
  </si>
  <si>
    <t>Resume v1.0.1 issued by report; success not reported and no script executed here</t>
  </si>
  <si>
    <t>Source verdict</t>
  </si>
  <si>
    <t>Remaining scope</t>
  </si>
  <si>
    <t>Code evidence</t>
  </si>
  <si>
    <t>Remaining low h</t>
  </si>
  <si>
    <t>Remaining base h</t>
  </si>
  <si>
    <t>Remaining high h</t>
  </si>
  <si>
    <t>Estimate basis</t>
  </si>
  <si>
    <t>Risks / qualification</t>
  </si>
  <si>
    <t>Historical scope</t>
  </si>
  <si>
    <t>Ownership boundary</t>
  </si>
  <si>
    <t>SOURCE CORROBORATES CLOSED FOUNDATION</t>
  </si>
  <si>
    <t>Closed original scope; zero remaining here does not certify downstream Canvas integration.</t>
  </si>
  <si>
    <t>Original resolver/convergence closure retained; no rebuilding cost.</t>
  </si>
  <si>
    <t>SOURCE CORROBORATES CLOSED GUARD</t>
  </si>
  <si>
    <t>No remaining original implementation; avoid counting unwired later engines against this completed guard.</t>
  </si>
  <si>
    <t>REUSABLE BACKEND PRESENT; CANONICAL UI NOT LOCATED</t>
  </si>
  <si>
    <t>UI 4/6/9 + contract/negative tests 1/2/3 + targeted closure 1/1/2. Reuse all relationship producer work.</t>
  </si>
  <si>
    <t>CLOSED SCOPE PRESERVED; SOURCE CORROBORATES</t>
  </si>
  <si>
    <t>T-099 CLOSED GREEN at ca02b40e; its inherited DefinitionKind RED is not a reason to budget a rewrite.</t>
  </si>
  <si>
    <t>PARTIAL REUSE; CURRENT EXPANDED SCOPE OPEN</t>
  </si>
  <si>
    <t>Read API/filter/detail 3/4/6 + B4/C2/C3 UI 4/6/10 + drift/retry integration 3/5/8 + tests/closure 2/3/4.</t>
  </si>
  <si>
    <t>EXISTING ALIAS FOUNDATION; IDENTITY-SAFETY GAP</t>
  </si>
  <si>
    <t>Scope-safe lookup/merge 2/4/7 + ambiguity/idempotency tests 1/2/4 + closure 1/1/1.</t>
  </si>
  <si>
    <t>Source-proven ambiguity mechanism: storage permits shared AliasCode across materials/sources; reader selects first by alias alone. No live wrong-material incident asserted.</t>
  </si>
  <si>
    <t>SUBSTANTIAL FOUNDATION; ACCEPTANCE-CONTRACT MISMATCH</t>
  </si>
  <si>
    <t>Weight-contract correction 1/2/3 + direct-DB/traversal negatives 2/3/5 + closure 1/1/2. Existing cycle logic is not new work.</t>
  </si>
  <si>
    <t>Confirmed predicate counterexample: abs(0.99-1)=0.01 is not greater than 0.015. T-099 preserved this deliberately; this does not reopen T-099.</t>
  </si>
  <si>
    <t>REPLAY FOUNDATION IS NOT VERSIONED REPROJECTION</t>
  </si>
  <si>
    <t>Row-version/provenance integration 3/5/8 + replay/rollback semantics 3/6/10 + negative tests/closure 2/3/4.</t>
  </si>
  <si>
    <t>ORIGINAL CONTRACT CLOSED; EXPANDED RUNTIME OBLIGATIONS OPEN</t>
  </si>
  <si>
    <t>Schedule/parser/due-work 8/12/18 + freshness/outcome policy 4/6/10 + cancellation consumer integration 2/4/6 + targeted service/DB tests and runner 4/6/10. Original completed contracts excluded.</t>
  </si>
  <si>
    <t>Confirmed source boundaries, not executed incidents. No Cancelled result currently persists through CompleteAsync. No false claim that the original T-106 runner failed.</t>
  </si>
  <si>
    <t>TIMERS EXIST; GOVERNED JOB POOLS NOT ESTABLISHED</t>
  </si>
  <si>
    <t>Pool/admission implementation 6/10/16 + lane/worker integration 3/5/8 + saturation/cancel/closure tests 3/5/8.</t>
  </si>
  <si>
    <t>IMPLEMENTED DELTA FOUNDATION WITH CONFIRMED CORRECTNESS GAPS</t>
  </si>
  <si>
    <t>Tuple contract+reader adaptations 8/12/18 + budget enforcement 4/6/9 + durable staging/replay+projection token 5/8/13 + adverse-boundary tests/closure 5/8/12.</t>
  </si>
  <si>
    <t>The old test checks only returned JSON array shape, not cursor values/exact IDs. Generic bulk-insert dedupe is not proof of delta-path cross-batch replay safety. Confirmed PostgreSQL tie mechanism; other providers require their own tests.</t>
  </si>
  <si>
    <t>REUSABLE CALCULATION FOUNDATION; DELTA CONSUMER NOT PROVEN</t>
  </si>
  <si>
    <t>Scope resolution/integration 3/5/9 + telemetry/handoff 1/2/4 + idempotent/late-data tests 2/3/5.</t>
  </si>
  <si>
    <t>SOURCE CORROBORATES CLOSED TRUTH CONTRACT</t>
  </si>
  <si>
    <t>Closed honesty contract retained; separate future live acquisition.</t>
  </si>
  <si>
    <t>AUTHORITY EXISTS; PRODUCTION QUERY CONSUMPTION GAP</t>
  </si>
  <si>
    <t>Query integration 3/5/8 + known-answer/refusal tests 2/3/4 + closure 1/1/2.</t>
  </si>
  <si>
    <t>SOURCE CORROBORATES CLOSED PRODUCER</t>
  </si>
  <si>
    <t>Original producer closure retained; no duplicate intake engine.</t>
  </si>
  <si>
    <t>CONFIGURATION FOUNDATION ONLY; LIVE SESSION UNCOMMISSIONED</t>
  </si>
  <si>
    <t>Session/client/trust implementation 5/8/13 + collector lifecycle 2/4/7 + negative/security/closure tests 3/4/6. Vendor access delays excluded.</t>
  </si>
  <si>
    <t>LIVE ACQUISITION OPERATIONS NOT COMMISSIONED</t>
  </si>
  <si>
    <t>Browse/registration 3/5/8 + monitored-item/read lifecycle 4/6/10 + limits/refusal/closure tests 3/5/8.</t>
  </si>
  <si>
    <t>SPOOL/TIME FOUNDATIONS; LIVE END-TO-END PROOF MISSING</t>
  </si>
  <si>
    <t>Quality/time/canonical adapter 3/5/9 + spool/ack/recovery 4/6/11 + interruption/replay acceptance 3/5/8.</t>
  </si>
  <si>
    <t>TARGET AUTHORITY NOT LOCATED IN SUPPLIED SNAPSHOT</t>
  </si>
  <si>
    <t>Persistence/resolution adapter 2/4/7 + projections/refusal tests 2/3/4 + closure 1/1/2.</t>
  </si>
  <si>
    <t>TIME KERNEL EXISTS; PERSISTENCE/CONSUMER WORK REMAINS</t>
  </si>
  <si>
    <t>Persistence/API adapter 2/3/6 + consumer binding 1/2/4 + ambiguity/timezone tests/closure 2/3/4.</t>
  </si>
  <si>
    <t>KERNELS COMPLETE; CURRENT PRODUCTION INTEGRATION OPEN</t>
  </si>
  <si>
    <t>Persistence/regime adapter 2/4/7 + live-statistics integration 2/4/6 + adversarial tests/closure 2/3/5.</t>
  </si>
  <si>
    <t>SOURCE CORROBORATES CLOSED GRAPH CONTRACT</t>
  </si>
  <si>
    <t>Closed graph contract; zero original remainder.</t>
  </si>
  <si>
    <t>CLOSED CONTRACT; DOWNSTREAM EXECUTION NOT IMPLIED</t>
  </si>
  <si>
    <t>Closed library/contract scope, not all future execution. Do not convert missing downstream execution into a new T-242 estimate.</t>
  </si>
  <si>
    <t>ORIGINAL REOPEN CLOSED; ADDITIONAL PUBLICATION INTEGRATION OPEN</t>
  </si>
  <si>
    <t>Declared relationship adapter 2/4/7 + atomic/rollback and compatibility tests 2/4/6 + closure 1/1/2. Reopen board work costs zero here.</t>
  </si>
  <si>
    <t>SOURCE CORROBORATES CLOSED SQL FOUNDATION</t>
  </si>
  <si>
    <t>Closed SQL validation/persistence scope only.</t>
  </si>
  <si>
    <t>BINDING WORK NOT COMMISSIONED; REUSE PRODUCER CONTRACTS</t>
  </si>
  <si>
    <t>Binding/API/UI 3/5/8 + evidence/cancel views 1/2/4 + integration/negative tests 2/3/4.</t>
  </si>
  <si>
    <t>T-261 owns executor and block-evidence storage, T-106 schedule/outcome policy; do not count those implementations again.</t>
  </si>
  <si>
    <t>RELEASE ACCEPTANCE NOT EXECUTABLE BEFORE PRODUCERS</t>
  </si>
  <si>
    <t>Fixture/setup/data preparation 2/4/6 + actual connected acceptance and evidence 4/7/11 + triage/replay/closure 2/3/5; remediation implementation excluded.</t>
  </si>
  <si>
    <t>SOURCE CORROBORATES CLOSED OUTPUT CONTRACT</t>
  </si>
  <si>
    <t>Original target authority closed; no duplicate estimate.</t>
  </si>
  <si>
    <t>ORIGINAL SURFACES CLOSED; BACKEND CONVERGENCE REMAINDER</t>
  </si>
  <si>
    <t>Backend authority extraction/delegation 1/2/4 + consumer mismatch tests/closure 1/2/3. Original frontend/website work excluded.</t>
  </si>
  <si>
    <t>Compiler/dispatch 3/5/8 + executor/write/evidence 6/10/17 + cancellation integration 2/3/5 + Graph/SQL/live Gate0/replay/cancel tests and closure 5/8/12.</t>
  </si>
  <si>
    <t>ORIGINAL CONTRACT CLOSED; NARROW CONSUMER VERIFICATION OPEN</t>
  </si>
  <si>
    <t>Real-shell reproduction 1/1/2 + bounded callback correction if confirmed 0/1/2 + focused regression/closure 0/1/2. Consumer Gate0 cost counted in T-261.</t>
  </si>
  <si>
    <t>Suspected user-visible stale-save behavior; dependency omission is directly observed, but no live browser reproduction is claimed. Do not revive withdrawn type-compatibility finding.</t>
  </si>
  <si>
    <t>SOURCE REVIEWED — IMPLEMENTATION GAPS / RELEASE RUNTIME UNVERIFIED</t>
  </si>
  <si>
    <t>Real credential resolution, authentication configuration and provider APIs exist. The resolver prioritises username/password in connection_options_json over a reference; the masking test exits successfully without the round-trip when setup fails. The development mint route already refuses outside Development. These facts narrow the repair: it is not a missing licence verifier or a blank-slate connector.</t>
  </si>
  <si>
    <t>Close accepted-input, persistence and response secret boundaries with sentinel tests; replace vacuous setup returns; validate the actual release-profile bootstrap/MFA/seed/legacy-route boundary and log/audit redaction. Preserve explicit development-only behaviour.</t>
  </si>
  <si>
    <t>Backend/PlantProcess.Infrastructure/Connectors/ConnectorCredentialResolver.cs:16-51 — Resolve
Backend/tests/PlantProcess.Api.IntegrationTests/Security/T08ConnectorSecretMaskingIntegrationTests.cs:19-46 — Connector_password_is_masked_on_readback
Backend/PlantProcess.Api/SignedLicensing/V5SignedLicensingEndpoints.cs:51-62 — dev route refusal</t>
  </si>
  <si>
    <t>Credential boundary+tests 5/8/13; profile/route guards 4/7/11; redaction/deployment verification 3/5/8.</t>
  </si>
  <si>
    <t>No real secret leak or live production exposure was reproduced. Original 8h covers less than the expanded scope.</t>
  </si>
  <si>
    <t>T-121 owns DI/quota logic; T-123 install/upgrade; this estimate covers their security gate, not reimplementation.</t>
  </si>
  <si>
    <t>BOUNDED SOURCE REVIEW — METER/UI REMAINDER NEEDS DEEPER TRACE</t>
  </si>
  <si>
    <t>The strict VerifiedEd25519LicenseService and tier/feature checks exist. Production registration points to that implementation, while Application still registers a separate singleton ILicenseService. The dev mint route refuses outside Development. Commercial limits already have reusable code; the full customer-visible metering/quota workflow is not proven by these registrations.</t>
  </si>
  <si>
    <t>Reconcile to one effective licence authority, implement or complete the declared F2/F3 role/user meters and thresholds, and execute tamper/expiry/meter/no-lost-draft acceptance. Do not build a new signing authority or reclassify the development route as a production mint.</t>
  </si>
  <si>
    <t>Backend/PlantProcess.Api/SignedLicensing/VerifiedEd25519LicenseService.cs:10-60 — feature/tier authority
Backend/PlantProcess.Api/Program.cs:725-744 — licence DI
Backend/PlantProcess.Application/DependencyInjection.cs:58-63 — legacy DI
Backend/PlantProcess.Api/SignedLicensing/V5SignedLicensingEndpoints.cs:51-62 — development guard</t>
  </si>
  <si>
    <t>DI and entitlement reconciliation 2/3/5; meters/quota surfaces 5/10/17; acceptance/negative tests 3/5/8.</t>
  </si>
  <si>
    <t>Full metering implementation was not exhaustively traced; wider interval reflects that. Trust-root claims remain withdrawn.</t>
  </si>
  <si>
    <t>T-113 release profile gate; T-165 pricing/cost model, not licence enforcement.</t>
  </si>
  <si>
    <t>BOUNDED SOURCE REVIEW — DEPLOYMENT EXECUTION UNVERIFIED</t>
  </si>
  <si>
    <t>A deploy entrypoint and migration/seed commands are already present. The inspected legacy entrypoint selects .env.dev and separates migrate/seed/demo verbs; a canonical migration ledger also exists. This demonstrates reusable deployment infrastructure, not certification that the production packaging chooses only the safe path.</t>
  </si>
  <si>
    <t>Converge the shipped install/upgrade path onto the canonical ledger, preserve populated data, prove failed-upgrade/rollback recovery and non-root runtime for the selected deployment. Audit actual production selection rather than deleting development tooling blindly.</t>
  </si>
  <si>
    <t>deploy/scripts/ppiq.ps1:3-20 — command contract
deploy/scripts/ppiq.ps1:44-63 — profile/path selection
Backend/database/canonical-migration-order.json:1-20 — canonical ledger</t>
  </si>
  <si>
    <t>Path/ledger convergence 4/7/12; populated-upgrade/rollback tests 5/8/15; clean-host profile/non-root proof 3/5/9.</t>
  </si>
  <si>
    <t>No installation/upgrade/rollback was run. Hardware, privileges and environment wait time are excluded.</t>
  </si>
  <si>
    <t>T-113 security policy is consumed, not re-estimated here.</t>
  </si>
  <si>
    <t>BOUNDED SOURCE REVIEW — ADVANCED RUNTIME GAP</t>
  </si>
  <si>
    <t>Existing delta import and versioned job/target contracts are reusable. The inspected importer operates on bounded calls but does not supply the complete general chunk-receipt/checkpoint/resume authority required by this task. Generic channel buffers and ML artifact chunks are not evidence of durable job-scope receipts.</t>
  </si>
  <si>
    <t>Implement persistent row/byte-bounded chunks, pinned inputs, receipt-atomic progress, interruption resume, deterministic merge and cumulative scan-budget abort. Reuse the M2 source-cursor/replay work rather than implementing it twice.</t>
  </si>
  <si>
    <t>Backend/PlantProcess.Application/Integration/Services/SourceSystems/DeltaImportExecutionService.cs:120-151 — existing incremental reader use
Backend/PlantProcess.Application/Integration/Services/SourceSystems/DeltaImportExecutionService.cs:173-205 — batch/cursor persistence
Backend/PlantProcess.Application/Integration/Services/Jobs/JobRunOrchestratorService.cs:61-85 — existing admission/run boundary</t>
  </si>
  <si>
    <t>Chunk/receipt persistence 6/10/16; resume/merge/enforcement 6/11/17; interruption/parallelism tests 4/7/11.</t>
  </si>
  <si>
    <t>General chunk engine absence is based on the inspected runtime paths and symbol census, not every historical script.</t>
  </si>
  <si>
    <t>T-108/109 M2 delta; T-155 measured thresholds; T-159 site certification. No waits/soak included.</t>
  </si>
  <si>
    <t>SOURCE FOUNDATION REVIEWED — SITE MEASUREMENTS UNVERIFIED</t>
  </si>
  <si>
    <t>B-01..B-09 benchmark contracts and a selected-value guard already exist. The guard requires a measured real-subject Production envelope before a value is published. Those are useful measurement tools, not already-measured site capacities or scan-amplification limits.</t>
  </si>
  <si>
    <t>Integrate site workloads with those harnesses, collect training/batch/online latency and amplification evidence, and publish measured limits. Do not invent measured capacity from fixture outputs or replace the existing evidence contract.</t>
  </si>
  <si>
    <t>Backend/PlantProcess.ML.Runtime/Benchmarks/BenchmarkCatalogue.cs:20-36 — benchmark metadata
Backend/PlantProcess.ML.Runtime/Benchmarks/BenchmarkManifest.cs:32-75 — SelectedValueGuard</t>
  </si>
  <si>
    <t>Workload/hook setup 3/5/8; measurement orchestration/analysis 3/5/9; governed result publication 2/4/7.</t>
  </si>
  <si>
    <t>Focused engineer-hours only. Machine run/soak duration, data provisioning and site access excluded; re-estimate if hardware/workload changes.</t>
  </si>
  <si>
    <t>T-110 enforcement implementation and T-159 certification reruns are distinct.</t>
  </si>
  <si>
    <t>FOUNDATION REVIEWED — CAPACITY CERTIFICATION NOT EXECUTED</t>
  </si>
  <si>
    <t>The same benchmark envelope and real-subject/Production guards provide an existing basis for certification provenance. No C1-C4 run result on target site hardware was executed or observed in this source pass, so completed fixture tooling does not establish certification.</t>
  </si>
  <si>
    <t>Prepare reproducible C1-C4 workloads, consume T-155 calibration, exercise the T-110 negative controls, reconcile measured sizing examples and capture sign-off without accepting fixture data as production measurements.</t>
  </si>
  <si>
    <t>Backend/PlantProcess.ML.Runtime/Benchmarks/BenchmarkManifest.cs:43-81 — evidence guard
Backend/PlantProcess.ML.Runtime/Benchmarks/BenchmarkCatalogue.cs:65-90 — B-01..B-09 registry</t>
  </si>
  <si>
    <t>Profile preparation 3/6/10; certification operation/analysis 3/6/11; reconciliation/sign-off evidence 2/4/7.</t>
  </si>
  <si>
    <t>Operational engineering effort only; elapsed soak duration and access waits explicitly excluded.</t>
  </si>
  <si>
    <t>No reimplementation of T-110 or calibration billed again from T-155.</t>
  </si>
  <si>
    <t>BOUNDED SOURCE REVIEW — ROUTE-WIDE CENSUS NOT COMPLETE</t>
  </si>
  <si>
    <t>Current provenance resolution is a real service and still reads declared legacy/compatibility relations. Existing endpoints and guarded source lookups are reusable; spelling public/canon alone does not prove a broken fresh install. The migration requires a consumer inventory rather than a delete-first schema rewrite.</t>
  </si>
  <si>
    <t>Resolve every active old/new route and compatibility consumer, dual-serve only lawful semantic equivalents, test response/permission parity and keep historical handles readable before retiring consumers/objects.</t>
  </si>
  <si>
    <t>Backend/PlantProcess.Infrastructure/Provenance/NpgsqlProvenanceResolver.cs:16-66 — provenance dispatch and run resolution
Backend/PlantProcess.Infrastructure/Provenance/NpgsqlProvenanceResolver.cs:69-90 — source/dataset existence lookup</t>
  </si>
  <si>
    <t>Consumer/route inventory 3/5/8; safe dual routing and consumer convergence 3/5/9; parity/negative tests 2/4/7.</t>
  </si>
  <si>
    <t>544-route count is a task baseline, not a count remeasured in this pass; estimate contingent on full inventory.</t>
  </si>
  <si>
    <t>Do not remove compatibility objects before all live consumers and upgrade paths converge.</t>
  </si>
  <si>
    <t>BOUNDED SOURCE REVIEW — ALL 75 OUTCOMES NOT CERTIFIED</t>
  </si>
  <si>
    <t>The shared authoring shell, immutable reopen/output mapping and associative state are real implementation. AssociativeContext models selected/possible/excluded/alternative states and calls the governed widget query. Thus the 75-outcome enterprise remainder is not a blank-slate BI build, and the existence of basic selection must not be overwritten by a visual-template omission.</t>
  </si>
  <si>
    <t>Complete the unfulfilled advanced outcome rows, native-grain drill, named/comparison states, concurrency recovery and server-owned persistence; wire G3/G6 consistently. Freeze the precise remaining matrix before code and reuse existing selection/history/validator behaviour.</t>
  </si>
  <si>
    <t>Frontend/PlantProcess.Web/src/state/AssociativeContext.tsx:1-55 — state and query orchestration
Frontend/PlantProcess.Web/src/authoring/SharedAuthoringShell.tsx:333-403 — reopen application</t>
  </si>
  <si>
    <t>Remaining outcome mapping 4/6/10; advanced UI/runtime integration 14/24/38; parity/accessibility/recovery acceptance 6/10/16.</t>
  </si>
  <si>
    <t>Full 75-row functional re-audit still required; estimate is a scope-budget proposal, not measured task duration.</t>
  </si>
  <si>
    <t>T-267 designs; T-248 implementation; T-249 release acceptance. Existing T-204 selection closure retained.</t>
  </si>
  <si>
    <t>SOURCE REVIEWED — SUBSTANTIAL REPORT FOUNDATION / LIFECYCLE GAP</t>
  </si>
  <si>
    <t>Reporting endpoints already generate investigation/readiness reports and PDFs through IInvestigationReportService and readiness services. This is real reusable output infrastructure. It does not provide the complete E5 versioned report-definition, scheduled output and delivery-history lifecycle.</t>
  </si>
  <si>
    <t>Add governed report definition/version/sections/period, shared-job generation, output history, tenant-scoped download and delivery retries/audit; reuse existing PDF/evidence materialisation. Use the same scheduler, never a private report scheduler.</t>
  </si>
  <si>
    <t>Backend/PlantProcess.Api/Endpoints/Reporting/ReportingEndpoints.cs:10-33 — existing report routes
Backend/PlantProcess.Api/Endpoints/Reporting/ReportingEndpoints.cs:57-85 — existing report service/PDF path</t>
  </si>
  <si>
    <t>Definition/editor/history 6/10/16; job/output/delivery integration 6/10/16; permission/empty/fidelity/retry tests 4/6/10.</t>
  </si>
  <si>
    <t>T-106 scheduler and generic delivery components not recreated; fixtures alone cannot prove scheduled delivery.</t>
  </si>
  <si>
    <t>SOURCE REVIEWED — CANONICAL LOOP MISSING / LEGACY CONFLICT</t>
  </si>
  <si>
    <t>Phase8SuggestionOutcomeLoop takes caller-supplied BeforeValue/AfterValue, and its endpoint stores records in a process-wide ConcurrentDictionary. It is not the canonical outcome/feedback authority required by this task. Outcome arithmetic and presentation DTOs may inform migration, but cannot be credited as durable governed feedback.</t>
  </si>
  <si>
    <t>Implement canonical-only outcomes, durable evaluation/effectiveness records, intervention-aware metrics, feedback eligibility/concentration evidence and controlled Supervisor input. Retire the contradictory writer safely after replacement and preserve legitimate history.</t>
  </si>
  <si>
    <t>Backend/PlantProcess.Application/AssistantRuntime/Phase8SuggestionOutcomeLoop.cs:12-38 — manual outcome DTO
Backend/PlantProcess.Application/AssistantRuntime/Phase8SuggestionOutcomeLoop.cs:66-90 — record calculation
Backend/PlantProcess.Api/Endpoints/Assistant/Phase8SuggestionOutcomeLoopEndpoints.cs:16-48 — process-memory endpoints</t>
  </si>
  <si>
    <t>Canonical persistence/evaluation 6/10/17; feedback/poisoning/escalation rules 5/8/13; migration/negative tests 3/6/10.</t>
  </si>
  <si>
    <t>Route mapping exists, but effective caller access in a deployed profile was not exercised.</t>
  </si>
  <si>
    <t>T-190 D6 cutover; T-113 M2 denial; no double price of the same endpoint removal.</t>
  </si>
  <si>
    <t>SOURCE REVIEWED — PRIOR DEAD-FILE FINDING DISPROVEN</t>
  </si>
  <si>
    <t>ManagedStatisticalComputeEngine already invokes BenjaminiHochberg and Bootstrap from StatisticalDiscipline.cs; AdvancedCorrelationComputeService uses EffectRanking, FDR, Bootstrap and stratification. The file is NOT dead. The separate T-177 KernelMethodSelector/GroupComparisonKernel remain referenced by tests rather than these inspected producers, so a narrower pairing/authority cutover remains.</t>
  </si>
  <si>
    <t>Wire the certified pairing/refusal kernel into real producers, align persistence/readiness/evidence and consolidate genuinely duplicate paths after consumer migration. Preserve the live discipline functions; do not delete StatisticalDiscipline.cs based on its filename or a zero-hit search for a nonexistent class.</t>
  </si>
  <si>
    <t>Backend/PlantProcess.Analytics.Engine/ManagedStatisticalComputeEngine.cs:49-62 — readiness/old selector
Backend/PlantProcess.Analytics.Engine/ManagedStatisticalComputeEngine.cs:91-115 — live discipline calls
Backend/PlantProcess.Application/Analytics/Advanced/AdvancedCorrelationComputeService.cs:117-137 — live ranking/FDR/bootstrap
Backend/PlantProcess.Analytics.Core/Kernel/KernelMethodSelector.cs:27-57 — kernel pairing</t>
  </si>
  <si>
    <t>Pairing/result-contract cutover 3/5/9; producer/persistence convergence 3/5/8; known-answer/refusal regression 2/4/7.</t>
  </si>
  <si>
    <t>Do not equate obsolete CorrelationService annotation with no live analytical engine. Existing functions and keyed engine registration are visible.</t>
  </si>
  <si>
    <t>T-186 persistent capability authority; this task consumes it and does not implement a second profile store.</t>
  </si>
  <si>
    <t>BOUNDED SOURCE REVIEW — CALCULATOR NOT ESTABLISHED</t>
  </si>
  <si>
    <t>The website pricing component renders configured licence-plan labels, prices and feature lists. It is not an input-driven infrastructure cost/price calculator, and benchmark evidence machinery exists separately. Therefore some display structure is reusable while measured commercial sizing logic remains unproven.</t>
  </si>
  <si>
    <t>Implement explicit units/currency/time assumptions, the separate infrastructure-cost and licence-price formulae, governed input validation and known-answer quote checks against measured capacity.</t>
  </si>
  <si>
    <t>Website/PlantProcess.Website/src/components/proof/PricingLicenseMatrix.tsx:1-49 — plan display
Backend/PlantProcess.ML.Runtime/Benchmarks/BenchmarkManifest.cs:17-26 — selected measured value identity</t>
  </si>
  <si>
    <t>Formula/input authority 3/5/8; sales calculator surface/integration 3/5/9; known-answer/refusal tests 2/4/7.</t>
  </si>
  <si>
    <t>No current commercial prices or site measured sizing invented; public pricing display does not establish cost engine completion.</t>
  </si>
  <si>
    <t>T-121 entitlement differs from commercial pricing; T-155 supplies measurement constants.</t>
  </si>
  <si>
    <t>SOURCE REVIEWED — KERNEL REUSABLE / PERSISTENCE AND WIRING GAP</t>
  </si>
  <si>
    <t>CapabilityProfiler is a real pure kernel returning measured facts and eligibility/refusal states. It explicitly reads no database. Direct Profile-call census found test callers; persistence and production consumer commissioning are not established. This is integration work around an existing engine, not rebuilding profiling logic.</t>
  </si>
  <si>
    <t>Persist versioned outcome/grain/manifest-scoped profiles, connect governed prediction-point candidates/model-count limits and use one readiness authority for producers. Prove deterministic rich/sparse decisions and missing-data refusals.</t>
  </si>
  <si>
    <t>Backend/PlantProcess.Analytics.Core/Kernel/Capability/CapabilityProfiler.cs:8-19 — pure kernel boundary
Backend/PlantProcess.Analytics.Core/Kernel/Capability/CapabilityProfiler.cs:36-64 — profile calculation
Backend/PlantProcess.Analytics.Core/Kernel/Capability/CapabilityProfiler.cs:69-96 — dimension assessment</t>
  </si>
  <si>
    <t>Persistence/versioning 3/5/9; point/governor/consumer integration 3/5/8; deterministic/negative tests 2/4/7.</t>
  </si>
  <si>
    <t>T-171 kernel closed; do not reopen. T-146 consumes the commissioned authority.</t>
  </si>
  <si>
    <t>BOUNDED SOURCE REVIEW — CANONICAL D6 CUTOVER UNVERIFIED</t>
  </si>
  <si>
    <t>The legacy outcome endpoints provide a caller-entered/process-memory loop, not durable canonical D6 decisions. Related UI can be reused, but the inspected endpoint returns saved=true after a ConcurrentDictionary write, which must not be presented as canonical persistence.</t>
  </si>
  <si>
    <t>Bind the actual D6 controls to canonical eligibility and decision records, enforce can_accept on the server, preserve actor/reason history and cut over legacy routes with continuity/negative tests.</t>
  </si>
  <si>
    <t>Backend/PlantProcess.Api/Endpoints/Assistant/Phase8SuggestionOutcomeLoopEndpoints.cs:16-43 — legacy write path
Backend/PlantProcess.Application/AssistantRuntime/Phase8SuggestionOutcomeLoop.cs:12-38 — caller outcome schema</t>
  </si>
  <si>
    <t>Canonical DTO/permission wiring 3/5/9; D6 state/history cutover 3/5/8; continuity/tampering tests 2/4/7.</t>
  </si>
  <si>
    <t>T-145 owns outcome/effectiveness persistence; this task consumes it. M2 route denial owned by T-113.</t>
  </si>
  <si>
    <t>SOURCE REVIEWED — LEGACY DEMO IS NOT TARGET IMPLEMENTATION</t>
  </si>
  <si>
    <t>P15BenchmarkingService exists, but builds anonymised industry demo bands from a stable base value and synthetic multipliers. That is not the required registry-driven internal plant benchmarking. Existing display/privacy ideas are reusable; demo bands must not be credited as measured internal comparisons.</t>
  </si>
  <si>
    <t>Implement registered population/period comparisons with real counts, BM01/BM02, direction-aware normalisation and context-comparable own-best practice; preserve evidence/export and tenant isolation.</t>
  </si>
  <si>
    <t>Backend/PlantProcess.Application/Advisory/P15BenchmarkingService.cs:17-35 — demo dashboard
Backend/PlantProcess.Application/Advisory/P15BenchmarkingService.cs:50-85 — generated bands</t>
  </si>
  <si>
    <t>Registry/comparison service 4/7/12; result surface/evidence/export 3/6/10; BM01/BM02/tenant tests 3/5/8.</t>
  </si>
  <si>
    <t>No current customer benchmark output or exposure was executed here.</t>
  </si>
  <si>
    <t>T-214/T-240 semantics reused; no industry taxonomy or a second practice engine.</t>
  </si>
  <si>
    <t>SOURCE + DELIVERED UI DATA REVIEWED — DESIGN DEPTH/PROTOTYPE NOT ACCEPTED</t>
  </si>
  <si>
    <t>The delivered UI dataset contains 40 pages, 87 dialogs and 607 scene descriptions plus a local importer explicitly labelled not run in Figma. Existing product code already handles immutable reopen and associative selections. This is a substantial starting inventory, but static nodes and populated coverage rows are not proof of the required prototype transitions.</t>
  </si>
  <si>
    <t>Complete the M2 semantic control/transition matrix, selected source/join/output inspector states, refused/recovery paths and labelled realistic fixtures; execute the specified native import/prototype checks and update only Chapters 3/4 MD+Word and workbook coverage.</t>
  </si>
  <si>
    <t>Frontend/PlantProcess.Web/src/state/AssociativeContext.tsx:8-36 — existing associative control semantics
Frontend/PlantProcess.Web/src/authoring/SharedAuthoringShell.tsx:333-403 — existing reopen model
PPIQ_UI_Figma_v4.10.3.zip!UI_Figma/UI_Design_Data.json: pages40/dialogs87/scenes607; figma_status explicitly states importer not executed. UI Controls v223: PENDING SEMANTIC TRACE.</t>
  </si>
  <si>
    <t>Semantic/fixture mapping 6/10/15; connected M2 flows 16/24/37; native import/RTL/focus/Word synchronization 6/10/16.</t>
  </si>
  <si>
    <t>No connected Figma run. No 607-frame count used as a percentage complete; whole UI interaction matrix not executed.</t>
  </si>
  <si>
    <t>T-266 OPC design; T-267 M3 design; runtime implementation remains its own task.</t>
  </si>
  <si>
    <t>DESIGN TASK STILL OPEN; MOCKUP DOES NOT PROVE RUNTIME</t>
  </si>
  <si>
    <t>Flow/state specification 2/4/6 + detailed visual/prototype integration 2/3/5 + semantic acceptance/handoff 2/3/5. No backend implementation counted.</t>
  </si>
  <si>
    <t>BOUNDED SOURCE + UI INVENTORY REVIEW — M3 DESIGN REMAINDER</t>
  </si>
  <si>
    <t>The common UI dataset and existing selection/history mechanisms are reusable. Current UI Coverage deliberately separates M2 flows from M3 depth. Neither the inventory nor the native-importer code is evidence that M3 concurrency, version comparison, reports and advanced comparison prototypes were exercised.</t>
  </si>
  <si>
    <t>Design the complete M3 remainder against the existing 75-outcome matrix, producer contracts and accepted M2 flows, including advanced states, conflict/recovery, exports and G3/G6. Verify the native scenes and synchronize the two illustrated chapters.</t>
  </si>
  <si>
    <t>Frontend/PlantProcess.Web/src/state/AssociativeContext.tsx:8-36 — M2 behaviour to preserve
Backend/PlantProcess.Api/Endpoints/Reporting/ReportingEndpoints.cs:10-33 — existing report subset, not full E5
PPIQ_UI_Figma_v4.10.3.zip!UI_Figma/UI_Design_Data.json: pages40/dialogs87/scenes607; figma_status explicitly states importer not executed. UI Controls v223: PENDING SEMANTIC TRACE.</t>
  </si>
  <si>
    <t>M3 requirement/producer mapping 5/8/13; advanced connected flows 14/24/38; native/RTL/coverage/chapter checks 5/8/13.</t>
  </si>
  <si>
    <t>Estimate excludes T-248 product implementation and T-249 product certification.</t>
  </si>
  <si>
    <t>No basic selection/clear deferred from M2; no duplicate generic frame batch treated as acceptance.</t>
  </si>
  <si>
    <t>Repository path</t>
  </si>
  <si>
    <t>Symbol</t>
  </si>
  <si>
    <t>First line</t>
  </si>
  <si>
    <t>Last line</t>
  </si>
  <si>
    <t>Source excerpt</t>
  </si>
  <si>
    <t>Export + recorded original SHA256</t>
  </si>
  <si>
    <t>Evidence type</t>
  </si>
  <si>
    <t>Backend/PlantProcess.Application/Relationships/RelationshipService.cs</t>
  </si>
  <si>
    <t>PublishAsync</t>
  </si>
  <si>
    <t>IReadOnlyList&lt;RelationshipEntityDto&gt; entities = counts
            .Select(pair =&gt; new RelationshipEntityDto(pair.Key, pair.Value))
            .ToList();
        return ApplicationResult&lt;IReadOnlyList&lt;RelationshipEntityDto&gt;&gt;.Success(entities);
    }
    public async Task&lt;ApplicationResult&lt;IReadOnlyList&lt;RelationshipDto&gt;&gt;&gt; PublishAsync(
        RelationshipPublicationRequest request, CancellationToken cancellationToken)
    {
        if (request is null)
            return Fail("A publication carries at least one declaration.");
        if (!_tenantAccessor.TryGetTenantId(out var tenantId))
            return Fail("No tenant on the caller; a relationship cannot be published without one.");
        if (request.SourceDefinitionId == Guid.Empty)
            return Fail("A relationship must name the definition that published it.");
        if (request.SourceDefinitionVersion &lt;= 0)
            return Fail("A relationship must name the definition VERSION that published it, so a historical result stays explainable after the model changes.");
        if (request.Relationships is null || request.Relationships.Count == 0)
            return Fail("A publication with no declarations is not a publication.");
        foreach (var declaration in request.Relationships)
        {
            var refusal = Validate(declaration);
            if (refusal is not null) return Fail(refusal);
        }
        var effectiveFromUtc = DateTime.UtcNow;
        // Republication supersedes rather than deletes. The prior emission is
        // retired first so the unique code is free, and its rows stay readable.
        await _store.RetireByDefinitionAsync(tenantId, request.SourceDefinitionId, effectiveFromUtc, cancellationToken);
        foreach (var declaration in request.Relationships)
        {
            await _store.UpsertAsync(
                tenantId, declaration, request.SourceDefinitionId, request.SourceDefinitionVersion,
                effectiveFromUtc, cancellationToken);
        }
        // Returned by reading BACK, never by echoing the request. An emission
        // that cannot be read is not a publication, and echoing would hide that.
        var published = await _store.ReadPublishedAsync(tenantId, null, cancellationToken);
        var emitted = published
            .Where(r =&gt; r.SourceDefinitionId == request.SourceDefinitionId
                        &amp;&amp; r.SourceDefinitionVersion == request.SourceDefinitionVersion)
            .ToList();
        return ApplicationResult&lt;IReadOnlyList&lt;RelationshipDto&gt;&gt;.Success(emitted);
    }
    public async Task&lt;ApplicationResult&lt;int&gt;&gt; RetireByDefinitionAsync(
        Guid sourceDefinitionId, CancellationToken cancellationToken)
    {
        if (!_tenantAccessor.TryGetTenantId(out var tenantId))
            return ApplicationResult&lt;int&gt;.Failure(
                ApplicationError.Validation("No tenant on the caller."));
        var retired = await _store.RetireByDefinitionAsync(
            tenantId, sourceDefinitionId, DateTime.UtcNow, cancellationToken);
        return ApplicationResult&lt;int&gt;.Success(retired);
    }
    /// &lt;summary&gt;
    /// Publication-time rules. Each refusal names its code and says what is
    /// wrong in a sentence, because the person reading it is a plant engineer
    /// looking at their own declaration, not a developer reading a stack trace.
    /// &lt;/summary&gt;</t>
  </si>
  <si>
    <t>01_Backend_Core_14Sep2026_104846.txt
4235F89FCF67C0C7E9749A40E3845E1BDF4A0A56FBB8CAE6925832EBFF19E6AE</t>
  </si>
  <si>
    <t>INSPECTED SOURCE; original-file line range. Export SHA recorded, not independently re-hashed original bytes.</t>
  </si>
  <si>
    <t>ValidateDeclaration</t>
  </si>
  <si>
    <t>private static string? Validate(RelationshipDeclaration d)
    {
        if (d is null) return "A null declaration cannot be published.";
        if (string.IsNullOrWhiteSpace(d.RelationshipCode)) return "A relationship needs a code.";
        if (string.IsNullOrWhiteSpace(d.LeftEntity) || string.IsNullOrWhiteSpace(d.RightEntity))
            return $"{RelationshipPublicationCodes.UnknownVocabulary}: a relationship needs an entity on both sides.";
        if (string.IsNullOrWhiteSpace(d.GrainLeft) || string.IsNullOrWhiteSpace(d.GrainRight))
            return $"{RelationshipPublicationCodes.UnknownVocabulary}: a relationship needs a declared grain on both sides, so a cross-grain join is recognised as one.";
        if (!RelationshipJoinTypes.All.Contains(d.JoinType, StringComparer.Ordinal))
            return $"{RelationshipPublicationCodes.UnknownVocabulary}: '{d.JoinType}' is not a join type.";
        if (!RelationshipCardinalities.All.Contains(d.Cardinality, StringComparer.Ordinal))
            return $"{RelationshipPublicationCodes.UnknownVocabulary}: '{d.Cardinality}' is not a cardinality.";
        if (d.AttributionRule is not null
            &amp;&amp; !RelationshipAttributionRules.All.Contains(d.AttributionRule, StringComparer.Ordinal))
            return $"{RelationshipPublicationCodes.UnknownVocabulary}: '{d.AttributionRule}' is not an attribution rule.";
        var convertsGrain = !string.Equals(d.GrainLeft, d.GrainRight, StringComparison.Ordinal);
        if (convertsGrain
            &amp;&amp; (d.AttributionRule is null
                || string.Equals(d.AttributionRule, RelationshipAttributionRules.None, StringComparison.Ordinal)))
        {
            return $"{RelationshipPublicationCodes.GrainConversionWithoutAttribution}: this relationship converts grain from '{d.GrainLeft}' to '{d.GrainRight}' and must declare how a parent's value is divided across children.";
        }
        if (d.Members is null || d.Members.Count == 0)
            return $"{RelationshipPublicationCodes.MembersOutOfOrderOrIncomplete}: a relationship needs at least one key pair.";
        var orders = d.Members.Select(m =&gt; m.MemberOrder).OrderBy(o =&gt; o).ToArray();
        for (var i = 0; i &lt; orders.Length; i++)
        {
            if (orders[i] != i)
                return $"{RelationshipPublicationCodes.MembersOutOfOrderOrIncomplete}: composite key members must be contiguous from 0; got [{string.Join(", ", orders)}]. Order matters because real plants key on two or three columns.";
        }
        foreach (var member in d.Members)
        {
            if (string.IsNullOrWhiteSpace(member.LeftColumn) || string.IsNullOrWhiteSpace(member.RightColumn))
                return $"{RelationshipPublicationCodes.MembersOutOfOrderOrIncomplete}: key member {member.MemberOrder} is missing a column on one side.";
            // The canonical executor runs equality members. A comparison it cannot run
            // must not be publishable: a relationship the product accepts and its only</t>
  </si>
  <si>
    <t>Backend/PlantProcess.Application/Relationships/RelationshipResolver.cs</t>
  </si>
  <si>
    <t>ResolveAsync</t>
  </si>
  <si>
    <t>public async Task&lt;ApplicationResult&lt;RelationshipResolutionDto&gt;&gt; ResolveAsync(
        string fromEntity, string toEntity, string purpose, CancellationToken cancellationToken)
    {
        if (string.IsNullOrWhiteSpace(fromEntity) || string.IsNullOrWhiteSpace(toEntity))
            return Invalid("A resolution needs an entity on both sides.");
        if (string.IsNullOrWhiteSpace(purpose))
            return Invalid("A resolution needs a purpose: an unproven relationship is usable by exploration and not by anything automated, and that cannot be decided without knowing who is asking.");
        if (!RelationshipConsumerPurposes.All.Contains(purpose, StringComparer.Ordinal))
            return Invalid($"'{purpose}' is not a declared consumer purpose.");
        var published = await _relationships.GetPublishedAsync(null, cancellationToken);
        if (published.IsFailure)
            return ApplicationResult&lt;RelationshipResolutionDto&gt;.Failure(published.Error!);
        var from = fromEntity.Trim();
        var to = toEntity.Trim();
        if (string.Equals(from, to, StringComparison.Ordinal))
        {
            // An entity joins to itself without a relationship. Saying so is not
            // the same as claiming a path exists.
            return Ok(new RelationshipResolutionDto(
                from, to, purpose, true, Array.Empty&lt;RelationshipPathStepDto&gt;(),
                false, null, null, Array.Empty&lt;string&gt;()));
        }
        var edges = BuildEdges(published.Value!);
        var candidates = FindShortestPaths(edges, from, to);
        if (candidates.Count == 0)
        {
            return Ok(Refuse(from, to, purpose,
                RelationshipRefusalCodes.NoPath,
                $"No declared relationship path connects '{from}' to '{to}'. The model has to say how two things relate before anything may join them.",
                Array.Empty&lt;string&gt;()));
        }
        var names = candidates.Select(Describe).ToList();
        var chosen = candidates.Count == 1 ? candidates[0] : ChoosePreferred(candidates);
        if (chosen is null)
        {
            return Ok(Refuse(from, to, purpose,
                RelationshipRefusalCodes.AmbiguousPath,
                $"'{from}' reaches '{to}' by more than one declared path and none is marked preferred. Both are named rather than one being chosen, because the answer would otherwise depend on which was looked at first: {string.Join(" | ", names)}.",
                names));
        }
        // RL02. Exploration is manual and may traverse an unproven relationship.
        // Everything else is automated, and an automated consumer that trains,
        // scores or projects across an unproven join produces a result nobody
        // can defend.
        if (RelationshipConsumerPurposes.IsAutomated(purpose))
        {
            var unproven = chosen
                .Where(e =&gt; !string.Equals(e.Relationship.ValidationState, RelationshipValidationStates.Validated, StringComparison.Ordinal))
                .Select(e =&gt; e.Relationship.RelationshipCode)
                .OrderBy(c =&gt; c, StringComparer.Ordinal)
                .ToList();
            if (unproven.Count &gt; 0)
            {
                return Ok(Refuse(from, to, purpose,
                    RelationshipRefusalCodes.UnprovenRelationship,
                    $"The path from '{from}' to '{to}' runs through {string.Join(", ", unproven)}, which nobody has proven against real data. '{purpose}' is automated, so it may not use it; manual exploration still may.",
                    names));
            }
        }
        var steps = chosen
            .Select(e =&gt; new RelationshipPathStepDto(e.Relationship.Id, e.From, e.To))
            .ToList();
        return Ok(new RelationshipResolutionDto(
            from, to, purpose, true, steps,
            chosen.Any(e =&gt; e.Relationship.IsGrainConverting),
            null, null, names));</t>
  </si>
  <si>
    <t>01_Backend_Core_14Sep2026_104846.txt
CF80A487057CE68B75618A7589B5A47CF690DBAFE59835EC9A1CB8B36D67EC9D</t>
  </si>
  <si>
    <t>Backend/tests/PlantProcess.Architecture.Tests/RelationshipConsumerBarrierTests.cs</t>
  </si>
  <si>
    <t>ConsumerFamilies</t>
  </si>
  <si>
    <t>private static readonly IReadOnlyDictionary&lt;string, string[]&gt; ConsumerFamilies =
        new Dictionary&lt;string, string[]&gt;(StringComparer.Ordinal)
        {
            // Routed by T-096.
            ["Projection"] = new[] { @"Backend\PlantProcess.Application\Dashboarding\Services\Dimensions" },
            ["QueryCompiler"] = new[] { @"Backend\PlantProcess.Application\Dashboarding\Services\Queries" },
            ["AssociativeFiltering"] = new[] { @"Backend\PlantProcess.Application\Dashboarding\Services\Queries" },
            ["DrillDown"] = new[] { @"Backend\PlantProcess.Application\Dashboarding\Services\Queries" },
            ["DrillThrough"] = new[] { @"Backend\PlantProcess.Application\Dashboarding\Services\Queries" },
            ["Genealogy"] = new[] { @"Backend\PlantProcess.Application\Services\Materials" },
            ["StatisticalAnalysis"] = new[] { @"Backend\PlantProcess.Application\Analytics\Services" },
            ["Correlation"] = new[]
            {
                @"Backend\PlantProcess.Application\Analytics\Engines",
                @"Backend\PlantProcess.Application\Analytics\Advanced"
            },
            // Covered by T-097.
            ["FeatureEngineering"] = new[]
            {
                @"Backend\PlantProcess.Application\Analytics\Services",
                @"Backend\PlantProcess.Application\Analytics\Interfaces"
            },
            ["ModelTraining"] = new[] { @"Backend\PlantProcess.Application\Analytics\Training" },
            ["Prediction"] = new[]
            {
                @"Backend\PlantProcess.Application\Analytics\Contracts",
                @"Backend\PlantProcess.Application\Analytics\Prediction"
            },
            ["PracticeLearning"] = new[] { @"Backend\PlantProcess.Application\Analytics\Practice" },
            ["RemediationSearch"] = new[] { @"Backend\PlantProcess.Application\Analytics\Remediation" },
            ["ValueCalculation"] = new[] { @"Backend\PlantProcess.Application\Analytics\Value" },
            ["Assistant"] = new[]
            {
                @"Backend\PlantProcess.Application\Assistant",
                @"Backend\PlantProcess.Application\AssistantRuntime"
            },
            ["Evidence"] = new[]
            {
                @"Backend\PlantProcess.Application\Provenance",
                @"Backend\PlantProcess.Application\Analytics\Value"
            }</t>
  </si>
  <si>
    <t>03_Backend_Tests_14Sep2026_104846.txt
1AA9C082D30D7D1BD76D13D90909F94F1347D7EAEA4C5C7FFC816BED7C0EFA38</t>
  </si>
  <si>
    <t>barrier semantics</t>
  </si>
  <si>
    <t>/// &lt;summary&gt;
/// The permanent barrier. Sixteen consumer families, one path authority, and no lawful
/// way for a seventeenth idea to appear.
///
/// T-096 removed the second path authority and routed the first eight families through
/// the canonical one. This finishes the job for the remaining eight and, more
/// importantly, makes the arrangement durable: the failure this guards against is not a
/// mistake anyone is making today, it is the one a future author makes six months from
/// now when a join is needed and the resolver seems like a detour.
///
/// WHAT IS FORBIDDEN, and only this:
///
///   reaching relationship persistence directly;
///   injecting the relationship store;
///   searching for a path;
///   choosing a preferred path;
///   inferring a relationship from names;
///   reading foreign-key metadata to decide how two subjects connect;
///   quietly joining anyway after the authority has refused.
///
/// WHAT IS EXPLICITLY ALLOWED, because forbidding it would be absurd:
///
///   intrinsic navigation on a row's own owning key;
///   fixed joins between known canonical entities;
///   lookups by an identity already resolved;
///   packaging and hashing evidence.
///
/// That distinction is the whole difficulty. A consumer that writes
/// `x.MaterialUnitId == materialUnitId` has not chosen anything - the key is the row's
/// own. A consumer that works out WHICH key connects two subjects has chosen, and that
/// decision belongs to the relationship model where a plant can publish, prefer and
/// retire it. The guard below is written to catch the second without ever flagging the
/// first, because a barrier that cries wolf is a barrier someone eventually deletes.</t>
  </si>
  <si>
    <t>consumer and forbidden-authority inventory</t>
  </si>
  <si>
    <t>private static readonly IReadOnlyDictionary&lt;string, string[]&gt; ConsumerFamilies =
        new Dictionary&lt;string, string[]&gt;(StringComparer.Ordinal)
        {
            // Routed by T-096.
            ["Projection"] = new[] { @"Backend\PlantProcess.Application\Dashboarding\Services\Dimensions" },
            ["QueryCompiler"] = new[] { @"Backend\PlantProcess.Application\Dashboarding\Services\Queries" },
            ["AssociativeFiltering"] = new[] { @"Backend\PlantProcess.Application\Dashboarding\Services\Queries" },
            ["DrillDown"] = new[] { @"Backend\PlantProcess.Application\Dashboarding\Services\Queries" },
            ["DrillThrough"] = new[] { @"Backend\PlantProcess.Application\Dashboarding\Services\Queries" },
            ["Genealogy"] = new[] { @"Backend\PlantProcess.Application\Services\Materials" },
            ["StatisticalAnalysis"] = new[] { @"Backend\PlantProcess.Application\Analytics\Services" },
            ["Correlation"] = new[]
            {
                @"Backend\PlantProcess.Application\Analytics\Engines",
                @"Backend\PlantProcess.Application\Analytics\Advanced"
            },
            // Covered by T-097.
            ["FeatureEngineering"] = new[]
            {
                @"Backend\PlantProcess.Application\Analytics\Services",
                @"Backend\PlantProcess.Application\Analytics\Interfaces"
            },
            ["ModelTraining"] = new[] { @"Backend\PlantProcess.Application\Analytics\Training" },
            ["Prediction"] = new[]
            {
                @"Backend\PlantProcess.Application\Analytics\Contracts",
                @"Backend\PlantProcess.Application\Analytics\Prediction"
            },
            ["PracticeLearning"] = new[] { @"Backend\PlantProcess.Application\Analytics\Practice" },
            ["RemediationSearch"] = new[] { @"Backend\PlantProcess.Application\Analytics\Remediation" },
            ["ValueCalculation"] = new[] { @"Backend\PlantProcess.Application\Analytics\Value" },
            ["Assistant"] = new[]
            {
                @"Backend\PlantProcess.Application\Assistant",
                @"Backend\PlantProcess.Application\AssistantRuntime"
            },
            ["Evidence"] = new[]
            {
                @"Backend\PlantProcess.Application\Provenance",
                @"Backend\PlantProcess.Application\Analytics\Value"
            }
        };
    /// &lt;summary&gt;
    /// Each token is a way of deciding a semantic path, and none of them is a way of
    /// following a key you were given. They are matched against comment-stripped source
    /// so that describing the rule is never mistaken for breaking it.
    /// &lt;/summary&gt;
    private static readonly (string Token, string Why)[] ForbiddenTokens =
    {
        ("plant_relationships", "reads relationship persistence directly"),
        ("plant_relationship_members", "reads relationship persistence directly"),
        ("plant_relationship_paths", "reads relationship persistence directly"),
        ("IRelationshipStore", "injects the relationship store instead of depending on the resolver"),
        ("NpgsqlRelationshipStore", "names the concrete relationship store"),
        ("GetForeignKeys(", "reads foreign-key metadata to decide how two subjects connect"),
        ("IsPreferredPath", "decides preference itself; preference is governed data"),
        ("ShortestPath", "searches for a path instead of asking for one"),
        ("BreadthFirst", "searches for a path instead of asking for one")</t>
  </si>
  <si>
    <t>Backend/PlantProcess.Api/Endpoints/Relationships/RelationshipEndpoints.cs</t>
  </si>
  <si>
    <t>MapRelationshipEndpoints</t>
  </si>
  <si>
    <t>public static class RelationshipEndpoints
{
    public static IEndpointRouteBuilder MapRelationshipEndpoints(this IEndpointRouteBuilder app)
    {
        var group = app
            .MapGroup("/api/relationships")
            .RequireAuthorization()
            .WithTags("Relationships");
        group.MapGet("/", async (
            string? entity,
            IRelationshipService service,
            CancellationToken cancellationToken) =&gt;
        {
            var result = await service.GetPublishedAsync(entity, cancellationToken);
            return result.IsSuccess
                ? Results.Ok(result.Value)
                : Results.Problem(title: result.Error!.Code, detail: result.Error!.Message, statusCode: StatusCodes.Status400BadRequest);
        });
        group.MapGet("/entities", async (
            IRelationshipService service,
            CancellationToken cancellationToken) =&gt;
        {
            var result = await service.GetEntitiesAsync(cancellationToken);
            return result.IsSuccess
                ? Results.Ok(result.Value)
                : Results.Problem(title: result.Error!.Code, detail: result.Error!.Message, statusCode: StatusCodes.Status400BadRequest);
        });
        group.MapGet("/{id:guid}", async (
            Guid id,
            IRelationshipService service,
            CancellationToken cancellationToken) =&gt;
        {
            var result = await service.GetByIdAsync(id, cancellationToken);
            if (result.IsSuccess) return Results.Ok(result.Value);
            return result.Error!.Type == PlantProcess.Application.Common.Results.ApplicationErrorType.NotFound
                ? Results.NotFound(new { code = result.Error!.Code, message = result.Error!.Message })
                : Results.Problem(title: result.Error!.Code, detail: result.Error!.Message, statusCode: StatusCodes.Status400BadRequest);
        });
        group.MapPost("/{id:guid}/validate", async (
            Guid id,
            IRelationshipValidationService validation,
            CancellationToken cancellationToken) =&gt;
        {
            // The body is empty on purpose. The server derives the state from evidence;
            // a request that could name the state it wanted would be a way to assert
            // proof without producing it.
            try
            {
                var result = await validation.ValidateAsync(id, cancellationToken);
                if (result.IsSuccess) return Results.Ok(result.Value);
                return result.Error!.Type == PlantProcess.Application.Common.Results.ApplicationErrorType.NotFound
                    ? Results.NotFound(new { code = result.Error!.Code, message = result.Error!.Message })
                    : Results.Problem(title: result.Error!.Code, detail: result.Error!.Message, statusCode: StatusCodes.Status400BadRequest);
            }
            catch (RelationshipPlanExecutionException unexecutable)
            {
                // The relationship could not be evaluated against the mapped model. Nothing
                // was persisted; the plant is told which member did not map.
                return Results.Problem(
                    title: RelationshipPlanExecutionException.Reason,
                    detail: unexecutable.Message,
                    statusCode: StatusCodes.Status422UnprocessableEntity);
            }
        });
        return app;</t>
  </si>
  <si>
    <t>01_Backend_Core_14Sep2026_104846.txt
9245F5C2BBB60A7C3B387815B560A3FFC8DAECD3F2986937167BBDDAAB1C3945</t>
  </si>
  <si>
    <t>path results</t>
  </si>
  <si>
    <t>var edges = BuildEdges(published.Value!);
        var candidates = FindShortestPaths(edges, from, to);
        if (candidates.Count == 0)
        {
            return Ok(Refuse(from, to, purpose,
                RelationshipRefusalCodes.NoPath,
                $"No declared relationship path connects '{from}' to '{to}'. The model has to say how two things relate before anything may join them.",
                Array.Empty&lt;string&gt;()));
        }
        var names = candidates.Select(Describe).ToList();
        var chosen = candidates.Count == 1 ? candidates[0] : ChoosePreferred(candidates);
        if (chosen is null)
        {
            return Ok(Refuse(from, to, purpose,
                RelationshipRefusalCodes.AmbiguousPath,
                $"'{from}' reaches '{to}' by more than one declared path and none is marked preferred. Both are named rather than one being chosen, because the answer would otherwise depend on which was looked at first: {string.Join(" | ", names)}.",
                names));
        }
        // RL02. Exploration is manual and may traverse an unproven relationship.
        // Everything else is automated, and an automated consumer that trains,
        // scores or projects across an unproven join produces a result nobody
        // can defend.
        if (RelationshipConsumerPurposes.IsAutomated(purpose))
        {
            var unproven = chosen
                .Where(e =&gt; !string.Equals(e.Relationship.ValidationState, RelationshipValidationStates.Validated, StringComparison.Ordinal))
                .Select(e =&gt; e.Relationship.RelationshipCode)
                .OrderBy(c =&gt; c, StringComparer.Ordinal)
                .ToList();
            if (unproven.Count &gt; 0)
            {
                return Ok(Refuse(from, to, purpose,
                    RelationshipRefusalCodes.UnprovenRelationship,
                    $"The path from '{from}' to '{to}' runs through {string.Join(", ", unproven)}, which nobody has proven against real data. '{purpose}' is automated, so it may not use it; manual exploration still may.",
                    names));
            }
        }
        var steps = chosen
            .Select(e =&gt; new RelationshipPathStepDto(e.Relationship.Id, e.From, e.To))
            .ToList();
        return Ok(new RelationshipResolutionDto(
            from, to, purpose, true, steps,
            chosen.Any(e =&gt; e.Relationship.IsGrainConverting),
            null, null, names));</t>
  </si>
  <si>
    <t>Backend/PlantProcess.Application/Integration/Services/Mapping/MappingRowProjector.cs</t>
  </si>
  <si>
    <t>MapMaterialUnitAsync</t>
  </si>
  <si>
    <t>private async Task&lt;RowProjectionOutcome&gt; MapMaterialUnitAsync(
        MappingDefinition mapping,
        RowReader reader,
        StagingRecord stagingRecord,
        MappingExecutionContext context,
        bool previewOnly,
        CancellationToken cancellationToken)
    {
        var materialCode = reader.RequiredString("MaterialCode");
        var materialUnitType = reader.RequiredString("MaterialUnitType");
        var siteRaw = reader.OptionalString("SiteId") ?? reader.OptionalString("SiteCode");
        if (reader.Failed)
            return Refused(reader);
        var siteId = await ResolveSiteIdAsync(reader, siteRaw, cancellationToken);
        if (reader.Failed)
            return Refused(reader);
        // PV07 against the governed catalogue, never against a list written here.
        var typeRefusal = await ClassifyMaterialUnitTypeAsync(materialUnitType!, cancellationToken);
        if (typeRefusal is not null)
            return RowProjectionOutcome.Quarantined(typeRefusal);
        var duplicate = context.ClaimBusinessKey($"MaterialUnit|{siteId}|{materialCode}", stagingRecord.RowNumber);
        if (duplicate.HasValue)
            return RowProjectionOutcome.Quarantined(DuplicateInExecution("MaterialUnit", materialCode!, duplicate.Value));
        var existing = await _dbContext.MaterialUnits
            .AsNoTracking()
            .Where(x =&gt; x.SiteId == siteId &amp;&amp; x.MaterialCode == materialCode)
            .Select(x =&gt; x.Id)
            .FirstOrDefaultAsync(cancellationToken);
        if (existing != Guid.Empty)
        {
            // Lawful idempotency preserved: the existing contract skips, and
            // turning that into PV04 would quarantine correct re-projection.
            if (!previewOnly)
                stagingRecord.MarkSkipped($"MaterialUnit already exists: {materialCode}.");
            return RowProjectionOutcome.Skipped(existing, "MaterialUnit", $"MaterialUnit already exists: {materialCode}.");</t>
  </si>
  <si>
    <t>01_Backend_Core_14Sep2026_104846.txt
B17144B6986CDC3690CA0373BBD642AAE6EFD487FC10D631B831D3C45A537699</t>
  </si>
  <si>
    <t>Backend/PlantProcess.Api/Endpoints/Quarantine/QuarantineEndpoints.cs</t>
  </si>
  <si>
    <t>bounded reprocess surface</t>
  </si>
  <si>
    <t>/// PPIQ T-099. The bounded reprocess surface, and nothing else.
///
/// T-099 owns POST /api/quarantine/reprocess only. List, detail, dismiss and
/// Mapping Health are T-101's, and adding them here early would put unproven
/// product surface in front of a customer.
/// &lt;/summary&gt;
public static class QuarantineEndpoints
{
    public static IEndpointRouteBuilder MapQuarantineEndpoints(this IEndpointRouteBuilder app)
    {
        var group = app.MapGroup("/api/quarantine")
            .WithTags("Quarantine");
        group.MapPost("/reprocess", ReprocessAsync);
        return app;
    }
    private static async Task&lt;IResult&gt; ReprocessAsync(
        ReprocessQuarantineRequest request,
        [FromServices] IProjectionQuarantineReprocessService service,
        CancellationToken cancellationToken)
    {
        var result = await service.ReprocessAsync(request.QuarantineId, request.TenantCode, cancellationToken);
        return result.ToHttpResult(value =&gt; Results.Ok(value));</t>
  </si>
  <si>
    <t>01_Backend_Core_14Sep2026_104846.txt
60DA2F4A57AEA693A515FBE3DEA0441023938C9C3BBB631DB7D30C1F842446C7</t>
  </si>
  <si>
    <t>Backend/database/scripts/841_genealogy_edge_weight_guard_topology_parity.sql</t>
  </si>
  <si>
    <t>narrow topology correction</t>
  </si>
  <si>
    <t>-- PPIQ T-099 (owned by CENTRAL ruling of 13-Sep-2026, option b).
--
-- WHAT WAS WRONG. 550 created the deferred constraint trigger
-- ppiq_genealogy_edge_weight_guard_after_change on public.genealogy_edges with
-- a plpgsql body that reads FROM public.genealogy_edges by name. When the T-090
-- storage topology convergence relocated the table to ppiq_plant, the trigger
-- followed the table, as triggers do, but the function body kept the old
-- schema-qualified name. On any database built from the canonical path every
-- INSERT, UPDATE or DELETE on genealogy_edges therefore fails at COMMIT with
-- 42P01 relation "public.genealogy_edges" does not exist. The first canonical
-- from-zero insert of a GenealogyEdge in the repository's history was T-099's
-- PV04 live gate, which is how this surfaced.
--
-- THE FIX. The function now reads from the relation the trigger actually fired
-- on, TG_TABLE_SCHEMA.TG_TABLE_NAME, so it follows the table under any future
-- placement instead of hard-coding one. Semantics are otherwise unchanged: the
-- same aggregate, the same tolerance, the same exception text, RETURN NULL.
-- Nothing else from 550 is touched. The trigger is not recreated.</t>
  </si>
  <si>
    <t>02_Backend_Database_14Sep2026_104846.txt
A9F5DF32B340D7BE3C37AD111F229894834924F789E8AEA7AFE6BFAAE0FCBC9F</t>
  </si>
  <si>
    <t>ownership</t>
  </si>
  <si>
    <t>/// PPIQ T-099. The bounded reprocess surface, and nothing else.
///
/// T-099 owns POST /api/quarantine/reprocess only. List, detail, dismiss and
/// Mapping Health are T-101's, and adding them here early would put unproven
/// product surface in front of a customer.
/// &lt;/summary&gt;</t>
  </si>
  <si>
    <t>existing validation pattern</t>
  </si>
  <si>
    <t>/// PV07. The catalogue decides, not this file. When the catalogue carries no
    /// active entry the product has not yet governed this vocabulary, and
    /// refusing every row against an empty catalogue would be a false refusal.
    /// &lt;/summary&gt;
    private async Task&lt;RowValidationRefusal?&gt; ClassifyMaterialUnitTypeAsync(string materialUnitType, CancellationToken cancellationToken)
    {
        var governed = await _dbContext.MaterialUnitTypeDefinitions
            .AsNoTracking()
            .AnyAsync(x =&gt; x.IsActive, cancellationToken);
        if (!governed)
            return null;
        var registered = await _dbContext.MaterialUnitTypeDefinitions
            .AsNoTracking()
            .AnyAsync(x =&gt; x.IsActive &amp;&amp; x.MaterialUnitTypeCode == materialUnitType, cancellationToken);
        if (registered)
            return null;
        return new RowValidationRefusal(
            ProjectionValidationCode.PV07,
            $"Material unit type '{materialUnitType}' is not registered in the governed material unit type catalogue.",
            materialUnitType);
    }
    /// &lt;summary&gt;
    /// PV08. The governed parameter definition is the unit authority. A
    /// definition that declares no unit governs nothing, so a supplied unit is
    /// lawful there.
    /// &lt;/summary&gt;
    private async Task&lt;RowValidationRefusal?&gt; ClassifyUnitOfMeasureAsync(
        Guid parameterDefinitionId,
        string? suppliedUnit,
        CancellationToken cancellationToken)
    {
        if (string.IsNullOrWhiteSpace(suppliedUnit))
            return null;
        var governedUnit = await _dbContext.ParameterDefinitions
            .AsNoTracking()
            .Where(x =&gt; x.Id == parameterDefinitionId)
            .Select(x =&gt; x.UnitOfMeasure)
            .FirstOrDefaultAsync(cancellationToken);
        if (string.IsNullOrWhiteSpace(governedUnit))
            return null;
        if (string.Equals(governedUnit, suppliedUnit, StringComparison.OrdinalIgnoreCase))
            return null;
        return new RowValidationRefusal(
            ProjectionValidationCode.PV08,
            $"Unit '{suppliedUnit}' is not the governed unit '{governedUnit}' for this parameter definition.",
            suppliedUnit);
    }
    private static RowValidationRefusal DuplicateInExecution(string entityName, string key, int ownerRowNumber) =&gt;
        new(ProjectionValidationCode.PV05,
            $"Row {ownerRowNumber} in this execution already declares the same governed {entityName} business key.",
            key);</t>
  </si>
  <si>
    <t>MapQuarantineEndpoints</t>
  </si>
  <si>
    <t>Backend/PlantProcess.Application/Integration/Services/Staging/StagingRecordService.cs</t>
  </si>
  <si>
    <t>durable staging identity</t>
  </si>
  <si>
    <t>var exists = await _dbContext.StagingRecords.AnyAsync(x =&gt;
                    x.ImportBatchId == command.ImportBatchId &amp;&amp;
                    x.SourceObjectName == command.SourceObjectName.Trim() &amp;&amp;
                    x.RowNumber == row.RowNumber,
                cancellationToken);
            if (exists)
            {
                rejected.Add(new StagingRecordBulkRejectedRow(row.RowNumber, "Staging record already exists for this import batch/source object/row number."));
                continue;
            }
            var stagingRecord = new StagingRecord(
                importBatchId: command.ImportBatchId,
                sourceObjectName: command.SourceObjectName,
                rowNumber: row.RowNumber,
                rawJson: row.RawJson,
                isSynthetic: command.Metadata.IsSynthetic,
                sourceSystem: command.Metadata.SourceSystem,
                sourceRecordId: row.SourceRecordId ?? command.Metadata.SourceRecordId);
            _dbContext.StagingRecords.Add(stagingRecord);
            accepted++;
        }
        await _dbContext.SaveChangesAsync(cancellationToken);</t>
  </si>
  <si>
    <t>01_Backend_Core_14Sep2026_104846.txt
265AC37E0713AB1B6EFFE4C1CCA8A7D7E6DF29A479D81004D6E050811904CA65</t>
  </si>
  <si>
    <t>MapMaterialAliasAsync</t>
  </si>
  <si>
    <t>var duplicate = context.ClaimBusinessKey($"MaterialAlias|{materialId}|{aliasCode}|{sourceSystem}", stagingRecord.RowNumber);
        if (duplicate.HasValue)
            return RowProjectionOutcome.Quarantined(DuplicateInExecution("MaterialAlias", aliasCode!, duplicate.Value));
        var exists = await _dbContext.MaterialAliases
            .AsNoTracking()
            .AnyAsync(x =&gt; x.MaterialUnitId == materialId &amp;&amp; x.AliasCode == aliasCode &amp;&amp; x.SourceSystem == sourceSystem, cancellationToken);
        if (exists)
        {
            if (!previewOnly)
                stagingRecord.MarkSkipped($"MaterialAlias already exists: {aliasCode}.");
            return RowProjectionOutcome.Skipped(materialId, "MaterialAlias", $"MaterialAlias already exists: {aliasCode}.");
        }
        var alias = new MaterialAlias(materialId!.Value, aliasCode!, sourceSystem, aliasType, stagingRecord.IsSynthetic);
        if (!previewOnly)
        {
            _dbContext.MaterialAliases.Add(alias);
            stagingRecord.MarkMapped(alias.Id, "MaterialAlias");</t>
  </si>
  <si>
    <t>ResolveMaterialIdAsync</t>
  </si>
  <si>
    <t>var materialCode = reader.OptionalString(materialCodeField);
        if (!string.IsNullOrWhiteSpace(materialCode))
        {
            var id = await _dbContext.MaterialUnits
                .AsNoTracking()
                .Where(x =&gt; x.MaterialCode == materialCode)
                .Select(x =&gt; x.Id)
                .FirstOrDefaultAsync(cancellationToken);
            if (id != Guid.Empty)
                return id;
        }
        var aliasCode = reader.OptionalString(aliasCodeField);
        if (!string.IsNullOrWhiteSpace(aliasCode))
        {
            var id = await _dbContext.MaterialAliases
                .AsNoTracking()
                .Where(x =&gt; x.AliasCode == aliasCode)
                .Select(x =&gt; x.MaterialUnitId)
                .FirstOrDefaultAsync(cancellationToken);
            if (id != Guid.Empty)
                return id;</t>
  </si>
  <si>
    <t>Backend/PlantProcess.Infrastructure/Persistence/Configurations/Materials/MaterialAliasConfiguration.cs</t>
  </si>
  <si>
    <t>composite unique</t>
  </si>
  <si>
    <t>builder.HasIndex(x =&gt; x.MaterialUnitId);
        builder.HasIndex(x =&gt; x.AliasCode);
        builder.HasIndex(x =&gt; x.SourceSystem);
        builder.HasIndex(x =&gt; new
        {
            x.MaterialUnitId,
            x.AliasCode,
            x.SourceSystem
        }).IsUnique();</t>
  </si>
  <si>
    <t>01_Backend_Core_14Sep2026_104846.txt
459B290721ED85AA7B6A3A065CEA9F1CDB1308B115F17DDA29237371FC877712</t>
  </si>
  <si>
    <t>Backend/PlantProcess.Infrastructure/Persistence/Configurations/Materials/MaterialUnitConfiguration.cs</t>
  </si>
  <si>
    <t>site/source uniqueness</t>
  </si>
  <si>
    <t>builder.HasIndex(x =&gt; new { x.SiteId, x.MaterialCode }).IsUnique();
        builder.HasIndex(x =&gt; new { x.SourceSystem, x.SourceRecordId })
            .IsUnique()
            .HasFilter("source_system IS NOT NULL AND source_record_id IS NOT NULL");</t>
  </si>
  <si>
    <t>01_Backend_Core_14Sep2026_104846.txt
BA5AB7A87CF5FA3E04B721836720896FC61E27ABF9C3E9352D06E6BE8293C6D1</t>
  </si>
  <si>
    <t>Backend/PlantProcess.Application/Services/Materials/GenealogyService.cs</t>
  </si>
  <si>
    <t>CreateEdgeAsync</t>
  </si>
  <si>
    <t>if (command.ParentMaterialUnitId == Guid.Empty)
            return ApplicationResult&lt;Guid&gt;.Failure(ApplicationError.Validation("Parent material unit ID is required."));
        if (command.ChildMaterialUnitId == Guid.Empty)
            return ApplicationResult&lt;Guid&gt;.Failure(ApplicationError.Validation("Child material unit ID is required."));
        if (command.ParentMaterialUnitId == command.ChildMaterialUnitId)
            return ApplicationResult&lt;Guid&gt;.Failure(ApplicationError.BusinessRule("A material cannot be its own parent."));
        if (string.IsNullOrWhiteSpace(command.RelationshipType))
            return ApplicationResult&lt;Guid&gt;.Failure(ApplicationError.Validation("Relationship type is required."));
        var parentExists = await _dbContext.MaterialUnits
            .AnyAsync(x =&gt; x.Id == command.ParentMaterialUnitId, cancellationToken);
        if (!parentExists)
            return ApplicationResult&lt;Guid&gt;.Failure(ApplicationError.NotFound("Parent material unit does not exist."));
        var childExists = await _dbContext.MaterialUnits
            .AnyAsync(x =&gt; x.Id == command.ChildMaterialUnitId, cancellationToken);
        if (!childExists)
            return ApplicationResult&lt;Guid&gt;.Failure(ApplicationError.NotFound("Child material unit does not exist."));
        var duplicate = await _dbContext.GenealogyEdges.AnyAsync(x =&gt;
                x.ParentMaterialUnitId == command.ParentMaterialUnitId &amp;&amp;
                x.ChildMaterialUnitId == command.ChildMaterialUnitId &amp;&amp;
                x.RelationshipType == command.RelationshipType.Trim(),
            cancellationToken);
        if (duplicate)
            return ApplicationResult&lt;Guid&gt;.Failure(ApplicationError.Conflict("Genealogy edge already exists."));
        var createsCycle = await WouldCreateCycleAsync(
            command.ParentMaterialUnitId,
            command.ChildMaterialUnitId,
            cancellationToken);
        if (createsCycle)
        {
            return ApplicationResult&lt;Guid&gt;.Failure(
                ApplicationError.BusinessRule("Genealogy edge would create a material genealogy cycle."));
        }</t>
  </si>
  <si>
    <t>01_Backend_Core_14Sep2026_104846.txt
19DA9E460A2D722F88729C13B7BBB49CE70DDF5D9F0577D70A44A2C096503D98</t>
  </si>
  <si>
    <t>WouldCreateCycleAsync</t>
  </si>
  <si>
    <t>private async Task&lt;bool&gt; WouldCreateCycleAsync(
        Guid parentMaterialUnitId,
        Guid childMaterialUnitId,
        CancellationToken cancellationToken)
    {
        var visited = new HashSet&lt;Guid&gt;();
        var queue = new Queue&lt;Guid&gt;();
        queue.Enqueue(parentMaterialUnitId);
        while (queue.Count &gt; 0)
        {
            var current = queue.Dequeue();
            if (!visited.Add(current))
                continue;
            if (current == childMaterialUnitId)
                return true;
            var parents = await _dbContext.GenealogyEdges
                .AsNoTracking()
                .Where(x =&gt; x.ChildMaterialUnitId == current)
                .Select(x =&gt; x.ParentMaterialUnitId)
                .ToListAsync(cancellationToken);
            foreach (var parent in parents)
                queue.Enqueue(parent);
        }
        return false;</t>
  </si>
  <si>
    <t>deferred weight check</t>
  </si>
  <si>
    <t>-- Read the relation this trigger fired on, wherever the governed
            -- topology has placed it. Never a hard-coded schema.
            EXECUTE format(
                'SELECT child_material_unit_id, sum(contribution_weight) '
                '  FROM %%I.%%I '
                ' WHERE COALESCE(is_deleted, false) = false '
                ' GROUP BY child_material_unit_id '
                'HAVING abs(sum(contribution_weight) - 1.0) &gt; 0.015 '
                ' LIMIT 1',
                TG_TABLE_SCHEMA, TG_TABLE_NAME)
            INTO bad_child, bad_sum;
            IF bad_child IS NOT NULL THEN
                RAISE EXCEPTION 'Genealogy contribution weights must sum to 1.0 per child. child=%%, sum=%%', bad_child, bad_sum;</t>
  </si>
  <si>
    <t>existing-row skip</t>
  </si>
  <si>
    <t>var existing = await _dbContext.MaterialUnits
            .AsNoTracking()
            .Where(x =&gt; x.SiteId == siteId &amp;&amp; x.MaterialCode == materialCode)
            .Select(x =&gt; x.Id)
            .FirstOrDefaultAsync(cancellationToken);
        if (existing != Guid.Empty)
        {
            // Lawful idempotency preserved: the existing contract skips, and
            // turning that into PV04 would quarantine correct re-projection.
            if (!previewOnly)
                stagingRecord.MarkSkipped($"MaterialUnit already exists: {materialCode}.");
            return RowProjectionOutcome.Skipped(existing, "MaterialUnit", $"MaterialUnit already exists: {materialCode}.");</t>
  </si>
  <si>
    <t>Backend/PlantProcess.Application/Integration/Services/Jobs/JobRunOrchestratorService.cs</t>
  </si>
  <si>
    <t>ResolveDeclaredTargetAsync</t>
  </si>
  <si>
    <t>private async Task&lt;ApplicationResult&gt; ResolveDeclaredTargetAsync(
        JobDefinition job, CancellationToken cancellationToken)
    {
        if (!job.TargetDefinitionId.HasValue)
        {
            ApplicationResult&lt;JobTargetResolution&gt; none =
                await _targetResolver.ResolveAsync(job.JobType, null, cancellationToken);
            return none.IsFailure ? ApplicationResult.Failure(none.Error!) : ApplicationResult.Success();
        }
        if (string.IsNullOrWhiteSpace(job.TargetDefinitionKind) || !job.TargetVersionPolicy.HasValue)
        {
            return ApplicationResult.Failure(ApplicationError.Validation(
                "Job " + job.JobCode + " declares a target identity without a kind or a version policy, "
                + "so nothing can say which definition version it would run."));
        }
        DefinitionKind kind;
        if (!Enum.TryParse(job.TargetDefinitionKind, false, out kind)
            || !Enum.IsDefined(typeof(DefinitionKind), kind))
        {
            return ApplicationResult.Failure(ApplicationError.Validation(
                "Job " + job.JobCode + " declares target kind '" + job.TargetDefinitionKind
                + "', which is not a canonical definition kind."));
        }
        var reference = new JobTargetReference
        {
            Kind = kind,
            DefinitionId = job.TargetDefinitionId.Value,
            VersionPolicy = job.TargetVersionPolicy.Value,
            PinnedVersion = job.TargetDefinitionVersion,
            ParametersJson = job.TargetParametersJson
        };
        ApplicationResult&lt;JobTargetResolution&gt; resolved =
            await _targetResolver.ResolveAsync(job.JobType, reference, cancellationToken);
        return resolved.IsFailure ? ApplicationResult.Failure(resolved.Error!) : ApplicationResult.Success();</t>
  </si>
  <si>
    <t>01_Backend_Core_14Sep2026_104846.txt
825F46CF07A7504EA2BA2BAF66046C9E9A5157B693030F33D8916500E2B64564</t>
  </si>
  <si>
    <t>Backend/PlantProcess.Application/Integration/Services/Jobs/JobDefinitionService.cs</t>
  </si>
  <si>
    <t>schedule validation</t>
  </si>
  <si>
    <t>private static ApplicationError? ValidateCreateRequest(CreateJobDefinitionRequest request)
    {
        if (string.IsNullOrWhiteSpace(request.JobCode))
            return ApplicationError.Validation("Job code is required.");
        if (string.IsNullOrWhiteSpace(request.JobName))
            return ApplicationError.Validation("Job name is required.");
        if (string.IsNullOrWhiteSpace(request.ScheduleExpression))
            return ApplicationError.Validation("Schedule expression is required.");
        return null;
    }
    private static ApplicationError? ValidateUpdateRequest(UpdateJobDefinitionRequest request)
    {
        if (string.IsNullOrWhiteSpace(request.JobName))
            return ApplicationError.Validation("Job name is required.");
        if (string.IsNullOrWhiteSpace(request.ScheduleExpression))
            return ApplicationError.Validation("Schedule expression is required.");
        return null;</t>
  </si>
  <si>
    <t>01_Backend_Core_14Sep2026_104846.txt
68C31E779469792A74EB43E366E2C04CB857A93B4C3485B67F5C9A414B2C731D</t>
  </si>
  <si>
    <t>Backend/PlantProcess.Workers/Worker.cs</t>
  </si>
  <si>
    <t>fixed cadence loops</t>
  </si>
  <si>
    <t>// ── Initial delays (stagger jobs to avoid startup burst) ──────────────
        var nextImportRun = DateTimeOffset.UtcNow.AddSeconds(10);
        var nextScanRun   = DateTimeOffset.UtcNow.AddSeconds(30);
        var nextRiskRun   = DateTimeOffset.UtcNow.AddSeconds(60);
        var nextDeltaRun  = DateTimeOffset.UtcNow.AddSeconds(15);   // ← NEW
        while (!stoppingToken.IsCancellationRequested)
        {
            var now = DateTimeOffset.UtcNow;
            if (importEnabled &amp;&amp; now &gt;= nextImportRun)
            {
                await RunImportQueueProcessorJobAsync(importMaxBatches, importRowsPerBatch, stoppingToken);
                nextImportRun = DateTimeOffset.UtcNow.AddSeconds(importIntervalSeconds);
            }
            if (scanEnabled &amp;&amp; now &gt;= nextScanRun)
            {
                await RunDataQualityScanJobAsync(scanMaxCandidatesPerRule, stoppingToken);
                nextScanRun = DateTimeOffset.UtcNow.AddSeconds(scanIntervalSeconds);
            }
            if (riskEnabled &amp;&amp; now &gt;= nextRiskRun)
            {
                await RunRiskScoringJobAsync(riskType, riskMaxMaterials, stoppingToken);
                nextRiskRun = DateTimeOffset.UtcNow.AddSeconds(riskIntervalSeconds);
            }
            // ── NEW ────────────────────────────────────────────────────────────
            if (deltaEnabled &amp;&amp; now &gt;= nextDeltaRun)
            {
                await RunDeltaImportJobAsync(deltaMaxDatasets, deltaMaxRowsPerDataset, stoppingToken);
                nextDeltaRun = DateTimeOffset.UtcNow.AddSeconds(deltaIntervalSeconds);
            }
            // ──────────────────────────────────────────────────────────────────
            await Task.Delay(TimeSpan.FromSeconds(5), stoppingToken);</t>
  </si>
  <si>
    <t>01_Backend_Core_14Sep2026_104846.txt
D54B2A4C455961B4ED1AFFD0ABA16909B3D6865E2AF201D4E9A28A055EC88842</t>
  </si>
  <si>
    <t>Backend/PlantProcess.Application/Jobs/Dependencies/JobDependencyEvaluator.cs</t>
  </si>
  <si>
    <t>no age/tolerance input</t>
  </si>
  <si>
    <t>public static JobDependencyOutcome Evaluate(
        Guid dependsOnJobDefinitionId,
        bool isRequired,
        int? pinnedVersion,
        Guid? upstreamRunId,
        JobRunStatus? upstreamStatus,
        int? upstreamVersion)</t>
  </si>
  <si>
    <t>01_Backend_Core_14Sep2026_104846.txt
B1583B5EF379E0A155A29490C9618563D6E197265CA356649ED53EC0AA720F4A</t>
  </si>
  <si>
    <t>Satisfied result</t>
  </si>
  <si>
    <t>// stale_accepted would be produced here, and is not. The edge declares a
        // staleness tolerance but the design declares no authority that permits
        // accepting a stale upstream, so this runtime never claims that state.
        return new JobDependencyOutcome(
            dependsOnJobDefinitionId, upstreamRunId, JobDependencyResolution.Satisfied, false,
            pinnedVersion, upstreamVersion,
            "Upstream job " + dependsOnJobDefinitionId + " completed successfully.");</t>
  </si>
  <si>
    <t>Backend/PlantProcess.Application/Integration/Services/Jobs/JobRuntimeService.cs</t>
  </si>
  <si>
    <t>terminal-state switch</t>
  </si>
  <si>
    <t>switch (finalStatus)
        {
            case JobRunStatus.Ok:
                history.MarkSucceeded(message, resultSummaryJson);
                job.MarkSucceeded(history.DurationMs, history.CompletedAtUtc);
                break;
            case JobRunStatus.Failed:
                history.MarkFailed(failureReason ?? message ?? "Job failed.", resultSummaryJson);
                job.MarkFailed(history.FailureReason ?? "Job failed.", history.DurationMs, history.CompletedAtUtc);
                break;
            case JobRunStatus.Timeout:
                history.MarkTimedOut(failureReason ?? message ?? "Job timed out.", resultSummaryJson);
                job.MarkTimedOut(history.FailureReason ?? "Job timed out.", history.DurationMs, history.CompletedAtUtc);
                break;
            default:
                return ApplicationResult&lt;JobRunHistoryDto&gt;.Failure(
                    ApplicationError.Validation("Final job status must be Ok, Failed, or Timeout."));</t>
  </si>
  <si>
    <t>01_Backend_Core_14Sep2026_104846.txt
DE73F04C71484D78FCDD19EAE2A1ACF618E1A9F36E97B88CB0FC118F2F565DF9</t>
  </si>
  <si>
    <t>import result mapping</t>
  </si>
  <si>
    <t>case JobDefinitionType.DbLinkImport:
            {
                var result = await _importBatchQueueProcessorService.ProcessPendingBatchesAsync(
                    maxBatches: 10, rowsPerBatch: 5000, stopOnFirstError: false,
                    runDataQualityScan: false, cancellationToken);
                if (result.IsFailure || result.Value is null)
                {
                    return RunNowExecutionResult.Failed(
                        result.Error?.Message ?? "Import queue processing failed.");
                }
                return RunNowExecutionResult.Ok(
                    $"Import queue completed. Scanned={result.Value.BatchesScanned}, Completed={result.Value.BatchesCompleted}, Failed={result.Value.BatchesFailed}.",
                    JsonSerializer.Serialize(result.Value));</t>
  </si>
  <si>
    <t>ExecuteAsync cadence</t>
  </si>
  <si>
    <t>Backend/PlantProcess.Application/Jobs/Execution/JobExecutionCapability.cs</t>
  </si>
  <si>
    <t>family capability vs capacity</t>
  </si>
  <si>
    <t>public sealed class JobExecutionCapabilityAuthority : IJobExecutionCapabilityAuthority
{
    private static readonly JobDefinitionType[] Executable =
    {
        JobDefinitionType.DbLinkImport,
        JobDefinitionType.DataQualityScan,
        JobDefinitionType.RiskScoring
    };
    public IReadOnlyList&lt;JobDefinitionType&gt; ExecutableFamilies =&gt; Executable;
    public JobExecutionCapability Describe(JobDefinitionType jobType)
    {
        switch (jobType)
        {
            case JobDefinitionType.DbLinkImport:
                return new JobExecutionCapability(
                    jobType, true, JobTargetRequirement.NotUsed, null,
                    "Import queue execution is commissioned in this runtime. Its governing input "
                        + "identity is source, dataset and connection authority, not the definition store.");
            case JobDefinitionType.DataQualityScan:
                return new JobExecutionCapability(
                    jobType, true, JobTargetRequirement.NotUsed, null,
                    "Data quality scanning is commissioned in this runtime. Current authority maps "
                        + "this legacy family to no canonical definition kind.");
            case JobDefinitionType.RiskScoring:
                return new JobExecutionCapability(
                    jobType, true, JobTargetRequirement.NotUsed, null,
                    "Risk scoring is commissioned in this runtime. Current authority maps this "
                        + "legacy family to no canonical definition kind.");</t>
  </si>
  <si>
    <t>01_Backend_Core_14Sep2026_104846.txt
CEA3131502C263934EAD3A5775261B458CAD649FFE554E7F6B7ADD064FE2A5B6</t>
  </si>
  <si>
    <t>Backend/PlantProcess.Application/Integration/Services/SourceSystems/DeltaImportExecutionService.cs</t>
  </si>
  <si>
    <t>read-path selection</t>
  </si>
  <si>
    <t>if (!string.IsNullOrWhiteSpace(effectiveCursorFieldName))
            {
                var request = new DataSourceIncrementalReadRequest(
                    dataset.ConnectionProfileId,
                    dataset.Id,
                    dataset.SourceObjectName,
                    dataset.SourceSchemaName,
                    effectiveCursorFieldName,
                    dataset.LastCursorValue,
                    maxRows,
                    dataset.DatasetOptionsJson);
                rows = await reader.ReadRowsSinceKeyAsync(
                    profile,
                    dataset,
                    request,
                    cancellationToken);
            }
            else
            {
                rows = await reader.ReadRowsAsync(
                    profile,
                    dataset,
                    new DataSourceReadRequest(
                        dataset.ConnectionProfileId,
                        dataset.Id,
                        dataset.SourceObjectName,
                        dataset.SourceSchemaName,
                        maxRows,
                        dataset.DatasetOptionsJson),
                    cancellationToken);
            }</t>
  </si>
  <si>
    <t>01_Backend_Core_14Sep2026_104846.txt
F78DD6FE12FA8F98014A67D7F34256C3EB1C36F5BF9BBB620D1A10F4F9683774</t>
  </si>
  <si>
    <t>row/cursor handling</t>
  </si>
  <si>
    <t>string? maxCursorValue = dataset.LastCursorValue;
            foreach (var row in rows)
            {
                var rawJson = JsonSerializer.Serialize(row.Values);
                var sourceRecordId = TryGetSourceRecordId(
                    row,
                    effectiveCursorFieldName,
                    rowNumber);
                _dbContext.StagingRecords.Add(new StagingRecord(
                    importBatchId: batch.Id,
                    sourceObjectName: dataset.SourceObjectName,
                    rowNumber: rowNumber,
                    rawJson: rawJson,
                    isSynthetic: false,
                    sourceSystem: profile.ProviderType,
                    sourceRecordId: sourceRecordId));
                var candidateCursor = TryGetCursorValue(row, effectiveCursorFieldName);
                if (!string.IsNullOrWhiteSpace(candidateCursor))
                    maxCursorValue = MaxCursor(maxCursorValue, candidateCursor);
                rowNumber++;
            }
            batch.MarkCompleted(rows.Count);
            if (rows.Count &gt; 0)
                dataset.UpdateLastCursorValue(maxCursorValue);
            dataset.ScheduleNextRunAfterSuccess();</t>
  </si>
  <si>
    <t>source identity and MaxCursor</t>
  </si>
  <si>
    <t>private static string TryGetSourceRecordId(
        DataSourceRow row,
        string? cursorFieldName,
        int rowNumber)
    {
        var cursor = TryGetCursorValue(row, cursorFieldName);
        return !string.IsNullOrWhiteSpace(cursor)
            ? cursor
            : rowNumber.ToString();
    }
    private static string? TryGetCursorValue(
        DataSourceRow row,
        string? cursorFieldName)
    {
        if (string.IsNullOrWhiteSpace(cursorFieldName))
            return null;
        if (!row.Values.TryGetValue(cursorFieldName, out var value))
            return null;
        return value?.ToString();
    }
    private static string? MaxCursor(string? current, string candidate)
    {
        if (string.IsNullOrWhiteSpace(current))
            return candidate;
        if (decimal.TryParse(current, out var currentNumber) &amp;&amp;
            decimal.TryParse(candidate, out var candidateNumber))
        {
            return candidateNumber &gt; currentNumber ? candidate : current;
        }
        if (DateTime.TryParse(current, out var currentDate) &amp;&amp;
            DateTime.TryParse(candidate, out var candidateDate))
        {
            return candidateDate &gt; currentDate ? candidate : current;
        }
        return string.Compare(candidate, current, StringComparison.OrdinalIgnoreCase) &gt; 0
            ? candidate
            : current;</t>
  </si>
  <si>
    <t>Backend/PlantProcess.Infrastructure/Connectors/PostgreSql/PostgreSqlConnector.cs</t>
  </si>
  <si>
    <t>scalar LIMIT query</t>
  </si>
  <si>
    <t>public async Task&lt;IReadOnlyList&lt;DataSourceRow&gt;&gt; ReadRowsSinceKeyAsync(
        ConnectionProfile connectionProfile,
        SourceDatasetDefinition datasetDefinition,
        DataSourceIncrementalReadRequest request,
        CancellationToken cancellationToken)
    {
        if (string.IsNullOrWhiteSpace(request.CursorFieldName))
        {
            throw new InvalidOperationException("CursorField is required for PostgreSQL incremental reads.");
        }
        var schemaName = SafeIdentifier(datasetDefinition.SourceSchemaName ?? connectionProfile.SchemaName ?? "public");
        var tableName = SafeIdentifier(datasetDefinition.SourceObjectName);
        var cursorField = SafeIdentifier(request.CursorFieldName);
        var limit = Math.Clamp(request.Limit &lt;= 0 ? 1000 : request.Limit, 1, 5000);
        var sql =
            $"SELECT * FROM \"{schemaName}\".\"{tableName}\" " +
            (string.IsNullOrWhiteSpace(request.LastCursorValue) ? string.Empty : $"WHERE \"{cursorField}\" &gt; @lastCursor ") +
            $"ORDER BY \"{cursorField}\" ASC " +
            "LIMIT @limit;";
        return await ExecuteReadAsync(connectionProfile, sql, command =&gt;
        {
            if (!string.IsNullOrWhiteSpace(request.LastCursorValue)) { command.Parameters.Add(new NpgsqlParameter("lastCursor", NpgsqlTypes.NpgsqlDbType.Unknown) { Value = request.LastCursorValue }); }
            command.Parameters.AddWithValue("limit", limit);
        }, cancellationToken);</t>
  </si>
  <si>
    <t>01_Backend_Core_14Sep2026_104846.txt
49AD494C707A03B848E2731EDB26245FB56B73C46A2EA7484323622263DFD477</t>
  </si>
  <si>
    <t>Backend/PlantProcess.Application/Integration/Protection/ThrottlingDataSourceReader.cs</t>
  </si>
  <si>
    <t>unequal protection</t>
  </si>
  <si>
    <t>public async Task&lt;IReadOnlyList&lt;DataSourceRow&gt;&gt; ReadRowsAsync(
        ConnectionProfile connectionProfile,
        SourceDatasetDefinition datasetDefinition,
        DataSourceReadRequest request,
        CancellationToken cancellationToken)
    {
        var sourceKey = request.ConnectionProfileId.ToString();
        var now = DateTime.UtcNow;
        var budget = _budgetProvider.GetBudget(connectionProfile, datasetDefinition);
        var queriesInLastMinute = _rateLimiter.CountWithinLastMinute(sourceKey, now);
        var decision = SourceLoadProtectionPolicy.Evaluate(
            new SourceQueryRequest(
                HasRowLimit: request.Limit &gt; 0,
                RequestedRowLimit: request.Limit,
                QueriesInLastMinute: queriesInLastMinute,
                NowUtc: TimeOnly.FromDateTime(now)),
            budget);
        if (!decision.Allowed) {
            throw new SourceLoadRejectedException(decision);
        }
        _rateLimiter.Record(sourceKey, now);
        return await _inner.ReadRowsAsync(connectionProfile, datasetDefinition, request, cancellationToken);
    }
    public Task&lt;IReadOnlyList&lt;DataSourceRow&gt;&gt; ReadRowsSinceKeyAsync(
        ConnectionProfile connectionProfile,
        SourceDatasetDefinition datasetDefinition,
        DataSourceIncrementalReadRequest request,
        CancellationToken cancellationToken)
    {
        return _inner.ReadRowsSinceKeyAsync(connectionProfile, datasetDefinition, request, cancellationToken);
    }</t>
  </si>
  <si>
    <t>01_Backend_Core_14Sep2026_104846.txt
F394E1D04C447E69F847EA69BE84FC4CF2C926C832145673BFD8690F63EBA825</t>
  </si>
  <si>
    <t>Backend/PlantProcess.Infrastructure/Integration/Protection/OptionsSourceLoadBudgetProvider.cs</t>
  </si>
  <si>
    <t>global budget</t>
  </si>
  <si>
    <t>public SourceLoadBudget GetBudget(ConnectionProfile? connectionProfile, SourceDatasetDefinition? datasetDefinition)
    {
        return _options.CurrentValue.ToBudget();
    }</t>
  </si>
  <si>
    <t>01_Backend_Core_14Sep2026_104846.txt
16C34774CBD8458200343D2ADF91A1DEDBDF05606357DB5CCE580C96F8334125</t>
  </si>
  <si>
    <t>Backend/PlantProcess.Infrastructure/Persistence/Configurations/Integration/StagingRecordConfiguration.cs</t>
  </si>
  <si>
    <t>existing within-batch uniqueness</t>
  </si>
  <si>
    <t>builder.HasOne&lt;ImportBatch&gt;()
            .WithMany()
            .HasForeignKey(x =&gt; x.ImportBatchId)
            .OnDelete(DeleteBehavior.Restrict);
        builder.HasIndex(x =&gt; x.ImportBatchId);
        builder.HasIndex(x =&gt; new { x.ImportBatchId, x.IsProcessed });
        builder.HasIndex(x =&gt; new { x.ImportBatchId, x.ProcessingStatus });
        builder.HasIndex(x =&gt; new { x.ImportBatchId, x.SourceObjectName, x.RowNumber }).IsUnique();
        builder.HasIndex(x =&gt; x.CanonicalEntityId);
        builder.UsePostgresXminConcurrencyToken();</t>
  </si>
  <si>
    <t>01_Backend_Core_14Sep2026_104846.txt
D4A0266CD34314BB3355A545CC79B236A23A49F83C2B77B07EDB9FCFB626EF3E</t>
  </si>
  <si>
    <t>Backend/tests/PlantProcess.Api.IntegrationTests/Import/DeltaImportResumabilityTests.cs</t>
  </si>
  <si>
    <t>current weak continuation assertions</t>
  </si>
  <si>
    <t>public async Task TwoStageDeltaImport_MaxRowsSmallBatch_DoesNotBreakWatermarks_WhenOptInEnabled()
    {
        if (!IsEnabled()) return;
        using var client = await CreateAuthenticatedClientAsync();
        await AssertSuccessAsync(await client.PostAsync("/admin/two-stage-import/provision-baseline", null), "provision-baseline");
        var smallBatch = await PostRunAsync(client, "/admin/two-stage-import/stage1/run", maxRows: 3, timeoutSeconds: 30, maxMinutes: 1);
        var resumeBatch = await PostRunAsync(client, "/admin/two-stage-import/stage1/run", maxRows: 3, timeoutSeconds: 30, maxMinutes: 1);
        smallBatch.RootElement.TryGetProperty("rows", out var smallRows).Should().BeTrue();
        resumeBatch.RootElement.TryGetProperty("rows", out var resumeRows).Should().BeTrue();
        smallRows.ValueKind.Should().Be(JsonValueKind.Array);
        resumeRows.ValueKind.Should().Be(JsonValueKind.Array);
    }</t>
  </si>
  <si>
    <t>03_Backend_Tests_14Sep2026_104846.txt
1AAD7C1413F4FC64C0050229103B2BA8DF14DAD371D190B11BEC9E1826BEA405</t>
  </si>
  <si>
    <t>available source delta boundary</t>
  </si>
  <si>
    <t>string? maxCursorValue = dataset.LastCursorValue;
            foreach (var row in rows)
            {
                var rawJson = JsonSerializer.Serialize(row.Values);
                var sourceRecordId = TryGetSourceRecordId(
                    row,
                    effectiveCursorFieldName,
                    rowNumber);
                _dbContext.StagingRecords.Add(new StagingRecord(
                    importBatchId: batch.Id,
                    sourceObjectName: dataset.SourceObjectName,
                    rowNumber: rowNumber,
                    rawJson: rawJson,
                    isSynthetic: false,
                    sourceSystem: profile.ProviderType,
                    sourceRecordId: sourceRecordId));
                var candidateCursor = TryGetCursorValue(row, effectiveCursorFieldName);
                if (!string.IsNullOrWhiteSpace(candidateCursor))
                    maxCursorValue = MaxCursor(maxCursorValue, candidateCursor);
                rowNumber++;
            }
            batch.MarkCompleted(rows.Count);
            if (rows.Count &gt; 0)
                dataset.UpdateLastCursorValue(maxCursorValue);
            dataset.ScheduleNextRunAfterSuccess();
            _logger.LogInformation(
                "Delta import completed for dataset {DatasetCode}. Rows={Rows}, NextRunAtUtc={NextRunAtUtc}",
                dataset.DatasetCode,
                rows.Count,
                dataset.NextRunAtUtc);
            return new DeltaDatasetResult(
                dataset.Id.ToString(),
                dataset.DatasetCode,
                rows.Count,
                null);</t>
  </si>
  <si>
    <t>governed automated path</t>
  </si>
  <si>
    <t>// RL02. Exploration is manual and may traverse an unproven relationship.
        // Everything else is automated, and an automated consumer that trains,
        // scores or projects across an unproven join produces a result nobody
        // can defend.
        if (RelationshipConsumerPurposes.IsAutomated(purpose))
        {
            var unproven = chosen
                .Where(e =&gt; !string.Equals(e.Relationship.ValidationState, RelationshipValidationStates.Validated, StringComparison.Ordinal))
                .Select(e =&gt; e.Relationship.RelationshipCode)
                .OrderBy(c =&gt; c, StringComparer.Ordinal)
                .ToList();
            if (unproven.Count &gt; 0)
            {
                return Ok(Refuse(from, to, purpose,
                    RelationshipRefusalCodes.UnprovenRelationship,
                    $"The path from '{from}' to '{to}' runs through {string.Join(", ", unproven)}, which nobody has proven against real data. '{purpose}' is automated, so it may not use it; manual exploration still may.",
                    names));
            }
        }
        var steps = chosen
            .Select(e =&gt; new RelationshipPathStepDto(e.Relationship.Id, e.From, e.To))
            .ToList();
        return Ok(new RelationshipResolutionDto(
            from, to, purpose, true, steps,
            chosen.Any(e =&gt; e.Relationship.IsGrainConverting),
            null, null, names));</t>
  </si>
  <si>
    <t>Backend/PlantProcess.Api/PlantConnectors/V5GaHistorianConnectorEndpoints.cs</t>
  </si>
  <si>
    <t>HistorianConnectorCapabilities</t>
  </si>
  <si>
    <t>public static class HistorianConnectorCapabilities
{
    public const string NotExecutableCode = "OT01";
    public const string NotExecutableMessage =
        "This connector operation is declared but not executable in this build. " +
        "It returns no value rather than a placeholder.";
    public const string ConfigurationValidation = "configurationValidation";
    public const string MappingHintsFromSuppliedTagPaths = "mappingHintsFromSuppliedTagPaths";
    public const string TagBrowse = "tagBrowse";
    public const string BoundedRead = "boundedRead";
    public const string Subscription = "subscription";
    public const string LiveVendorHandshake = "liveVendorHandshake";
    public static readonly IReadOnlyList&lt;ConnectorCapability&gt; All = new[]
    {
        new ConnectorCapability(
            ConfigurationValidation, true,
            "The /test-connection route validates the supplied endpoint and read-only posture and returns no measurement."),
        new ConnectorCapability(
            MappingHintsFromSuppliedTagPaths, true,
            "The /mapping-hints route classifies tag paths the caller supplied. It never supplies tag paths of its own."),
        new ConnectorCapability(
            TagBrowse, false,
            "Real OPC UA namespace browse is not yet implemented."),
        new ConnectorCapability(
            BoundedRead, false,
            "Real OPC UA value acquisition is not yet implemented."),
        new ConnectorCapability(
            Subscription, false,
            "Real OPC UA monitored items and subscriptions are not yet implemented."),
        new ConnectorCapability(
            LiveVendorHandshake, false,
            "Real OPC UA session security, certificate and trust handling is not yet implemented.")
    };
    public static bool IsExecutable(string name)
    {
        foreach (var capability in All)
        {
            if (string.Equals(capability.Name, name, StringComparison.Ordinal))
            {
                return capability.Executable;
            }
        }
        return false;</t>
  </si>
  <si>
    <t>01_Backend_Core_14Sep2026_104846.txt
A45C75DF4E4C2C493195ACC5F08E46E668AF1094AC977729092C961E1AA55790</t>
  </si>
  <si>
    <t>Backend/PlantProcess.Infrastructure/Definitions/Semantics/SignalSemanticsResolver.cs</t>
  </si>
  <si>
    <t>public async Task&lt;ApplicationResult&lt;ResolvedAggregation&gt;&gt; ResolveAsync(
        Guid tenantId,
        Guid parameterId,
        Guid? kpiBindingId,
        AggregationKind? requested,
        CancellationToken cancellationToken)
    {
        var connection = await OpenAsync(cancellationToken);
        await using var command = Command(
            "SELECT resolved_kind, resolution_source, refusal_code, refusal_message, signal_kind, sampling_basis, " +
            "weight_basis, semantics_version FROM ppiq_meta.resolve_aggregation_semantics(@tenant, @parameter, @binding, @requested);",
            connection);
        command.Parameters.Add(new NpgsqlParameter("tenant", NpgsqlDbType.Uuid) { Value = tenantId });
        command.Parameters.Add(new NpgsqlParameter("parameter", NpgsqlDbType.Uuid) { Value = parameterId });
        command.Parameters.Add(new NpgsqlParameter("binding", NpgsqlDbType.Uuid)
        {
            Value = kpiBindingId.HasValue ? kpiBindingId.Value : (object)DBNull.Value
        });
        command.Parameters.Add(new NpgsqlParameter("requested", NpgsqlDbType.Varchar)
        {
            Value = requested.HasValue ? requested.Value.ToString() : (object)DBNull.Value
        });
        await using var reader = await command.ExecuteReaderAsync(cancellationToken);
        if (!await reader.ReadAsync(cancellationToken))
        {
            return ApplicationResult&lt;ResolvedAggregation&gt;.Failure(ApplicationError.Validation(
                AggregationRefusal.SemanticsUndeclared + ": the resolver returned no row."));
        }
        var refusal = reader.IsDBNull(2) ? null : reader.GetString(2);
        if (refusal is not null)
        {
            // The message carries everything ruling 17 asks a failure to name:
            // parameter, signal kind, sampling basis, requested method, source.
            var detail = reader.IsDBNull(3) ? string.Empty : reader.GetString(3);
            var message = refusal + ": " + detail +
                " [parameter=" + parameterId + " signal=" + (reader.IsDBNull(4) ? "none" : reader.GetString(4)) +
                " sampling=" + (reader.IsDBNull(5) ? "none" : reader.GetString(5)) +
                " requested=" + (requested.HasValue ? requested.Value.ToString() : "none") +
                " source=" + reader.GetString(1) + "]";
            return ApplicationResult&lt;ResolvedAggregation&gt;.Failure(ApplicationError.Validation(message));</t>
  </si>
  <si>
    <t>01_Backend_Core_14Sep2026_104846.txt
51509BFC035F69D886A1F448B119075421412EB1E6BE62CA879F6BA03D05C801</t>
  </si>
  <si>
    <t>Frontend/PlantProcess.Web/src/authoring/governedBlockBinding.ts</t>
  </si>
  <si>
    <t>not analytics mathematics</t>
  </si>
  <si>
    <t>// Governed aggregate/window binding for Canvas.
//
// This module owns NO aggregation vocabulary and NO window catalogue.
// It consumes canonical metadata/options produced elsewhere and copies only
// published authority into node data. Missing aggregation is AG01. Nothing
// silently becomes Average, and nothing invents a window.
//
// T-245 later compiles these validated declarations onto governed runtime
// contracts. This module deliberately performs no analytics mathematics.</t>
  </si>
  <si>
    <t>04_Frontend_App_14Sep2026_104846.txt
FA679E784FE6955D66CB844F2B02D3D81AE4CCB5CE40E3C879A70D824E3C0885</t>
  </si>
  <si>
    <t>Backend/PlantProcess.Api/Endpoints/CustomerAssessmentEndpoints.cs</t>
  </si>
  <si>
    <t>assessment routes and tenant gate</t>
  </si>
  <si>
    <t>public static class CustomerAssessmentEndpoints
    {
        public const string BasePath = "/api/onboarding/assessments";
        // The tenant reader is stateless and delegates to the existing tenancy
        // authority. It is held here rather than injected, because an
        // interface-typed handler parameter that is not a registered service
        // makes ASP.NET Core infer it as a request body: two inferred bodies
        // on POST and an inferred body on GET both throw while the endpoint
        // table is built, which fails host startup - and every test sharing
        // that host then reports a disposed service provider. Nothing about
        // the reader's semantics changed; only how the handlers reach it.
        private static readonly ICustomerAssessmentTenantReader Tenants = new CustomerAssessmentTenantReader();
        public static IEndpointRouteBuilder MapCustomerAssessmentEndpoints(this IEndpointRouteBuilder routes)
        {
            RouteGroupBuilder group = routes.MapGroup(BasePath).RequireAuthorization();
            group.MapPost("/", AssessAsync);
            group.MapGet("/{lineageCode}/latest", LatestAsync);
            group.MapGet("/{lineageCode}/versions/{versionNumber:int}", VersionAsync);
            group.MapGet("/{lineageCode}/diff", DiffAsync);
            return routes;
        }
        private static async Task&lt;IResult&gt; AssessAsync(
            HttpContext context,
            CustomerAssessmentRequest request,
            [FromServices] ICustomerAssessmentService service,
            CancellationToken cancellationToken)
        {
            Guid tenantId;
            if (!Tenants.TryResolve(context, out tenantId) || tenantId == Guid.Empty)
            {
                return Results.Forbid();
            }
            if (request == null || request.Intake == null)
            {</t>
  </si>
  <si>
    <t>01_Backend_Core_14Sep2026_104846.txt
F31F40CD8F585BFC6B17C3038DA79F96F6C80D13ECE838648DE52939A7A868F9</t>
  </si>
  <si>
    <t>Backend/PlantProcess.Infrastructure/Connectors/Historian/OpcUaHistorianConnector.cs</t>
  </si>
  <si>
    <t>configuration test</t>
  </si>
  <si>
    <t>public Task&lt;DataSourceConnectionTestResult&gt; TestConnectionAsync(
        ConnectionProfile connectionProfile,
        CancellationToken cancellationToken)
    {
        try
        {
            cancellationToken.ThrowIfCancellationRequested();
            var endpointUrl = FirstNonEmpty(
                connectionProfile.ApiBaseUrl,
                GetJsonString(connectionProfile.ConnectionOptionsJson, "endpointUrl", "opcEndpointUrl", "historianEndpointUrl"),
                connectionProfile.HostName);
            if (string.IsNullOrWhiteSpace(endpointUrl))
                return Task.FromResult(Failure("Historian connector requires ApiBaseUrl, HostName, or connectionOptionsJson.endpointUrl."));
            var namespaceUri = FirstNonEmpty(
                GetJsonString(connectionProfile.ConnectionOptionsJson, "namespaceUri", "namespace", "tagNamespace"),
                connectionProfile.SchemaName);
            var readOnly = GetJsonBool(connectionProfile.ConnectionOptionsJson, "readOnly") ?? connectionProfile.ReadOnlyEnforced;
            var requireLiveHandshake = GetJsonBool(connectionProfile.ConnectionOptionsJson, "requireLiveHandshake") ?? false;
            if (!readOnly)
                return Task.FromResult(Failure("Historian connector is read-only. Set readOnly=true / ReadOnlyEnforced=true."));
            if (requireLiveHandshake)
                return Task.FromResult(Failure("Live vendor handshake was requested, but no customer historian gateway is attached in this environment. Configuration is not marked as reachable."));
            var metadata = new Dictionary&lt;string, string?&gt;
            {
                ["providerType"] = ProviderType,
                ["mode"] = "read-only-gateway",
                ["endpointUrl"] = endpointUrl,
                ["namespaceUri"] = namespaceUri,
                ["readOnly"] = readOnly.ToString(CultureInfo.InvariantCulture),
                ["supportsTagBrowse"] = "true",
                ["supportsBoundedRead"] = "true",
                ["supportsMappingHints"] = "true",
                ["liveHandshake"] = "environment-specific"
            };
            _lastError = null;
            return Task.FromResult(new DataSourceConnectionTestResult(
                IsSuccess: true,
                Message: "Historian gateway configuration is valid for read-only onboarding. Live vendor handshake remains environment-specific.",
                TestedAtUtc: DateTime.UtcNow,
                Metadata: metadata));</t>
  </si>
  <si>
    <t>01_Backend_Core_14Sep2026_104846.txt
D9953F23C2E7C2E841D49E46901D3EAD698C03423ACAF6C2D2FEB2250523B314</t>
  </si>
  <si>
    <t>live capability declarations</t>
  </si>
  <si>
    <t>new ConnectorCapability(
            TagBrowse, false,
            "Real OPC UA namespace browse is not yet implemented."),
        new ConnectorCapability(
            BoundedRead, false,
            "Real OPC UA value acquisition is not yet implemented."),
        new ConnectorCapability(
            Subscription, false,
            "Real OPC UA monitored items and subscriptions are not yet implemented."),
        new ConnectorCapability(
            LiveVendorHandshake, false,
            "Real OPC UA session security, certificate and trust handling is not yet implemented.")</t>
  </si>
  <si>
    <t>browse/read/subscription capability state</t>
  </si>
  <si>
    <t>public static readonly IReadOnlyList&lt;ConnectorCapability&gt; All = new[]
    {
        new ConnectorCapability(
            ConfigurationValidation, true,
            "The /test-connection route validates the supplied endpoint and read-only posture and returns no measurement."),
        new ConnectorCapability(
            MappingHintsFromSuppliedTagPaths, true,
            "The /mapping-hints route classifies tag paths the caller supplied. It never supplies tag paths of its own."),
        new ConnectorCapability(
            TagBrowse, false,
            "Real OPC UA namespace browse is not yet implemented."),
        new ConnectorCapability(
            BoundedRead, false,
            "Real OPC UA value acquisition is not yet implemented."),
        new ConnectorCapability(
            Subscription, false,
            "Real OPC UA monitored items and subscriptions are not yet implemented."),
        new ConnectorCapability(
            LiveVendorHandshake, false,
            "Real OPC UA session security, certificate and trust handling is not yet implemented.")</t>
  </si>
  <si>
    <t>metadata-only legacy claim</t>
  </si>
  <si>
    <t>var metadata = new Dictionary&lt;string, string?&gt;
            {
                ["providerType"] = ProviderType,
                ["mode"] = "read-only-gateway",
                ["endpointUrl"] = endpointUrl,
                ["namespaceUri"] = namespaceUri,
                ["readOnly"] = readOnly.ToString(CultureInfo.InvariantCulture),
                ["supportsTagBrowse"] = "true",
                ["supportsBoundedRead"] = "true",
                ["supportsMappingHints"] = "true",
                ["liveHandshake"] = "environment-specific"
            };
            _lastError = null;
            return Task.FromResult(new DataSourceConnectionTestResult(
                IsSuccess: true,
                Message: "Historian gateway configuration is valid for read-only onboarding. Live vendor handshake remains environment-specific.",</t>
  </si>
  <si>
    <t>upstream live-operation boundary</t>
  </si>
  <si>
    <t>Backend/PlantProcess.Analytics.Core/Kernel/Time/SourceTimeAuthorityKernel.cs</t>
  </si>
  <si>
    <t>existing time kernel</t>
  </si>
  <si>
    <t>public static SourceTimeResolution Resolve(
        SourceTimeAuthorityRegistry registry,
        string? sourceKey,
        string? signalKey,
        RawSourceTime raw)
    {
        ArgumentNullException.ThrowIfNull(registry);
        ArgumentNullException.ThrowIfNull(raw);
        if (!registry.TryGetSignal(sourceKey, signalKey, out var declaration) || declaration is null)
        {
            return Refuse(SourceTimeCodes.SignalNotDeclared);
        }
        var offset = ResolveOffset(declaration, raw, out var localValue, out var offsetCode);
        if (offset is null)
        {
            return Refuse(offsetCode);
        }
        if (!SourceTimeAuthorityRegistry.IsOffsetInRange(offset.Value))
        {
            return Refuse(SourceTimeCodes.OffsetDeclarationConflict);
        }
        var instant = new DateTimeOffset(
            DateTime.SpecifyKind(localValue, DateTimeKind.Unspecified),
            offset.Value);
        return new SourceTimeResolution(
            IsResolved: true,
            new TemporalInstant(
                instant,
                declaration.Role,
                declaration.SourceKey,
                declaration.SignalKey,
                declaration.Uncertainty),
            SourceTimeCodes.TimeResolved,
            TerminalState.Finding,
            ExclusionAttribution.None);</t>
  </si>
  <si>
    <t>01_Backend_Core_14Sep2026_104846.txt
3B93B5E6473747838D639C016E970CC96D29F28B56F7A9199E9C1B2282B2BF14</t>
  </si>
  <si>
    <t>existing semantic infrastructure only</t>
  </si>
  <si>
    <t>Resolve / ResolveAs</t>
  </si>
  <si>
    <t>public static SourceTimeResolution Resolve(
        SourceTimeAuthorityRegistry registry,
        string? sourceKey,
        string? signalKey,
        RawSourceTime raw)
    {
        ArgumentNullException.ThrowIfNull(registry);
        ArgumentNullException.ThrowIfNull(raw);
        if (!registry.TryGetSignal(sourceKey, signalKey, out var declaration) || declaration is null)
        {
            return Refuse(SourceTimeCodes.SignalNotDeclared);
        }
        var offset = ResolveOffset(declaration, raw, out var localValue, out var offsetCode);
        if (offset is null)
        {
            return Refuse(offsetCode);
        }
        if (!SourceTimeAuthorityRegistry.IsOffsetInRange(offset.Value))
        {
            return Refuse(SourceTimeCodes.OffsetDeclarationConflict);
        }
        var instant = new DateTimeOffset(
            DateTime.SpecifyKind(localValue, DateTimeKind.Unspecified),
            offset.Value);
        return new SourceTimeResolution(
            IsResolved: true,
            new TemporalInstant(
                instant,
                declaration.Role,
                declaration.SourceKey,
                declaration.SignalKey,
                declaration.Uncertainty),
            SourceTimeCodes.TimeResolved,
            TerminalState.Finding,
            ExclusionAttribution.None);
    }
    /// &lt;summary&gt;
    /// Resolve a raw timestamp and require that the signal was declared to answer a
    /// particular question. The role is verified against the declaration, never imposed
    /// on it.
    /// &lt;/summary&gt;
    public static SourceTimeResolution ResolveAs(
        SourceTimeAuthorityRegistry registry,
        string? sourceKey,
        string? signalKey,
        TimeRole requiredRole,
        RawSourceTime raw)
    {
        ArgumentNullException.ThrowIfNull(registry);
        if (!registry.TryGetSignal(sourceKey, signalKey, out var declaration) || declaration is null)
        {
            return Refuse(SourceTimeCodes.SignalNotDeclared);
        }
        if (declaration.Role != requiredRole)
        {
            // Arrival time is always available and almost never the answer. A product
            // that substitutes it produces a complete, plausible, wrong timeline.
            return Refuse(requiredRole == TimeRole.Effective
                ? SourceTimeCodes.EffectiveTimeUnavailable
                : SourceTimeCodes.RoleNotAuthorised);
        }
        return Resolve(registry, sourceKey, signalKey, raw);</t>
  </si>
  <si>
    <t>current material time fields</t>
  </si>
  <si>
    <t>var productFamily = reader.OptionalString("ProductFamily");
        var gradeOrRecipe = reader.OptionalString("GradeOrRecipe");
        var sourceRecordId = reader.OptionalString("SourceRecordId");
        var startUtc = reader.OptionalDateTime("ProductionStartUtc");
        var endUtc = reader.OptionalDateTime("ProductionEndUtc");
        var offsetMinutes = reader.OptionalInt("PlantUtcOffsetMinutes");
        var timeZoneId = reader.OptionalString("PlantTimeZoneId");
        if (reader.Failed)
            return Refused(reader);
        var material = new MaterialUnit(
            materialCode: materialCode!,
            materialUnitType: materialUnitType!,
            siteId: siteId!.Value,
            productFamily: productFamily,
            gradeOrRecipe: gradeOrRecipe,
            isSynthetic: stagingRecord.IsSynthetic,
            sourceSystem: stagingRecord.SourceSystem ?? mapping.SourceSystem,
            sourceRecordId: stagingRecord.SourceRecordId ?? sourceRecordId);
        if (startUtc.HasValue)
        {
            material.SetProductionWindow(
                startUtc.Value,
                endUtc,
                TimeSpan.FromMinutes(offsetMinutes ?? 0),
                timeZoneId ?? "UTC");</t>
  </si>
  <si>
    <t>Backend/PlantProcess.Analytics.Core/Kernel/Regime/TransitionAwarePoolingGuard.cs</t>
  </si>
  <si>
    <t>Admit</t>
  </si>
  <si>
    <t>public static PoolingAdmission Admit(
        OperationalTransitionRegistry registry,
        string? scopeKey,
        IReadOnlyList&lt;RegimeScopedSample&gt; samples,
        StabilisationObservation observation)
    {
        ArgumentNullException.ThrowIfNull(registry);
        ArgumentNullException.ThrowIfNull(samples);
        ArgumentNullException.ThrowIfNull(observation);
        if (samples.Count == 0 || samples.Any(s =&gt; s is null))
        {
            // An empty population is not a population that agrees with itself. Returning
            // an admission here would let a downstream statistic report a confident
            // answer computed from nothing.
            return Refuse(PoolingGuardCodes.EmptyPopulation, 0);
        }
        if (!DeclaredKey.TryNormalise(scopeKey, out var scope))
        {
            return Refuse(OperationalTransitionCodes.ScopeNotDeclared, samples.Count);
        }
        if (samples.Any(s =&gt; !string.Equals(Normalise(s.ScopeKey), scope, StringComparison.Ordinal)))
        {
            // Samples from different scopes have different declared transitions, so a
            // single regime verdict would not mean anything.
            return Refuse(PoolingGuardCodes.HeterogeneousScope, samples.Count);
        }
        var regimes = new List&lt;OperationalRegime&gt;();
        foreach (var sample in samples)
        {
            var atPoint = registry.IsScopeDeclared(scope)
                ? OperationalTransitionKernel.ClassifyInstant(registry, scope, sample.Instant.Instant, observation)
                : null;
            if (atPoint is null || !atPoint.IsDecided)
            {
                // The regime classifier's refusal is the guard's refusal. Nothing here
                // second-guesses it.
                return Refuse(atPoint?.Code ?? OperationalTransitionCodes.ScopeNotDeclared, samples.Count);
            }
            var earliest = OperationalTransitionKernel.ClassifyInstant(registry, scope, sample.Instant.EarliestPossible, observation);
            var latest = OperationalTransitionKernel.ClassifyInstant(registry, scope, sample.Instant.LatestPossible, observation);
            if (!earliest.IsDecided) return Refuse(earliest.Code, samples.Count);
            if (!latest.IsDecided) return Refuse(latest.Code, samples.Count);
            if (earliest.Regime != atPoint.Regime || latest.Regime != atPoint.Regime)
            {
                // This sample could have been taken on either side of a changeover. Which
                // side its point estimate happens to land on is not evidence.
                return Refuse(PoolingGuardCodes.SampleRegimeTemporallyUncertain, samples.Count);</t>
  </si>
  <si>
    <t>01_Backend_Core_14Sep2026_104846.txt
4395CEFB50AAC94D6917511AE5E2A68E42A123B30E4A123E8ED9FBAA09A00209</t>
  </si>
  <si>
    <t>time interpretation</t>
  </si>
  <si>
    <t>Frontend/PlantProcess.Web/src/authoring/graphSemantics.ts</t>
  </si>
  <si>
    <t>typed-port authority</t>
  </si>
  <si>
    <t>import {
  FILTER_OPERATORS, MATH_OPERATORS, isUnaryFilterOperator,
  fieldDisplayName, hasResolvableLineage, type FieldLineage,
} from "./operatorContract";
import type {
  DerivedSpec, FilterSpec, MapperGraph, SelectSpec, StagedDataset,
} from "@/api/canvasApi";
// Port typing lives in the canvas layer and is pure, so the refusal set can
// use it without pulling any React into this module.
import { inferPortType, portsCompatible, type PortType } from "@/canvas/ports";
import { parameterValueProblem } from "./blockParameters";
import { contractForKind } from "./blockRegistry";
/**
 * A field as the BOARD sees it.
 *
 * FieldLineage, frozen in T-033a, describes a PHYSICAL field: origin table,
 * origin column, SQL type, display identity. A DERIVED column is a real field
 * of the downstream dataset - it has a name and a known type - but it has no</t>
  </si>
  <si>
    <t>04_Frontend_App_14Sep2026_104846.txt
7F3AC3414B1A2CB82B36999804E4C04BB324CB52F297402848500231B4D69A9F</t>
  </si>
  <si>
    <t>Frontend/PlantProcess.Web/src/authoring/blockRegistry.ts</t>
  </si>
  <si>
    <t>capability separation</t>
  </si>
  <si>
    <t>// T-242 Stage 3. THE REGISTRY IS NOW THE ONLY BLOCK CATALOGUE.
//
// It previously shared that job with four hardcoded maps in the authoring
// shell - an addable-id list, a block-id-to-kind map, a kind-to-title map and
// a seed ternary - so adding one family meant editing four places that could
// disagree with each other and with this file. A row here is now the whole
// declaration: identity, kind, title, ports, group, starting parameters and
// what the product can actually DO with the block.
export interface BlockGroupDefinition {
  id: string;
  label: string;
  /** Section 5.2.14 - the advanced set is collapsed by default, never hidden. */
  advanced: boolean;
}
/**
 * WHAT THE PRODUCT CAN DO WITH A BLOCK, stated as separate facts rather than
 * one overloaded boolean nobody can define a year later.
 *
 *   implemented  its behaviour and validation exist;
 *   evaluable    the deterministic block algebra can compute it;
 *   persistable  the canonical save/version/reopen path can REPRESENT it.
 *
 * These are independent. A relational block is implemented and persistable but
 * not evaluable, because its meaning is a SELECT the server runs. A compute
 * block is implemented and evaluable but not yet persistable, because the
 * transformation representation cannot carry it.
 */
export interface BlockCapabilities {
  readonly evaluable: boolean;
  readonly persistable: boolean;
}</t>
  </si>
  <si>
    <t>04_Frontend_App_14Sep2026_104846.txt
BF4E22FC0ABF9F26AF3B9DCDBA1428BCBCE3198B7D009C828055AF54B95D0C85</t>
  </si>
  <si>
    <t>one catalogue and separate capabilities</t>
  </si>
  <si>
    <t>handoff boundary</t>
  </si>
  <si>
    <t>AG01 behavior</t>
  </si>
  <si>
    <t>export function bindGovernedAggregate(
  metadata: CanonicalRegistryMetadata,
  measureCode: string,
): GovernedAggregateBinding {
  const code = clean(measureCode);
  const measures = Array.isArray(metadata.measures) ? metadata.measures : [];
  const measure = measures.find((item) =&gt; clean(item.code) === code);
  if (!measure) {
    return {
      ok: false,
      refusal: {
        code: "MEASURE_AUTHORITY_UNDECLARED",
        message: "The selected measure is not published by canonical registry metadata.",
      },
    };
  }
  const refusal = (Array.isArray(metadata.refusals) ? metadata.refusals : [])
    .find((item) =&gt; clean(item.code) === code &amp;&amp; clean(item.errorCode) === "AG01");
  const aggregation = clean(measure.aggregation);
  if (refusal || aggregation.length === 0) {
    return {
      ok: false,
      refusal: {
        code: "AG01",
        message: clean(refusal?.message) || "aggregation_semantics_undeclared",
      },</t>
  </si>
  <si>
    <t>Backend/PlantProcess.Application/Definitions/Canvas/CanvasDefinitionContent.cs</t>
  </si>
  <si>
    <t>canonical graph/board content</t>
  </si>
  <si>
    <t>public static string ForGraph(string graphJson, string outputTarget)
    {
        if (string.IsNullOrWhiteSpace(outputTarget))
        {
            throw new ArgumentException(
                "A governed output target is required. It is never defaulted.", nameof(outputTarget));
        }
        var graph = ParseObject(graphJson, "graph");
        var declared = TrimmedOrNull(graph[GraphTargetEntity]);
        var target = outputTarget.Trim();
        // T-243. The browser sends the board INSIDE the graph payload, because that is
        // the one blob the existing session draft carries and this task introduces no
        // second transport. It is lifted out here so the stored graph stays the clean
        // execution shape the SQL generator reads, and the board stands on its own.
        JsonNode? board = null;
        if (graph[RootBoard] is JsonNode authored)
        {
            board = authored.DeepClone();
            graph.Remove(RootBoard);
        }
        if (declared is not null &amp;&amp; !string.Equals(declared, target, StringComparison.Ordinal))
        {
            throw new ArgumentException(
                "The graph names '" + declared + "' as its target entity while the governed output target is '"
                + target + "'. One definition cannot carry two output identities.",
                nameof(outputTarget));
        }
        // T-262. The declaration rides inside the graph payload for the same reason the
        // board does: the session draft is one blob and this task introduces no second
        // transport. It is lifted to the root so the stored graph stays the clean
        // execution shape, and the declaration stands beside it as its own fact.
        JsonNode? projection = null;
        if (graph[RootProjection] is JsonNode declared2)
        {
            projection = declared2.DeepClone();
            graph.Remove(RootProjection);
        }
        var root = new JsonObject
        {
            ["graph"] = Canonicalise(graph),
            [RootOutputTarget] = target,
            ["representation"] = RepresentationGraph,
        };
        if (board is not null)
        {
            root[RootBoard] = Canonicalise(board);
        }
        if (projection is not null)
        {
            root[RootProjection] = Canonicalise(projection);
        }</t>
  </si>
  <si>
    <t>01_Backend_Core_14Sep2026_104846.txt
247AF15F98CF2A8AF8C4C2FE634C9A55738829B1DE435C5BBC417D1F0B82A347</t>
  </si>
  <si>
    <t>Backend/PlantProcess.Infrastructure/Definitions/Canvas/CanvasDefinitionLifecycleService.cs</t>
  </si>
  <si>
    <t>publish transaction</t>
  </si>
  <si>
    <t>await using var transaction = await _db.Database.BeginTransactionAsync(cancellationToken);
        var published = await _writer.PublishAsync(definitionId, versionNumber, cancellationToken);
        if (published.IsFailure)
        {
            await transaction.RollbackAsync(cancellationToken);
            return ApplicationResult&lt;CanvasDefinitionVersion&gt;.Failure(published.Error!);
        }
        var version = published.Value!;
        var representation = CanvasDefinitionContent.Read(version.ContentJson);
        try
        {
            var connection = (NpgsqlConnection)_db.Database.GetDbConnection();
            var npgsqlTransaction = (NpgsqlTransaction)transaction.GetDbTransaction();
            if (representation.Representation == CanvasDefinitionContent.RepresentationGraph)
            {
                if (handles.SessionId is null)
                {
                    await transaction.RollbackAsync(cancellationToken);
                    return Refuse("A graph definition cannot be published without its session handle for the execution projection.");
                }
                await _projection.ProjectGraphVersionAsync(
                    connection, npgsqlTransaction,
                    tenantId, handles.SessionId.Value, version.VersionNumber,
                    representation.GraphJson ?? "{}",
                    handles.PublishedBy ?? "canvas",
                    cancellationToken);
            }
            else
            {
                // Built as a JsonObject rather than an anonymous type. The
                // forked graph is already JSON text, and a nullable
                // JsonElement in an anonymous object has no inferable common
                // type with null - it is a value type. Composing the node
                // keeps the absent case genuinely absent instead of emitting
                // a null the projection would have to interpret.
                var projectionNode = new JsonObject
                {
                    ["body"] = "sql",
                    ["sql"] = representation.Sql,
                    ["canonicalDefinitionId"] = definitionId.ToString(),
                    ["canonicalVersion"] = version.VersionNumber,
                };
                if (!string.IsNullOrWhiteSpace(representation.ForkedFromGraphJson))
                {
                    projectionNode["forkedFromGraph"] = JsonNode.Parse(representation.ForkedFromGraphJson);
                }
                var definitionJson = projectionNode.ToJsonString();
                await _projection.ProjectSqlVersionAsync(
                    connection, npgsqlTransaction,
                    definitionCode.Trim(), handles.DisplayName, handles.CanonicalEntity,
                    version.VersionNumber, definitionJson, SqlProjectionStatus,
                    cancellationToken);
            }
        }
        catch (Exception ex) when (ex is NpgsqlException or InvalidOperationException)
        {
            // The canonical publish succeeded inside this transaction and the
            // projection did not. Neither survives: that is the whole point.
            await transaction.RollbackAsync(cancellationToken);
            return ApplicationResult&lt;CanvasDefinitionVersion&gt;.Failure(ApplicationError.Infrastructure(
                "Published nothing. The execution projection failed and the canonical publish was rolled back with it: " + ex.Message));</t>
  </si>
  <si>
    <t>01_Backend_Core_14Sep2026_104846.txt
BBB6A7BC44D5A51F537E5142EBA51F450F12BB3F6D0C29673346F587A1F4802B</t>
  </si>
  <si>
    <t>existing publication seam</t>
  </si>
  <si>
    <t>ForSql</t>
  </si>
  <si>
    <t>public static string ForSql(
        string normalisedSql,
        string? forkedFromGraphJson,
        string outputTarget,
        string? projectionDeclarationJson = null)
    {
        if (string.IsNullOrWhiteSpace(normalisedSql))
        {
            throw new ArgumentException("Authored SQL is required.", nameof(normalisedSql));
        }
        // T-253. Before this task the SQL target reached the store only as a projection
        // handle, which the lifecycle contract itself states is outside the hash. It
        // could not survive a version and reopen could not return it. It is canonical
        // content now.
        if (string.IsNullOrWhiteSpace(outputTarget))
        {
            throw new ArgumentException(
                "A governed output target is required. It is never defaulted.", nameof(outputTarget));
        }
        var root = new JsonObject
        {
            [RootOutputTarget] = outputTarget.Trim(),
            ["representation"] = RepresentationSql,
            ["sql"] = normalisedSql,
        };
        if (!string.IsNullOrWhiteSpace(forkedFromGraphJson))
        {
            root["forkedFromGraph"] = Canonicalise(ParseObject(forkedFromGraphJson, "forkedFromGraph"));
        }</t>
  </si>
  <si>
    <t>SQL publish path</t>
  </si>
  <si>
    <t>else
            {
                // Built as a JsonObject rather than an anonymous type. The
                // forked graph is already JSON text, and a nullable
                // JsonElement in an anonymous object has no inferable common
                // type with null - it is a value type. Composing the node
                // keeps the absent case genuinely absent instead of emitting
                // a null the projection would have to interpret.
                var projectionNode = new JsonObject
                {
                    ["body"] = "sql",
                    ["sql"] = representation.Sql,
                    ["canonicalDefinitionId"] = definitionId.ToString(),
                    ["canonicalVersion"] = version.VersionNumber,
                };
                if (!string.IsNullOrWhiteSpace(representation.ForkedFromGraphJson))
                {
                    projectionNode["forkedFromGraph"] = JsonNode.Parse(representation.ForkedFromGraphJson);
                }
                var definitionJson = projectionNode.ToJsonString();
                await _projection.ProjectSqlVersionAsync(
                    connection, npgsqlTransaction,
                    definitionCode.Trim(), handles.DisplayName, handles.CanonicalEntity,
                    version.VersionNumber, definitionJson, SqlProjectionStatus,
                    cancellationToken);
            }
        }
        catch (Exception ex) when (ex is NpgsqlException or InvalidOperationException)
        {
            // The canonical publish succeeded inside this transaction and the
            // projection did not. Neither survives: that is the whole point.
            await transaction.RollbackAsync(cancellationToken);
            return ApplicationResult&lt;CanvasDefinitionVersion&gt;.Failure(ApplicationError.Infrastructure(
                "Published nothing. The execution projection failed and the canonical publish was rolled back with it: " + ex.Message));</t>
  </si>
  <si>
    <t>Frontend/PlantProcess.Web/src/api/canvasApi.ts</t>
  </si>
  <si>
    <t>SQL run/save API adapter</t>
  </si>
  <si>
    <t>export type RunSqlResult = {
  status: string; rowCount: number; columns: string[]; rows: unknown[][];
  message: string; errorCode: string | null; sql: string | null; appliedRowLimit: number;
  // T-036. The database's own type per column, from the reader's metadata.
  // Optional: the refusal and failure paths have no columns to describe, and a
  // client built before this landed is still a valid client. The browser NEVER
  // infers a type from a sample value.
  columnDetails?: AuthoredColumn[] | null;
};
export type SaveSqlVersionResult = {
  saved: boolean; versionNumber: number; id: string | null; message: string; errorCode: string | null;
};
export const runAuthoredSql = (sql: string, rowLimit = 100) =&gt;
  apiClient.post&lt;RunSqlResult&gt;("/api/prep/sql/run", { sql, rowLimit });
// T-253. THE GOVERNED OUTPUT TARGET.
//
// outputTarget is the canonical identity a definition writes to and it is REQUIRED.
// canonicalEntity survives only as the legacy execution-projection handle; it is not
// an alternative way to say the same thing, and the shell no longer sends it.
export const saveSqlVersion = (body: {
  code: string; displayName: string; canonicalEntity?: string | null;
  outputTarget: string;
  sql: string; forkedFromGraph: unknown;
  // T-262. A statement declares what it writes exactly as a board does. Omitted is
  // refused by the server with a typed code, never defaulted into something plausible.
  projection?: CanvasProjectionDeclaration | null;
}) =&gt; apiClient.post&lt;SaveSqlVersionResult&gt;("/api/prep/sql/versions", body);
export type OutputTargetsResult = {
  source: string; note?: string; targets: string[];
};
// The names come from the mapped model plus the Domain projection-target marker. The
// browser keeps no list of its own: an empty answer is shown as an empty picker, never
// backfilled with something plausible.
export const listOutputTargets = () =&gt;
  apiClient.get&lt;OutputTargetsResult&gt;("/api/prep/authoring/output-targets");
export const publishVersion = (sessionId: string) =&gt;</t>
  </si>
  <si>
    <t>04_Frontend_App_14Sep2026_104846.txt
1A78D625E9830536FE54D260C9E3CE5A62B92B3AF5B5E7F1735A5EE8541308E2</t>
  </si>
  <si>
    <t>current save/preview/publish surface</t>
  </si>
  <si>
    <t>export const saveGraph = (sessionId: string, graph: MapperGraph) =&gt; apiClient.post&lt;{ ok: boolean }&gt;(`${BASE}/sessions/${sessionId}/graph`, graph);
export const runDryRun = (sessionId: string) =&gt; apiClient.post&lt;DryRunResult&gt;(`${BASE}/sessions/${sessionId}/dry-run`, {});
// M1-19. SQL authoring. Both calls go through public.ppiq_resolve_safe_sql on
// the server before anything is executed or stored - the client never gets a
// path that skips the validator, which is the whole constraint of the task.
export type AuthoredColumn = { name: string; databaseType: string };
export type RunSqlResult = {
  status: string; rowCount: number; columns: string[]; rows: unknown[][];
  message: string; errorCode: string | null; sql: string | null; appliedRowLimit: number;
  // T-036. The database's own type per column, from the reader's metadata.
  // Optional: the refusal and failure paths have no columns to describe, and a
  // client built before this landed is still a valid client. The browser NEVER
  // infers a type from a sample value.
  columnDetails?: AuthoredColumn[] | null;
};
export type SaveSqlVersionResult = {
  saved: boolean; versionNumber: number; id: string | null; message: string; errorCode: string | null;
};
export const runAuthoredSql = (sql: string, rowLimit = 100) =&gt;
  apiClient.post&lt;RunSqlResult&gt;("/api/prep/sql/run", { sql, rowLimit });
// T-253. THE GOVERNED OUTPUT TARGET.
//
// outputTarget is the canonical identity a definition writes to and it is REQUIRED.
// canonicalEntity survives only as the legacy execution-projection handle; it is not
// an alternative way to say the same thing, and the shell no longer sends it.
export const saveSqlVersion = (body: {
  code: string; displayName: string; canonicalEntity?: string | null;
  outputTarget: string;
  sql: string; forkedFromGraph: unknown;
  // T-262. A statement declares what it writes exactly as a board does. Omitted is
  // refused by the server with a typed code, never defaulted into something plausible.
  projection?: CanvasProjectionDeclaration | null;
}) =&gt; apiClient.post&lt;SaveSqlVersionResult&gt;("/api/prep/sql/versions", body);
export type OutputTargetsResult = {
  source: string; note?: string; targets: string[];
};
// The names come from the mapped model plus the Domain projection-target marker. The
// browser keeps no list of its own: an empty answer is shown as an empty picker, never
// backfilled with something plausible.
export const listOutputTargets = () =&gt;
  apiClient.get&lt;OutputTargetsResult&gt;("/api/prep/authoring/output-targets");
export const publishVersion = (sessionId: string) =&gt;</t>
  </si>
  <si>
    <t>non-executable target families</t>
  </si>
  <si>
    <t>case JobDefinitionType.CanonicalRefresh:
                return new JobExecutionCapability(
                    jobType, false, JobTargetRequirement.Required, DefinitionKind.Transformation,
                    "Governed projection execution is not commissioned in this runtime. The only "
                        + "path this family reaches processes the generic import queue and does not "
                        + "execute the declared transformation version, so it is not advertised as "
                        + "executable. Existing schedules and history remain readable.");
            case JobDefinitionType.MlParamsVsDefects:
            case JobDefinitionType.MlParamsVsDowntime:
            case JobDefinitionType.MlParamsVsKpis:
            case JobDefinitionType.MlWeeklyFull:
                return new JobExecutionCapability(
                    jobType, false, JobTargetRequirement.Required, DefinitionKind.Model,
                    "The learning family " + jobType + " declares a governed model target, and no "
                        + "executor for it is commissioned in this runtime.");</t>
  </si>
  <si>
    <t>concrete broken journey seam</t>
  </si>
  <si>
    <t>case JobDefinitionType.CanonicalRefresh:
                return new JobExecutionCapability(
                    jobType, false, JobTargetRequirement.Required, DefinitionKind.Transformation,
                    "Governed projection execution is not commissioned in this runtime. The only "
                        + "path this family reaches processes the generic import queue and does not "
                        + "execute the declared transformation version, so it is not advertised as "
                        + "executable. Existing schedules and history remain readable.");</t>
  </si>
  <si>
    <t>earlier tests are not full new journey proof</t>
  </si>
  <si>
    <t>public async Task TwoStageDeltaImport_Stage1Stage2AndFullCycle_AreIdempotent_WhenOptInEnabled()
    {
        if (!IsEnabled()) return;
        using var client = await CreateAuthenticatedClientAsync();
        await AssertSuccessAsync(await client.PostAsync("/admin/two-stage-import/provision-baseline", null), "provision-baseline");
        var firstStage1 = await PostRunAsync(client, "/admin/two-stage-import/stage1/run", maxRows: 25, timeoutSeconds: 30, maxMinutes: 1);
        var secondStage1 = await PostRunAsync(client, "/admin/two-stage-import/stage1/run", maxRows: 25, timeoutSeconds: 30, maxMinutes: 1);
        var firstStage2 = await PostRunAsync(client, "/admin/two-stage-import/stage2/run", maxRows: 25, timeoutSeconds: 30, maxMinutes: 1);
        var fullCycle1 = await PostRunAsync(client, "/admin/two-stage-import/run-full-cycle", maxRows: 50, timeoutSeconds: 45, maxMinutes: 2);
        var fullCycle2 = await PostRunAsync(client, "/admin/two-stage-import/run-full-cycle", maxRows: 50, timeoutSeconds: 45, maxMinutes: 2);
        firstStage1.RootElement.GetProperty("stage").GetString().Should().Be("Stage1DeltaImport");
        secondStage1.RootElement.GetProperty("stage").GetString().Should().Be("Stage1DeltaImport");
        firstStage2.RootElement.GetProperty("stage").GetString().Should().Be("Stage2CanonicalRefresh");
        fullCycle1.RootElement.GetProperty("stage").GetString().Should().Be("TwoStageFullCycle");
        fullCycle2.RootElement.GetProperty("stage").GetString().Should().Be("TwoStageFullCycle");
        var overview = await ReadJsonAsync(await client.GetAsync("/admin/two-stage-import/overview"), "overview-after-full-cycle");
        overview.RootElement.TryGetProperty("sourceTables", out var sourceTables).Should().BeTrue();
        sourceTables.ValueKind.Should().Be(JsonValueKind.Array);
    }
    [SkippableFact]
    public async Task TwoStageDeltaImport_MaxRowsSmallBatch_DoesNotBreakWatermarks_WhenOptInEnabled()
    {
        if (!IsEnabled()) return;
        using var client = await CreateAuthenticatedClientAsync();
        await AssertSuccessAsync(await client.PostAsync("/admin/two-stage-import/provision-baseline", null), "provision-baseline");
        var smallBatch = await PostRunAsync(client, "/admin/two-stage-import/stage1/run", maxRows: 3, timeoutSeconds: 30, maxMinutes: 1);
        var resumeBatch = await PostRunAsync(client, "/admin/two-stage-import/stage1/run", maxRows: 3, timeoutSeconds: 30, maxMinutes: 1);
        smallBatch.RootElement.TryGetProperty("rows", out var smallRows).Should().BeTrue();
        resumeBatch.RootElement.TryGetProperty("rows", out var resumeRows).Should().BeTrue();
        smallRows.ValueKind.Should().Be(JsonValueKind.Array);
        resumeRows.ValueKind.Should().Be(JsonValueKind.Array);
    }</t>
  </si>
  <si>
    <t>ForGraph outputTarget/board</t>
  </si>
  <si>
    <t>Backend/PlantProcess.Application/Definitions/Canvas/ProjectionTypeCompatibility.cs</t>
  </si>
  <si>
    <t>strict compatibility</t>
  </si>
  <si>
    <t>public static bool IsCompatible(string? sourceType, string? targetType)
    {
        var source = FamilyOf(sourceType);
        var target = FamilyOf(targetType);
        if (source == Family.Unknown || target == Family.Unknown) { return false; }
        if (source != target)
        {
            // Integer into decimal is the one cross-family widening that cannot lose a
            // value. Everything else - text into number, number into text, date into
            // text - needs an authored conversion, not an assumption.
            return source == Family.Integer &amp;&amp; target == Family.Decimal;
        }
        if (target == Family.Integer)
        {
            return RankOf(IntegerRank, sourceType) &lt;= RankOf(IntegerRank, targetType);
        }</t>
  </si>
  <si>
    <t>01_Backend_Core_14Sep2026_104846.txt
FF480A92BB3252C2E534718EF6F77F2E46AD1FFA231C210C5059ADEC5D996E38</t>
  </si>
  <si>
    <t>Backend/PlantProcess.Application/Integration/Services/Connectors/ConnectorConfigurationService.ProviderTypes.001.GetProviderTypes.cs</t>
  </si>
  <si>
    <t>duplicate provider DTO source</t>
  </si>
  <si>
    <t>public IReadOnlyList&lt;ProviderTypeDto&gt; GetProviderTypes()
    {
        return new List&lt;ProviderTypeDto&gt;
        {
            new(
                "Csv",
                "CSV Snapshot",
                "Available now. Reads CSV snapshot exports into the PlantProcess IQ raw staging layer.",
                IsAvailableNow: ProviderAvailability.IsAvailableNow("Csv"),
                RequiresSecretReference: false,
                SupportsSchemaDiscovery: true,
                SupportsSnapshotImport: true,
                SupportsIncrementalImport: false),
            new(
                "Excel",
                "Excel Snapshot",
                "Available now. Reads Excel workbook/sheet snapshots into the PlantProcess IQ raw staging layer.",
                IsAvailableNow: ProviderAvailability.IsAvailableNow("Excel"),
                RequiresSecretReference: false,
                SupportsSchemaDiscovery: true,
                SupportsSnapshotImport: true,
                SupportsIncrementalImport: false),</t>
  </si>
  <si>
    <t>01_Backend_Core_14Sep2026_104846.txt
4A10A7107F55716CC0B80A0E55C87FB91CA06520CEA655886BBABC9BBEAADDA1</t>
  </si>
  <si>
    <t>OPC flags</t>
  </si>
  <si>
    <t>new(
                "RestApi",
                "REST API Snapshot",
                "Planned API snapshot connector. Not part of the current demo-ready connector set.",
                IsAvailableNow: ProviderAvailability.IsAvailableNow("RestApi"),
                RequiresSecretReference: true,
                SupportsSchemaDiscovery: false,
                SupportsSnapshotImport: true,
                SupportsIncrementalImport: true),
            new(
                "OpcUaHistorian",
                "OPC-UA / Historian",
                "Future historian/live-data connector. Not part of the current demo-ready connector set.",
                IsAvailableNow: ProviderAvailability.IsAvailableNow("OpcUaHistorian"),
                RequiresSecretReference: true,
                SupportsSchemaDiscovery: false,
                SupportsSnapshotImport: false,
                SupportsIncrementalImport: true)
        };
    }
}</t>
  </si>
  <si>
    <t>Backend/PlantProcess.Application/Integration/Connectors/ConnectorProviderCatalog.cs</t>
  </si>
  <si>
    <t>second catalog OPC/SAP entries</t>
  </si>
  <si>
    <t>new ProviderTypeDto(
                ProviderType: "Sap",
                DisplayName: "SAP",
                Description: "Read-only connector for SAP source systems.",
                IsAvailableNow: ProviderAvailability.IsAvailableNow("Sap"),
                RequiresSecretReference: true,
                SupportsSchemaDiscovery: true,
                SupportsSnapshotImport: true,
                SupportsIncrementalImport: true),
            new ProviderTypeDto(
                ProviderType: "RestApi",
                DisplayName: "REST API Snapshot",
                Description: "Reads snapshots from REST endpoints.",
                IsAvailableNow: ProviderAvailability.IsAvailableNow("RestApi"),
                RequiresSecretReference: true,
                SupportsSchemaDiscovery: false,
                SupportsSnapshotImport: true,
                SupportsIncrementalImport: true),
                        // PPIQ_PACK_E2_GA_HISTORIAN_PROVIDER
            new ProviderTypeDto(
                ProviderType: "OpcUaHistorian",
                DisplayName: "OPC-UA / Historian Gateway",
                Description: "Read-only gateway for OPC-UA historians and tag archives.",
                IsAvailableNow: ConnectorCertification.IsCertified("OpcUaHistorian"),
                RequiresSecretReference: true,
                SupportsSchemaDiscovery: true,
                SupportsSnapshotImport: false,
                SupportsIncrementalImport: true)
        };
    }
}</t>
  </si>
  <si>
    <t>01_Backend_Core_14Sep2026_104846.txt
BA307EC6BCE0A14F42049859F75B9087495014676C4E6E822CF956D96BF140BB</t>
  </si>
  <si>
    <t>admission before real run</t>
  </si>
  <si>
    <t>// CAPABILITY FIRST, AND NOTHING BEFORE IT. An unsupported family never
        // opens a run record and never reaches an executor, so no side effect -
        // not one import batch - can be attributed to a request the runtime
        // cannot honour.
        ApplicationResult admitted = JobRunAdmission.Admit(job, _capability);
        if (admitted.IsFailure)
            return ApplicationResult&lt;JobActionResponseDto&gt;.Failure(admitted.Error!);
        ApplicationResult targetOk = await ResolveDeclaredTargetAsync(job, cancellationToken);
        if (targetOk.IsFailure)
            return ApplicationResult&lt;JobActionResponseDto&gt;.Failure(targetOk.Error!);
        var run = await _jobRuntimeService.StartAsync(
            job.JobCode,
            triggerSource: "ManualRunNow",
            triggeredBy: requestedBy ?? "Admin",
            correlationId: correlationId ?? Guid.NewGuid().ToString("N"),
            cancellationToken);
        if (run.IsFailure || run.Value is null)
            return ApplicationResult&lt;JobActionResponseDto&gt;.Failure(run.Error!);
        try
        {
            var executionResult = await ExecuteJobAsync(job.JobType, cancellationToken);</t>
  </si>
  <si>
    <t>discarded resolution/dispatch</t>
  </si>
  <si>
    <t>private async Task&lt;ApplicationResult&gt; ResolveDeclaredTargetAsync(
        JobDefinition job, CancellationToken cancellationToken)
    {
        if (!job.TargetDefinitionId.HasValue)
        {
            ApplicationResult&lt;JobTargetResolution&gt; none =
                await _targetResolver.ResolveAsync(job.JobType, null, cancellationToken);
            return none.IsFailure ? ApplicationResult.Failure(none.Error!) : ApplicationResult.Success();
        }
        if (string.IsNullOrWhiteSpace(job.TargetDefinitionKind) || !job.TargetVersionPolicy.HasValue)
        {
            return ApplicationResult.Failure(ApplicationError.Validation(
                "Job " + job.JobCode + " declares a target identity without a kind or a version policy, "
                + "so nothing can say which definition version it would run."));
        }
        DefinitionKind kind;
        if (!Enum.TryParse(job.TargetDefinitionKind, false, out kind)
            || !Enum.IsDefined(typeof(DefinitionKind), kind))
        {
            return ApplicationResult.Failure(ApplicationError.Validation(
                "Job " + job.JobCode + " declares target kind '" + job.TargetDefinitionKind
                + "', which is not a canonical definition kind."));
        }
        var reference = new JobTargetReference
        {
            Kind = kind,
            DefinitionId = job.TargetDefinitionId.Value,
            VersionPolicy = job.TargetVersionPolicy.Value,
            PinnedVersion = job.TargetDefinitionVersion,
            ParametersJson = job.TargetParametersJson
        };
        ApplicationResult&lt;JobTargetResolution&gt; resolved =
            await _targetResolver.ResolveAsync(job.JobType, reference, cancellationToken);
        return resolved.IsFailure ? ApplicationResult.Failure(resolved.Error!) : ApplicationResult.Success();
    }
    private async Task&lt;RunNowExecutionResult&gt; ExecuteJobAsync(
        JobDefinitionType jobType, CancellationToken cancellationToken)
    {
        switch (jobType)
        {
            // CanonicalRefresh is deliberately absent. Its case used to sit here
            // beside DbLinkImport and processed the same generic queue, which is
            // not execution of a governed transformation version. The capability
            // authority now refuses it before this method is reached, and the
            // default below makes any disagreement loud instead of silent.
            case JobDefinitionType.DbLinkImport:
            {
                var result = await _importBatchQueueProcessorService.ProcessPendingBatchesAsync(
                    maxBatches: 10, rowsPerBatch: 5000, stopOnFirstError: false,
                    runDataQualityScan: false, cancellationToken);
                if (result.IsFailure || result.Value is null)
                {
                    return RunNowExecutionResult.Failed(
                        result.Error?.Message ?? "Import queue processing failed.");
                }
                return RunNowExecutionResult.Ok(
                    $"Import queue completed. Scanned={result.Value.BatchesScanned}, Completed={result.Value.BatchesCompleted}, Failed={result.Value.BatchesFailed}.",
                    JsonSerializer.Serialize(result.Value));</t>
  </si>
  <si>
    <t>uncommissioned executor</t>
  </si>
  <si>
    <t>terminal lifecycle</t>
  </si>
  <si>
    <t>switch (finalStatus)
        {
            case JobRunStatus.Ok:
                history.MarkSucceeded(message, resultSummaryJson);
                job.MarkSucceeded(history.DurationMs, history.CompletedAtUtc);
                break;
            case JobRunStatus.Failed:
                history.MarkFailed(failureReason ?? message ?? "Job failed.", resultSummaryJson);
                job.MarkFailed(history.FailureReason ?? "Job failed.", history.DurationMs, history.CompletedAtUtc);
                break;
            case JobRunStatus.Timeout:
                history.MarkTimedOut(failureReason ?? message ?? "Job timed out.", resultSummaryJson);
                job.MarkTimedOut(history.FailureReason ?? "Job timed out.", history.DurationMs, history.CompletedAtUtc);
                break;
            default:
                return ApplicationResult&lt;JobRunHistoryDto&gt;.Failure(
                    ApplicationError.Validation("Final job status must be Ok, Failed, or Timeout."));
        }
        await _dbContext.SaveChangesAsync(cancellationToken);</t>
  </si>
  <si>
    <t>immutable projection content</t>
  </si>
  <si>
    <t>// T-243. The browser sends the board INSIDE the graph payload, because that is
        // the one blob the existing session draft carries and this task introduces no
        // second transport. It is lifted out here so the stored graph stays the clean
        // execution shape the SQL generator reads, and the board stands on its own.
        JsonNode? board = null;
        if (graph[RootBoard] is JsonNode authored)
        {
            board = authored.DeepClone();
            graph.Remove(RootBoard);
        }
        if (declared is not null &amp;&amp; !string.Equals(declared, target, StringComparison.Ordinal))
        {
            throw new ArgumentException(
                "The graph names '" + declared + "' as its target entity while the governed output target is '"
                + target + "'. One definition cannot carry two output identities.",
                nameof(outputTarget));
        }
        // T-262. The declaration rides inside the graph payload for the same reason the
        // board does: the session draft is one blob and this task introduces no second
        // transport. It is lifted to the root so the stored graph stays the clean
        // execution shape, and the declaration stands beside it as its own fact.
        JsonNode? projection = null;
        if (graph[RootProjection] is JsonNode declared2)
        {
            projection = declared2.DeepClone();
            graph.Remove(RootProjection);
        }
        var root = new JsonObject
        {
            ["graph"] = Canonicalise(graph),
            [RootOutputTarget] = target,
            ["representation"] = RepresentationGraph,
        };
        if (board is not null)
        {
            root[RootBoard] = Canonicalise(board);
        }
        if (projection is not null)
        {
            root[RootProjection] = Canonicalise(projection);
        }</t>
  </si>
  <si>
    <t>unknown/narrowing refusal</t>
  </si>
  <si>
    <t>Frontend/PlantProcess.Web/src/authoring/SharedAuthoringShell.tsx</t>
  </si>
  <si>
    <t>doSaveSql callback inputs/dependencies</t>
  </si>
  <si>
    <t>const doSaveSql = useCallback(async () =&gt; {
    try {
      // T-253. The statement carries the SAME governed identity the board does. The
      // legacy canonicalEntity handle is no longer sent from here at all: it named a
      // physical relation, which was never what a definition writes to.
      if (outputTargetRefusal) {
        logError(name, outputTargetRefusal);
        return;
      }
      // T-262. Saving a governed version is the same boundary Publish is. Run SQL
      // remains open while the mapping is being authored.
      if (projectionBlocked) {
        setProjectionRefusal(projectionBlocked);
        logError(name, projectionBlocked);
        return;
      }
      const r = await saveSqlVersion({
        code: name.replace(/[^A-Za-z0-9_]+/g, "_").toLowerCase() || "sql_definition",
        displayName: name,
        outputTarget,
        sql: sqlText,
        forkedFromGraph: forkedGraph,
        projection,
      });
      if (r.saved) { logSuccess(name, r.message, "version " + r.versionNumber); }
      else { logError(name, r.message); }
    } catch (e) { logError(name, describeThrownAction(e)); }
  }, [name, sqlText, forkedGraph, outputTarget, outputTargetRefusal, logError, logSuccess]);</t>
  </si>
  <si>
    <t>04_Frontend_App_14Sep2026_104846.txt
57750D130D30FC330C4D4A15E63CAC95C69CFD026A6F73EC8F3A9CD9E1924736</t>
  </si>
  <si>
    <t>Backend/PlantProcess.Infrastructure/Connectors/ConnectorCredentialResolver.cs</t>
  </si>
  <si>
    <t>Resolve</t>
  </si>
  <si>
    <t>public static Credentials Resolve(string? connectionOptionsJson, string? secretReference, string providerLabel)
    {
        if (!string.IsNullOrWhiteSpace(connectionOptionsJson) &amp;&amp; connectionOptionsJson.Trim() != "{}")
        {
            try
            {
                using var doc = JsonDocument.Parse(connectionOptionsJson);
                var root = doc.RootElement;
                var u = TryGet(root, "username") ?? TryGet(root, "user");
                var p = TryGet(root, "password");
                if (!string.IsNullOrWhiteSpace(u) &amp;&amp; p is not null)
                {
                    return new Credentials(u!, p!);
                }
            }
            catch (JsonException)
            {
                throw new InvalidOperationException(
                    providerLabel + " connection_options_json is not valid JSON; cannot resolve credentials.");
            }
        }
        if (!string.IsNullOrWhiteSpace(secretReference))
        {
            var u = Environment.GetEnvironmentVariable(secretReference!);
            var p = Environment.GetEnvironmentVariable(secretReference + "_PASSWORD");
            if (!string.IsNullOrWhiteSpace(u) &amp;&amp; p is not null)
            {
                return new Credentials(u!, p!);
            }
        }
        throw new InvalidOperationException(
            providerLabel + " connection failed: no credentials resolved. Provide connection_options_json " +
            "with username and password, or a secret_reference resolving to REF and REF_PASSWORD " +
            "environment variables. The connector will not inherit the host account identity.");</t>
  </si>
  <si>
    <t>01_Backend_Core_14Sep2026_104846.txt
93A40F4BB733FD739E33350C746822CCF49804393802C9A82DC1940045BA8477</t>
  </si>
  <si>
    <t>Backend/tests/PlantProcess.Api.IntegrationTests/Security/T08ConnectorSecretMaskingIntegrationTests.cs</t>
  </si>
  <si>
    <t>Connector_password_is_masked_on_readback</t>
  </si>
  <si>
    <t>[SkippableFact]
    public async Task Connector_password_is_masked_on_readback()
    {
        using var client = await CreateAuthenticatedClientAsync();
        var create = await client.PostAsJsonAsync("/admin/connectors/connection-profiles", new
        {
            name = "t08-mask-probe",
            providerType = "PostgreSql",
            host = "127.0.0.1",
            port = 5432,
            database = "t08probe",
            username = "t08user",
            password = PlaintextSecret
        });
        if (!create.IsSuccessStatusCode) return; // exact create shape differs here -&gt; no-op
        var created = await create.Content.ReadFromJsonAsync&lt;JsonElement&gt;();
        string? id = created.TryGetProperty("id", out var idProp) ? idProp.GetString() : null;
        if (string.IsNullOrWhiteSpace(id)) return;
        var read = await client.GetAsync($"/admin/connectors/connection-profiles/{id}");
        read.IsSuccessStatusCode.Should().BeTrue();
        var body = await read.Content.ReadAsStringAsync();
        body.Should().NotContain(PlaintextSecret,
            "the plaintext connector secret must never be serialized back to the client");</t>
  </si>
  <si>
    <t>03_Backend_Tests_14Sep2026_104846.txt
5C1F9DE8F3E6D7528092AB2EAA6CE796531C75087597AAF68B4ED6DC964D0865</t>
  </si>
  <si>
    <t>Backend/PlantProcess.Api/SignedLicensing/V5SignedLicensingEndpoints.cs</t>
  </si>
  <si>
    <t>dev route refusal</t>
  </si>
  <si>
    <t>group.MapPost("/dev/create-license", async (
            [FromBody] CreateDevLicenseRequest request,
            NpgsqlDataSource dataSource,
            HttpContext http,
            IHostEnvironment hostEnvironment,
            CancellationToken cancellationToken) =&gt;
        {
            // P2-T01: dev-only license minting. Never expose outside Development.
            if (!hostEnvironment.IsDevelopment())
            {
                return Results.NotFound();
            }</t>
  </si>
  <si>
    <t>01_Backend_Core_14Sep2026_104846.txt
7080A63116796D48D7EBEE5511006B081C7F46CA09B648893D3EF382739CCB98</t>
  </si>
  <si>
    <t>Backend/PlantProcess.Api/SignedLicensing/VerifiedEd25519LicenseService.cs</t>
  </si>
  <si>
    <t>feature/tier authority</t>
  </si>
  <si>
    <t>public sealed class VerifiedEd25519LicenseService : ILicenseService
{
    private static readonly IReadOnlyDictionary&lt;LicenseFeature, LicenseTier&gt; RequiredTierByFeature =
        new Dictionary&lt;LicenseFeature, LicenseTier&gt;
        {
            [LicenseFeature.ReadOnlySourceRegistry] = LicenseTier.Light,
            [LicenseFeature.CsvImport] = LicenseTier.Light,
            [LicenseFeature.ExcelImport] = LicenseTier.Light,
            [LicenseFeature.PostgreSqlConnector] = LicenseTier.Pro,
            [LicenseFeature.SqlServerConnector] = LicenseTier.Enterprise,
            [LicenseFeature.OracleConnector] = LicenseTier.Enterprise,
            [LicenseFeature.MySqlConnector] = LicenseTier.Enterprise,
            [LicenseFeature.RestApiConnector] = LicenseTier.Enterprise,
            [LicenseFeature.OpcUaHistorianConnector] = LicenseTier.Enterprise,
            [LicenseFeature.DbLinkConfiguration] = LicenseTier.Light,
            [LicenseFeature.DumpStagingRetention] = LicenseTier.Light,
            [LicenseFeature.SourceSnapshotImport] = LicenseTier.Light,
            [LicenseFeature.IncrementalImport] = LicenseTier.Pro,
            [LicenseFeature.SchemaSqlViewBuilder] = LicenseTier.Pro,
            [LicenseFeature.CrossSourceJoinExecution] = LicenseTier.Pro,
            [LicenseFeature.KpiViewBuilder] = LicenseTier.ProPlus,
            [LicenseFeature.SchemaPreviewExecution] = LicenseTier.Pro,
            [LicenseFeature.MappingExecution] = LicenseTier.Pro,
            [LicenseFeature.WidgetScriptLayer] = LicenseTier.ProPlus,
            [LicenseFeature.DashboardPageBuilder] = LicenseTier.Light,
            [LicenseFeature.DashboardWidgetBuilder] = LicenseTier.Light,
            [LicenseFeature.DashboardLayoutPersistence] = LicenseTier.Light,
            [LicenseFeature.DataQualityBasicScan] = LicenseTier.Light,
            [LicenseFeature.DataQualityFullScan] = LicenseTier.Pro,
            [LicenseFeature.RiskDashboardView] = LicenseTier.Pro,
            [LicenseFeature.RiskDashboardContributors] = LicenseTier.ProPlus,
            [LicenseFeature.CorrelationManualRun] = LicenseTier.Pro,
            [LicenseFeature.CorrelationScheduledRun] = LicenseTier.ProPlus,
            [LicenseFeature.InvestigationWorkflow] = LicenseTier.ProPlus,
            [LicenseFeature.MlWorkspacePreview] = LicenseTier.ProPlus,
            [LicenseFeature.MlLearningJobs] = LicenseTier.ProPlus,
            [LicenseFeature.SuggestionRecommendation] = LicenseTier.ProPlus,
            [LicenseFeature.BasicInvestigationReportPdf] = LicenseTier.Pro,
            [LicenseFeature.FullGenealogyReportPdf] = LicenseTier.ProPlus,
            [LicenseFeature.BrandedReportPdf] = LicenseTier.Enterprise</t>
  </si>
  <si>
    <t>01_Backend_Core_14Sep2026_104846.txt
F161FA32314EB4BA58247BEFF03FF6F3F64722C589F50D06FA37E265388DC43F</t>
  </si>
  <si>
    <t>Backend/PlantProcess.Api/Program.cs</t>
  </si>
  <si>
    <t>licence DI</t>
  </si>
  <si>
    <t>builder.Services.AddV5AssistantGateway(builder.Configuration);
builder.Services.AddAssistant();
// T-057. The relationship vertical: store, service and publication seam.
// Fully qualified deliberately - a composition root should not acquire a
// using for a namespace it references once.
PlantProcess.Infrastructure.Relationships.RelationshipInfrastructureExtensions.AddRelationshipInfrastructure(builder.Services);
// PPIQ_API_STARTUP_SERVICE_INFERENCE_FIX:
// Register Phase 09/10 application services used by Minimal API endpoint handlers.
// Without this, ASP.NET cannot infer parameters named "service" and API startup fails.
builder.Services.AddScoped&lt;IPrivateModelGatewayTransport, NoopPrivateModelGatewayTransport&gt;();
builder.Services.AddScoped&lt;PrivateModelGatewayService&gt;();
builder.Services.AddScoped&lt;ConnectorBehaviourCertificationService&gt;();
builder.Services.AddScoped&lt;ILicenseService, VerifiedEd25519LicenseService&gt;();
builder.AddPpiqTestMode();   // PPIQ-T022 (validates + refuses in Production without accept-risk)</t>
  </si>
  <si>
    <t>01_Backend_Core_14Sep2026_104846.txt
81846040EF8FE25181817A9F167CC9A727AE1946E340B8B4385CF7F5E8974897</t>
  </si>
  <si>
    <t>Backend/PlantProcess.Application/DependencyInjection.cs</t>
  </si>
  <si>
    <t>legacy DI</t>
  </si>
  <si>
    <t>// Commercial license / feature enforcement
        services.AddOptions&lt;LicenseOptions&gt;()
            .BindConfiguration(LicenseOptions.SectionName)
            .Validate(options =&gt; !string.IsNullOrWhiteSpace(options.Tier), "PlantProcess:License:Tier is required.");
        services.AddSingleton&lt;ILicenseService, LicenseService&gt;();</t>
  </si>
  <si>
    <t>01_Backend_Core_14Sep2026_104846.txt
D2AB8EE19071BB139AA2EC400F7BADFC272BA1218A042EF57453BE49B1707134</t>
  </si>
  <si>
    <t>development guard</t>
  </si>
  <si>
    <t>deploy/scripts/ppiq.ps1</t>
  </si>
  <si>
    <t>command contract</t>
  </si>
  <si>
    <t># deploy/scripts/ppiq.ps1 - single entrypoint for PlantProcess IQ local + server orchestration.
#
#   ppiq.ps1 &lt;command&gt; [-Server] [-NoSources]
#
#   up           start API + web   (local: dotnet/npm on host ; -Server: full compose stack)
#   up-sources   start the demo source containers
#   migrate      apply Backend/database/scripts/*.sql in order, idempotent (ON_ERROR_STOP=1)
#   seed         apply Backend/database/seed/*.sql in order (if present)
#   demo         up-sources + migrate + seed + up   (full seeded stack, zero manual env)
#   test         dotnet test  +  vitest run
#   e2e          playwright test
#   reset        down + tear down container volumes
#   down         stop API/web + stop sources
#   status       show running components
#   help         this text
#
# All config is read from deploy/compose/.env.dev. No verb requires a hand-set environment variable.
# On the laptop the app DB is NATIVE postgres on localhost:5432; only the demo sources are containers.</t>
  </si>
  <si>
    <t>07_Tools_Validation_Misc_14Sep2026_104846.txt
7E7FCBD5CF51B86CD8C5DD421487E64C8928DA50F77CD40D3B03A3583743C17C</t>
  </si>
  <si>
    <t>profile/path selection</t>
  </si>
  <si>
    <t>$ComposeBase           = 'deploy/compose/docker-compose.yml'
$ComposeLocal          = 'deploy/compose/docker-compose.local.yml'
$ComposeServer         = 'deploy/compose/docker-compose.server.yml'
$ComposeSources        = 'deploy/compose/docker-compose.sources.yml'
$EnvFile               = 'deploy/compose/.env.dev'
$Project               = 'plantprocessiq'
$ApiProj               = 'Backend/PlantProcess.Api'
$WebDir                = 'Frontend/PlantProcess.Web'
$MigrationsDir         = 'Backend/database/scripts'
$SeedDir               = 'Backend/database/seed'
$RunDir                = Join-Path $ScriptDir '.ppiq-run'
# ---- helpers -------------------------------------------------------------------------------------
function Say($m){ Write-Host ("ppiq&gt; " + $m) -ForegroundColor Cyan }
function Die($m){ Write-Host ("ppiq: " + $m) -ForegroundColor Red; exit 1 }
function Assert-Exit($what){ if($LASTEXITCODE -ne 0){ Die ($what + " failed (exit " + $LASTEXITCODE + ")") } }
function Import-DotEnv {
  $f = Join-Path $RepoRoot $EnvFile
  if(-not (Test-Path $f)){ Die ($EnvFile + " not found - run the M1-T01/T02 setup first") }</t>
  </si>
  <si>
    <t>Backend/database/canonical-migration-order.json</t>
  </si>
  <si>
    <t>canonical ledger</t>
  </si>
  <si>
    <t>{
    "artifact":  "canonical-migration-order",
    "purpose":  "The single ordered path that builds a database from zero. A script outside this path is never replayed as part of a build.",
    "generatedAtUtc":  "2026-09-09T21:20:11Z",
    "baselineCommit":  "f8a35725c9b0d7fb5a0515c0103a72807a704a97",
    "dispositions":  [
                         "Canonical",
                         "HistoricalRepair",
                         "Superseded",
                         "FixtureOnly",
                         "DeferredWithReason"
                     ],
    "rules":  [
                  "The path is tiered: EF migrations, then Backend/database/scripts, then Backend/database/views.",
                  "Each folder numbers from its own 000, so ordinals are compared only within a tier.",
                  "Explicit adjudication beats filename heuristics. Every override records its reason.",
                  "A dependant does not run until its predecessor postcondition is proven.",
                  "Exactly one ordered path exists. This file is it.",
                  "Every SQL file carries exactly one disposition. There is no unknown state.",
                  "A new script joins this manifest in the same commit that creates it.",</t>
  </si>
  <si>
    <t>02_Backend_Database_14Sep2026_104846.txt
1F0E9A1DEC31F10BE7034CF00038C4AB36E2681F91E0B429E6D232F08F23E10D</t>
  </si>
  <si>
    <t>existing incremental reader use</t>
  </si>
  <si>
    <t>batch/cursor persistence</t>
  </si>
  <si>
    <t>existing admission/run boundary</t>
  </si>
  <si>
    <t>Backend/PlantProcess.ML.Runtime/Benchmarks/BenchmarkCatalogue.cs</t>
  </si>
  <si>
    <t>benchmark metadata</t>
  </si>
  <si>
    <t>public sealed record BenchmarkDefinition
{
    public required string BenchmarkId { get; init; }
    public required string Title { get; init; }
    public required string Question { get; init; }
    public required string Method { get; init; }
    public required string Decides { get; init; }
    public required string DecisionOwner { get; init; }
    public required string DefinitionSource { get; init; }
    /// &lt;summary&gt;The task owning the model-specific measurement hook for this benchmark.&lt;/summary&gt;
    public required string HookOwner { get; init; }
    /// &lt;summary&gt;The domain kind of the thing this benchmark measures.&lt;/summary&gt;
    public required string SubjectKind { get; init; }
    public required IReadOnlyList&lt;MetricFamily&gt; ApplicableFamilies { get; init; }</t>
  </si>
  <si>
    <t>07_Tools_Validation_Misc_14Sep2026_104846.txt
65CDF66B2DC435F755674C5F5EDB44FC4EF6F082D17FB74F4925C3275535FEF9</t>
  </si>
  <si>
    <t>Backend/PlantProcess.ML.Runtime/Benchmarks/BenchmarkManifest.cs</t>
  </si>
  <si>
    <t>SelectedValueGuard</t>
  </si>
  <si>
    <t>public static class SelectedValueGuard
{
    public static bool TryPublish(
        BenchmarkEnvelope evidence,
        string metricName,
        MetricAggregation aggregation,
        out SelectedBenchmarkValue? selected,
        out string refusalReason)
    {
        selected = null;
        if (evidence is null)
        {
            refusalReason = "no evidence envelope was supplied";
            return false;
        }
        string? invariant = evidence.Validate();
        if (invariant is not null)
        {
            refusalReason = "evidence envelope is invalid: " + invariant;
            return false;
        }
        if (evidence.TerminalState != BenchmarkTerminalState.Measured)
        {
            refusalReason = "evidence terminal state is " + evidence.TerminalState
                          + "; a selected value requires a Measured result";
            return false;
        }
        if (evidence.Subject.FixtureKind != SubjectFixtureKind.RealSubject)
        {
            refusalReason = "evidence was produced by a "
                          + evidence.Subject.FixtureKind
                          + "; a fixture verifies the harness and never establishes a product value";
            return false;
        }
        if (evidence.Scope != MeasurementScope.Production)
        {
            refusalReason = "evidence scope is " + evidence.Scope
                          + "; a selected value requires a Production measurement";
            return false;</t>
  </si>
  <si>
    <t>07_Tools_Validation_Misc_14Sep2026_104846.txt
70B5B58321B414CF47DF5486616D1C28016D7661C36F8E50921DCEBD3D08F8DF</t>
  </si>
  <si>
    <t>evidence guard</t>
  </si>
  <si>
    <t>if (evidence is null)
        {
            refusalReason = "no evidence envelope was supplied";
            return false;
        }
        string? invariant = evidence.Validate();
        if (invariant is not null)
        {
            refusalReason = "evidence envelope is invalid: " + invariant;
            return false;
        }
        if (evidence.TerminalState != BenchmarkTerminalState.Measured)
        {
            refusalReason = "evidence terminal state is " + evidence.TerminalState
                          + "; a selected value requires a Measured result";
            return false;
        }
        if (evidence.Subject.FixtureKind != SubjectFixtureKind.RealSubject)
        {
            refusalReason = "evidence was produced by a "
                          + evidence.Subject.FixtureKind
                          + "; a fixture verifies the harness and never establishes a product value";
            return false;
        }
        if (evidence.Scope != MeasurementScope.Production)
        {
            refusalReason = "evidence scope is " + evidence.Scope
                          + "; a selected value requires a Production measurement";
            return false;
        }
        if (!evidence.TryGetMetric(metricName, aggregation, out MetricValue metric))
        {
            refusalReason = "evidence carries no metric '" + metricName + "' at aggregation "
                          + aggregation + "; an absent metric is not zero";</t>
  </si>
  <si>
    <t>B-01..B-09 registry</t>
  </si>
  <si>
    <t>public static class BenchmarkCatalogue
{
    public const string B01 = "B-01";
    public const string B02 = "B-02";
    public const string B03 = "B-03";
    public const string B04 = "B-04";
    public const string B05 = "B-05";
    public const string B06 = "B-06";
    public const string B07 = "B-07";
    public const string B08 = "B-08";
    public const string B09 = "B-09";
    /// &lt;summary&gt;The register the frozen definitions came from.&lt;/summary&gt;
    public const string FrozenRegister = "PPIQ_Backlog_v2_10_1_12Aug2026";
    /// &lt;summary&gt;
    /// Every decision the register names is a product-owner ruling. A benchmark
    /// supplies evidence for it and never takes it.
    /// &lt;/summary&gt;
    public const string ProductOwnerRuling = "product-owner ruling";
    private static readonly string[] AllIds = { B01, B02, B03, B04, B05, B06, B07, B08, B09 };
    private static readonly Dictionary&lt;string, BenchmarkDefinition&gt; Definitions = Build();
    public static IReadOnlyList&lt;string&gt; AllBenchmarkIds =&gt; AllIds;</t>
  </si>
  <si>
    <t>Backend/PlantProcess.Infrastructure/Provenance/NpgsqlProvenanceResolver.cs</t>
  </si>
  <si>
    <t>provenance dispatch and run resolution</t>
  </si>
  <si>
    <t>public async Task&lt;ProvenanceResolution&gt; ResolveAsync(ProvenanceHandle handle, CancellationToken cancellationToken)
    {
        if (handle is null || string.IsNullOrWhiteSpace(handle.Id))
            return ProvenanceResolution.Missing(handle ?? new ProvenanceHandle(ProvenanceKind.Finding, "&lt;null&gt;"), "Handle or id was empty.");
        try
        {
            return handle.Kind switch
            {
                ProvenanceKind.Finding or ProvenanceKind.JobRun =&gt; await ResolveRunOrRiskAsync(handle, cancellationToken),
                ProvenanceKind.SourceTable                      =&gt; await ResolveSourceTableAsync(handle, cancellationToken),
                ProvenanceKind.Dataset                          =&gt; await ResolveDatasetAsync(handle, cancellationToken),
                ProvenanceKind.DocumentSection                  =&gt; await ResolveDocumentAsync(handle, cancellationToken),
                ProvenanceKind.WidgetResult                     =&gt; await ResolveWidgetResultAsync(handle, cancellationToken),
                _                                               =&gt; ProvenanceResolution.Missing(handle, "Unknown provenance kind.")
            };
        }
        catch
        {
            return ProvenanceResolution.Missing(handle, "Provenance could not be verified (resolver error).");
        }
    }
    private async Task&lt;ProvenanceResolution&gt; ResolveRunOrRiskAsync(ProvenanceHandle handle, CancellationToken ct)
    {
        if (!Guid.TryParse(handle.Id, out var id))
            return ProvenanceResolution.Missing(handle, "Finding/JobRun id is not a GUID.");
        await using (var runCmd = _dataSource.CreateCommand("SELECT 1 FROM ppiq_meta.ml_correlation_compute_runs WHERE id = @id"))
        {
            runCmd.Parameters.AddWithValue("id", id);
            if (await runCmd.ExecuteScalarAsync(ct) is not null)
                return ProvenanceResolution.Live(handle, $"ml_correlation_compute_runs:{id}");
        }
        await using (var riskCmd = _dataSource.CreateCommand(
            "SELECT COALESCE(mu.is_synthetic, false) FROM ppiq_plant.risk_scores rs " +
            "JOIN ppiq_plant.material_units mu ON mu.id = rs.material_unit_id WHERE rs.id = @id"))
        {
            riskCmd.Parameters.AddWithValue("id", id);
            await using var reader = await riskCmd.ExecuteReaderAsync(ct);
            if (await reader.ReadAsync(ct))
            {
                var synthetic = !await reader.IsDBNullAsync(0, ct) &amp;&amp; reader.GetBoolean(0);
                return synthetic
                    ? ProvenanceResolution.Seed(handle, $"risk_scores:{id}")
                    : ProvenanceResolution.Live(handle, $"risk_scores:{id}");
            }
        }
        return ProvenanceResolution.Missing(handle, "No finding/job-run/risk artifact matched the handle.");</t>
  </si>
  <si>
    <t>01_Backend_Core_14Sep2026_104846.txt
200B6557FBC58B18847CE3D9F2BA4D68D4C7DBB9270E68581D2353232EEB1915</t>
  </si>
  <si>
    <t>source/dataset existence lookup</t>
  </si>
  <si>
    <t>private async Task&lt;ProvenanceResolution&gt; ResolveSourceTableAsync(ProvenanceHandle handle, CancellationToken ct)
    {
        var parts  = handle.Id.Split('.', 2);
        var schema = parts.Length == 2 ? parts[0] : "public";
        var table  = parts.Length == 2 ? parts[1] : parts[0];
        await using var cmd = _dataSource.CreateCommand(
            "SELECT 1 FROM information_schema.tables WHERE table_schema = @s AND table_name = @t");
        cmd.Parameters.AddWithValue("s", schema);
        cmd.Parameters.AddWithValue("t", table);
        return await cmd.ExecuteScalarAsync(ct) is not null
            ? ProvenanceResolution.Live(handle, $"{schema}.{table}")
            : ProvenanceResolution.Missing(handle, $"Source table '{schema}.{table}' does not exist.");
    }
    private async Task&lt;ProvenanceResolution&gt; ResolveDatasetAsync(ProvenanceHandle handle, CancellationToken ct)
    {
        await using var cmd = _dataSource.CreateCommand(
            "SELECT 1 FROM information_schema.tables WHERE table_name = @t " +
            "UNION SELECT 1 FROM information_schema.views WHERE table_name = @t");
        cmd.Parameters.AddWithValue("t", handle.Id);</t>
  </si>
  <si>
    <t>Frontend/PlantProcess.Web/src/state/AssociativeContext.tsx</t>
  </si>
  <si>
    <t>state and query orchestration</t>
  </si>
  <si>
    <t>import { createContext, useCallback, useContext, useEffect, useMemo, useRef, useState, type ReactNode } from "react";
import { apiClient } from "../api/http";
import { useDashboardFilters } from "./DashboardFilterContext";
import { productApi } from "../api/productApiClient";
import { buildAssociativeFields, type AssocField } from "./associativeFields";
import { composeEffectiveFilters, toRequestFilters } from "./effectiveQueryFilters";
/** M2-37 associative engine (Qlik spec S0), client-orchestrated:
 * possible-set per field = the existing, registry-validated widget query for
 * that field's dimension, with the current selections MINUS the field's own
 * (so alternatives inside a field stay selectable - the Qlik semantic).
 * all-set = the same query, unfiltered, cached at mount.
 * excluded = all minus possible. selected = the field's current filter value. */
/** T-048. The four states Chapter 4 5.1.3 requires.
 *
 * ALTERNATIVE is not a weaker "possible". It means: this field already has a
 * selection, and this value is the road not taken - still reachable in one
 * click, and excluded from nothing. Collapsing it into "possible" hides which
 * field the reader is currently steering by.
 */
export type ValueState = "selected" | "possible" | "excluded" | "alternative";
export type FieldAssoc = {
  field: AssocField;
  available: boolean;
  loading: boolean;
  all: string[];
  states: Map&lt;string, ValueState&gt;;
  possibleCount: number;
};
type Ctx = {
  enabled: boolean;
  setEnabled: (v: boolean) =&gt; void;
  fields: FieldAssoc[];
  toggleValue: (fieldKey: string, value: string) =&gt; void;
};
const AssociativeCtx = createContext&lt;Ctx | null&gt;(null);
export const useAssociative = () =&gt; {
  const c = useContext(AssociativeCtx);
  if (!c) throw new Error("useAssociative outside provider");
  return c;
};
type QueryRow = Record&lt;string, unknown&gt;;
async function dimensionValues(dimension: string, measureCode: string, filters: Record&lt;string, unknown&gt;): Promise&lt;string[] | null&gt; {
  try {
    const res = await apiClient.post&lt;{ rows?: QueryRow[]; data?: QueryRow[] }&gt;(
      "/analytics/dashboard/widgets/query",
      {
        widgetType: "chart", chartType: "bar",
        dimensionCode: dimension, measureCode,
        parameterCode: null, filters,
        options: { maxRows: 500, rawRowLimit: 500, sortDirection: "desc", includeWarnings: false },</t>
  </si>
  <si>
    <t>04_Frontend_App_14Sep2026_104846.txt
1CECF013ACABE4EC5D2F048119E21829C61726E26D152B943278D4FA0991BE56</t>
  </si>
  <si>
    <t>reopen application</t>
  </si>
  <si>
    <t>+ " under another purpose would be judged by the wrong palette and the wrong rules."
        + " Open it from its own authoring surface.");
      return;
    }
    setNodes(r.board.nodes.map((n) =&gt; ({
      id: n.id,
      type: n.kind,
      position: { x: n.position.x, y: n.position.y },
      data: n.data,
    })) as Node[]);
    setEdges(r.board.edges.map((e, i) =&gt; ({
      id: "reopened-" + i,
      source: e.source,
      target: e.target,
      sourceHandle: e.sourceHandle ?? undefined,
      targetHandle: e.targetHandle ?? undefined,
    })) as Edge[]);
    if (r.graph?.name) { setName(r.graph.name); }
    if (r.outputTarget) { setOutputTarget(r.outputTarget); }
    // T-262. Restored EXACTLY, or recorded as absent. A version written before
    // declarations existed carries none, and nothing is reconstructed for it: the
    // inspector says so and the author maps it into a new version.
    setProjection(r.projection ?? null);
    setReopenedWithoutProjection(!r.projection);
    setProjectionRefusal(null);
    setOpenVersion(r.versionNumber);
    logSuccess(name,
      "Reopened version " + r.versionNumber + ".",
      r.board.nodes.length + " block(s), " + r.board.edges.length + " connection(s), target "
      + (r.outputTarget ?? "none") + ", hash " + r.definitionHash);
  }, [name, purpose, setNodes, setEdges, logSuccess, logWarning]);
  // Choosing a version from history. READ-ONLY: it restores what was authored and
  // never rewrites it. Publishing after reopening an older version creates a NEW
  // version through the canonical lifecycle - rollback forward, never in place.
  const doReopen = useCallback(async (code: string, version: number) =&gt; {
    try {
      applyReopenedDefinition(await reopenDefinition(code, version));
    } catch (e) {
      logError(name, describeThrownAction(e));
    }
  }, [name, applyReopenedDefinition, logError]);
  // T-243 CLOSURE. SAVE, CLOSE, COME BACK TOMORROW.
  //
  // Before this the shell only learned its canonical code as a by-product of
  // publishing, so history existed for the session that created it and vanished with
  // the tab. Opening with an existing code is the other half of persistence: the
  // definition is fetched from the canonical store and nothing else - no localStorage,
  // no cached board, no reconstruction from the compiled query.
  // ONCE PER DEFINITION, NOT ONCE PER RENDER IDENTITY.
  //
  // The first version of this effect depended on applyReopenedDefinition, which is a
  // useCallback over name. Restoring a definition SETS name, so the callback got a new
  // identity, the effect re-ran, and it reopened the current version - silently undoing
  // a historical version the author had just chosen. The board snapped back to current
  // and looked like the picker had done nothing.
  //
  // A ref keyed on the code fixes it and states the intent: opening an existing
  // definition happens once, and after that the author owns the board.
  const openedDefinitionRef = useRef&lt;string | null&gt;(null);
  useEffect(() =&gt; {
    if (!initialDefinitionCode) { return; }
    if (openedDefinitionRef.current === initialDefinitionCode) { return; }</t>
  </si>
  <si>
    <t>Backend/PlantProcess.Api/Endpoints/Reporting/ReportingEndpoints.cs</t>
  </si>
  <si>
    <t>existing report routes</t>
  </si>
  <si>
    <t>public static IEndpointRouteBuilder MapReportingEndpoints(this IEndpointRouteBuilder app)
    {
        var reports = app.MapGroup("/reports")
            .WithTags("Reports")
            .RequireAuthorization("PlantProcessViewer");
        reports.MapGet("/materials/{materialUnitId:guid}/investigation", GetInvestigationReportAsync)
            .WithSummary("Get material investigation report");
        reports.MapGet("/materials/{materialUnitId:guid}/investigation/pdf", GetInvestigationPdfAsync)
            .WithSummary("Export material investigation report as PDF");
        reports.MapPost("/readiness-assessment", CreateReadinessReportAsync)
            .WithSummary("Create commercial readiness report")
            .WithDescription("Generates a 7-dimension commercial readiness report for Data Diagnostic assessment.");
        reports.MapGet("/readiness-assessment", GetReadinessReportAsync)
            .WithSummary("Get commercial readiness report");
        reports.MapPost("/readiness-assessment/pdf", CreateReadinessPdfAsync)
            .WithSummary("Export commercial readiness report as PDF");
        reports.MapGet("/readiness-assessment/pdf", GetReadinessPdfAsync)
            .WithSummary("Download commercial readiness report PDF");</t>
  </si>
  <si>
    <t>01_Backend_Core_14Sep2026_104846.txt
B814E486C8958B432341FB69887E98028F96A23AC0E05D6F8B283019B9AC0C1C</t>
  </si>
  <si>
    <t>existing report service/PDF path</t>
  </si>
  <si>
    <t>private static async Task&lt;IResult&gt; GetInvestigationReportAsync(
        Guid materialUnitId,
        [Microsoft.AspNetCore.Mvc.FromServices] IInvestigationReportService service,
        HttpContext httpContext,
        CancellationToken cancellationToken)
    {
        var result = await service.BuildMaterialInvestigationReportAsync(
            materialUnitId,
            httpContext.User?.Identity?.Name,
            cancellationToken);
        return result.ToHttpResult(value =&gt; Results.Ok(value));
    }
    private static async Task&lt;IResult&gt; GetInvestigationPdfAsync(
        Guid materialUnitId,
        [Microsoft.AspNetCore.Mvc.FromServices] IInvestigationReportService service,
        HttpContext httpContext,
        CancellationToken cancellationToken)
    {
        var result = await service.BuildMaterialInvestigationPdfAsync(
            materialUnitId,
            httpContext.User?.Identity?.Name,
            cancellationToken);
        return result.ToHttpResult(value =&gt; Results.File(
            value.Content,
            value.ContentType,
            value.FileName));</t>
  </si>
  <si>
    <t>Backend/PlantProcess.Application/AssistantRuntime/Phase8SuggestionOutcomeLoop.cs</t>
  </si>
  <si>
    <t>manual outcome DTO</t>
  </si>
  <si>
    <t>public sealed record Phase8SuggestionOutcomeInput(
    string RecommendationId,
    string ActionTaken,
    string OutcomeKpi,
    decimal? BeforeValue,
    decimal? AfterValue,
    bool LowerIsBetter,
    IReadOnlyList&lt;string&gt;? EvidenceRefs,
    string Actor,
    string? Comment);
public sealed record Phase8SuggestionOutcomeRecord(
    Guid OutcomeId,
    string RecommendationId,
    string ActionTaken,
    string OutcomeKpi,
    decimal? BeforeValue,
    decimal? AfterValue,
    decimal? Delta,
    string OutcomeDirection,
    decimal Confidence,
    string Actor,
    DateTimeOffset RecordedAtUtc,
    IReadOnlyList&lt;string&gt; EvidenceRefs,
    string OutcomeCaveat,
    string ValueLoopCaveat,
    bool CausalClaimMade);</t>
  </si>
  <si>
    <t>01_Backend_Core_14Sep2026_104846.txt
527170E4E18EC61D7C3418FE0D69BB75D832DE1D46E711A7A1A48566AB853B00</t>
  </si>
  <si>
    <t>record calculation</t>
  </si>
  <si>
    <t>public static Phase8SuggestionOutcomeRecord RecordOutcome(Phase8SuggestionOutcomeInput input)
    {
        ArgumentNullException.ThrowIfNull(input);
        if (string.IsNullOrWhiteSpace(input.RecommendationId))
            throw new InvalidOperationException("RecommendationId is required.");
        if (string.IsNullOrWhiteSpace(input.ActionTaken))
            throw new InvalidOperationException("ActionTaken is required.");
        var delta = input.BeforeValue.HasValue &amp;&amp; input.AfterValue.HasValue
            ? input.AfterValue.Value - input.BeforeValue.Value
            : (decimal?)null;
        var direction = DetermineDirection(input.BeforeValue, input.AfterValue, input.LowerIsBetter);
        var confidence = DetermineConfidence(input);
        return new Phase8SuggestionOutcomeRecord(
            OutcomeId: Guid.NewGuid(),
            RecommendationId: input.RecommendationId.Trim(),
            ActionTaken: input.ActionTaken.Trim(),
            OutcomeKpi: Normalize(input.OutcomeKpi, "quality_risk"),
            BeforeValue: input.BeforeValue,
            AfterValue: input.AfterValue,
            Delta: delta,</t>
  </si>
  <si>
    <t>Backend/PlantProcess.Api/Endpoints/Assistant/Phase8SuggestionOutcomeLoopEndpoints.cs</t>
  </si>
  <si>
    <t>process-memory endpoints</t>
  </si>
  <si>
    <t>private static readonly ConcurrentDictionary&lt;Guid, Phase8SuggestionOutcomeRecord&gt; Outcomes = new();
    public static IEndpointRouteBuilder MapPhase8SuggestionOutcomeLoopEndpoints(this IEndpointRouteBuilder app)
    {
        var group = app.MapGroup("/api/phase8")
            .WithTags("Phase 8 Suggestion Outcome Loop")
            .RequireAuthorization();
        group.MapPost("/suggestions/outcomes/actioned", ([FromBody] Phase8SuggestionOutcomeInput request) =&gt;
        {
            var record = Phase8SuggestionOutcomeLoop.RecordOutcome(request);
            Outcomes[record.OutcomeId] = record;
            return Results.Ok(new
            {
                saved = true,
                record.OutcomeId,
                record.RecommendationId,
                record.OutcomeDirection,
                record.Confidence,
                record.CausalClaimMade,
                record.OutcomeCaveat,
                valueLoop = new
                {
                    appearsInValueLoop = true,
                    record.ValueLoopCaveat
                }
            });
        });
        group.MapGet("/suggestions/outcomes", () =&gt;
        {
            return Results.Ok(Outcomes.Values.OrderByDescending(x =&gt; x.RecordedAtUtc).ToArray());</t>
  </si>
  <si>
    <t>01_Backend_Core_14Sep2026_104846.txt
892D6A4753E4F88CBB09FA032DE83A0D232346B994EEC258E06F01E344C43A04</t>
  </si>
  <si>
    <t>Backend/PlantProcess.Analytics.Engine/ManagedStatisticalComputeEngine.cs</t>
  </si>
  <si>
    <t>readiness/old selector</t>
  </si>
  <si>
    <t>var readiness = ReadinessGate.Evaluate(matrix.Readiness, _thresholds);
        if (!readiness.CanRun)
        {
            await _sink.WriteAsync(runId, request, Array.Empty&lt;AnalysisFinding&gt;(), cancellationToken);
            var blocked = string.Join("; ", readiness.Dimensions.Where(d =&gt; d.State == ReadinessState.Blocked).Select(d =&gt; d.Reason));
            return new CorrelationComputeResult(runId, 0, EngineKey, "Blocked", $"Readiness gate blocked the analysis. {blocked}");
        }
        var outcome = matrix.Outcome;
        var prelim = new List&lt;(FeatureColumn Col, AnalysisMethod Method, double Effect, double P, int N, double[] Px, double[] Py, bool Binary)&gt;();
        foreach (var col in matrix.Parameters)
        {
            var choice = MethodSelector.Select(col.Type, VariableType.Numeric); // outcome is numeric</t>
  </si>
  <si>
    <t>01_Backend_Core_14Sep2026_104846.txt
7E74634C64283FF43FCDACC81F59A3689727EA58605DEA081E9C3510661F72A6</t>
  </si>
  <si>
    <t>live discipline calls</t>
  </si>
  <si>
    <t>var fdr = BenjaminiHochberg.Adjust(prelim.Select(x =&gt; x.P).ToList(), _fdrQ);
        var findings = new List&lt;AnalysisFinding&gt;(prelim.Count);
        for (int i = 0; i &lt; prelim.Count; i++)
        {
            var item = prelim[i];
            var verdict = fdr[i];
            double lo = 0, hi = 0, cons = 0; bool stable = false;
            if (verdict.Significant)
            {
                Func&lt;IReadOnlyList&lt;double&gt;, IReadOnlyList&lt;double&gt;, double&gt; stat = item.Binary
                    ? (a, b) =&gt; { var v = Stats.Pearson(a, b); return double.IsNaN(v) ? 0.0 : v; }
                    : (a, b) =&gt; { var v = Stats.Spearman(a, b); return double.IsNaN(v) ? 0.0 : v; };
                var boot = Bootstrap.Stability(item.Px, item.Py, stat, iterations: 500, seed: 20260602UL);
                lo = boot.Lower; hi = boot.Upper; cons = boot.SignConsistency; stable = boot.Stable;
            }
            findings.Add(new AnalysisFinding(
                item.Col.Code, item.Method, item.Effect, item.P, verdict.QValue, verdict.Significant,
                item.N, lo, hi, cons, stable));
        }
        var ranked = findings.OrderByDescending(f =&gt; Math.Abs(f.EffectSize)).ToList(); // rank by effect, never p
        await _sink.WriteAsync(runId, request, ranked, cancellationToken);</t>
  </si>
  <si>
    <t>Backend/PlantProcess.Application/Analytics/Advanced/AdvancedCorrelationComputeService.cs</t>
  </si>
  <si>
    <t>live ranking/FDR/bootstrap</t>
  </si>
  <si>
    <t>// ---- P3-04: rank by EFFECT, then Benjamini-Hochberg FDR ----
        var findings = kept.Select(c =&gt; new Finding(c.FeatureKey, c.Effect, c.PValue, c.Method.ToString(), c.SampleSize)).ToList();
        var ranked = EffectRanking.RankByEffect(findings);
        var fdr = BenjaminiHochberg.Adjust(ranked.Select(f =&gt; f.PValue).ToList(), request.FdrQ);
        var byKey = kept.ToDictionary(c =&gt; c.FeatureKey);
        var results = new List&lt;AdvancedFinding&gt;(ranked.Count);
        for (int i = 0; i &lt; ranked.Count; i++)
        {
            var c = byKey[ranked[i].Id];
            var q = fdr[i];
            var boot = Bootstrap.Stability(c.X, c.Y, c.Stat, request.BootstrapIterations, seed: Seed);
            var (survives, sreason) = EvaluateStrata(c, ds);
            // PPIQ_REALIZATION_T044_FINDING_TRANSPARENCY_EVIDENCE: each finding carries c.SampleSize, c.Dropped, survives/sreason and provenance.
            results.Add(new AdvancedFinding(
                c.FeatureKey, c.Method, c.Rationale, c.Effect, q.PValue, q.QValue, q.Significant, c.SampleSize,
                boot.SignConsistency, boot.Lower, boot.Upper, boot.Stable,
                survives, sreason, c.Dropped,
                $"finding:{runId:N}:{c.FeatureKey}",
                AdvancedAnalysisResult.DefaultCaveat));</t>
  </si>
  <si>
    <t>01_Backend_Core_14Sep2026_104846.txt
32CBB3F1D498416130C96300E949F9553EFBEC86A2211A63E5524A8BF65CC7FC</t>
  </si>
  <si>
    <t>Backend/PlantProcess.Analytics.Core/Kernel/KernelMethodSelector.cs</t>
  </si>
  <si>
    <t>kernel pairing</t>
  </si>
  <si>
    <t>public static class KernelMethodSelector
{
    public static KernelPairingChoice Classify(VariableType a, VariableType b)
    {
        bool aNum = a == VariableType.Numeric;
        bool bNum = b == VariableType.Numeric;
        bool aCat = a == VariableType.Categorical || a == VariableType.Binary;
        bool bCat = b == VariableType.Categorical || b == VariableType.Binary;
        if (aNum &amp;&amp; bNum)
            return Supported(KernelPairing.NumericNumeric,
                "Numeric/numeric: rank correlation path, unchanged from the existing selector.");
        if ((a == VariableType.Binary &amp;&amp; bNum) || (aNum &amp;&amp; b == VariableType.Binary))
            return Supported(KernelPairing.BinaryNumeric,
                "Binary/numeric: point-biserial path, unchanged from the existing selector.");
        if ((aNum &amp;&amp; b == VariableType.Categorical) || (a == VariableType.Categorical &amp;&amp; bNum))
            return Supported(KernelPairing.NumericCategorical,
                "Numeric/categorical: assumption-aware one-way ANOVA with Kruskal-Wallis fallback.");
        if (aCat &amp;&amp; bCat)
            return Supported(KernelPairing.CategoricalCategorical,
                "Categorical/categorical: Cramer's V path, unchanged from the existing selector.");
        return new KernelPairingChoice(
            KernelPairing.Unsupported, false,
            StatisticalExclusionReason.UnsupportedMethodPairing,
            ExclusionAttribution.Method,
            $"No enabled statistical method exists for the variable-type pair ({a},{b}). "
            + "This is a limitation of the available method set, not a property of the data.");</t>
  </si>
  <si>
    <t>01_Backend_Core_14Sep2026_104846.txt
59B8B14C480AF182459349F4649309A86D734889F26774C60A57A0E61E5A7FA1</t>
  </si>
  <si>
    <t>Website/PlantProcess.Website/src/components/proof/PricingLicenseMatrix.tsx</t>
  </si>
  <si>
    <t>plan display</t>
  </si>
  <si>
    <t>import { licensePlans } from "../../content/phase1WebsiteProof";
export function PricingLicenseMatrix() {
  return (
    &lt;section className="website-section pricing-section" id="pricing"&gt;
      &lt;div className="section-kicker"&gt;Pricing and license logic&lt;/div&gt;
      &lt;div className="section-heading-row"&gt;
        &lt;div&gt;
          &lt;h2&gt;Start where you are. Expand when the value is proven on your data.&lt;/h2&gt;
          &lt;p&gt;
            The commercial packaging mirrors the product gating: number of data sources,
            feature depth, users, refresh cadence and enterprise controls. One deposit,
            one subscription, no hidden line items.
          &lt;/p&gt;
        &lt;/div&gt;
      &lt;/div&gt;
      &lt;div className="pricing-grid"&gt;
        {licensePlans.map((plan) =&gt; (
          &lt;article className={`pricing-card pricing-card--${plan.code}`} key={plan.code}&gt;
            &lt;div className="pricing-card__top"&gt;
              &lt;span&gt;
                {plan.name}
                {plan.recommended ? " (Recommended)" : ""}
              &lt;/span&gt;
              &lt;strong&gt;{plan.monthlyPrice}&lt;/strong&gt;
            &lt;/div&gt;
            &lt;p&gt;{plan.idealFor}&lt;/p&gt;
            &lt;dl&gt;
              &lt;div&gt;
                &lt;dt&gt;Deposit&lt;/dt&gt;
                &lt;dd&gt;{plan.deposit}&lt;/dd&gt;
              &lt;/div&gt;
              &lt;div&gt;
                &lt;dt&gt;Data sources&lt;/dt&gt;
                &lt;dd&gt;{plan.sources}&lt;/dd&gt;
              &lt;/div&gt;
              &lt;div&gt;
                &lt;dt&gt;Users&lt;/dt&gt;
                &lt;dd&gt;{plan.users}&lt;/dd&gt;
              &lt;/div&gt;
              &lt;div&gt;
                &lt;dt&gt;Connectors&lt;/dt&gt;
                &lt;dd&gt;{plan.connectors}&lt;/dd&gt;
              &lt;/div&gt;
            &lt;/dl&gt;</t>
  </si>
  <si>
    <t>08_Website_14Sep2026_104846.txt
D0B4AFBD9EA1938C8D2708C1AF8DF48BA8791525BC6CD5F338396492ACE04439</t>
  </si>
  <si>
    <t>selected measured value identity</t>
  </si>
  <si>
    <t>public sealed record SelectedBenchmarkValue
{
    public required string BenchmarkId { get; init; }
    public required string MetricName { get; init; }
    public required double Value { get; init; }
    public required string Unit { get; init; }
    public required MetricAggregation Aggregation { get; init; }
    public required string EvidenceExperimentId { get; init; }
    public required string EvidenceGitCommit { get; init; }
}</t>
  </si>
  <si>
    <t>Backend/PlantProcess.Analytics.Core/Kernel/Capability/CapabilityProfiler.cs</t>
  </si>
  <si>
    <t>pure kernel boundary</t>
  </si>
  <si>
    <t>/// &lt;summary&gt;
/// Industry-neutral capability profiler. Measures what the available data can actually
/// support, and returns the measured facts with every decision.
/// &lt;para&gt;
/// Three rules govern the whole class:
/// a single-level context dimension is collapsed, not an error;
/// absent genealogy removes only capabilities that genuinely need genealogy;
/// missing outcomes remove only capabilities that genuinely need labelled outcomes.
/// &lt;/para&gt;
/// &lt;para&gt;
/// Reads no database, holds no connection, knows no customer vocabulary.
/// &lt;/para&gt;</t>
  </si>
  <si>
    <t>01_Backend_Core_14Sep2026_104846.txt
45F8DFAB405875F88A4A86E16072B041BE405B08B482CD8FCD27B1F286F7C752</t>
  </si>
  <si>
    <t>profile calculation</t>
  </si>
  <si>
    <t>public static CapabilityProfile Profile(CapabilityProfilerInput input)
    {
        var dimensions = ProfileDimensions(input.ContextDimensions);
        var eligibleDimensionCount = dimensions.Count(d =&gt; d.Status == DimensionStatus.Eligible);
        var populationFacts = new List&lt;MeasuredFact&gt;
        {
            MeasuredFact.AtLeast("analytical_units", input.AnalyticalUnitCount, MinUnitsForStatistics, "units"),
            MeasuredFact.AtLeast("history_span", input.HistorySpanDays, MinHistoryDays, "days"),
            MeasuredFact.Informational("declared_outcomes", input.Outcomes.Count, "count"),
            MeasuredFact.Informational("eligible_context_dimensions", eligibleDimensionCount, "count"),
            MeasuredFact.Informational("collapsed_context_dimensions",
                dimensions.Count(d =&gt; d.Status == DimensionStatus.Collapsed), "count"),
            MeasuredFact.Informational("process_positions", input.Genealogy.ProcessPositionCount, "count")
        };
        var capabilities = new List&lt;CapabilityVerdict&gt;
        {
            EvaluateStatistics(input),
            EvaluateSimilarity(input),
            EvaluateNovelty(input),
            EvaluateSupervisedPrediction(input),
            EvaluatePracticeLearning(input)
        };
        var practice = capabilities.First(c =&gt; c.Capability == CapabilityCode.PracticeLearning);
        capabilities.Add(EvaluateRemediation(input, practice, eligibleDimensionCount));
        return new CapabilityProfile(capabilities, dimensions, input.Genealogy.Strength, populationFacts);</t>
  </si>
  <si>
    <t>dimension assessment</t>
  </si>
  <si>
    <t>private static IReadOnlyList&lt;DimensionVerdict&gt; ProfileDimensions(
        IReadOnlyList&lt;ContextDimensionObservation&gt; observed)
    {
        var verdicts = new List&lt;DimensionVerdict&gt;();
        foreach (var d in observed ?? new List&lt;ContextDimensionObservation&gt;())
        {
            if (d.ObservedLevelCount &lt;= 0)
            {
                verdicts.Add(new DimensionVerdict(d.DimensionCode, d.ObservedLevelCount,
                    DimensionStatus.Absent, d.IsVariantDimension,
                    "The dimension is declared but no level was observed in the population."));
                continue;
            }
            if (d.ObservedLevelCount == 1)
            {
                verdicts.Add(new DimensionVerdict(d.DimensionCode, 1,
                    DimensionStatus.Collapsed, d.IsVariantDimension,
                    "One effective level. The dimension is removed from the eligible set and "
                    + "cannot condition an analysis. This is not an error: an installation with "
                    + "a single level of this dimension is a normal installation."));
                continue;
            }
            verdicts.Add(new DimensionVerdict(d.DimensionCode, d.ObservedLevelCount,
                DimensionStatus.Eligible, d.IsVariantDimension,
                "Two or more effective levels. The dimension can condition an analysis."));
        }</t>
  </si>
  <si>
    <t>legacy write path</t>
  </si>
  <si>
    <t>private static readonly ConcurrentDictionary&lt;Guid, Phase8SuggestionOutcomeRecord&gt; Outcomes = new();
    public static IEndpointRouteBuilder MapPhase8SuggestionOutcomeLoopEndpoints(this IEndpointRouteBuilder app)
    {
        var group = app.MapGroup("/api/phase8")
            .WithTags("Phase 8 Suggestion Outcome Loop")
            .RequireAuthorization();
        group.MapPost("/suggestions/outcomes/actioned", ([FromBody] Phase8SuggestionOutcomeInput request) =&gt;
        {
            var record = Phase8SuggestionOutcomeLoop.RecordOutcome(request);
            Outcomes[record.OutcomeId] = record;
            return Results.Ok(new
            {
                saved = true,
                record.OutcomeId,
                record.RecommendationId,
                record.OutcomeDirection,
                record.Confidence,
                record.CausalClaimMade,
                record.OutcomeCaveat,
                valueLoop = new
                {
                    appearsInValueLoop = true,
                    record.ValueLoopCaveat
                }
            });</t>
  </si>
  <si>
    <t>caller outcome schema</t>
  </si>
  <si>
    <t>Backend/PlantProcess.Application/Advisory/P15BenchmarkingService.cs</t>
  </si>
  <si>
    <t>demo dashboard</t>
  </si>
  <si>
    <t>public P15BenchmarkDashboardResponse BuildDemoDashboard()
    {
        var request = BuildDemoRequest();
        var benchmark = Benchmark(request, cohortSize: 12);
        var suppressed = Benchmark(BuildDemoRequest(minimumCohortSize: 8), cohortSize: 3);
        return new P15BenchmarkDashboardResponse
        {
            Status = "Ready",
            Message = "Cross-plant and industry benchmark dashboard generated from anonymized aggregate demo bands.",
            GeneratedAtUtc = DateTimeOffset.UtcNow,
            TenantId = request.TenantId,
            PlantId = request.PlantId,
            IndustryCode = request.IndustryCode,
            Benchmarks = new[] { benchmark, suppressed },
            MetricCards = BuildMetricCards(benchmark),
            BestPractices = BuildBestPractices(request.IndustryCode),
            PrivacyGuards = DefaultPrivacyGuards()
        };</t>
  </si>
  <si>
    <t>01_Backend_Core_14Sep2026_104846.txt
98C1A4BBDEF04EBB5FDB7F9C10D60A917B1DFD41E26C6BE989965F5ACFD4DB17</t>
  </si>
  <si>
    <t>generated bands</t>
  </si>
  <si>
    <t>public P15BenchmarkResponse Benchmark(P15BenchmarkRequest request, int cohortSize)
    {
        var privacy = P15AdvisoryHonestyPolicy.ValidateBenchmarkVisibility(request, cohortSize);
        if (!privacy.IsAllowed)
        {
            return new P15BenchmarkResponse
            {
                MetricCode = request.MetricCode,
                IndustryCode = request.IndustryCode,
                Visibility = P15BenchmarkVisibility.SuppressedMinimumCohort,
                Message = "Benchmark suppressed because the anonymized cohort is below minimum privacy threshold.",
                Band = null,
                PrivacyGuards = DefaultPrivacyGuards().Append("Suppressed below minimum cohort size.").ToArray()
            };
        }
        var baseValue = BuildStableBaseValue(request);
        var band = new P15BenchmarkBand
        {
            BandCode = $"band-{Sanitize(request.IndustryCode)}-{Sanitize(request.MetricCode)}",
            P10 = Round(baseValue * 0.82m),
            P25 = Round(baseValue * 0.91m),
            P50 = Round(baseValue),
            P75 = Round(baseValue * 1.10m),
            P90 = Round(baseValue * 1.22m),
            CohortSize = cohortSize,
            Visibility = P15BenchmarkVisibility.Visible
        };
        return new P15BenchmarkResponse
        {
            MetricCode = request.MetricCode,
            IndustryCode = request.IndustryCode,
            Visibility = P15BenchmarkVisibility.Visible,
            Message = "Benchmark visible as anonymized aggregate band only. No identifiable cross-tenant rows are exposed.",
            Band = band,</t>
  </si>
  <si>
    <t>existing associative control semantics</t>
  </si>
  <si>
    <t>/** M2-37 associative engine (Qlik spec S0), client-orchestrated:
 * possible-set per field = the existing, registry-validated widget query for
 * that field's dimension, with the current selections MINUS the field's own
 * (so alternatives inside a field stay selectable - the Qlik semantic).
 * all-set = the same query, unfiltered, cached at mount.
 * excluded = all minus possible. selected = the field's current filter value. */
/** T-048. The four states Chapter 4 5.1.3 requires.
 *
 * ALTERNATIVE is not a weaker "possible". It means: this field already has a
 * selection, and this value is the road not taken - still reachable in one
 * click, and excluded from nothing. Collapsing it into "possible" hides which
 * field the reader is currently steering by.
 */
export type ValueState = "selected" | "possible" | "excluded" | "alternative";
export type FieldAssoc = {
  field: AssocField;
  available: boolean;
  loading: boolean;
  all: string[];
  states: Map&lt;string, ValueState&gt;;
  possibleCount: number;
};
type Ctx = {
  enabled: boolean;
  setEnabled: (v: boolean) =&gt; void;
  fields: FieldAssoc[];
  toggleValue: (fieldKey: string, value: string) =&gt; void;</t>
  </si>
  <si>
    <t>existing reopen model</t>
  </si>
  <si>
    <t>actual unavailable contract</t>
  </si>
  <si>
    <t>configuration interface</t>
  </si>
  <si>
    <t>M2 behaviour to preserve</t>
  </si>
  <si>
    <t>existing report subset, not full E5</t>
  </si>
  <si>
    <t>PLANTPROCESS IQ | IMPLEMENTATION-BOUND BACKLOG REVIEW</t>
  </si>
  <si>
    <t>All backlog</t>
  </si>
  <si>
    <t>Source-reviewed tasks</t>
  </si>
  <si>
    <t>Assessment coverage, not product completion</t>
  </si>
  <si>
    <t>Not source-reviewed this pass</t>
  </si>
  <si>
    <t>Unknown work is NOT zero remaining time</t>
  </si>
  <si>
    <t>Historical scope estimates remain unchanged in J/R</t>
  </si>
  <si>
    <t>READ THIS BEFORE USING THE HOURS</t>
  </si>
  <si>
    <t>Existing Hours / AI Guarded P80 remain historical inputs. Do not add scope Hours to the new remaining-work estimates.</t>
  </si>
  <si>
    <t>No whole-project or delivery-date forecast is asserted: 128 task scopes have not been source-reviewed in this pass.</t>
  </si>
  <si>
    <t>Shared seams are allocated once: T-261 executor/common cancellation/T-262 Gate 0; T-106 policies; T-104 row provenance; T-101 monitoring UI.</t>
  </si>
  <si>
    <t>No .NET build, product PostgreSQL test or live browser/Figma execution was available here. Isolated logical probes below are not those tests.</t>
  </si>
  <si>
    <t>Complete session text remains unrecovered for all ten named sessions. Their excerpts/attachments help provenance but cannot prove no later decision exists.</t>
  </si>
  <si>
    <t>T-099 remains Done at ca02b40ea1b69050a45cb35a3e1d64f15b1f66af, parent 86e1b677212195f191697ecdca7e9441b3dbde33. Known inherited RED is not a reopened task.</t>
  </si>
  <si>
    <t>T-262 original closure is evidenced. The later shared Gate 0 belongs to T-261 Runner 2; reconcile completion-gate ownership separately from source-authoring readiness.</t>
  </si>
  <si>
    <t>Probe / correction</t>
  </si>
  <si>
    <t>Expected</t>
  </si>
  <si>
    <t>Observed</t>
  </si>
  <si>
    <t>Verdict</t>
  </si>
  <si>
    <t>Evidence level</t>
  </si>
  <si>
    <t>Action</t>
  </si>
  <si>
    <t>Scope</t>
  </si>
  <si>
    <t>Weight 0.99</t>
  </si>
  <si>
    <t>Reject per task acceptance</t>
  </si>
  <si>
    <t>SQL tolerance 0.015 admits 0.99</t>
  </si>
  <si>
    <t>Logical mismatch</t>
  </si>
  <si>
    <t>Inspected predicate + Python arithmetic</t>
  </si>
  <si>
    <t>Correct/validate T-103 weight semantics</t>
  </si>
  <si>
    <t>Do not reopen T-099 topology fix</t>
  </si>
  <si>
    <t>Scalar cursor ties</t>
  </si>
  <si>
    <t>Read all 10 across cap=3</t>
  </si>
  <si>
    <t>Scalar simulation 3/10; tuple 10/10</t>
  </si>
  <si>
    <t>Counterexample</t>
  </si>
  <si>
    <t>Source query + isolated Python simulation</t>
  </si>
  <si>
    <t>Total-order cursor + durable replay</t>
  </si>
  <si>
    <t>No customer incident asserted</t>
  </si>
  <si>
    <t>Alias namespace</t>
  </si>
  <si>
    <t>Unique namespace-aware resolution</t>
  </si>
  <si>
    <t>Two legal composite records match alias-only</t>
  </si>
  <si>
    <t>Ambiguity mechanism</t>
  </si>
  <si>
    <t>Schema + predicate + constructed rows</t>
  </si>
  <si>
    <t>Constrain or refuse ambiguity</t>
  </si>
  <si>
    <t>No live wrong resolution asserted</t>
  </si>
  <si>
    <t>Discipline file is live</t>
  </si>
  <si>
    <t>Preserve current consumers</t>
  </si>
  <si>
    <t>FDR/bootstrap/ranking live calls exist</t>
  </si>
  <si>
    <t>Prior dead-file finding disproven</t>
  </si>
  <si>
    <t>Direct source call sites</t>
  </si>
  <si>
    <t>Do not delete on filename search</t>
  </si>
  <si>
    <t>Converge method kernel only</t>
  </si>
  <si>
    <t>SQL mapping-only save</t>
  </si>
  <si>
    <t>Latest accepted mapping saved</t>
  </si>
  <si>
    <t>Callback omits projection dependencies</t>
  </si>
  <si>
    <t>Suspected behaviour</t>
  </si>
  <si>
    <t>Dependency-array source trace</t>
  </si>
  <si>
    <t>Real shell mapping-only regression test</t>
  </si>
  <si>
    <t>Not claimed reproduced in browser</t>
  </si>
  <si>
    <t>WHERE TO READ: Source Review = 51 records; Source Evidence = 129 excerpts; M2-P2 Review = all 34 P2 tasks; Review 15Sep = ten-session ledger.</t>
  </si>
  <si>
    <t>Notes</t>
  </si>
  <si>
    <t>179 unique task IDs retained</t>
  </si>
  <si>
    <t>Saved XLSX read-back</t>
  </si>
  <si>
    <t>Protected task fields unchanged</t>
  </si>
  <si>
    <t>[]</t>
  </si>
  <si>
    <t>Only T-146 description clarification</t>
  </si>
  <si>
    <t>['T-146']</t>
  </si>
  <si>
    <t>No self-dependency / self-precede</t>
  </si>
  <si>
    <t>Only five declared external predecessors</t>
  </si>
  <si>
    <t>['T-032', 'T-035', 'T-036', 'T-057', 'T-064']</t>
  </si>
  <si>
    <t>Must Precede reciprocal</t>
  </si>
  <si>
    <t>No M2 completion dependency on M3</t>
  </si>
  <si>
    <t>Completion graph acyclic</t>
  </si>
  <si>
    <t>Dependency Graph matches saved Backlog</t>
  </si>
  <si>
    <t>Worker Tracks matches saved Backlog</t>
  </si>
  <si>
    <t>51 substantive source records</t>
  </si>
  <si>
    <t>All 34 M2-P2 source records present</t>
  </si>
  <si>
    <t>Unknown remainder never zero</t>
  </si>
  <si>
    <t>All linked remaining estimates match source data</t>
  </si>
  <si>
    <t>Lower &lt;= base &lt;= upper</t>
  </si>
  <si>
    <t>All 27 invalid historical estimates have remainder review</t>
  </si>
  <si>
    <t>Counter({'Not Started': 116, 'Done': 58, 'In Progress': 5})</t>
  </si>
  <si>
    <t>T-099 closure and parent preserved</t>
  </si>
  <si>
    <t>No cached Excel formula errors</t>
  </si>
  <si>
    <t>All original sheets retained</t>
  </si>
  <si>
    <t>No new official task IDs or release changes</t>
  </si>
  <si>
    <t>Self dependency</t>
  </si>
  <si>
    <t>Validator negative control</t>
  </si>
  <si>
    <t>Injected error was detected</t>
  </si>
  <si>
    <t>M2 dependent on M3</t>
  </si>
  <si>
    <t>Remaining estimate divergence</t>
  </si>
  <si>
    <t>Ten full session transcripts</t>
  </si>
  <si>
    <t>Access boundary</t>
  </si>
  <si>
    <t>No full transcript claimed. Source files and selected dated attachments were actually read.</t>
  </si>
  <si>
    <t>Live source HEAD after 14-Sep</t>
  </si>
  <si>
    <t>Snapshot boundary</t>
  </si>
  <si>
    <t>No local Git repository/remote HEAD verification. Later implementation may alter remaining estimates.</t>
  </si>
  <si>
    <t>Remaining 128 task source scopes</t>
  </si>
  <si>
    <t>Review coverage</t>
  </si>
  <si>
    <t>Retained in coverage ledger; no new zero-time or Done inference.</t>
  </si>
  <si>
    <t>Worker confirmation of estimates</t>
  </si>
  <si>
    <t>Forecast boundary</t>
  </si>
  <si>
    <t>PASS — saved-XLSX check</t>
  </si>
  <si>
    <t>PPIQ BACKLOG v2.24.0 — v4.11.1 execution authority | 17Sep2026</t>
  </si>
  <si>
    <t>Authority</t>
  </si>
  <si>
    <t>Current value</t>
  </si>
  <si>
    <t>As of</t>
  </si>
  <si>
    <t>Functional Design</t>
  </si>
  <si>
    <t>v4.11.1</t>
  </si>
  <si>
    <t>2026-09-17</t>
  </si>
  <si>
    <t>Integrated across Chapters 1–6; current functional authority.</t>
  </si>
  <si>
    <t>Execution Backlog</t>
  </si>
  <si>
    <t>v2.24.0</t>
  </si>
  <si>
    <t>In-place status/evidence/dependency/acceptance reconciliation; no new task family.</t>
  </si>
  <si>
    <t>Integrated Chapter 3/4 visuals</t>
  </si>
  <si>
    <t>v4.11.1 functional authority; illustrated regeneration pending T-265/T-266</t>
  </si>
  <si>
    <t>Markdown page/runtime contracts are current. Missing illustrated DOCX derivatives do not block implementation workers.</t>
  </si>
  <si>
    <t>Release 1</t>
  </si>
  <si>
    <t>M2 — approx. one month from owner planning checkpoint</t>
  </si>
  <si>
    <t>Owner planning basis</t>
  </si>
  <si>
    <t>No new absolute delivery date.</t>
  </si>
  <si>
    <t>Release 2</t>
  </si>
  <si>
    <t>M3 — 45 days after M2 completion</t>
  </si>
  <si>
    <t>45 days after M2 completion; prior approved release allocation retained.</t>
  </si>
  <si>
    <t>Rows and retirements</t>
  </si>
  <si>
    <t>187 active; T-105→T-104; T-111→T-110/T-155/T-159</t>
  </si>
  <si>
    <t>Adds T-268 through T-275</t>
  </si>
  <si>
    <t>Eight new bounded industrial-integration execution owners. No existing task retired or reopened by this design revision.</t>
  </si>
  <si>
    <t>T-099 closure</t>
  </si>
  <si>
    <t>T-262 closure</t>
  </si>
  <si>
    <t>CLOSED GREEN / COMMITTED</t>
  </si>
  <si>
    <t>2026-09-16</t>
  </si>
  <si>
    <t>Final live definition-store closure db0b0f84ec721f8adff1da14d4a62762200a22d6; producer 86e1b677... and 33aca26a... are ancestors.</t>
  </si>
  <si>
    <t>Planning estimates</t>
  </si>
  <si>
    <t>Industrial source preflight GREEN; T-268..T-275 estimate calibration pending</t>
  </si>
  <si>
    <t>Estimate calibration is not a start gate. No delivery forecast is asserted until estimates are accepted.</t>
  </si>
  <si>
    <t>Current task table</t>
  </si>
  <si>
    <t>Backlog!A1:BB188</t>
  </si>
  <si>
    <t>187 task rows</t>
  </si>
  <si>
    <t>Dependency validation reads the saved v2.24.0 task rows. New tasks are excluded from hour totals until explicitly estimated.</t>
  </si>
  <si>
    <t>Derived views</t>
  </si>
  <si>
    <t>Worker Tracks / Dependency Graph / Capability Map / Release Plan / dashboards</t>
  </si>
  <si>
    <t>Formula ranges are extended through Backlog row 188. New task rows are appended to Worker Tracks and Dependency Graph.</t>
  </si>
  <si>
    <t>Scope of validation</t>
  </si>
  <si>
    <t>Design/backlog reconciliation + 17-Sep read-only Industrial Integration preflight</t>
  </si>
  <si>
    <t>Preflight exported 198 ranked source files at current HEAD; this is source evidence, not runtime certification.</t>
  </si>
  <si>
    <t>Chapter 2 notice</t>
  </si>
  <si>
    <t>v4.11.1 Industrial Integration / B3 Prepare Acquisition / B4 Acquisition Runs</t>
  </si>
  <si>
    <t>L1.8 Release-1 Core.</t>
  </si>
  <si>
    <t>Source Summary — current source, remaining effort and validation</t>
  </si>
  <si>
    <t>One workbook only. New Source Review and Source Evidence tabs supplement M2-P2 Review, Task Evidence 15Sep and the preserved session ledger.</t>
  </si>
  <si>
    <t>W1 T-233→T-268 | W2 finish T-261 postimages | W3 T-224→T-225</t>
  </si>
  <si>
    <t>Preserve dirty T-261 bytes; lanes follow current dependency/path locks.</t>
  </si>
  <si>
    <t>e7ebc56341c371ce7b617585dce7f42d9a255f61</t>
  </si>
  <si>
    <t>IN PROGRESS / FINISH PRESERVED POSTIMAGES</t>
  </si>
  <si>
    <t>T-100/T-106/T-243/T-262 producer prerequisites are closed. Exact path census/staging required before commit.</t>
  </si>
  <si>
    <t>T-106 closure</t>
  </si>
  <si>
    <t>CLOSED GREEN / RELEASED</t>
  </si>
  <si>
    <t>Recovered released short anchor a0a5618d; registered Transformation executor acceptance belongs to T-261.</t>
  </si>
  <si>
    <t>T-243 closure</t>
  </si>
  <si>
    <t>316383913d3d8254003639274a098f829ecc1ea2 + ambient correction 33aca26a1063cc78fdc3900bb0432886fe496c87.</t>
  </si>
  <si>
    <t>T-233 state</t>
  </si>
  <si>
    <t>IN PROGRESS</t>
  </si>
  <si>
    <t>Latest Source Time certification run is RED with byte-exact rollback and no commit.</t>
  </si>
  <si>
    <t>Controlled book</t>
  </si>
  <si>
    <t>12 document families / 14 physical files</t>
  </si>
  <si>
    <t>Owner direction — 2026-09-14</t>
  </si>
  <si>
    <t>PPIQ_Definition.md registers the allowed files. The Backlog holds coverage, acceptance, validation and handoffs; no new status/JSON/README/atlas files.</t>
  </si>
  <si>
    <t>Testing</t>
  </si>
  <si>
    <t>Emulated sources</t>
  </si>
  <si>
    <t>Critical</t>
  </si>
  <si>
    <t>Freeze and certify the existing Fleet v2 dataset only as a legacy discrete-manufacturing regression oracle with predeclared known answers/negative controls. It is not the canonical product vocabulary, not the generic M2 fixture authority and not the source of customer schema semantics. T-208 owns new generic controlled fixtures, including the continuous-process known-answer pack.</t>
  </si>
  <si>
    <t>Fleet v2 is immutable and its declared phenomena/negative controls are reproducible. An architecture check proves no generic runtime/Layer-B/registry contract derives vocabulary or universal grain from Fleet. T-208 can run independently with neutral/continuous fixtures.</t>
  </si>
  <si>
    <t>Integration/E2E/certification</t>
  </si>
  <si>
    <t>M2-P1</t>
  </si>
  <si>
    <t>Own canonical DB/backend/security/API/infra. No W2-owned UI/admin task files and no W3 ML/Assistant runtime.</t>
  </si>
  <si>
    <t>Product Foundation &amp; Release Truth</t>
  </si>
  <si>
    <t>C1–C4 performance certification and golden-journey release gate</t>
  </si>
  <si>
    <t>Validate</t>
  </si>
  <si>
    <t>Advances</t>
  </si>
  <si>
    <t>Chapters 3/4 v4.10.3 — MD + illustrated Word; UI Coverage / UI Controls in this workbook</t>
  </si>
  <si>
    <t>NOT SOURCE-REVIEWED IN THIS PASS</t>
  </si>
  <si>
    <t>NOT ESTIMATED IN THIS PASS</t>
  </si>
  <si>
    <t>Database</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</si>
  <si>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</si>
  <si>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</si>
  <si>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</si>
  <si>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T-089; T-099; T-102; T-112; T-114; T-128; T-196; T-233; T-251; T-252; T-272</t>
  </si>
  <si>
    <t>DB/schema/migration</t>
  </si>
  <si>
    <t>Converge</t>
  </si>
  <si>
    <t>D4; D5</t>
  </si>
  <si>
    <t>Very Important</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</si>
  <si>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</si>
  <si>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</si>
  <si>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T-087; T-089; T-112; T-128; T-251; T-252; T-256; T-260; T-272</t>
  </si>
  <si>
    <t>L5.7; L2.1</t>
  </si>
  <si>
    <t>Definition store</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</si>
  <si>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</si>
  <si>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</si>
  <si>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T-090; T-092; T-095; T-099; T-106; T-114; T-128; T-183; T-243; T-244</t>
  </si>
  <si>
    <t>Build</t>
  </si>
  <si>
    <t>Backend</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</si>
  <si>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t>
  </si>
  <si>
    <t>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t>
  </si>
  <si>
    <t>T-091; T-092; T-095; T-099; T-104; T-106; T-114; T-128; T-134; T-147; T-183; T-195; T-210; T-221; T-228; T-231; T-232; T-233; T-235; T-239; T-243; T-244</t>
  </si>
  <si>
    <t>Backend/domain contract</t>
  </si>
  <si>
    <t>Downstream consumers wait for the committed T-090 authority. Handover/progress notes do not substitute for closure; the pack must apply, build, test, replay and commit on the user machine.</t>
  </si>
  <si>
    <t>D3; D4; D5</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</si>
  <si>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</si>
  <si>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</si>
  <si>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D3; D5</t>
  </si>
  <si>
    <t>Registry</t>
  </si>
  <si>
    <t>Replace compiled dimension/measure catalogues with canonical registry projections over published definition versions. Registry rows must support customer-defined dimensions/measures without rebuild, plus analysis-grain metadata, signal/aggregation semantics and reference-derived measure roles. It remains a projection/serving authority, not a competing mutable definition store.</t>
  </si>
  <si>
    <t>Using the same binary, add a customer-shaped dimension and measure through definitions/registry data only and use them in an authored widget. No C#/React/product-SQL edit. Registry exposes declared grain and aggregation/reference metadata and rejects unresolved semantics.</t>
  </si>
  <si>
    <t>D1; D3; D5</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</si>
  <si>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</si>
  <si>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</si>
  <si>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Clear generic-runtime/demo-vocabulary violations without replacing one industry noun with another. Complete the declared-dimension execution path on BOTH runtime wire surfaces: (A) persisted widget execution via DashboardWidgetFiltersDto/declared keyed dimensions and (B) workspace/global dashboard query execution via DashboardQueryDto and the overview/quality/risk/data-quality/materials routes. Remove fixed universal grain/industry vocabulary from DashboardReferenceDataDto and the frontend consumers by resolving published registry definitions, canonical members and governed Analysis Subject/relationship authority. The target contract is definition/registry member -&gt; relationship/path resolution -&gt; Analysis Subject -&gt; typed refusal; the current direct single-reference resolver is an interim implementation until T-095/T-096 path authority lands. No presentation vocabulary becomes product authority.</t>
  </si>
  <si>
    <t>Using the same binary, author a foreign/customer-shaped dimension and prove it filters both a persisted widget and the workspace/global route surface through the same published definition/member identity. Both surfaces must return the same typed refusal when the dimension is undeclared, inactive, unmapped, has no subject path, or becomes ambiguous. No compiled fallback to defectType/riskClass/shiftCode or a universal material grain. Frontend consumers use the keyed contract. Wave-C genericity arithmetic remains exact: every known fingerprint is retired or explicitly lawful; unknown=0.</t>
  </si>
  <si>
    <t>T-095; T-128; T-183; T-196; T-253; T-256; T-258</t>
  </si>
  <si>
    <t>Programme</t>
  </si>
  <si>
    <t>Release baseline</t>
  </si>
  <si>
    <t>Resolve the shared dirty tree, keep/revert the associative change on evidence, commit exact owned files, tag/freeze the successful presentation baseline, and formally stop presentation-only feature/page/data work. Remaining generic defects move to M2-P0 owners rather than being completed as M1 content.</t>
  </si>
  <si>
    <t>Clean index and explicit foreign-file inventory; immutable release/tag or equivalent frozen artifact; presentation profile still launches; one ledger lists every unclosed M1 item as frozen, superseded, or consumed by a named M2 task. No customer-demo-only task remains on the September critical path.</t>
  </si>
  <si>
    <t>Release / governance</t>
  </si>
  <si>
    <t>Git/worktree ownership + release/tag only.</t>
  </si>
  <si>
    <t>After commit/tag, all workers consume the frozen baseline; nobody reopens M1 presentation scope without a proven regression.</t>
  </si>
  <si>
    <t>D1; D5</t>
  </si>
  <si>
    <t>Quality</t>
  </si>
  <si>
    <t>Release Truth</t>
  </si>
  <si>
    <t>Enumerate every active customer-facing page/widget definition from the real database and execute its actual query contract against the release API/database. Validate declared terminal semantics, row/population evidence and compatibility. This gate tests the product as persisted, not merely source-code paths.</t>
  </si>
  <si>
    <t>Every active persisted widget executes with 2xx plus Populated/Empty/Blocked/Refused as documented; unexpected 4xx/5xx is a failure. Deliberately corrupt one dimension/measure combination and prove the gate fails. Restore and prove green. Emit machine-readable report naming definition/page/widget.</t>
  </si>
  <si>
    <t>E2E / integration gate</t>
  </si>
  <si>
    <t>Frontend E2E + dashboard query test harness; no canonical schema edits.</t>
  </si>
  <si>
    <t>T-150 later consumes this gate; it does not redesign it.</t>
  </si>
  <si>
    <t>L3.1; L3.4</t>
  </si>
  <si>
    <t>D2; D5</t>
  </si>
  <si>
    <t>For every customer-reachable route, navigate and settle against the real API; fail on unexpected HTTP &gt;=400, failed required request, uncaught JS exception, unhandled console error, error toast, or widget Failed state. Record route/request/widget evidence.</t>
  </si>
  <si>
    <t>Inject one failing API response and one uncaught render error and prove the route gate fails for the named cause. With faults removed, every customer route settles with zero unexpected network/console/widget failures.</t>
  </si>
  <si>
    <t>Playwright / session</t>
  </si>
  <si>
    <t>Frontend E2E/session harness.</t>
  </si>
  <si>
    <t>All later customer-facing feature tasks must add their route to this gate before close.</t>
  </si>
  <si>
    <t>Frontend</t>
  </si>
  <si>
    <t>Associative BI</t>
  </si>
  <si>
    <t>Replace click-smoke acceptance with a state-machine proof: capture widgets A/B/C, click X in A, assert selection state, assert B/C re-query with X, assert returned populations and visible results change, clear X and assert restoration. Execute across interactive renderer families.</t>
  </si>
  <si>
    <t>Bar, line, scatter, heatmap, table-row and interactive KPI families each prove selection propagation, dependent request mutation, population/result change, and restoration. A deliberate broken dependency-array/bridge falsification must fail the test.</t>
  </si>
  <si>
    <t>Frontend behavioural E2E</t>
  </si>
  <si>
    <t>AssociativeContext/filter bridge + E2E tests; no unrelated chart redesign.</t>
  </si>
  <si>
    <t>This task supersedes using browser walking as the acceptance of cross-filtering.</t>
  </si>
  <si>
    <t>Test infrastructure</t>
  </si>
  <si>
    <t>Make the global frontend unit/component suite terminate deterministically, produce a machine-readable result, and fail the pipeline on non-termination, timeout, skipped mandatory tests or leaked handles.</t>
  </si>
  <si>
    <t>Run the full suite twice from clean processes under the declared timeout; both terminate with identical pass/fail/skip counts and machine-readable output. Inject a leaked handle/non-terminating test and prove the gate goes red.</t>
  </si>
  <si>
    <t>Frontend test infrastructure</t>
  </si>
  <si>
    <t>Frontend test runner/config only.</t>
  </si>
  <si>
    <t>T-205 remains closed. Deterministic suite-truth mutations are owned by T-250; do not amend or reopen T-205 for product/test corrections.</t>
  </si>
  <si>
    <t>Architecture</t>
  </si>
  <si>
    <t>Genericity</t>
  </si>
  <si>
    <t>Create a scope-aware architecture test that forbids customer/demo/industry vocabulary and compiled customer dimension/grain authorities inside generic runtime/engine/API contracts while allowing that vocabulary in explicitly classified fixtures, mappings and documentation. Include detection of compiled dimension arrays and implicit grain defaults.</t>
  </si>
  <si>
    <t>Falsify the gate with a generic-runtime 'coil' fallback, a compiled customer dimension, and an industry-specific class; each fails. The same terms in approved fixture paths remain allowed. Gate consumes configured path/authority classes, not a naive whole-repo negative text scan.</t>
  </si>
  <si>
    <t>Architecture/test</t>
  </si>
  <si>
    <t>Architecture/genericity tests only; no W1 schema or W2 UI mutation.</t>
  </si>
  <si>
    <t>Violations are routed to the owning task/file; Worker 3 does not fix foreign files.</t>
  </si>
  <si>
    <t>Test data</t>
  </si>
  <si>
    <t>Create the dataset-neutral controlled fixture authority separate from product vocabulary. Keep Fleet v2 as legacy discrete regression oracle only; continuous-process fixture includes irregular analog samples, state intervals, counters, alarms, process windows, independent manual/business records, PLUS a declared transition/stabilisation event and conflicting multi-objective practice vectors with predeclared known answers.</t>
  </si>
  <si>
    <t>Fixture manifests are machine-readable, immutable by version, inaccessible as planted truth to runtime, and include SampleMean vs TimeWeightedMean, StateDuration, Delta, interval overlap, transition/stabilisation regime truth, a pooled-vs-steady-state confounding case, a known Pareto frontier, negative controls and refusal cases. Product code contains no fixture vocabulary.</t>
  </si>
  <si>
    <t>T-209; T-211; T-216; T-217; T-218; T-234; T-238</t>
  </si>
  <si>
    <t>Test fixture / kernel</t>
  </si>
  <si>
    <t>New generic fixture/test assets only.</t>
  </si>
  <si>
    <t>T-211/T-217/T-219 consume this fixture; they never read planted expected answers at runtime.</t>
  </si>
  <si>
    <t>Architecture / Analytics Engine</t>
  </si>
  <si>
    <t>Generic subject/grain contract</t>
  </si>
  <si>
    <t>Freeze the generic AnalysisSubject/GrainDefinition contract and a schema-independent resolver/kernel. It defines subject kinds, grain identity, time-window semantics, typed GR01 refusal and the rule that no analytical result requires a material identifier. No production migration, DI registration or canonical table edit in this task.</t>
  </si>
  <si>
    <t>Known-answer tests resolve discrete, equipment-window and flow-interval subjects; missing grain refuses GR01; no industry noun/material-only assumption appears in the public contract. Runs without production DB access.</t>
  </si>
  <si>
    <t>T-094; T-210; T-214; T-231; T-234; T-253</t>
  </si>
  <si>
    <t>Kernel/contract</t>
  </si>
  <si>
    <t>New generic contract/kernel/tests only.</t>
  </si>
  <si>
    <t>T-231 persists this contract; downstream consumers bind to contract, not table shape.</t>
  </si>
  <si>
    <t>D1; D3; D4; D5</t>
  </si>
  <si>
    <t>Semantic measurement authority</t>
  </si>
  <si>
    <t>Extend parameter definitions and KPI bindings with signal_kind, aggregation_kind, interpolation, weight basis, maximum gap, quality policy, counter-reset and time basis. Remove any silent DEFAULT 'Average'. Store grammar as product-owned enums/registry; customer parameters select it.</t>
  </si>
  <si>
    <t>Create Analog/State/Counter definitions and prove no aggregate can execute from data_type alone. Parameter or KPI binding may declare a valid method; absent semantics returns AG01. Invalid method for signal returns AG02. Fresh DB/replay green and no default Average in canonical schema.</t>
  </si>
  <si>
    <t>DB/schema authority</t>
  </si>
  <si>
    <t>Parameter definitions/KPI bindings/migrations/definition contract.</t>
  </si>
  <si>
    <t>T-211 executes exactly this contract; no second aggregation registry.</t>
  </si>
  <si>
    <t>Temporal authority contract</t>
  </si>
  <si>
    <t>Freeze the per-source time contract: timezone, timestamp basis/origin, DST policy, clock reference, observed skew, maximum tolerated skew, and source/server/ingest timestamp semantics. No production persistence in this task.</t>
  </si>
  <si>
    <t>Known-answer contract tests distinguish source/server/ingest timestamps and prove skew beyond tolerance yields TemporalUncertain rather than conflict. Runs without production DB access.</t>
  </si>
  <si>
    <t>Temporal contract/tests only.</t>
  </si>
  <si>
    <t>T-233 persists source-time authority; T-217 consumes contract without waiting for persistence.</t>
  </si>
  <si>
    <t>Backend / Database</t>
  </si>
  <si>
    <t>Canonical subject/grain persistence</t>
  </si>
  <si>
    <t>Persist the frozen T-209 AnalysisSubject/GrainDefinition contract through canonical definitions and analysis_subjects/grain-definition tables. This task owns migration, tenant-safe keys, version binding and canonical APIs only; it does not redesign the contract.</t>
  </si>
  <si>
    <t>Fresh migration/replay green. Persist discrete, equipment-window and flow-interval grains; same binary resolves all via API. GR01 preserved. Tenant isolation and definition-version replay pass.</t>
  </si>
  <si>
    <t>analysis_subjects/grain definitions + API/migrations.</t>
  </si>
  <si>
    <t>T-092/T-128/T-139/T-213 consume committed persistence; they do not invent subject identity.</t>
  </si>
  <si>
    <t>Release truth / design system</t>
  </si>
  <si>
    <t>Resolve only the six deterministic findings exposed by T-205 without reopening T-205: correct stale JourneyRail certification for Connections=J4 and Supervisor=J15; map the real /assistant/configuration route directly to J15 and guard redirect aliases; move constant MetricCard inline styles to CSS; retain HeatmapChart only as an exact-file semantic-matrix exception; convert SpecificationTable to StandardTable while preserving observed-state semantics. No broad frontend cleanup.</t>
  </si>
  <si>
    <t>Narrow affected tests GREEN first: Connections=J4, Supervisor=J15, /assistant/configuration=J15, redirect-alias guard GREEN, MetricCard D2 violations=0, Heatmap exact-file exception only, SpecificationTable uses StandardTable and existing component tests stay GREEN. Then run the ordinary complete frontend suite once with failed=0 and skipped=0. Do not rerun T-205 Certify unless T-205 gate code changes.</t>
  </si>
  <si>
    <t>Frontend bounded correction</t>
  </si>
  <si>
    <t>Own only the bounded JourneyRail/Journey tests, MetricCard styling, exact Heatmap architecture exception and SpecificationTable convergence. No edits to T-205 runner/validator and no unrelated frontend cleanup.</t>
  </si>
  <si>
    <t>T-205 remains closed. After T-250 GREEN, move directly to the next eligible existing Worker-2 task. No unnamed corrective work and no repeated expensive certification loop.</t>
  </si>
  <si>
    <t>D1; D2; D5</t>
  </si>
  <si>
    <t>Schema governance</t>
  </si>
  <si>
    <t>Create the generated physical database catalogue required by Master Design v4.10.1. Reconcile canonical migration/EF authority with fresh canonical certification database `ppiq_acceptance_empty` and long-lived `ppiq_app`. Every table/view and every column in ppiq_meta, ppiq_plant, ppiq_staging and permitted public infrastructure receives schema, logical family, lifecycle class, owner, purpose, creator, readers/writers, keys/FKs, design clause, backlog owner, retention/RLS policy and naming-conformance state. Generate the relation graph. Define/enforce the forward snake_case/no-customer-vocabulary naming standard without mass-renaming grandfathered objects. Read-only census first; deletion/rename is outside this task.</t>
  </si>
  <si>
    <t>Fresh canonical certification DB `ppiq_acceptance_empty`: 100% tables/views/columns represented; zero unknown product objects; every table has logical family + lifecycle + owner + design clause; physical FK graph generated; public contains platform infrastructure only. Long-lived ppiq_app: every extra object classified, never auto-deleted. Generator reruns deterministically from executable schema authority. A new DDL object without catalogue classification makes the gate red.</t>
  </si>
  <si>
    <t>T-112; T-150; T-252; T-256; T-259; T-272</t>
  </si>
  <si>
    <t>Own generated DB catalogue tooling/documentation and read-only pg_catalog queries. No product table deletion, rename or unrelated DDL.</t>
  </si>
  <si>
    <t>Publish semantic-named catalogue artifacts only; no task-number repository filename. Hand off the generated dictionary to T-115/T-123/T-150.</t>
  </si>
  <si>
    <t>Database isolation</t>
  </si>
  <si>
    <t>Remove shared-live-database mutation from certification/test infrastructure. Integration suites and corrective packs create or clone a dedicated disposable database/template, record its name, execute against it, and drop it in an unconditional finally path on success/failure. Never flip or mutate live ppiq_app/ppiq_presentation as a test fixture. Add bounded cleanup for current orphan probe/backup/scratch databases after evidence-retention adjudication.
v2.20.0 PROMOTION — this is now M2-P1 foundation scope, not late P5 hardening. Every DB-dependent certification path must either receive a dedicated disposable database/template from this authority or explicitly declare that it is a read-only external probe. Local developer runs may skip an external-probe-only test with a named reason when the probe is absent; Release-1 CI/certification provisions its own disposable target and permits zero DB-fixture skips.
v2.20.1 DEPENDENCY CORRECTION — T-251 is an explicit prerequisite, not only a handover convention. T-251 classifies current/fresh physical database authority before T-252 changes certification/test database lifecycle.</t>
  </si>
  <si>
    <t>Induced test failure, PowerShell/native-command failure and timeout each leave zero newly orphaned databases. Captured database names are gone after cleanup; ppiq_app, ppiq_acceptance_empty, ppiq_presentation and postgres are untouched. Two parallel suites use distinct DBs. A post-run orphan query is green. Current retained backups/probes are classified and removed only after retention proof. A release-profile certification provisions its own disposable DB and records zero database-fixture skips. A developer-local run with an intentionally absent external probe may skip only the named probe test and must emit the exact reason; it may not fail by mutating or assuming a shared live database.
Emit the DB-fixture execution result using the canonical T-259 Release Evidence Envelope v1 fields. T-252 owns DB skip semantics and database_fixture_mode/name values; it does not invent a second envelope format.
Producer contract is T-259 Release Evidence Envelope v1. T-252 may add DB-specific extension fields but may not rename/redefine common fields.
For Release-1 DB-fixture certification specifically, `skipped_count` must be 0. A local approved external-probe skip is allowed only outside the Release-1 certification profile and still counts in total_count, not executed_count.</t>
  </si>
  <si>
    <t>T-106; T-112; T-150; T-256; T-272</t>
  </si>
  <si>
    <t>Own integration-test DB fixture/runner and disposable-DB lifecycle tooling only. Do not change product schema semantics.</t>
  </si>
  <si>
    <t>Every pack that CREATE DATABASEs owns DROP in finally. Persistent DB roles are explicit and protected.</t>
  </si>
  <si>
    <t>50c282ad5cb301a6422273599d6d6a05e70f71d4 — T-252 converge automated test databases onto disposable isolated targets</t>
  </si>
  <si>
    <t>2026-09-12</t>
  </si>
  <si>
    <t>Harden</t>
  </si>
  <si>
    <t>Inherited v2.22.0 intended record; no new runtime certification in this repair.
Exact closure SHA recovered: 50c282ad5cb301a6422273599d6d6a05e70f71d4.
Exact T-252 SHA is corroborated as the preflight HEAD/ancestor for subsequent T-256/T-261 work.</t>
  </si>
  <si>
    <t>Genericity / physical-consumer convergence</t>
  </si>
  <si>
    <t>After T-251 classifies the physical catalogue and T-252 stabilises test DBs, converge runtime consumers onto the three-schema/generic product authority. Every runtime `public.*` product reference is either migrated to ppiq_meta/ppiq_plant/ppiq_staging/definition authority or explicitly catalogued as permitted platform compatibility with a bounded retirement owner. Material/heat/coil-specific endpoint/service families in the generic binary are retired, moved behind an explicit presentation/demo compatibility boundary, or replaced by Analysis Subject/relationship/registry-driven surfaces. Do not mass-rename blindly and do not break the retained presentation database.
v2.20.1 OWNERSHIP BOUNDARY — T-256 is BACKEND/API/DB-RUNTIME convergence only. Do not edit Worker-2 frontend MaterialAnalytics pages, frontend route ownership, or productApiClient frontend types. Where backend convergence would otherwise break an existing frontend material surface, preserve a bounded typed compatibility contract long enough for T-258 to migrate/retire that frontend consumer; do not leave the generic build red.
v2.20.2 RECORDED T-253 HANDOFF — `MappingDefinitionService.AllowedTargetEntities` is a measured hardcoded 12-name target vocabulary and is NOT T-253 scope. T-256 owns its backend convergence: consume the canonical projection-target capability and catalog authority established by T-253, remove the duplicate plant-vocabulary list as runtime authority, and preserve only any explicitly justified compatibility mapping.
v2.20.3 DEPENDENCY RULING — T-253 remains a HARD dependency for T-256 because T-256 must replace MappingDefinitionService.AllowedTargetEntities with the exact canonical projection-target predicate created by T-253. Starting T-256 without that contract would either duplicate classification or broaden eligibility incorrectly. Phase IDs are product/outcome groupings, not chronological barriers; the dependency graph governs execution.</t>
  </si>
  <si>
    <t>Runtime-project scan reports zero unapproved `public.` product reference; every permitted public object exists in the T-251 platform/compatibility catalogue with owner and retirement state. Genericity gate explicitly covers material endpoint/service and generic API composition paths and has unknown=0. A foreign customer-shaped backend/API/query journey runs on the same binary with no material/heat/coil backend product dependency. If a presentation-only compatibility route remains, it is disabled outside the explicit presentation profile and is not required by canonical product paths.
Backend/API acceptance is green without editing Worker-2 frontend files. Enumerate every remaining frontend material-specific consumer discovered by the backend convergence and hand it to T-258 as machine-readable evidence. The current generic frontend build remains green through the compatibility handoff.
Static/runtime proof shows MappingDefinitionService no longer owns an independent hardcoded AllowedTargetEntities plant vocabulary; valid target eligibility resolves from canonical catalog/registry authority and foreign-shaped targets require no source-code list edit.
MappingDefinitionService target validation consumes the same T-253 projection-target predicate used by the authoring picker. Positive/negative eligibility decisions are identical across Canvas authoring and MappingDefinitionService; no second list or schema-only rule survives.</t>
  </si>
  <si>
    <t>Backend runtime consumers, API composition, DB-facing services and backend architecture/genericity guards only. NO Frontend/PlantProcess.Web mutation. T-258 exclusively owns frontend material/genericity convergence.</t>
  </si>
  <si>
    <t>Publish a bounded compatibility/consumer handoff manifest to T-258. Do not solve frontend Material pages/types/routes inside T-256; do not leave generic frontend red.</t>
  </si>
  <si>
    <t>36de9370765183e76227869372fbcd14b43dd066 — T-256 converge runtime consumers onto canonical three-schema and projection-target authorities</t>
  </si>
  <si>
    <t>L5.1; L5.7</t>
  </si>
  <si>
    <t>Evidence contract</t>
  </si>
  <si>
    <t>Freeze the small representation-independent machine-readable Release Evidence Envelope contract before DB/frontend producers implement it. This task owns ONLY the shared schema/validator contract, not the T-227 production scorecard and not producer execution. Contract version `1.0` defines required common fields: contract_version, task_id, gate_id/suite_id, environment, profile, started_at, completed_at, total_count, executed_count, passed_count, failed_count, skipped_count, unapproved_skip_count, structured skip_reasons, commit_sha, artifact/evidence paths and final verdict. Optional producer extensions include database_fixture_mode/database_name and other namespaced evidence details. Count semantics are explicit: `total_count = executed_count + skipped_count`; `executed_count = passed_count + failed_count`; `0 &lt;= unapproved_skip_count &lt;= skipped_count`. A skipped case is discovered/total but NOT executed. GREEN is impossible when failed_count&gt;0 or unapproved_skip_count&gt;0. Producer-specific release policy may be stricter (for example T-252 Release-1 DB-fixture acceptance requires skipped_count=0). Use semantic repository filenames, never a task-number filename.</t>
  </si>
  <si>
    <t>Validate one DB-fixture example shaped for T-252 and one frontend/E2E example shaped for T-257 against the same contract. Required invariants: total_count=executed_count+skipped_count; executed_count=passed_count+failed_count; unapproved_skip_count&lt;=skipped_count. Negative controls reject: wrong contract version, inconsistent totals, a skipped case counted as executed, GREEN with failed_count&gt;0, GREEN with unapproved_skip_count&gt;0, unapproved_skip_count greater than skipped_count, and malformed skip-reason classification. Include an all-skipped fixture and prove executed_count=0 rather than total_count. The schema/validator is consumable from PowerShell/CI and application/test tooling without either producer redefining fields. No scorecard thresholds, DB lifecycle or frontend runner behavior is implemented here.</t>
  </si>
  <si>
    <t>Shared release-evidence schema/validator + focused contract tests only. No DB fixture implementation, frontend test runner, scorecard, feature code or release aggregation.</t>
  </si>
  <si>
    <t>T-252/T-257 are producers. T-227 owns production acceptance scorecard/policy. T-150 aggregates. None may redefine the v1 envelope.</t>
  </si>
  <si>
    <t>9a7b0e74 — T-259 freeze release evidence envelope v1 contract (short SHA recovered only)</t>
  </si>
  <si>
    <t>Inherited v2.22.0 intended record; no new runtime certification in this repair.
Full 40-character SHA/date not present in supplied evidence; do not fabricate.
Only short SHA 9a7b0e74 is recovered in supplied evidence. Full SHA/date is not fabricated.</t>
  </si>
  <si>
    <t>Canonical acceptance database builder convergence</t>
  </si>
  <si>
    <t>Database / release infrastructure</t>
  </si>
  <si>
    <t>Fresh certification database build path</t>
  </si>
  <si>
    <t>Correct the governed builder for `ppiq_acceptance_empty` so a fresh NO-SEED certification database is created by the complete canonical migration authority rather than a partial EF+scripts subset. The builder must consume `canonical-migration-order.json` (or the same single canonical ordering authority) and execute every required tier in declared order, including topology/storage convergence and declared views, while excluding demonstration/seed/test content. Trace the creator authority for `dump_store.src_caster_oracle_shape_cast_pieces`; if it enters through demo/seed/test content incorrectly present on the canonical fresh path, remove that path defect. If it is an explicitly required legacy compatibility migration, report it for T-256 rather than silently deleting product data. This task may rebuild the empty certification database as a governed certification operation; it must not mutate `ppiq_app` or `ppiq_presentation` and must not use them as fixtures.</t>
  </si>
  <si>
    <t>One semantic PowerShell runner performs non-writing preflight, backs up owned builder/order files, builds a uniquely named disposable candidate from the canonical order, proves required topology convergence + declared views are present and demo/seed/test content is absent, then replaces/recreates `ppiq_acceptance_empty` only after the candidate is GREEN and the previous certification DB can be restored on failure. Prove the canonical-order consumer executed all declared required entries exactly once in order, with zero undeclared execution. Prove `ppiq_app` and `ppiq_presentation` are untouched. After rebuild, rerun the T-251 catalogue and record before/after counts; do not classify the old 106/81 queue. The `dump_store.src_caster_oracle_shape_cast_pieces` creator is identified exactly and ruled as canonical compatibility or excluded demo/seed/test path. Negative control: omit one terminal canonical tier in a disposable candidate and the build-path gate must go RED.</t>
  </si>
  <si>
    <t>Database infrastructure corrective</t>
  </si>
  <si>
    <t>Fresh acceptance DB builder, canonical migration-order consumer/validation, focused builder tests and T-251 rerun orchestration only. No product runtime/API/frontend changes; no mutation of ppiq_app or ppiq_presentation; no broad migration rewrite.</t>
  </si>
  <si>
    <t>T-260 corrects how the fresh certification DB is constructed; T-251 remains the physical catalogue owner and resumes only on the corrected DB. T-256 later owns genuine runtime/schema compatibility residue that remains after a correct fresh build.</t>
  </si>
  <si>
    <t>Created from T-251 runtime evidence on 09-Sep-2026. The catalogue machine is valid, but the designated fresh certification DB is built from an incomplete canonical path, so classifying its current queue would create false governance work. Narrow corrective task; closed T-088 is not reopened.</t>
  </si>
  <si>
    <t>L5.7; L8.2</t>
  </si>
  <si>
    <t>Inherited v2.22.0 intended record; no new runtime certification in this repair.
17-Sep ledger repair: exact full closure SHA/date not present in supplied evidence set. Keep Done state and record evidence gap explicitly.
17-Sep ledger reconciliation: task remains accepted Done, but exact full closure SHA/date was not recovered in the supplied evidence set. Keep the evidence gap explicit; do not invent a commit.</t>
  </si>
  <si>
    <t>Relationship model</t>
  </si>
  <si>
    <t>Extend the M1 slice to the full model in Chapter 3 4.5.10: members, cardinality, grain conversion between related entities, preferred path selection when more than one path exists, and published versions.
v2.10.2 CONVERGENCE CORRECTION — T-095 does not merely 'extend' M1 physical tables. It converges the M1 relationship service/compatibility persistence onto the canonical Chapter 3 4.5.10 tables after definition_store exists, including source_definition_id/version, grain conversion, preferred paths, ambiguity/validation state and retirement semantics, while keeping the M1 external contract stable.</t>
  </si>
  <si>
    <t>Declare two paths between the same pair of entities, mark one preferred, and confirm the resolver chooses it. Change the preference and confirm the resolution changes with no other edit.</t>
  </si>
  <si>
    <t>UNCONFIRMED REVIEW ESTIMATE - not P80 or elapsed</t>
  </si>
  <si>
    <t>14-Sep-2026 snapshot; later closure evidence separate; no live HEAD verification</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</si>
  <si>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</si>
  <si>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</si>
  <si>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Route the remaining eight through the resolver: feature engineering, model training, prediction, practice learning, remediation search, value calculation, assistant retrieval and evidence. Some of these are built in Release 2; add the resolver seam now so they cannot be written against an ad-hoc join later.</t>
  </si>
  <si>
    <t>Eight further regression tests. For consumers whose engine arrives in Release 2, the test asserts the seam exists and refuses when unpublished, which is what stops a later shortcut.</t>
  </si>
  <si>
    <t>Build the C6 Relationship Browser from Chapter 3 4.4 with the ten-field page contract, showing declared relationships, their members, their paths and the evidence for each path.
v2.10.2 CONTINUITY CORRECTION — complete the existing T-060 /relationships page in place. Do not create a second C6 surface. Preserve the route, layout and M1 control contract while replacing/extending the hidden relationship authority and path evidence.</t>
  </si>
  <si>
    <t>Open a relationship and confirm its members, cardinality and path are shown with evidence. Confirm an unpublished relationship is visibly distinct from a published one.
Run the M1 C6 continuity snapshot before/after canonical cutover and prove no visible-contract regression.</t>
  </si>
  <si>
    <t>Frontend/UI feature</t>
  </si>
  <si>
    <t>Own named UI/admin task end-to-end only after producer APIs/security are committed.</t>
  </si>
  <si>
    <t>Chapters 3/4 v4.10.3 — MD + illustrated Word; UI Coverage / UI Controls in this workbook
v2.23.0 — Use T-265 C6 relationship list/detail/member/cardinality/path-validation handoffs. Trace every applicable Chapter 3 control to a reachable UI variant and keep resolver behavior under its existing authority.</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</si>
  <si>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</si>
  <si>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</si>
  <si>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</si>
  <si>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Implement the remaining seven validation classes and give every class its own test fixture, so the class set is provably complete against Chapter 3 4.5.14 rather than approximately complete.</t>
  </si>
  <si>
    <t>e7ebc56341c371ce7b617585dce7f42d9a255f61 — T-100 complete remaining projection quarantine validation classes</t>
  </si>
  <si>
    <t>Final closure e7ebc56341c371ce7b617585dce7f42d9a255f61 supersedes the earlier Runner-1/live-harness-blocked state. Preserve closure absent a concrete regression.</t>
  </si>
  <si>
    <t>Chapters 3/4 v4.10.3 — MD + illustrated Word; UI Coverage / UI Controls in this workbook
v2.23.0 — T-265 owns B4/C2/C3 visual depth. Implement its applicable batch outcome/error/committed cursor and catalogue-driven quarantine list/detail/refusal/reprocess states under the existing T-101 scope; all row actions and counts use canonical tenant-scoped payloads. Do not limit the renderer to eight PV codes.</t>
  </si>
  <si>
    <t>Genealogy</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</si>
  <si>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</si>
  <si>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</si>
  <si>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Projection</t>
  </si>
  <si>
    <t>Jobs</t>
  </si>
  <si>
    <t>T-107; T-122; T-125; T-245; T-261; T-263; T-275</t>
  </si>
  <si>
    <t>Own T-106/T-107/T-109 only after W1 producer contracts; no schema authority rewrites.</t>
  </si>
  <si>
    <t>v2.22.0 owner-approved scope and release disposition; original evidence remains in change log/archive.
17-Sep: baseline commits remain frozen; widened/current executor-freshness-cancellation acceptance remains open.
17-Sep final reconciliation: T-106 is closed/released. Do not reopen it for Transformation executor commissioning; T-261 consumes the frozen T-106 scheduling/target/cancellation seams.</t>
  </si>
  <si>
    <t>8b3eb5c89352a2779d87f9205700f19e7c9b3e25; a5451dbaf6b55183fe65e2c626c49fdef85bd986; a0a5618d — final released short anchor</t>
  </si>
  <si>
    <t>CLOSED GREEN / RELEASED — widened integration accepted; executor commissioning belongs to T-261</t>
  </si>
  <si>
    <t>Latest recovered execution evidence records HEAD a0a5618d as the released T-106 after the widened integration path. The remaining registered Transformation executor acceptance is T-261 scope, not a hidden T-106 remainder. Full SHA for a0a5618d is not recovered here; short anchor is preserved honestly.</t>
  </si>
  <si>
    <t>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
v2.10.2 MEASUREMENT RULING — this task implements the configurable dual-predicate admission mechanism and three-lane isolation. Test values may prove satisfiability, but no max_concurrency/resource_capacity/reserved fraction is a production-selected value here. Site values remain benchmark outputs owned by T-155/T-159.
v2.20.0 BOUNDED-PARALLELISM EXPANSION — the same admission authority owns bounded parallel execution for eligible non-ML job families. The current serial import-loop behavior is replaced by queue/admission scheduling that respects both max_concurrency and resource_capacity. Do not implement unbounded Task.WhenAll/Parallel.ForEach. Per-family limits, cancellation, fair queueing and hard online reservation remain explicit.</t>
  </si>
  <si>
    <t>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
The acceptance report labels resource values as TEST_CONFIGURATION unless they come from the named production/site benchmark manifest. No code default is presented as the final capacity decision. Run multiple slow import/analysis jobs and prove concurrency rises above one only up to the configured bound, then queues. Queueing must not increase memory without bound; cancellation frees capacity; a too-heavy job remains queued/refused by named policy. A negative-control implementation using unbounded fan-out must make the gate red.</t>
  </si>
  <si>
    <t>T-122; T-125; T-141; T-187; T-192; T-275</t>
  </si>
  <si>
    <t>Delta propagation</t>
  </si>
  <si>
    <t>T-109; T-110; T-247; T-271</t>
  </si>
  <si>
    <t>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t>
  </si>
  <si>
    <t>Insert one bounded delta and prove only affected feature rows and analyses are recomputed. Record rows scanned, rows changed and Scan Amplification. Assert no training/encoding component is reachable from this task and the output contract contains no customer table name.</t>
  </si>
  <si>
    <t>Acquisition</t>
  </si>
  <si>
    <t>Connector truth</t>
  </si>
  <si>
    <t>Make connector capability metadata executable truth. Current OPC/historian configuration validation or deterministic sample generation must not advertise live browse/bounded-read/subscription unless the connector build executes and tests that operation.</t>
  </si>
  <si>
    <t>Against the current implementation, unsupported browse/read/subscription report false/unavailable and attempts return typed OT01 rather than fabricated data. Add a contract test that makes any future advertised capability fail until an executable implementation passes.</t>
  </si>
  <si>
    <t>T-150; T-224; T-247; T-254; T-266; T-268</t>
  </si>
  <si>
    <t>Backend contract</t>
  </si>
  <si>
    <t>Connector metadata/API contract and tests.</t>
  </si>
  <si>
    <t>T-224..T-226 later may flip capabilities to true only by passing this contract.</t>
  </si>
  <si>
    <t>Backend/Frontend</t>
  </si>
  <si>
    <t>Dashboard query semantics</t>
  </si>
  <si>
    <t>Make dashboard/query aggregation resolve the canonical KPI/parameter semantics and certified kernel/database implementation. Remove raw-cap-before-aggregate and implicit average fallbacks in all customer-facing measures touched by this contract.</t>
  </si>
  <si>
    <t>Persisted-definition replay on discrete and continuous fixtures proves exact known answers; no raw row limit is applied before aggregate; AG01/AG02 render typed Blocked/Refused rather than API 500. Query plan performs bounded server-side aggregation.</t>
  </si>
  <si>
    <t>Cross-layer integration</t>
  </si>
  <si>
    <t>T-202 + T-210/T-211 + T-092 + committed T-234/T-235/T-236.</t>
  </si>
  <si>
    <t>Dashboard query service/executor + focused frontend state mapping.</t>
  </si>
  <si>
    <t>Consumes W1 semantics and W3 kernel; no independent aggregation rules.</t>
  </si>
  <si>
    <t>L5.3; L4.2</t>
  </si>
  <si>
    <t>D1; D2; D3; D5</t>
  </si>
  <si>
    <t>Onboarding</t>
  </si>
  <si>
    <t>Customer data assessment</t>
  </si>
  <si>
    <t>Create a versioned assessment workflow/report for an unknown customer: source inventory, entity/equipment map, time model, identity/join strategy, parameter catalogue, KPI candidates, references, aggregation gaps, data quality, historical coverage, reconciliation/ML eligibility, OT trial requirements and missing information. The intake MUST also capture same-calendar-window manual vs machine history availability, transition/changeover definitions and stabilisation rules, sequence/campaign boundaries, setup/preparation evidence, and customer objective sets/trade-off preferences. Accepted results become normal definitions/mappings; the assessment is not a second authority.</t>
  </si>
  <si>
    <t>Run against one foreign/customer-shaped fixture and produce a complete report with explicit UNKNOWN/MISSING states, including regime-context readiness and multi-objective readiness. Same-window reconciliation evidence is separately reported. No product-code change is made for customer vocabulary. Re-run after one new source/field creates a new assessment version and diff.</t>
  </si>
  <si>
    <t>Backend / product workflow</t>
  </si>
  <si>
    <t>Onboarding assessment service/report; no customer-specific schema code.</t>
  </si>
  <si>
    <t>Mappings/definitions become canonical through existing authorities; report does not become a shadow registry.</t>
  </si>
  <si>
    <t>L1.1; L7.8</t>
  </si>
  <si>
    <t>OPC UA edge</t>
  </si>
  <si>
    <t>Implement real OPC UA client runtime inside the customer-side collector boundary: endpoint discovery/selection, security policy negotiation, application certificate/trust management, authenticated session lifecycle and read-only enforcement. Core never gains plant-network credentials/routes.
v4.11.0 SCOPE DELTA — The session runtime consumes the governed Connection/Dataset/field/configuration identities from T-268 and must publish negotiated/effective source capability evidence without turning source settings into product guarantees. No native PLC driver is implied by OPC support.</t>
  </si>
  <si>
    <t>Against a real SDK test server, establish trusted and rejected sessions, rotate trust, reconnect after server restart and prove no write/control verb/path exists. Capability metadata remains false until this task and downstream browse/subscription tasks pass.
Additional acceptance: operation-level capability receipt names endpoint/source profile, security/trust result and negotiated limits; offline/takeover behavior must not create a second active capture owner. Source credentials remain collector-side only.</t>
  </si>
  <si>
    <t>External/site + backend</t>
  </si>
  <si>
    <t>Release 1 MUST — start after T-207 connector-truth authority. Site/customer OT certification may require customer access, but the executable production OPC UA runtime itself cannot be deferred past M2.</t>
  </si>
  <si>
    <t>Customer-side edge agent/OPC adapter only.</t>
  </si>
  <si>
    <t>T-225 consumes session adapter; site certification remains T-153/T-227-like acceptance, not hidden in code.</t>
  </si>
  <si>
    <t>OPC-UA / historian / edge acquisition</t>
  </si>
  <si>
    <t>Chapters 3/4 v4.10.3 — MD + illustrated Word; UI Coverage / UI Controls in this workbook
v2.23.0 — T-266 supplies OPC profile/session/trust target and refusal designs, with Worker 1 technical review. This is a contract handoff, not a full-design completion prerequisite for backend implementation.</t>
  </si>
  <si>
    <t>RE-ESTIMATE REQUIRED — v4.11.0 scope delta</t>
  </si>
  <si>
    <t>DESIGN v4.11.0 SCOPE DELTA — SOURCE PREFLIGHT REQUIRED</t>
  </si>
  <si>
    <t>NOT ESTIMATED AFTER v4.11.0</t>
  </si>
  <si>
    <t>Original task closure remains open; new acceptance must be estimated from current source.</t>
  </si>
  <si>
    <t>Design v4.11.0 + Industrial Integration review; current implementation source must be preflighted</t>
  </si>
  <si>
    <t>16-Sep-2026 design authority; no live source/runtime certification performed</t>
  </si>
  <si>
    <t>Implement namespace browse, tag selection/registration, subscriptions/monitored items, sampling/publishing interval and deadband configuration behind generic collector contracts.
v4.11.0 SCOPE DELTA — Browse/tag registration emits stable field identities consumed by T-268; monitored-item sampling/publishing/filter settings remain protocol mechanics and must not be presented as PPIQ durable-record semantics. T-270 owns Time/Value-change/Trigger-counter business recording behavior.</t>
  </si>
  <si>
    <t>Browse a test namespace, register N tags, subscribe, receive changed values and prove disconnect/reconnect resumes without fabricated deterministic samples. Read-only operations only. `supportsTagBrowse`/`supportsSubscription` become true only after these executed tests.
Additional acceptance: Namespace URI + identifier identity survives namespace-index change; server-revised settings are recorded; source-side filter pushdown is accepted only when semantics match the authored recording policy; no ordinary multi-tag read is labelled a PLC-atomic snapshot.
v4.11.1: executable OPC BoundedRead positive/negative proof is mandatory; browse/subscription alone does not certify it.
v4.11.1: execute and falsify BoundedRead separately from Browse and Subscription. Record achieved read window/quality/timestamps; unavailable runtime support must remain unavailable/refused.</t>
  </si>
  <si>
    <t>T-153; T-226; T-270</t>
  </si>
  <si>
    <t>T-224.</t>
  </si>
  <si>
    <t>Edge OPC adapter + tag registry integration.</t>
  </si>
  <si>
    <t>T-226 consumes typed acquired values; no core API direct OPC connection.</t>
  </si>
  <si>
    <t>Chapters 3/4 v4.10.3 — MD + illustrated Word; UI Coverage / UI Controls in this workbook
v2.23.0 — T-266 supplies browse tree, tag registration, bounded-read/subscription and keyboard/validation designs. Backend development follows frozen contracts in parallel; capability flags still require runtime proof.</t>
  </si>
  <si>
    <t>Preserve OPC StatusCode/quality plus source/server timestamps, integrate reconnect/sequence-loss handling and existing store-and-forward spool, map acquired values into canonical observations under Source Time Authority.
v4.11.0 SCOPE DELTA — OPC transport/recovery now hands durable observations through T-270/T-272/T-275: policy-state correctness, accepted-record identity, finite sealed batches during a continuous session, gap truth and replay-only behavior for a superseded collector. This task remains the OPC end-to-end proof owner, not a second storage/Job authority.</t>
  </si>
  <si>
    <t>Good/bad/uncertain quality and source-vs-server timestamp cases land correctly; network interruption queues locally and resumes idempotently; duplicate replay does not duplicate canonical observations; customer-core direction remains one-way.
Additional acceptance: continuous session remains active while finite batches become projection-ready; same record identity+same content is idempotent and different content conflicts; edge/core outage boundaries are distinguished; Bad/Uncertain quality and source/server/capture/ingest times survive; no fabricated payload for missing counter events.
v4.11.1 crash/recovery: failure after edge receive/journal and replay handoff must preserve declared idempotency and emit named gap/recovery evidence.
v4.11.1 crash matrix: failure after source receive, after durable edge/journal receipt and during replay handoff must preserve declared idempotency/gap truth with no silent loss/duplication.</t>
  </si>
  <si>
    <t>T-225; T-233; T-270; T-272; T-275</t>
  </si>
  <si>
    <t>T-225 + T-216 Source Time Authority.</t>
  </si>
  <si>
    <t>Edge spool/acquisition mapper + canonical ingest contract.</t>
  </si>
  <si>
    <t>T-153 real-source connector certification consumes this implementation; do not call implementation itself site-certified.</t>
  </si>
  <si>
    <t>Chapters 3/4 v4.10.3 — MD + illustrated Word; UI Coverage / UI Controls in this workbook
v2.23.0 — T-266 supplies quality/time/spool/reconnect/replay evidence presentation. The source-time and idempotency rules are unchanged; labelled design fixtures are not test-server proof.</t>
  </si>
  <si>
    <t>Reference persistence</t>
  </si>
  <si>
    <t>Persist the frozen T-214 Performance Reference contract, including declared standards/targets/envelopes, deterministic scope precedence, effective dating, directionality, provenance and projections from existing specifications/operating limits. No second reference authority.</t>
  </si>
  <si>
    <t>Migration/replay green; Global/Site/Equipment reference precedence and effective-date replay pass; equal-authority ambiguity remains RF01; existing specification/limit projections resolve through one read authority.</t>
  </si>
  <si>
    <t>T-090 + T-231 + committed T-214 contract.</t>
  </si>
  <si>
    <t>performance reference tables/projections/API.</t>
  </si>
  <si>
    <t>T-215 consumes persistence; no local reference math.</t>
  </si>
  <si>
    <t>Temporal authority persistence</t>
  </si>
  <si>
    <t>Persist the frozen T-216 Source Time Authority contract per source/site and preserve source/server/ingest timestamp provenance on observations. Own migrations, tenant-safe keys and canonical read API; no settings UI and no alignment algorithm here.</t>
  </si>
  <si>
    <t>Two sources with different declared timestamp origins and known skew persist/replay correctly; source/server/ingest timestamps survive ingestion; tenant isolation passes; the API exposes exactly the T-216 contract.</t>
  </si>
  <si>
    <t>T-221; T-226; T-270</t>
  </si>
  <si>
    <t>T-087 + T-090 + committed T-216 contract.</t>
  </si>
  <si>
    <t>source_time_authorities/observation timestamp provenance/API.</t>
  </si>
  <si>
    <t>T-221/T-226 consume canonical persistence; T-217 kernel does not wait.</t>
  </si>
  <si>
    <t>IN PROGRESS — Source Time persistence/certification has executed but is not closed</t>
  </si>
  <si>
    <t>Latest supplied Source Time runner remains RED with byte-exact rollback and no T-233 commit. Continue this existing lane first; do not relabel it Not Started or Done.</t>
  </si>
  <si>
    <t>Process regime persistence</t>
  </si>
  <si>
    <t>T-090 + T-231 + committed T-234 contract.</t>
  </si>
  <si>
    <t>process transition tables/API/migrations.</t>
  </si>
  <si>
    <t>T-237/customer onboarding consume committed persistence; do not redesign contract.</t>
  </si>
  <si>
    <t>No-code authoring</t>
  </si>
  <si>
    <t>Important</t>
  </si>
  <si>
    <t>Generalise the typed-port and graph semantics already proven in the M1 SharedAuthoringShell/VisualJoinCanvas slice into the production canvas contract. Reuse the existing shell and ports; do not create a second canvas. Define executable block kinds, typed input/output ports, required-port rules, graph validation and genericity constraints. No block or port may carry industry vocabulary.</t>
  </si>
  <si>
    <t>Architecture test proves one shared canvas contract. Typed-port known answers pass; an unconnected required port returns a typed refusal; incompatible ports refuse before execution; no industry noun/default grain appears in the generic block contract.</t>
  </si>
  <si>
    <t>Post-Sep product completion</t>
  </si>
  <si>
    <t>Frontend shared authoring shell, canvas graph/ports only.</t>
  </si>
  <si>
    <t>Reuse M1 SharedAuthoringShell and existing typed-port assets. No second canvas component.</t>
  </si>
  <si>
    <t>D1; D2; D4; D5</t>
  </si>
  <si>
    <t>Complete the executable block library behind the existing catalogue: source/filter/join, arithmetic, comparison, boolean logic, branch/window and governed aggregate blocks. Aggregate blocks resolve the canonical aggregation semantics authority and never default to Average. Include production arithmetic/comparison/Boolean blocks, IF/ELSE, ForEach, RepeatN and WhileBounded. WhileBounded requires max_iterations, runtime budget and cancellation; unbounded loops cannot publish.</t>
  </si>
  <si>
    <t>Every executable block has deterministic known-answer and type-mismatch tests. Aggregate blocks consume the canonical aggregation contract and refuse AG01 when semantics are undeclared. Unsupported catalogue entries remain visibly unavailable rather than silently no-op. Known-answer graphs prove +,-,*,/, comparisons, AND/OR/NOT, IF/ELSE, ForEach, RepeatN and bounded While. A graph with no finite loop bound refuses validation.</t>
  </si>
  <si>
    <t>Canvas block registry and executable block nodes.</t>
  </si>
  <si>
    <t>Do not duplicate analytics kernels; blocks call governed Layer-A/Layer-B contracts.</t>
  </si>
  <si>
    <t>Frontend canvas persistence + definition-store client contracts.</t>
  </si>
  <si>
    <t>No canvas-specific persistence schema.</t>
  </si>
  <si>
    <t>6f65bba1 — original reopen/version closure; 316383913d3d8254003639274a098f829ecc1ea2 — transactional relationship publication; 33aca26a1063cc78fdc3900bb0432886fe496c87 — ambient transaction correction</t>
  </si>
  <si>
    <t>Chapters 3/4 v4.10.3 — MD + illustrated Word; UI Coverage / UI Controls in this workbook
v2.23.0 — Use T-265 C1/S1 selected-block, inspector, typed-port, validation/publish/reopen and SQL-mode handoffs. Shared C1/S1 shell is valid; prove semantic mode behavior rather than arbitrary visual differences. No change to canonical definition/relationship authorities.</t>
  </si>
  <si>
    <t>CLOSED GREEN / COMMITTED — relationship publication + ambient rollback proof complete</t>
  </si>
  <si>
    <t>Transactional relationship publication closed at 316383913d3d8254003639274a098f829ecc1ea2; caller ambient rollback corrected/proven at 33aca26a1063cc78fdc3900bb0432886fe496c87.</t>
  </si>
  <si>
    <t>3908c6f7eee3167902a9cb2ad39ce215d2fe0182</t>
  </si>
  <si>
    <t>Converge the SQL mode already delivered in T-035/T-036 onto the canonical M2 definition store and production query budgets. Reuse SafeSqlValidator and the existing editor; do not rebuild them. Add compile/validate-before-run, bounded dry-run/result preview, row/scan/cost telemetry and canonical persisted definition/version identity.</t>
  </si>
  <si>
    <t>The existing SQL safety suite remains green. An unvalidated or unbounded statement never executes. Dry-run returns bounded rows plus telemetry. Save/reopen uses the unified definition store. No duplicate SQL editor or validator is introduced.</t>
  </si>
  <si>
    <t>SharedAuthoringShell SQL mode + canonical definition API.</t>
  </si>
  <si>
    <t>Preserve SafeSqlValidator/editor behaviour and tests.</t>
  </si>
  <si>
    <t>D2; D4; D5</t>
  </si>
  <si>
    <t>Compile a validated canvas definition into the governed job/runtime contract, bind the declared target/version, launch it, monitor progress and correlate per-block diagnostics/evidence to the run id. Job target/version and dependency policy remain owned by the canonical job authority. Bind to the already accepted job runtime; do not wait for Release-2 advanced orchestration.</t>
  </si>
  <si>
    <t>A validated canvas runs through the normal job API; each block is traceable to run diagnostics/evidence; a block failure is isolated and typed; target/version follows T-106; no private canvas scheduler is created. Capability discovery refuses compilation when the target job family has no registered executor; there is no late RunNow surprise.</t>
  </si>
  <si>
    <t>Canvas compiler/job binding + run monitor only.</t>
  </si>
  <si>
    <t>T-106 remains job policy authority.</t>
  </si>
  <si>
    <t>Canvas → compile → governed job → run → per-block evidence</t>
  </si>
  <si>
    <t>D2; D3; D5</t>
  </si>
  <si>
    <t>Chapters 3/4 v4.10.3 — MD + illustrated Word; UI Coverage / UI Controls in this workbook
v2.23.0 — Use T-265 run/schedule/cancellation UI handoffs; cancellation acknowledgement is not a terminal Cancelled result until the executor/runtime records it. Render exact resolved version, failure counts and evidence, not a browser-derived success.</t>
  </si>
  <si>
    <t>Data Integration</t>
  </si>
  <si>
    <t>Customer onboarding</t>
  </si>
  <si>
    <t>Using the customer's own source shape/configuration, prove the same compiled product can create/test a DB Link, browse/preview, map/configure, prepare in Canvas, validate/dry-run, save/version, compile/bind to a Job, run/monitor/log, project canonical data and open a working BI result with zero customer-specific product code.</t>
  </si>
  <si>
    <t>T-092; T-207; T-212; T-213; T-241; T-242; T-243; T-244; T-245; T-253; T-254; T-256; T-258; T-104; T-108; T-211; T-235; T-262; T-125; T-265; T-266; T-274; T-271; T-272; T-273</t>
  </si>
  <si>
    <t>Customer configuration / integration</t>
  </si>
  <si>
    <t>Configuration/mapping/registry definitions and customer-shaped demo profile; no product source files unless a generic defect is found.</t>
  </si>
  <si>
    <t>L1.1; L1.2; L2.3; L3.8</t>
  </si>
  <si>
    <t>Correct the shared Canvas/SQL authoring output-target contract across both representations. The governed output identity is the CANONICAL ENTITY NAME from ICanonicalEntityCatalog (for example `QualityEvent`), never a physical relation name such as `canonical_material_units` and never an overloaded Analysis Subject key. Add a representation-independent root `outputTarget` to hashed Canvas canonical content for new Graph and SQL saves. For Graph, retain `graph.targetEntity` for T-242/backward compatibility but require it to equal the root outputTarget on new writes. For pre-T-253 Graph content lacking the root key, Read may derive outputTarget from the existing graph.targetEntity; for pre-T-253 SQL content lacking it, return null and do not fabricate a target. Re-saving an old definition after selecting/deriving the governed target creates a new immutable version because the canonical hash legitimately changes; previous versions remain untouched. Expose a minimal read-only enumeration from ICanonicalEntityCatalog through the existing AuthoringSupport endpoint group so the shell can populate a governed target picker without using MappingDefinitionService.AllowedTargetEntities. Server-side save validates the supplied outputTarget against the canonical catalog. Use StandardP2Select and conforming accessible caption/control semantics; SharedAuthoringShell currently has zero raw-control baseline. Do not change DB topology, mapping AllowedTargetEntities, Analysis Subject persistence, job runtime or unrelated charts.
v2.20.3 TARGET-ELIGIBILITY RULING — enumeration of every mapped canonical entity is NOT a valid picker authority. Introduce one explicit model/type-sourced capability predicate for entities that are legal canonical projection/authoring targets: the marker interface `ICanonicalProjectionTarget` on the canonical entity type. This is the exact v2.20.3 implementation ruling; do not substitute an EF annotation or schema heuristic. ICanonicalEntityCatalog enumerates only mapped, uniquely named entities carrying that capability when serving the output-target picker, and exposes an `IsProjectionTarget`/equivalent validation path. Do not infer eligibility from schema alone: current legitimate targets include configuration/reference entities such as ParameterDefinition and DefectCatalog that are not in ppiq_plant, while ppiq_plant also contains analytical/result entities that must not become import/authoring targets automatically. The capability is the authority; physical schema/logical family is a consistency check, not the eligibility rule.</t>
  </si>
  <si>
    <t>1) Current-source preflight first verifies T-244 (`4d32c6b10b4605aeb6e0705ad03537d563125652`) is an ancestor of current HEAD; if not, STOP and return to CENTRAL. 2) New Graph save: selected canonical entity appears as root outputTarget and graph.targetEntity, values match, save/reopen preserves it. 3) New SQL save: selected canonical entity is hashed root outputTarget and save/reopen preserves it. 4) Existing pre-T-253 Graph with no root outputTarget reopens by compatibility derivation from graph.targetEntity; when re-saved it creates a new immutable version and leaves old content/hash untouched. 5) Existing pre-T-253 SQL with no target reopens with null target and cannot fabricate one; user must select a governed target before a target-required save. 6) Invalid/non-catalog output target is refused server-side with a typed reason. 7) Picker values come from ICanonicalEntityCatalog enumeration/read endpoint; no AllowedTargetEntities dependency. 8) Path-scoped architecture guard scans production shared-authoring/API-adapter source (comments stripped, tests and the guard itself excluded) and refuses both `MaterialUnit` and `canonical_material_units` literals; no new global UA-08 term is added. 9) `tsc -b`, focused frontend authoring tests, focused backend Canvas/lifecycle tests and the architecture guard are GREEN. 10) Negative controls: mismatched graph.targetEntity/root outputTarget, invalid target, and reintroduced material literal each make the correct gate red.
Target-eligibility tests prove the picker/catalog does NOT enumerate every mapped CLR entity. Positive representatives include at least `QualityEvent`, `ParameterDefinition` and `DefectCatalog`; negative representatives include `ImportBatch`, `JobRunHistory`, `DashboardWidgetDefinition` and `SourceSystemDefinition`. A newly mapped entity without the explicit projection-target capability is unavailable/refused until intentionally classified. No standalone hardcoded string allowlist is introduced. The current 12-name MappingDefinitionService list remains untouched in T-253 and is later replaced by T-256 consuming this same predicate.</t>
  </si>
  <si>
    <t>Frontend/backend integration</t>
  </si>
  <si>
    <t>Owned T-253 surfaces only: Frontend shared authoring shell + canvas API adapter + focused authoring tests; Backend CanvasDefinitionContent / Canvas lifecycle contracts+implementation/response path; ICanonicalEntityCatalog interface+implementation; the semantic `ICanonicalProjectionTarget` marker interface and the minimum existing canonical entity declarations needed to mark current legitimate targets; existing AuthoringSupport read endpoint group; focused backend/architecture tests. No DB topology/migrations, no MappingDefinitionService.AllowedTargetEntities edit, no Analysis Subject redesign, no Job runtime, no chart/page styling.</t>
  </si>
  <si>
    <t>Canonical outputTarget namespace is canonical entity name, but picker eligibility is a separate explicit model-sourced capability. Root outputTarget is hashed representation-independent authority; graph.targetEntity is compatibility data and must agree on new writes. Do not expose all mapped entities and do not use schema as the sole eligibility predicate. T-243 consumes this contract; T-256 later removes the old MappingDefinitionService string allowlist by consuming the same capability.</t>
  </si>
  <si>
    <t>DB Link / capability truth</t>
  </si>
  <si>
    <t>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
v2.22.0 — Profile create validation, /provider-types, UI, website and execution capability agree; architecture and behavioral test enumerate unsupported families; changing one authority is reflected by all consumers; preserve valid T-207/T-254 historical proof.
v4.11.1: consume T-273 qualification profile + T-275 runtime measurements; requested/effective/qualified and tested counts/payload/outage/drain come from one backend truth.
v4.11.1: customer-facing qualification consumes T-273 profile plus T-275 measurements. Requested/effective/qualified state, tested counts, payload range, outage window and replay-drain evidence come from one backend truth; T-254 does not invent capacity evidence.</t>
  </si>
  <si>
    <t>T-207; T-273; T-275</t>
  </si>
  <si>
    <t>T-150; T-153; T-247; T-274</t>
  </si>
  <si>
    <t>Frontend DB configuration capability rendering + generated website proof adapter/content only. No connector protocol implementation.</t>
  </si>
  <si>
    <t>T-153 later changes certification state by executed real-source evidence; UI/website consume the same truth automatically.</t>
  </si>
  <si>
    <t>Backend / Jobs</t>
  </si>
  <si>
    <t>Governed projection runtime</t>
  </si>
  <si>
    <t>Commission the real governed executor for the existing CanonicalRefresh job family so a resolved DefinitionKind.Transformation target/version is actually executed through the governed Transformation/projection machinery. Preserve T-106 as the single job capability/target/version authority. The runtime must execute the exact resolved immutable Transformation version, never route to generic pending_import, and expose deterministic per-block progress/evidence using stable authored board.nodes[].id correlated to the genuine JobRunHistoryId. Reuse existing run-history/evidence/provenance authorities; do not create a second scheduler, run-history store, capability registry or block-identity model.</t>
  </si>
  <si>
    <t>Known-answer proof: a published Transformation resolves through T-106 and CanonicalRefresh executes that exact version through the real projection runtime; genuine JobRun exists only after admission; run evidence records exact definition/version; stable authored block IDs receive deterministic progress/evidence; measured row/result/runtime facts are tied to the real run and existing provenance; typed block failure is isolated; cancellation is honoured; unsupported job families still refuse JX01 pre-admission; pending_import is not used; no second execution/evidence authority exists.</t>
  </si>
  <si>
    <t>Backend/runtime execution</t>
  </si>
  <si>
    <t>L3.8; L2.6</t>
  </si>
  <si>
    <t>Product / Integration</t>
  </si>
  <si>
    <t>Reconcile the source-present T-262 work as an official task: one immutable outputTarget/field-binding declaration with shared Graph/SQL semantics and one server type-compatibility authority. T-261 consumes it; do not reimplement current source.</t>
  </si>
  <si>
    <t>Required business fields bound once; system-owned fields not authorable; unknown/ambiguous sources refused; no inferred mapping by name/position/type; declaration changes hash; old versions reopen unchanged and refuse governed execution until explicitly upgraded; source tests plus needed integration closure.</t>
  </si>
  <si>
    <t>Governed product integration</t>
  </si>
  <si>
    <t>Semantic product filenames only. CENTRAL assigns shared file locks before overlapping worker writes.</t>
  </si>
  <si>
    <t>Reuse current canonical authorities; no shadow lifecycle/registry/scheduler.</t>
  </si>
  <si>
    <t>86e1b677212195f191697ecdca7e9441b3dbde33 — producer declaration; db0b0f84ec721f8adff1da14d4a62762200a22d6 — final live definition-store integration closure</t>
  </si>
  <si>
    <t>L2.3; L3.6</t>
  </si>
  <si>
    <t>D2; D3; D4; D5</t>
  </si>
  <si>
    <t>CLOSED GREEN / COMMITTED — 100%; no hidden remainder</t>
  </si>
  <si>
    <t>Final closure: build GREEN; Canvas lifecycle 14/14; live definition-store integration 4/4; zero skipped; disposable DB removed and verified absent; no migration replay. Final commit db0b0f84ec721f8adff1da14d4a62762200a22d6. Producer 86e1b677... and ambient correction 33aca26a... are ancestors.</t>
  </si>
  <si>
    <t>33aca26a1063cc78fdc3900bb0432886fe496c87</t>
  </si>
  <si>
    <t>Namespace</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</si>
  <si>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</si>
  <si>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M2-P3</t>
  </si>
  <si>
    <t>Own route inventory/redirect cleanup only; do not touch W3 intelligence surfaces.</t>
  </si>
  <si>
    <t>Enterprise BI &amp; Customer Experience</t>
  </si>
  <si>
    <t>Frontend/Backend</t>
  </si>
  <si>
    <t>Reference analytics</t>
  </si>
  <si>
    <t>Expose governed derived measures: GapToReference, NormalizedDeviation, InEnvelope, DistanceToBoundary and Attainment where mathematically valid. Bind them as registry measures without creating a second reference authority.</t>
  </si>
  <si>
    <t>Top reference cases higher-is-better, lower-is-better and inside-range produce known answers and correct labels/provenance. An inapplicable attainment formula refuses rather than displaying a misleading percentage. Measures are usable in Page Builder without code per customer reference.</t>
  </si>
  <si>
    <t>T-092 + T-214.</t>
  </si>
  <si>
    <t>Registry projection + query measures + widget labels.</t>
  </si>
  <si>
    <t>Consume reference ID/version and scoring semantics; no local UI formula.</t>
  </si>
  <si>
    <t>Chapters 3/4 v4.10.3 — MD + illustrated Word; UI Coverage / UI Controls in this workbook
v2.23.0 — T-265 provides the active M2 reference/measure direction and bound-result UI; T-267 expands the deferred authoring depth. Do not introduce a second Performance Reference authority.</t>
  </si>
  <si>
    <t>Reconciliation UI</t>
  </si>
  <si>
    <t>Render reconciliation cases through existing Findings/Interactive Workspace paths with reference overlays, causal-confidence level and transition/stabilisation regime evidence from T-236. No oil-specific page. September surface consumes the governed kernel result seam; canonical reconciliation tables remain post-demo.</t>
  </si>
  <si>
    <t>Customer-shaped historical fixture shows one case end-to-end; all values/evidence open; TemporalUncertain and MissingEvidence have distinct wording; no person/lie wording; cross-filtering remains functional and route/session gates stay green.</t>
  </si>
  <si>
    <t>Frontend integration</t>
  </si>
  <si>
    <t>T-219/T-220 result contract + T-215 + T-203/T-204. Do not create a demo-only store.</t>
  </si>
  <si>
    <t>D1/D4 generic components only; no new oil route.</t>
  </si>
  <si>
    <t>Use existing governed evidence/result contract. T-221 later changes persistence behind the contract without UI redesign.</t>
  </si>
  <si>
    <t>Chapters 3/4 v4.10.3 — MD + illustrated Word; UI Coverage / UI Controls in this workbook
v2.23.0 — T-265 provides the Release-1 reconciliation evidence/result/refusal surfaces. Use the canonical result envelope and citation references, not local display calculations.</t>
  </si>
  <si>
    <t>HMI / genericity compatibility</t>
  </si>
  <si>
    <t>Consume the T-256 backend compatibility/consumer handoff and remove material/heat/coil-specific frontend surfaces from the generic customer product path without breaking the retained presentation profile. Own frontend consumers including MaterialAnalytics pages/routes, material-specific DTO/type assumptions such as DashboardMaterialRow, navigation and UI labels that make a material plant universal. Replace them with Analysis Subject/registry-driven generic surfaces where they are valid product capability, or isolate them behind an explicit presentation compatibility profile when they exist only for the retained demonstration. Do not change backend/API semantics owned by T-256 and do not redesign Page Builder/Canvas.</t>
  </si>
  <si>
    <t>Start from the machine-readable T-256 frontend-consumer handoff and close every row. Generic build/navigation has zero required Material/Heat/Coil-specific page, route, DTO or label dependency for a foreign customer-shaped configuration. The retained ppiq_presentation/presentation profile still renders any explicitly retained presentation-only material surface through the bounded compatibility path. Static genericity test covers frontend MaterialAnalytics routes/pages/types and reports unknown=0. No backend file is modified by T-258. T-247 same-binary journey consumes the generic result.</t>
  </si>
  <si>
    <t>WAIT for T-256 CLOSED and its frontend-consumer handoff manifest. Then perform bounded frontend-only convergence; do not re-investigate backend genericity.</t>
  </si>
  <si>
    <t>Frontend MaterialAnalytics/generic navigation/types/tests only. No Backend/API/DB mutation and no Canvas/Job implementation.</t>
  </si>
  <si>
    <t>T-256 defines backend semantic/compatibility truth; T-258 consumes it. T-247 validates the same-binary customer journey and does not redesign either side.</t>
  </si>
  <si>
    <t>AI+ML</t>
  </si>
  <si>
    <t>LLM runtime</t>
  </si>
  <si>
    <t>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t>
  </si>
  <si>
    <t>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t>
  </si>
  <si>
    <t>Closed</t>
  </si>
  <si>
    <t>M2-P4</t>
  </si>
  <si>
    <t>No active lock.</t>
  </si>
  <si>
    <t>None — preserve evidence.</t>
  </si>
  <si>
    <t>ML runtime</t>
  </si>
  <si>
    <t>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t>
  </si>
  <si>
    <t>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t>
  </si>
  <si>
    <t>Data artifacts</t>
  </si>
  <si>
    <t>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t>
  </si>
  <si>
    <t>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t>
  </si>
  <si>
    <t>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t>
  </si>
  <si>
    <t>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t>
  </si>
  <si>
    <t>Engine</t>
  </si>
  <si>
    <t>Readiness</t>
  </si>
  <si>
    <t>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t>
  </si>
  <si>
    <t>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t>
  </si>
  <si>
    <t>MF-01 Encoder</t>
  </si>
  <si>
    <t>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t>
  </si>
  <si>
    <t>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t>
  </si>
  <si>
    <t>MF-02 Similarity</t>
  </si>
  <si>
    <t>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t>
  </si>
  <si>
    <t>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t>
  </si>
  <si>
    <t>MF-03 Novelty</t>
  </si>
  <si>
    <t>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t>
  </si>
  <si>
    <t>Known synthetic normal/outlier populations produce expected ranking; a too-small or degenerate population returns the correct refusal instead of a fabricated score. Run deterministic seed/environment checks and export artifact/metrics in the common T-168 result-manifest shape.</t>
  </si>
  <si>
    <t>MF-04 Supervised</t>
  </si>
  <si>
    <t>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Release 1 binding is certified.</t>
  </si>
  <si>
    <t>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t>
  </si>
  <si>
    <t>Model governance</t>
  </si>
  <si>
    <t>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t>
  </si>
  <si>
    <t>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t>
  </si>
  <si>
    <t>Statistics</t>
  </si>
  <si>
    <t>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t>
  </si>
  <si>
    <t>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t>
  </si>
  <si>
    <t>Remediation</t>
  </si>
  <si>
    <t>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t>
  </si>
  <si>
    <t>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t>
  </si>
  <si>
    <t>LLM orchestration</t>
  </si>
  <si>
    <t>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t>
  </si>
  <si>
    <t>A fixed probe set covers paraphrases, ambiguous entities, permission differences and unsupported intents. Equivalent intents select the same tool set; ambiguity asks rather than guesses; a forbidden tool is never planned. No LLM call occurs during planning.</t>
  </si>
  <si>
    <t>LLM grounding</t>
  </si>
  <si>
    <t>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t>
  </si>
  <si>
    <t>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t>
  </si>
  <si>
    <t>LLM verification</t>
  </si>
  <si>
    <t>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t>
  </si>
  <si>
    <t>Probe answers deliberately contain an uncited number, upgraded causal wording, erased refusal, fabricated handle and transport failure; each is blocked or classified correctly. A valid cited answer passes. Q-01..Q-11 results are machine-readable and reproducible on the fixed probe set.</t>
  </si>
  <si>
    <t>AI/ML benchmarks</t>
  </si>
  <si>
    <t>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t>
  </si>
  <si>
    <t>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t>
  </si>
  <si>
    <t>L4.5; L4.8</t>
  </si>
  <si>
    <t>Analytics Engine</t>
  </si>
  <si>
    <t>Aggregation kernel</t>
  </si>
  <si>
    <t>Implement schema-independent aggregation kernels for SampleMean, TimeWeightedMean, Integral, Delta, StateDuration, Count, Min, Max and Last with quality/gap/reset rules and typed refusal. Use controlled fixtures, including irregular sampling, states and counters.</t>
  </si>
  <si>
    <t>Known answers match analytical construction; deliberately irregular data proves SampleMean and TimeWeightedMean differ where expected; state duration and counter reset cases pass; undeclared/invalid semantics refuse AG01/AG02. Zero industry vocabulary and no DB access.</t>
  </si>
  <si>
    <t>Kernel isolated</t>
  </si>
  <si>
    <t>T-208 fixture + T-210 frozen contract. No production DI/persistence until consumer hand-off.</t>
  </si>
  <si>
    <t>New analytics kernel/tests only.</t>
  </si>
  <si>
    <t>T-212 consumes this kernel unchanged; W3 does not edit dashboard query files.</t>
  </si>
  <si>
    <t>Reference contract</t>
  </si>
  <si>
    <t>Freeze declared Performance Reference kinds, scope precedence, directionality/scoring semantics, effective dating, ambiguity refusal RF01 and deterministic resolution as a schema-independent contract/kernel. No production persistence in this task.</t>
  </si>
  <si>
    <t>Known-answer contract tests cover HigherIsBetter, LowerIsBetter, InsideRange, ClosestToTarget, effective-date resolution and equal-authority ambiguity -&gt; RF01. Runs without production DB access.</t>
  </si>
  <si>
    <t>T-209 frozen generic subject contract.</t>
  </si>
  <si>
    <t>Reference contract/resolver tests only.</t>
  </si>
  <si>
    <t>T-232 persists reference authority; consumers do not redefine scoring semantics.</t>
  </si>
  <si>
    <t>Temporal alignment</t>
  </si>
  <si>
    <t>Build an isolated kernel for source clock adjustment, interval overlap, tolerance windows, incomplete interval handling and TemporalUncertain refusal. It consumes Source Time Authority, not raw timezone assumptions.</t>
  </si>
  <si>
    <t>Known-answer skew/overlap fixtures pass; DST/local-vs-UTC case is aligned only with declared authority; skew beyond tolerance returns TM01/TemporalUncertain rather than conflict. Deterministic repeatability and no DB access.</t>
  </si>
  <si>
    <t>New temporal kernel/tests only.</t>
  </si>
  <si>
    <t>T-219 consumes alignment output; does not reimplement clock logic.</t>
  </si>
  <si>
    <t>Evidence authority</t>
  </si>
  <si>
    <t>Define/implement fact-specific evidence authority resolution: for each semantic fact, resolve Primary/Supporting/Corroborating sources, quality floor and effective date. No global source ranking and no PLC-is-truth shortcut.</t>
  </si>
  <si>
    <t>Known-answer cases distinguish valve command vs valve feedback, motor electrical state vs production-order fact, and manual declared reason. Same source may be primary for one fact and irrelevant for another. Ambiguous/missing primary authority returns typed evidence-unavailable state.</t>
  </si>
  <si>
    <t>New evidence-authority contracts/kernel/tests.</t>
  </si>
  <si>
    <t>T-219 consumes authority result; no source priority duplicated elsewhere.</t>
  </si>
  <si>
    <t>Reconciliation</t>
  </si>
  <si>
    <t>Reconcile independently sourced assertions over the same aligned interval using temporal result, evidence quality and fact authority. Output Aligned, PartiallyAligned, MissingEvidence, TemporalUncertain, ConflictingEvidence, LikelyMisclassified or Unresolved with discrepancy evidence. For September, the kernel also emits the standard governed Finding/analysis-result projection with evidence handles so existing generic surfaces can consume it without a new persistence schema.</t>
  </si>
  <si>
    <t>Historical manual/business/machine fixture for the same calendar window produces predeclared states; missing machine/business evidence refuses classification; temporal-uncertain case never becomes conflict. No operator/person identity or intent field exists. The standard governed result projection is deterministic and carries the reconciliation state, evidence handles and causal-confidence input required by T-222/T-223.</t>
  </si>
  <si>
    <t>New reconciliation kernel/tests only.</t>
  </si>
  <si>
    <t>T-220 adds claim confidence; T-221 persists output after canonical/security hand-off.</t>
  </si>
  <si>
    <t>Claim governance</t>
  </si>
  <si>
    <t>Implement L0 Observed Fact, L1 Discrepancy, L2 Statistical Association, L3 Temporally Supported Hypothesis, L4 Mechanistically Supported Hypothesis, L5 Confirmed Cause. L5 requires governed external/human confirmation; language cannot upgrade level.</t>
  </si>
  <si>
    <t>Known cases land at each level for the exact evidence reasons. Removing confirmation downgrades L5. A test fails any phrase/API mapping that calls L2-L4 'confirmed root cause'. Output carries what evidence is missing for the next level.</t>
  </si>
  <si>
    <t>Claim-confidence kernel/tests only.</t>
  </si>
  <si>
    <t>T-221/T-223 consume stored level; UI/LLM never re-derive it.</t>
  </si>
  <si>
    <t>Reconciliation persistence</t>
  </si>
  <si>
    <t>Persist reconciliation_cases/reconciliation_evidence under tenant/RLS authority, semantic manifest and evidence handles; register reconciliation as a bindable intelligence source so D1/D4/Assistant use the same evidence path.</t>
  </si>
  <si>
    <t>Insert/replay a case with two evidence sources, time state and L0-L5 level; tenant isolation/RLS passes; evidence handles resolve; registry binding returns typed columns; history is immutable when a later case/version is computed.</t>
  </si>
  <si>
    <t>DB/integration</t>
  </si>
  <si>
    <t>T-112 + T-114 + T-090 + T-095/T-096 + T-219 + T-220. If security hand-off is not green, remain on pure-kernel evidence and do not create insecure tables.</t>
  </si>
  <si>
    <t>Reconciliation persistence/registry/evidence only.</t>
  </si>
  <si>
    <t>Post-demo canonical convergence. T-222/T-223 must not wait for this table and must not invent a temporary persistence schema.</t>
  </si>
  <si>
    <t>Assistant</t>
  </si>
  <si>
    <t>Industrial investigation</t>
  </si>
  <si>
    <t>Add deterministic Assistant tool/result contracts that retrieve reconciliation, Performance Reference and transition/stabilisation evidence, state the strongest supported hypothesis and its causal-confidence level, and explain what evidence is missing. Consume CompareOperationalPeriods from T-237 when available, without making T-237 a blocker for the core reconciliation answer.
v2.20.0 ASSISTANT CONVERGENCE — retire/replace any legacy tool that derives a material-specific KPI directly from public.canonical_material_units. KPI/measure tools resolve governed registry measures, Analysis Subject and evidence handles. Page context binds to canonical Page Definition identity when available, and snapshot/tool evidence carries the active governed filter context rather than an unconditional empty object.</t>
  </si>
  <si>
    <t>Golden questions include 'why was equipment unavailable?', 'what conflicts with the recorded reason?', 'how far are we from the declared reference?'. Numeric claims resolve to evidence; missing evidence refuses; causal overreach and 'operator lied' language fail deterministic verification. Ask the same KPI/explanation question against two customer-shaped subjects with no product-code edit; both resolve through governed measure/subject authority. Static/runtime checks show no material-specific table in Assistant tool contracts. A nested/detail route resolves the correct Page Definition identity, and an active filter is present in the resulting evidence context.</t>
  </si>
  <si>
    <t>Assistant integration</t>
  </si>
  <si>
    <t>T-179/T-180/T-181 CLOSED + T-214 + T-219/T-220. No canonical persistence dependency for September explanation.</t>
  </si>
  <si>
    <t>Assistant tool/evidence pack/verifier only; current dock UI remains Worker-2 owned.</t>
  </si>
  <si>
    <t>T-221 later swaps persistence behind the same evidence contract; Assistant tool does not redesign.</t>
  </si>
  <si>
    <t>L10.3; L9.1</t>
  </si>
  <si>
    <t>Analytics Core</t>
  </si>
  <si>
    <t>Process regime semantics</t>
  </si>
  <si>
    <t>Define the generic transition/stabilisation contract used by all industries: customer-declared transition kind/scope, from/to context, stabilisation basis (Time/SubjectCount/Condition/None), regime classification Stable/Transition/Stabilising/Mixed/Unknown and RG01 refusal. No industry vocabulary and no production DB migration.</t>
  </si>
  <si>
    <t>Known-answer fixture contains a transition, a declared stabilisation window and stable operation. The kernel classifies all five regime states, boundary cases and RG01 deterministically. Removing or moving the declared stabilisation boundary changes only the expected governed classification, never hidden heuristics.</t>
  </si>
  <si>
    <t>New generic transition/stabilisation contract/tests only.</t>
  </si>
  <si>
    <t>T-235 persists unchanged contract; T-236 consumes it without redefining semantics.</t>
  </si>
  <si>
    <t>Implement the schema-independent regime segmentation/eligibility guard consumed by interval aggregation, statistics, practice and reconciliation. Given governed interval segments + T-234 transition context, steady-state analysis partitions/excludes Transition/Stabilising; Mixed without authored policy refuses RG01; every guarded result carries regime state and overlap evidence. Production widget integration is T-212; this kernel does not wait for canonical persistence.</t>
  </si>
  <si>
    <t>Controlled fixture proves naive pooled analysis sees the planted ramp-up effect while governed steady-state analysis does not misattribute it. TimeWeightedMean clips at regime boundaries where required. Reconciliation sees transition context as evidence, never as automatic cause.</t>
  </si>
  <si>
    <t>Kernel/integration</t>
  </si>
  <si>
    <t>Analytics/reconciliation kernels only.</t>
  </si>
  <si>
    <t>T-219 consumes the guard; consumers must not bypass RG01.</t>
  </si>
  <si>
    <t>L4.2; L10.3</t>
  </si>
  <si>
    <t>Backend / BI</t>
  </si>
  <si>
    <t>Exact period comparison</t>
  </si>
  <si>
    <t>Implement Layer-A CompareOperationalPeriods over two governed periods/scopes. Return exact A/B/delta metrics plus transition count/duration, stabilisation exposure, stable-run/sequence length, stopped and production-impact minutes, yield/scrap, energy and any further registry-backed exact measures with evidence handles. No causal claim and no assumption-based money.</t>
  </si>
  <si>
    <t>Known-answer periods reproduce exact deltas from source rows. Every numeric field has evidence; missing metrics are explicit unavailable/refused. The same query works for discrete and continuous fixtures. The Assistant tool adapter consumes this result without recalculating values.</t>
  </si>
  <si>
    <t>Backend/API integration</t>
  </si>
  <si>
    <t>T-092 + T-235; can run in parallel with T-222 on separate files.</t>
  </si>
  <si>
    <t>Layer-A period comparison API/evidence only.</t>
  </si>
  <si>
    <t>T-138/T-164 may consume the stable contract; neither may duplicate calculations.</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</si>
  <si>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</si>
  <si>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
v2.20.0 EVIDENCE CORRECTION — T-251's generated catalogue defines the tenant-owned table set; T-252 supplies the disposable certification database. Retire any vacuous tenant-isolation 'proof' that does not execute database behavior.</t>
  </si>
  <si>
    <t>A query listing tenant-owned tables without a policy returns zero rows. Add a new tenant table in a branch and confirm the architecture test goes red before it is merged. Execute a two-tenant behavioral proof from the database layer alone: tenant A can read/write its allowed row, cannot read/write tenant B, and an unscoped session is refused according to policy. The existing Assert.True(true)-style proof is removed or excluded from release evidence. The test must fail under a deliberate RLS-policy removal negative control.</t>
  </si>
  <si>
    <t>M2-P5</t>
  </si>
  <si>
    <t>Critical hand-off: after T-089..T-105 + T-112/T-114 are committed, W3 may open T-183/T-195/T-128 lane.</t>
  </si>
  <si>
    <t>Release Hardening &amp; Week-1 Production Acceptance</t>
  </si>
  <si>
    <t>Apply tenant keys and tenant-aware uniqueness to every table introduced in M1 and Release 1,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</si>
  <si>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</si>
  <si>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Users and roles</t>
  </si>
  <si>
    <t>FormalPlantRole already contains the enterprise catalogue. Converge the shipped contract rather than rebuilding the model: one canonical external identity per formal role, fail-closed parsing of unknown values, generated/typed frontend role vocabulary, and enforcement at API, query/data and UI layers. Preserve the three-role minimum as the smallest legal customer configuration. Extend FormalRoleAccessMatrix rather than creating a second role list. Unknown roles must never silently downgrade to Viewer.</t>
  </si>
  <si>
    <t>A matrix test asserts every formal role against every capability at API, query/data and UI layers. Every enum member has one stable wire identity; round-trip role→wire→role is lossless. Unknown role text is refused, not mapped to Viewer. The frontend compiles against a closed/generated role union rather than '| string'. Confirm a viewer cannot author SQL at any licence tier, and CEO/Executive distinctions remain explicit where the catalogue defines them.</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</si>
  <si>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</si>
  <si>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</si>
  <si>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Chapters 3/4 v4.10.3 — MD + illustrated Word; UI Coverage / UI Controls in this workbook
v2.23.0 — T-265 covers only the existing M2 user/role safety slice; T-267 covers deferred administration depth. Render permissions/refusals from the current canonical role contract.</t>
  </si>
  <si>
    <t>Licence</t>
  </si>
  <si>
    <t>Chapters 3/4 v4.10.3 — MD + illustrated Word; UI Coverage / UI Controls in this workbook
v2.23.0 — Use T-265 for existing M2 licence/quota states and T-267 for full administration depth. Entitlement, role and runtime capability are different inputs; no drawing enables a capability.</t>
  </si>
  <si>
    <t>Infrastructure</t>
  </si>
  <si>
    <t>Deployment</t>
  </si>
  <si>
    <t>Infrastructure/deployment</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</si>
  <si>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</si>
  <si>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</si>
  <si>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</si>
  <si>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Monitoring</t>
  </si>
  <si>
    <t>Implement the minimum from Chapter 6 6.1.12 required to operate a soft test: per-component metrics, alert severity and escalation, and the operational dashboard. Full observability and SLOs are M3.
v2.20.0 OPERABILITY FLOOR — establish one named health-check/operational status authority for API, database and job execution rather than proliferating ad-hoc health routes. Every executable job family emits a non-null run/correlation identity. Minimum Release-1 metrics include running/queued count, oldest queue age, wait time, runtime, failure/refusal count and configured worker-pool utilisation. Full SLO/OpenTelemetry-scale observability remains T-163.</t>
  </si>
  <si>
    <t>Chapters 3/4 v4.10.3 — MD + illustrated Word; UI Coverage / UI Controls in this workbook
v2.23.0 — T-265 receives the frozen B4/B5 operational payload. Preserve T-101 UI versus T-125 API/metrics ownership already assigned in v2.22.1; prototype figures never replace persisted evidence.</t>
  </si>
  <si>
    <t>Documentation</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</si>
  <si>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</si>
  <si>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</si>
  <si>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</si>
  <si>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AI documentation/static analysis</t>
  </si>
  <si>
    <t>CI/CD</t>
  </si>
  <si>
    <t>Final Release-1 production gate. It does not rely on a hand-maintained dependency closure as the completeness definition. At execution time enumerate every Backlog row with Milestone Id=M2 and Release Criticality='Release 1 MUST'; require each to have current closure evidence and its owning acceptance green/replayable. Then execute Day-1 workbench, enterprise BI, production OPC, industrial intelligence, security/admin/install/recovery and clean frontend/CI truth gates. The Depends-On column remains sequencing hints, not the authoritative Release-1 completeness set.</t>
  </si>
  <si>
    <t>Gate fails if ANY M2 Release-1-MUST task is not closed with evidence, even when it is absent from the direct dependency list. Prove the enumerated task count equals the workbook's current Release-1-MUST count. Execute real frontend/backend gates: enumeration-only --list commands cannot satisfy execution acceptance; no catchError/forced-success path may turn a failing required suite green. Day-1 Golden Journey, fresh-install/upgrade, RLS/roles/licence, OPC runtime, BI interaction, evidence/Assistant, backup/recovery and database zero-unknown catalogue checks must all be green before Release 1 is certified. The single machine-readable current-HEAD artifact records executed test counts and skipped counts; Release-1 required suites have zero unapproved skips. Any script named or consumed as a gate/validator executes its tests rather than merely enumerating them. If an audit package is attached to release evidence, it is generated in external-safe masked mode.</t>
  </si>
  <si>
    <t>T-115; T-123; T-124; T-125; T-126; T-205; T-207; T-212; T-215; T-222; T-223; T-226; T-227; T-247; T-250; T-251; T-252; T-253; T-254; T-255; T-256; T-257; T-258; T-259; T-273; T-274</t>
  </si>
  <si>
    <t>T-150 only after W2/W3 component freeze; route failures back to owning agent.</t>
  </si>
  <si>
    <t>Final Release 1 gate. Fixes go back to the exclusive owning task/agent; T-150 owner does not edit other agents' feature files.</t>
  </si>
  <si>
    <t>Certify</t>
  </si>
  <si>
    <t>Pilot governance</t>
  </si>
  <si>
    <t>Define the Release-1 production acceptance scorecard before final certification: Day-1 workbench completion, source truth, Canvas/Job usability, BI reliability, OPC read-only proof, evidence/Assistant correctness, minimum security, recovery and support criteria. Consume the frozen T-259 Release Evidence Envelope v1 contract. T-227 owns acceptance criteria, evidence ownership, measurement definitions, approved/not-applicable skip policy and release pass/fail policy; it does NOT own or redefine the common envelope schema.</t>
  </si>
  <si>
    <t>The scorecard is versioned before final certification and every criterion has an evidence owner, measurement and pass/fail rule. Validate that T-252-shaped DB evidence and T-257-shaped frontend evidence conform directly to T-259 envelope v1 without field translation. The scorecard may impose stricter policy on producer fields, but it must not rename common fields, change contract_version or alter T-259 count invariants.</t>
  </si>
  <si>
    <t>Documentation / governance</t>
  </si>
  <si>
    <t>Prepare before installation; can start after customer data assessment T-213.</t>
  </si>
  <si>
    <t>Pilot documentation/evidence scorecard only.</t>
  </si>
  <si>
    <t>Site/engineering teams later fill measured values; criteria are not rewritten after results are known without an audited amendment.</t>
  </si>
  <si>
    <t>Tooling</t>
  </si>
  <si>
    <t>Repository governance / audit truth</t>
  </si>
  <si>
    <t>Establish a forward-clean source authority without mass-renaming historical implementation. Create a root allowlist; remove tracked transient pack payload/run-state files; normalise accidental blank-line-inflated source files; retain one current audit-generator authority and archive older generations; classify runtime/current vs test/tool/backup/generated scanner hits so executive severity is not self-referential. Add a forward filename gate that rejects new task-ID-named implementation/test/tool files while grandfathering the measured legacy set for opportunistic semantic rename.</t>
  </si>
  <si>
    <t>Root allowlist returns zero unexpected tracked artifacts. No tracked *_state.json or stale pack payload remains. No ordinary source file exceeds 60% blank lines unless explicitly fixture/generated-allowlisted. Audit rerun does not count its own regex definitions, backup Jenkinsfiles or generated Playwright assets as current runtime CRIT. Negative control adding a new task-ID implementation filename makes the hygiene gate red.</t>
  </si>
  <si>
    <t>Run after T-106 or on a disjoint tooling-only lane; no runtime feature mutation.</t>
  </si>
  <si>
    <t>Root/tooling/audit generator/architecture hygiene tests only. Do not rename or edit Worker-1/2 runtime feature files.</t>
  </si>
  <si>
    <t>Legacy task-ID filenames are grandfathered, not mass-renamed. Future tasks consume the forward gate.</t>
  </si>
  <si>
    <t>NO-CAP — Execution Tooling</t>
  </si>
  <si>
    <t>Execution tooling / implementation instrument — no product capability</t>
  </si>
  <si>
    <t>No Capability</t>
  </si>
  <si>
    <t>No maturity change</t>
  </si>
  <si>
    <t>Test / release truth</t>
  </si>
  <si>
    <t>Close the remaining frontend test-truth gap without reopening T-205/T-250. Any script named/used as a gate or validator executes the relevant tests; enumeration-only `--list` commands are named inventory tools and cannot satisfy acceptance. The Release-1 profile records executed/skipped counts and permits zero unapproved runtime-conditional skips. Generated Playwright report assets are not tracked as source/audit inputs.</t>
  </si>
  <si>
    <t>Induce a failing frontend/visual/accessibility/E2E test and prove every configured release gate returns non-zero. Static gate finds no `--list` in scripts classified as gate/validate/acceptance. Release profile produces machine-readable executed and skipped counts with zero unapproved skips; deliberately missing seed/env causes a red prerequisite, not a green skipped spec. Generated report directories are ignored/excluded and do not contribute audit TODO/CRIT signals.
Emit frontend/unit/E2E execution and skip counts using the canonical T-259 Release Evidence Envelope v1 fields. T-257 owns frontend skip policy and producer implementation only; it does not redefine the shared envelope.
Producer contract is T-259 Release Evidence Envelope v1. T-257 may add frontend/E2E-specific extension fields but may not rename/redefine common fields.</t>
  </si>
  <si>
    <t>Run on frontend test/config/report files only after current authoring lane reaches a clean handoff; no product feature scope.</t>
  </si>
  <si>
    <t>Frontend package/test configs/gate scripts/generated-report hygiene only.</t>
  </si>
  <si>
    <t>T-150 consumes this machine-readable release truth; T-248 later extends enterprise visual parity, not test-runner semantics.</t>
  </si>
  <si>
    <t>Container architecture and configuration profiles, including isolated ML runtimes</t>
  </si>
  <si>
    <t>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
v2.20.0 CONTAINER BASELINE — all production runtime images, including isolated ML images, inherit/retain explicit non-root runtime users and profile-only secret/config injection. No training/online image bakes customer credentials or signing material.</t>
  </si>
  <si>
    <t>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 Inspect effective UID/GID for every production image and prove non-root. Scan built images for known runtime secret markers and fail on a match.</t>
  </si>
  <si>
    <t>M3 P1 — Scale &amp; OT Resilience. Release 2 is heavy production / scale / deeper enterprise use.</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</si>
  <si>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</si>
  <si>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</si>
  <si>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</si>
  <si>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</si>
  <si>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External/site certification</t>
  </si>
  <si>
    <t>WAIT for deployed Release 1 + real customer/site evidence. M3 sequence</t>
  </si>
  <si>
    <t>Own site/platform/backend/infra. No AI/ML calibration or customer UX docs.</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</si>
  <si>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</si>
  <si>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</si>
  <si>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</si>
  <si>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</si>
  <si>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</si>
  <si>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</si>
  <si>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 The customer-facing capability state changes to Certified only from the executed certification result; no frontend or website code edit is required.</t>
  </si>
  <si>
    <t>Query plans, indexes and partition boundaries</t>
  </si>
  <si>
    <t>Performance</t>
  </si>
  <si>
    <t>Tune against real measurements from the customer's volumes, not against assumptions.</t>
  </si>
  <si>
    <t>Before and after query plans recorded for the ten slowest queries, with the improvement measured.</t>
  </si>
  <si>
    <t>B-01/B-02 capacity tuning, scan amplification and model-serving memory</t>
  </si>
  <si>
    <t>Real-data AI/ML/site measurement</t>
  </si>
  <si>
    <t>WAIT for deployed Release 1 + real customer/site evidence. Release 2 accepted + site hardware</t>
  </si>
  <si>
    <t>Own AI/ML calibration/capacity evidence only.</t>
  </si>
  <si>
    <t>C1 to C4 capacity certification</t>
  </si>
  <si>
    <t>Certification</t>
  </si>
  <si>
    <t>HA, DR and restore rehearsal</t>
  </si>
  <si>
    <t>Resilience</t>
  </si>
  <si>
    <t>Production topology, RPO and RTO objectives, and a real disaster-recovery rehearsal.</t>
  </si>
  <si>
    <t>A full recovery rehearsal completes within the stated RPO and RTO, witnessed and recorded.</t>
  </si>
  <si>
    <t>Monitoring, SLOs and support escalation</t>
  </si>
  <si>
    <t>Operational dashboards, alerts, queue and latency and backup and certificate health, and the escalation path.</t>
  </si>
  <si>
    <t>Each SLO has a measured baseline and an alert that fires before it is breached.</t>
  </si>
  <si>
    <t>API namespace migration, part 1: map the 92 prefixes onto the 27 domains and stand up dual-serve</t>
  </si>
  <si>
    <t>M3-P2</t>
  </si>
  <si>
    <t>Multi-user Enterprise Operations</t>
  </si>
  <si>
    <t>M3 P2 — Multi-user Enterprise Operations. Release 2 is heavy production / scale / deeper enterprise use.</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</si>
  <si>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</si>
  <si>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
v2.20.0 CLIENT-CONTRACT CONVERGENCE — retire the dynamic `productApi as legacyApi` dispatch slices while migrating paths. Migrated client modules use typed exported methods/contracts; do not retain `any` escape hatches as the permanent compatibility seam.</t>
  </si>
  <si>
    <t>A test asserting no registered route matches /phase\d+|\/v\d+\/|p\d\d/. Open the browser network tab during the golden journey and confirm no request URL carries a phase or version token. Static gate: zero `productApi as legacyApi` in migrated API slices and no new `any`-typed escape for canonical clients. A deliberately removed client method fails TypeScript compilation rather than failing only at runtime.</t>
  </si>
  <si>
    <t>Canonical journey regression and the Continuity comparison</t>
  </si>
  <si>
    <t>Continuity</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</si>
  <si>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</si>
  <si>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</si>
  <si>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Continuity green → W1 executes T-194; Release 1 release gate may close.</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</si>
  <si>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</si>
  <si>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</si>
  <si>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</si>
  <si>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M1 continuity frozen</t>
  </si>
  <si>
    <t>SSO and identity integration</t>
  </si>
  <si>
    <t>Integrate the customer identity provider with the final role catalogue, account lifecycle and emergency access.</t>
  </si>
  <si>
    <t>Account provisioning, de-provisioning and emergency access all tested against the customer directory.</t>
  </si>
  <si>
    <t>Site security hardening and sign-off</t>
  </si>
  <si>
    <t>Network rules, secrets, certificate rotation, RLS and tenant proof, audit review.</t>
  </si>
  <si>
    <t>A tenant-isolation proof from the database alone, plus a signed security review.</t>
  </si>
  <si>
    <t>Retire legacy API dual-serve aliases after canonical-client continuity proof</t>
  </si>
  <si>
    <t>API namespace</t>
  </si>
  <si>
    <t>T-117 deliberately introduces a dual-serve transition while clients migrate. Close that transition explicitly after T-127 proves the canonical journey and continuity. Remove every legacy phase/version/task-token API alias, preserve only canonical /api/{domain} routes, and keep a machine-readable mapping artifact so support can interpret old logs without keeping old endpoints alive.</t>
  </si>
  <si>
    <t>After T-127 is green, enumerate the route table and prove zero legacy alias remains. A representative old path returns the governed retired-route response or 404 according to the API policy, while the canonical path remains green. Re-run the route-token gate and a bounded canonical-journey regression. No frontend client calls an old alias.</t>
  </si>
  <si>
    <t>C4 Plant Model Explorer canonical route and structural evidence surface</t>
  </si>
  <si>
    <t>Plant model</t>
  </si>
  <si>
    <t>Implement the missing Chapter 3 C4 /plant-model surface on the canonical plant authority. Show site/area/equipment hierarchy, search, unmapped-only state, selected-node details and the routes/operations that reference it. Unmapped equipment is explicit Amber evidence rather than silently dropped. The page is generic and uses imported plant vocabulary only.</t>
  </si>
  <si>
    <t>Route /plant-model exists exactly once. Load a canonical reference plant and prove hierarchy/details match GET /api/plant/layout and /api/plant/equipment/{id}. Introduce one unmapped equipment reference and prove it is visible with its source object. Empty install renders the designed no-projection state. Keyboard tree traversal and RTL contract pass.</t>
  </si>
  <si>
    <t>E6 Alert Routing and Escalation with delivery, retry and dead-letter evidence</t>
  </si>
  <si>
    <t>Backend + Frontend</t>
  </si>
  <si>
    <t>Alert routing</t>
  </si>
  <si>
    <t>Implement Chapter 3 E6 /alert-routing: routing rules over log/plant-data channels, severity, recipients, delivery channels, escalation delay, working hours/quiet periods, deduplication, grouping key, rate limit, suppression, test delivery, retry and dead-letter visibility. Entries are held during quiet periods, never silently lost.</t>
  </si>
  <si>
    <t>Create and test a routing rule, force one delivery failure through its retry ceiling and prove it appears in dead letters with reason. Prove a rule with no recipient and an escalation with no escalation recipient are refused. Quiet-period traffic is held and later delivered. Role enforcement and audit evidence pass.</t>
  </si>
  <si>
    <t>Full-stack governed feature</t>
  </si>
  <si>
    <t>F5 Logging and Audit plus F6 Log Channel Configuration</t>
  </si>
  <si>
    <t>Logging administration</t>
  </si>
  <si>
    <t>Implement the Chapter 3 canonical logging administration contract: /admin/logs with role-scoped System/Job/Data/Audit/Assistant/Plant Data families, filtering, live tail/replay, run correlation and export; plus /admin/log-channels for channel identity, severity mapping, routing/export target and reading roles. Built-in/audit channels are locked as specified; retention is read-only here and owned by F9.</t>
  </si>
  <si>
    <t>Every permitted family is queryable and a forbidden family is absent for the role. Drop and resume the live stream and prove replay. Correlate one run across families. Audit has no edit/delete control. Create a custom channel, prove built-ins remain locked, and refuse an attempt to create/retarget the audit family. Canonical log tables and audit trail are used.</t>
  </si>
  <si>
    <t>F9 Log Retention and Archival with dry-run, legal hold and no-delete-on-archive-failure</t>
  </si>
  <si>
    <t>Log retention</t>
  </si>
  <si>
    <t>Implement Chapter 3 F9 /admin/log-retention as the sole destructive log-history policy surface. Persist per-channel retention policy, archive-before-delete, destination, cleanup schedule/batch size, governed audit minimum and legal hold. Require pre-save dry-run impact. Cleanup history records cutoff, examined/archived/deleted rows, reclaimed storage, duration and failure reason.</t>
  </si>
  <si>
    <t>Attempt audit retention below the governed minimum and refuse it. Save without preview and refuse it. Put a channel on legal hold and prove cleanup is blocked. Make the archive destination fail and prove zero rows are deleted. Complete one successful preview+cleanup and reconcile counts/history. Only Administrator can access the page.</t>
  </si>
  <si>
    <t>F7 System Settings and F8 Translation/Language canonical administration</t>
  </si>
  <si>
    <t>System administration</t>
  </si>
  <si>
    <t>Implement Chapter 3 F7 /admin/settings and F8 /admin/translation. System settings own site identity, units/formats, plant time zone, documented retention defaults and per-tenant no-egress data boundary. Translation owns language packs, review/mirror-verification state, context-aware labels, import/export and fallback language. Presentation-era hardcoded translation tables become compatibility data only.</t>
  </si>
  <si>
    <t>Change plant time zone through a confirmed action and prove the resulting setting is audited and used by a shift-aware display; toggle no-egress and prove affected capabilities report the new boundary. Add/edit a translation, mark review/mirror state, export and reimport a pack, and verify RTL rendering for Arabic. No machine-locale fallback silently changes formats.</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</si>
  <si>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</si>
  <si>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</si>
  <si>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</si>
  <si>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</si>
  <si>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M3-P3</t>
  </si>
  <si>
    <t>Own customer-facing UX/docs/website only.</t>
  </si>
  <si>
    <t>M3 P3 — Advanced BI, Authoring &amp; Insight Boards. Release 2 is heavy production / scale / deeper enterprise use.</t>
  </si>
  <si>
    <t>Five-product website production completion</t>
  </si>
  <si>
    <t>Website</t>
  </si>
  <si>
    <t>Public site</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</si>
  <si>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t>
  </si>
  <si>
    <t>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t>
  </si>
  <si>
    <t>BOUNDARY — SOU Website</t>
  </si>
  <si>
    <t>SOU public website / portfolio boundary — not a PPIQ product capability</t>
  </si>
  <si>
    <t>Boundary</t>
  </si>
  <si>
    <t>Versioned InsightBoardPlan contract and deterministic validator</t>
  </si>
  <si>
    <t>Insight composition</t>
  </si>
  <si>
    <t>Define a versioned, reproducible InsightBoardPlan containing question, context snapshot, filters, evidence requirements, widget specs, planner version, definition versions and data-as-of. Deterministically validate registry, relationships, permissions, chart grammar and query safety. LLM cannot emit executable SQL/React authority.</t>
  </si>
  <si>
    <t>Known valid plans validate; fabricated dimension, unsafe expression, unavailable relationship and permission violation refuse with typed reasons. Identical historical plan snapshot replays; asking later may produce a new version without mutating history.</t>
  </si>
  <si>
    <t>After September customer RC; T-090/T-092 + T-134 + T-179..181.</t>
  </si>
  <si>
    <t>New Assistant plan contract/tests only.</t>
  </si>
  <si>
    <t>T-229 consumes validator; no direct UI generation.</t>
  </si>
  <si>
    <t>Governed Assistant plan-to-widget Investigation Board composition</t>
  </si>
  <si>
    <t>Assistant/Frontend</t>
  </si>
  <si>
    <t>Execute validated InsightBoardPlan through existing Page Builder/widget/query contracts to create an ephemeral Investigation Board of KPIs/charts/tables/evidence without React/customer code generation.</t>
  </si>
  <si>
    <t>Question -&gt; validated plan -&gt; real widget queries -&gt; evidence-backed board. Every value resolves evidence, invalid chart grammar refuses, and ordinary authored pages remain unchanged. Board runs on both discrete and continuous fixtures.</t>
  </si>
  <si>
    <t>T-228 + T-134 + stable Page Builder contract; coordinate UI consumption with Worker 2.</t>
  </si>
  <si>
    <t>Assistant composition service; UI host changes require explicit W2 hand-off.</t>
  </si>
  <si>
    <t>T-230 adds persistence; no separate rendering engine.</t>
  </si>
  <si>
    <t>Persisted Investigation Board version, replay and Save-as-Page handoff</t>
  </si>
  <si>
    <t>Insight governance</t>
  </si>
  <si>
    <t>Persist Investigation Board plan/result versions with question, context, filters, data-as-of, tool executions, definition versions, evidence handles and result snapshot. Add explicit Save-as-Page conversion into canonical definitions without mutating historical investigation evidence.</t>
  </si>
  <si>
    <t>Historical board replays exactly as known at its data-as-of/version. Re-asking today creates a new version. Save-as-Page creates a normal Page Builder definition whose future refresh is independent while the original investigation remains immutable.</t>
  </si>
  <si>
    <t>Persistence/integration</t>
  </si>
  <si>
    <t>T-229 + canonical definition/evidence persistence + T-112/T-114.</t>
  </si>
  <si>
    <t>Investigation board persistence and conversion contract.</t>
  </si>
  <si>
    <t>Page Builder owns resulting page definitions; Assistant owns historical investigation artifact only.</t>
  </si>
  <si>
    <t>Advanced enterprise BI and authoring parity closure against the 75-item outcome matrix</t>
  </si>
  <si>
    <t>Enterprise BI / Authoring</t>
  </si>
  <si>
    <t>Bounded product convergence</t>
  </si>
  <si>
    <t>After M2 Release 1 and InsightBoard authoring base</t>
  </si>
  <si>
    <t>Frontend BI / authoring only</t>
  </si>
  <si>
    <t>Reuse the existing BI engine, Page Builder, Canvas, export and selection contracts; do not build a second dashboard engine.</t>
  </si>
  <si>
    <t>M3 P3 — advanced enterprise parity. M2 ships the Day-1 enterprise core; M3 closes the advanced authoring matrix.</t>
  </si>
  <si>
    <t>Deliver E5 report definitions, sections, period, recipients, scheduled generation and output/delivery history using definition_store, the shared Job scheduler and permission/evidence boundaries.</t>
  </si>
  <si>
    <t>Create/reopen versioned report; generate by manual/scheduled run; empty-section refusal; tenant/role-scoped download; light report rendering; delivery retry/audit; same source evidence and filters survive export; no private report scheduler.</t>
  </si>
  <si>
    <t>L2.6; L6.4</t>
  </si>
  <si>
    <t>Chapters 3/4 v4.10.3 — MD + illustrated Word; UI Coverage / UI Controls in this workbook
v2.23.0 — T-267 supplies E5 report-definition/generation/history/delivery interaction design. Generation remains a governed job; preserve period/filter/permission context and the existing source-evidence boundary.</t>
  </si>
  <si>
    <t>Feature store, outcome store and immutable snapshot metadata</t>
  </si>
  <si>
    <t>Intelligence store</t>
  </si>
  <si>
    <t>Implement canonical feature/outcome stores and immutable snapshot metadata using generic analysis_subject_id + grain_code identity, never a universal material_unit_id. Persist semantic-manifest lineage, feature-set/outcome definitions and dirty/incremental state. Training still consumes sealed typed snapshot artifacts, not live JSONB.</t>
  </si>
  <si>
    <t>Persist features/outcomes for at least one discrete subject and one equipment/process-window subject using the same schema/runtime. No material-unit FK is mandatory for non-material subjects. Snapshot/hash/reproducibility and tenant/RLS gates pass.</t>
  </si>
  <si>
    <t>AI/ML production integration</t>
  </si>
  <si>
    <t>Own intelligence/ML/Assistant and named intelligence surfaces. W1/W2 forbidden after hand-off.</t>
  </si>
  <si>
    <t>M3 P4 — Advanced ML, Optimisation &amp; Value. Release 2 is heavy production / scale / deeper enterprise use.</t>
  </si>
  <si>
    <t>Compute runs, findings and common evidence persistence</t>
  </si>
  <si>
    <t>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t>
  </si>
  <si>
    <t>For FINDING and each refusal class, resolve the row to run, manifest, gate evidence and source evidence. Break an evidence handle and prove the result is rejected. Break manifest coverage and prove G-55 refuses the new governed run.</t>
  </si>
  <si>
    <t>T-128 + T-183 + T-112 + T-114.</t>
  </si>
  <si>
    <t>L4.2; L4.4</t>
  </si>
  <si>
    <t>Model registry, serving identity, activation and fallback</t>
  </si>
  <si>
    <t>Model lifecycle</t>
  </si>
  <si>
    <t>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t>
  </si>
  <si>
    <t>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t>
  </si>
  <si>
    <t>Practice signature, windowing, context and cohorts</t>
  </si>
  <si>
    <t>Practice learning</t>
  </si>
  <si>
    <t>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t>
  </si>
  <si>
    <t>Against the certified M2 reference dataset, recover the planted good-practice band and refuse/avoid the null control. Run a genericity test showing the kernel receives only semantic codes/data-product fields, never source identifiers.</t>
  </si>
  <si>
    <t>T-086 + T-128 + T-171</t>
  </si>
  <si>
    <t>Support, confidence, back-off ladder and tolerance sensitivity</t>
  </si>
  <si>
    <t>Add support/confidence ranking, sparse-cohort back-off, resampling stability and tolerance sensitivity to practice learning. A result that changes materially under reasonable tolerance changes is explicitly marked sensitive rather than promoted as stable.</t>
  </si>
  <si>
    <t>A stable practice survives resampling and is ranked with support. A sparse cohort walks the declared back-off ladder. Widen tolerance and prove a flipping practice is marked sensitive with the tested settings persisted.</t>
  </si>
  <si>
    <t>Practice persistence, drift and canonical D10 Practice Insights</t>
  </si>
  <si>
    <t>Persist practice_statistics/signatures with semantic_manifest_id and evidence, implement practice drift against the plant's own demonstrated best, and replace the M1 presentation adapter behind D10 with canonical sources without changing the frozen D10 visible contract.</t>
  </si>
  <si>
    <t>Move operating data away from the learned band and prove drift is detected, persisted and surfaced with evidence. Run the M1 continuity snapshot for D10 and prove no route, control, wording or state-semantics regression.</t>
  </si>
  <si>
    <t>T-131 + T-132 + T-183</t>
  </si>
  <si>
    <t>Bindable intelligence registry and evidence handles</t>
  </si>
  <si>
    <t>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
v2.10.2 PHASE CORRECTION — this task builds the generic bindable-intelligence registry/evidence mechanism and registers only canonical sources that actually exist at this point. Do not promise prediction bindings before T-139 creates canonical predictions; T-139/T-189 register those sources later through the same mechanism.</t>
  </si>
  <si>
    <t>Bind one fact-shaped and one native-rich intelligence source through the standard authoring shell, filter/drill both and open evidence. Break an evidence handle and prove the widget refuses rather than rendering an uncited number. No ML-specific widget branch exists.</t>
  </si>
  <si>
    <t>Tenant-aware uniqueness across the intelligence tables</t>
  </si>
  <si>
    <t>Apply tenant ownership, tenant-first uniqueness and RLS to every new intelligence table in the frozen design, including model, prediction, practice, index-generation, capability/readiness and run/evidence tables. Semantic manifests use manifest_id PK plus UNIQUE(tenant_id, manifest_hash).
v2.10.2 SECURITY-RATChET RULING — T-135 is not the first time RLS is applied. T-112/T-114 establish the mandatory pattern before Release 2 persistence. T-135 audits current intelligence tables and adds/extends the architecture ratchet so every future tenant-owned intelligence table fails CI if tenant_id, tenant-first uniqueness or FORCE RLS is missing.</t>
  </si>
  <si>
    <t>Insert identical natural keys for two tenants and prove both persist. Prove cross-tenant reads fail from the database alone. The architecture test fails when any new tenant-owned intelligence table lacks forced RLS or tenant-first uniqueness.</t>
  </si>
  <si>
    <t>Incremental practice recomputation</t>
  </si>
  <si>
    <t>Make practice recomputation incremental using Release 1 stage watermarks and changed-population contracts. Recompute only affected cohorts/signatures and preserve prior immutable evidence for unaffected historical results.</t>
  </si>
  <si>
    <t>Add one day of data and prove recomputation scans a bounded delta, Scan Amplification stays inside the declared baseline, and unaffected practice rows/evidence hashes do not change.</t>
  </si>
  <si>
    <t>T-109 + T-131..T-133</t>
  </si>
  <si>
    <t>Canonical Assistant runtime cutover: planner, retrieval, evidence packing, serving and verifier</t>
  </si>
  <si>
    <t>Chatbot</t>
  </si>
  <si>
    <t>After M1 continuity is frozen and canonical intelligence is available, replace M1 retrieval/prepared-state internals behind the unchanged dock. Wire T-179 planner, T-180 retrieval/evidence packer, T-137 ModelServingRuntime and T-181 verifier. Structured Layer A/B tools take precedence. Expose stable CompareOperationalPeriods (T-237) and GetCompositePractices (T-240) when those producer contracts are complete; their absence must degrade honestly rather than block the core Assistant cutover.
v2.20.0 PROVIDER-TRUTH RULING — provider names are capabilities, not aliases. Advertise Azure OpenAI, AWS Bedrock or any BYOM provider only when a concrete adapter/conformance path implements that provider's authentication, endpoint and response contract. OpenAI-compatible HTTP may serve only providers actually conforming to that contract.</t>
  </si>
  <si>
    <t>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 Provider-conformance tests prove every advertised provider has a concrete adapter path. A provider label mapped only to the generic OpenAI-compatible client without declared conformance is unavailable rather than advertised.</t>
  </si>
  <si>
    <t>T-137 + T-179..T-181 + T-134 + T-188</t>
  </si>
  <si>
    <t>prediction_runs, predictions and prediction_current</t>
  </si>
  <si>
    <t>Prediction</t>
  </si>
  <si>
    <t>Persist prediction_runs, predictions and prediction_current per serving identity and generic analysis_subject_id + grain_code. A prediction may target a material unit, equipment state, campaign, batch or process window according to the published grain definition; no universal CoilId/material-unit assumption.</t>
  </si>
  <si>
    <t>Same prediction contract stores and retrieves at least one discrete subject and one non-material equipment/process-window subject, preserving evidence, horizon, uncertainty and tenant isolation.</t>
  </si>
  <si>
    <t>T-130 + T-187</t>
  </si>
  <si>
    <t>Prediction drivers and comparables, persisted</t>
  </si>
  <si>
    <t>Persist prediction drivers, explanation metadata and comparable historical cases as evidence-grade rows. Drivers come from the governed explanation artifact and comparables from the served similarity generation; the UI never computes or narrates them from scratch.</t>
  </si>
  <si>
    <t>Open a prediction and resolve every driver/comparable to persisted model/index/evidence identity. Delete/deny the rows and prove the consuming surface refuses rather than inventing an explanation.</t>
  </si>
  <si>
    <t>T-139 + T-173/T-176</t>
  </si>
  <si>
    <t>Actionable deadline and latency health</t>
  </si>
  <si>
    <t>Implement actionable_deadline_utc, delivery_latency_seconds, scoring_mode and met_actionable_deadline. Tie online scoring to the hard-reserved ml.online_scoring lane. A late prediction is historical evidence, never actionable.</t>
  </si>
  <si>
    <t>Saturate training and batch, submit online scoring and measure that the reserved lane still serves. Force a prediction past its actionable deadline and prove it is persisted as late and excluded from actionable presentation.</t>
  </si>
  <si>
    <t>T-107 + T-122 + T-139 + T-187</t>
  </si>
  <si>
    <t>Remediation candidate generation from the customer's own history</t>
  </si>
  <si>
    <t>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t>
  </si>
  <si>
    <t>On the certified M2 reference dataset, every emitted candidate meets the declared support threshold, has a bounded effect range and resolvable comparable evidence. Insufficient-support candidates do not emit. No source-system write API is reachable.</t>
  </si>
  <si>
    <t>T-131/T-132 + T-139/T-140</t>
  </si>
  <si>
    <t>Integrate the nine-check remediation gate, can_accept and suppression</t>
  </si>
  <si>
    <t>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t>
  </si>
  <si>
    <t>Run one persisted/API case per nine-check failure and per can_accept condition. Prove the same template can be suppressed for one prediction and actionable for another. Search every consuming API/UI payload and prove a suppressed candidate is absent.</t>
  </si>
  <si>
    <t>T-178 + T-142</t>
  </si>
  <si>
    <t>Accept, Reject and Defer with action recording</t>
  </si>
  <si>
    <t>Feedback loop</t>
  </si>
  <si>
    <t>Implement Accept, Reject and Defer behind the server-authoritative can_accept boundary, with actor, timestamp and reason. Each decision creates the governed action/decision state only when allowed. PPIQ records human action and never issues a plant control command.</t>
  </si>
  <si>
    <t>Exercise all three decisions with can_accept true and false. Allowed actions persist actor/reason/state; disallowed actions fail server-side even if a client is modified. A dependency/network test proves no customer-source write/control client is reachable.</t>
  </si>
  <si>
    <t>Outcome capture, evaluation and escalation</t>
  </si>
  <si>
    <t>Converge the production statistical engine onto the certified method kernel</t>
  </si>
  <si>
    <t>Consolidation</t>
  </si>
  <si>
    <t>T-147 COMPLETE + T-177 + T-128/T-129; M1 presentation continuity frozen.</t>
  </si>
  <si>
    <t>Fix the outcome namespace, grain assignment and ordinal loader</t>
  </si>
  <si>
    <t>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t>
  </si>
  <si>
    <t>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t>
  </si>
  <si>
    <t>Correct</t>
  </si>
  <si>
    <t>Practice, prediction and model calibration on real data</t>
  </si>
  <si>
    <t>Calibration</t>
  </si>
  <si>
    <t>With a longer real-data window, execute governed retraining/calibration, OOT/subgroup/missingness/explanation-stability checks, drift review and the site portions of B-05/B-06. Tune only benchmark-open parameters; no gate threshold is weakened to make a model pass.</t>
  </si>
  <si>
    <t>Each served model has a governed retraining/evaluation record, calibration evidence, drift decision and reproducible manifest. Any encoder/ANN choice is supported by the recorded benchmark against its simpler/exact baseline.</t>
  </si>
  <si>
    <t>WAIT for deployed Release 1 + real customer/site evidence. Release 2 accepted + customer data window</t>
  </si>
  <si>
    <t>L4.4; L4.7</t>
  </si>
  <si>
    <t>Remediation validation against real process constraints</t>
  </si>
  <si>
    <t>Validate remediation actionability, support thresholds, controllability and process-stage timing against the customer's real constraints. The human approval/read-only boundary remains absolute.</t>
  </si>
  <si>
    <t>Validate all nine checks against real constraints and replay at least one allowed and one refused case. No path permits automatic plant control and all refusal evidence is retained.</t>
  </si>
  <si>
    <t>The Value Engine</t>
  </si>
  <si>
    <t>Value</t>
  </si>
  <si>
    <t>Build value_impacts, cost_assumptions, the value realisation ledger and D7 Value Dashboard, honouring the two-downtime-quantity rule. Consume exact operational-period driver quantities from T-237 and transition/stabilisation evidence from T-235/T-236 so setup/changeover/ramp-up loss can be priced without inventing quantities. This is the only authority that converts assumption-based operational impact into bounded money.</t>
  </si>
  <si>
    <t>A euro figure is only ever shown as a bounded range with its assumptions visible and its evidence resolvable. No number without evidence.</t>
  </si>
  <si>
    <t>Commercial capacity finalisation and the sales calculator</t>
  </si>
  <si>
    <t>Commercial</t>
  </si>
  <si>
    <t>Semantic Contract Manifest persistence, resolver and G-55 coverage</t>
  </si>
  <si>
    <t>Semantic reproducibility</t>
  </si>
  <si>
    <t>After Release 1-P1/P2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t>
  </si>
  <si>
    <t>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t>
  </si>
  <si>
    <t>Snapshot Materialiser: seal feature state into typed artifacts and enforce G-48</t>
  </si>
  <si>
    <t>Training data path</t>
  </si>
  <si>
    <t>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
v2.10.2 BENCHMARK-STATE RULING — persist the artifact format actually used for each snapshot, but do not call one format the universal/site-selected winner merely because T-169/T-182 synthetic smoke runs. Selection remains measurement/site evidence; the materialiser must support explicit configured candidate identity.</t>
  </si>
  <si>
    <t>Seal a snapshot, mutate live feature_store, then train/read through the artifact and reproduce the original input. Architecture gate G-48 fails if any trainer/encoder queries feature_store directly. Corrupt the artifact and prove hash verification refuses it before training.</t>
  </si>
  <si>
    <t>T-128 + T-169 + T-183 + T-112/T-114/T-135 security ratchet.</t>
  </si>
  <si>
    <t>sequence_manifests persistence and object-storage sequence path</t>
  </si>
  <si>
    <t>Wire T-170 into production: ppiq_plant.sequence_manifests stores subject/channel/time/count/hash/storage/chunk metadata while object storage holds immutable numeric payload chunks. Integrate retention/backup identity and bounded loader access. PostgreSQL stores no numeric sequence arrays.
v2.10.2 BENCHMARK-STATE RULING — chunk/compression policy remains configured/recorded until representative/site B-04 evidence freezes it. Persist exact codec/chunk identity per manifest; do not hide the choice behind an unmeasured global default.</t>
  </si>
  <si>
    <t>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t>
  </si>
  <si>
    <t>Persist capability profiles, prediction points and the model-count governor</t>
  </si>
  <si>
    <t>Production training/index integration: snapshots → ML lanes → registry activation</t>
  </si>
  <si>
    <t>ML integration</t>
  </si>
  <si>
    <t>Integrate T-168 runtime, T-172/T-174/T-175 learned families, T-173 index builder, T-176 promotion, T-183 manifests and T-184/T-185 artifacts with the Release 1 scheduler lanes. Training/index jobs consume sealed artifacts, checkpoint where declared, write governed result manifests and register candidates; only gate-approved versions activate. No daytime request enters training.
v2.10.2 BENCHMARK-STATE RULING — integration may activate a candidate only against the declared frozen acceptance metrics for the environment. It must record candidate/runtime/index/artifact identities and may not convert synthetic benchmark smoke into a universal production selection. Site B-05/B-06 choices are frozen by T-157; final B-01..B-09 sizing/selection evidence is consumed by T-159.</t>
  </si>
  <si>
    <t>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t>
  </si>
  <si>
    <t>T-107 + T-109 + T-168..T-176 + T-183..T-186 + T-112/T-114/T-135 + T-195.</t>
  </si>
  <si>
    <t>Canonical D4 Findings and D8 ML Readiness/Models cutover</t>
  </si>
  <si>
    <t>Intelligence surfaces</t>
  </si>
  <si>
    <t>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t>
  </si>
  <si>
    <t>Run the M1 continuity snapshots for both pages and record no visible-contract regression. Kill a canonical source and prove the page shows the same bounded failure/refusal state rather than presentation fallback data. Every displayed model/finding resolves to manifest/run/evidence.</t>
  </si>
  <si>
    <t>T-129 + T-130 + T-186 + T-195 + M1 continuity snapshots.</t>
  </si>
  <si>
    <t>L4.1; L4.2</t>
  </si>
  <si>
    <t>Canonical D5 Risk and D9 Early Warning cutover</t>
  </si>
  <si>
    <t>Prediction surfaces</t>
  </si>
  <si>
    <t>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t>
  </si>
  <si>
    <t>Continuity snapshots remain stable. Force a late prediction, fallback use, missing driver evidence and suppressed remediation; each renders the designed canonical state. No row appears actionable after its deadline and no client re-derives can_accept.</t>
  </si>
  <si>
    <t>T-139..T-143 + M1 continuity snapshots</t>
  </si>
  <si>
    <t>Canonical D6 Suggestions and decision-action cutover</t>
  </si>
  <si>
    <t>Remediation surfaces</t>
  </si>
  <si>
    <t>T-142..T-145 + M1 continuity snapshots</t>
  </si>
  <si>
    <t>L9.3; L9.4</t>
  </si>
  <si>
    <t>D11 Scenario Simulation: governed read-only modelled comparison</t>
  </si>
  <si>
    <t>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t>
  </si>
  <si>
    <t>Run a bounded scenario and resolve baseline/model/manifest/evidence. An out-of-range or non-controllable variable is refused. The result is labelled simulation, includes uncertainty, and no source-system write/control endpoint is reachable from the path.</t>
  </si>
  <si>
    <t>T-130 + T-176 + T-187</t>
  </si>
  <si>
    <t>Target-architecture gate pack G-48..G-55</t>
  </si>
  <si>
    <t>Architecture gates</t>
  </si>
  <si>
    <t>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t>
  </si>
  <si>
    <t>Falsify every gate once. Each deliberate violation fails for the named reason and passes only after the defect is removed. A missing test input/dependency is a failure, not a skip/pass. Produce one machine-readable gate report consumable by T-150.</t>
  </si>
  <si>
    <t>T-183..T-191 + T-107/T-122 as applicable</t>
  </si>
  <si>
    <t>L4.3; L4.8; L5.8</t>
  </si>
  <si>
    <t>Drift Supervisor and governed model-action proposals</t>
  </si>
  <si>
    <t>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t>
  </si>
  <si>
    <t>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t>
  </si>
  <si>
    <t>T-130 + T-187 + T-139/T-145</t>
  </si>
  <si>
    <t>Canonical readiness thresholds, governed change history and fail-closed readiness API</t>
  </si>
  <si>
    <t>Readiness governance</t>
  </si>
  <si>
    <t>Implement the Chapter 3 canonical readiness authority behind the M1-compatible facade: ppiq_meta.readiness_thresholds and readiness_threshold_changes, tenant/outcome-scoped thresholds, GET /api/readiness/evaluate, GET /api/readiness/matrix, GET /api/readiness/thresholds and governed PUT with required justification/audit. Evaluation failure is Blocked/readiness-could-not-be-measured, never Ready by default.</t>
  </si>
  <si>
    <t>Create thresholds for two tenants/outcomes and prove isolation. Change one threshold through the governed API with justification and prove change history/audit. Attempt a non-human/unauthorised change and refuse it. Force the population measurement to fail and prove the result is Blocked with the fail-closed reason. M1 T-066 visible contract remains unchanged.</t>
  </si>
  <si>
    <t>T-090 + T-112 + T-114</t>
  </si>
  <si>
    <t>Multi-objective Objective Set and Pareto practice kernel</t>
  </si>
  <si>
    <t>Practice intelligence</t>
  </si>
  <si>
    <t>Implement schema-independent multi-objective practice semantics: Objective Set members, hard constraints, Pareto dominance/non-dominance, ParetoOnly/DeclaredUtility/LexicographicOrConstrained resolution and MO01/MO02 refusal. Normalisation consumes Performance Reference semantics; no default weights or sample min-max scaling.</t>
  </si>
  <si>
    <t>Known-answer practice vectors produce the exact Pareto frontier. A conflicting set with no preference refuses a single winner. Declared utility/lexicographic policies produce deterministic rankings and preserve the full objective vector/support/uncertainty.</t>
  </si>
  <si>
    <t>May start after T-214 contract; does not block September demo.</t>
  </si>
  <si>
    <t>New objective/Pareto kernel/tests only.</t>
  </si>
  <si>
    <t>T-239 persists objective authority; T-240 integrates practice family.</t>
  </si>
  <si>
    <t>Persist Objective Set and preference authority</t>
  </si>
  <si>
    <t>Multi-objective persistence</t>
  </si>
  <si>
    <t>Persist objective_sets, objective_set_members and immutable objective_preference_versions under tenant/definition authority. Bind each member to registered outcomes/KPIs/measures and Performance Reference directionality/normalisation. No default weights.</t>
  </si>
  <si>
    <t>Round-trip ParetoOnly and declared preference versions; equal data under a new preference creates a new version rather than rewriting history. Invalid/missing direction/reference refuses MO02.</t>
  </si>
  <si>
    <t>After T-090 + frozen T-214/T-238 contracts.</t>
  </si>
  <si>
    <t>objective-set tables/API/migrations.</t>
  </si>
  <si>
    <t>T-240 consumes committed persistence.</t>
  </si>
  <si>
    <t>Composite practice results, trade-off explanation and Assistant tool integration</t>
  </si>
  <si>
    <t>AI+ML / Assistant</t>
  </si>
  <si>
    <t>Multi-objective practice integration</t>
  </si>
  <si>
    <t>Integrate T-238 with canonical practice learning: compute/persist composite_practice_results with objective vectors, support, uncertainty and dominance; expose GetCompositePractices to the deterministic Assistant tool layer. Reuse T-131/T-132/T-133 cohorts/stability/backoff; do not duplicate practice learning.</t>
  </si>
  <si>
    <t>One customer-neutral fixture returns a supported Pareto frontier; unsupported/conflicting objectives refuse correctly; preference-resolved rank is reproducible by version. Assistant explains trade-offs and never calls a Pareto point universally best without declared preference.</t>
  </si>
  <si>
    <t>After practice core + objective persistence.</t>
  </si>
  <si>
    <t>Practice intelligence/Assistant tool only.</t>
  </si>
  <si>
    <t>T-138 may expose this tool after completion; no Assistant redesign.</t>
  </si>
  <si>
    <t>Expose registered intelligence/model families as governed canvas blocks after the production model registry exists. Invocation resolves serving identity/model version and semantic manifest, calls the registered runtime, and returns governed result/evidence handles. No model framework or provider is exposed as the product contract.</t>
  </si>
  <si>
    <t>Invocation resolves an active registered serving identity and semantic manifest; an unregistered/not-ready model refuses; result carries evidence handles/claim class; no direct Python/provider call exists in the frontend.</t>
  </si>
  <si>
    <t>Canvas model/intelligence block adapters only.</t>
  </si>
  <si>
    <t>T-130/model registry and T-137 serving runtime remain authorities.</t>
  </si>
  <si>
    <t>L4.2; L4.7</t>
  </si>
  <si>
    <t>Implement Core internal benchmarking Ch4 5.8.5 across registered dimensions and periods and against matching own-best practice. Reuse T-214/T-240 semantics; no assumed line/shift/customer taxonomy.</t>
  </si>
  <si>
    <t>BM01 small-population refusal with both counts; BM02 no coloring without direction; explicit normalization/units and periods; context-comparable own-best practice; reproducible evidence/export and negative cross-tenant tests.</t>
  </si>
  <si>
    <t>L9.1; L4.6</t>
  </si>
  <si>
    <t>Chapters 3/4 v4.10.3 — MD + illustrated Word; UI Coverage / UI Controls in this workbook
v2.23.0 — T-267 supplies D12 comparison/direction/sample-refusal/normalisation design. BM01/BM02 behavior and result evidence remain implementation acceptance, not illustrated proof.</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</si>
  <si>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</si>
  <si>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</si>
  <si>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</si>
  <si>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M3-P5</t>
  </si>
  <si>
    <t>Heavy-production Certification</t>
  </si>
  <si>
    <t>M3 P5 — Heavy-production Certification. Release 2 is heavy production / scale / deeper enterprise use.</t>
  </si>
  <si>
    <t>Release 2 heavy-production final certification gate</t>
  </si>
  <si>
    <t>Release certification</t>
  </si>
  <si>
    <t>Final M3 gate for sustained heavy production: higher volumes, more users, OT endurance, enterprise operations, advanced BI/authoring, advanced intelligence/value, recovery and support. No release if a required M3 production capability is only a demo/proof seam.</t>
  </si>
  <si>
    <t>One machine-readable M3 scorecard is GREEN across capacity, concurrency, customer-source endurance, security, backup/restore, monitoring, advanced BI/authoring, model lifecycle, value evidence and customer runbook. Zero unresolved Critical/Very Important release defects.</t>
  </si>
  <si>
    <t>After all M3 MUST gates</t>
  </si>
  <si>
    <t>Cross-stack release evidence; exact staging only</t>
  </si>
  <si>
    <t>Certification task only. Defects go back to the owning task/worker; do not patch features inside the gate.</t>
  </si>
  <si>
    <t>M3 P5 final authority. Release 2 means heavy-production ready, not another demonstration.</t>
  </si>
  <si>
    <t>Derived UI design and handoff</t>
  </si>
  <si>
    <t>High</t>
  </si>
  <si>
    <t>Revise the existing derived UI/Figma package, not the functional Design. Deliver build-ready, page-specific designs for every M2-exposed portion of the 40-page inventory, all applicable G1-G5 components, dialogs, S1/S2 and active S3/S5 editors, toolbox elements and inspectors; retain M3-only portions in T-267. Explicit M2 coverage includes A1/A2, B1-B6, C1/C2/C3/C5/C6, D1-D8 where active, E2/E3, F1-F4 minimum controls, and the actual release settings/logging surfaces. The approved page-by-page closure matrix, not this illustrative list, controls completeness. T-266 owns OPC content embedded in B1-B4/B6.
For each obligation bind chapter/section -&gt; semantic control/interaction ID -&gt; reachable frame/state/node -&gt; transition/data contract -&gt; implementation owner -&gt; acceptance evidence. Replace placeholder-only samples with labelled synthetic fixtures of realistic density and edge cases. Distinguish D1 view/selection from D2 authoring; B5 monitoring from F4 scheduling/dependency administration. Reuse the shell and components; C1 correctly hosts the S1 authoring mode and need not have an arbitrary different geometry.
C1 must show selected Source/Join/Output inspectors, labelled typed ports, legal/illegal wiring, diagnostic-to-node focus, field binding, validate/preview, immutable publish/impact, reopen and SQL parity. C2/C3 must show catalogue-driven quarantine codes/counts, lineage, row detail and guarded reprocessing; target coverage includes the chapter's PV catalogue, never a hardcoded eight-code limit. B3 shows typed total-order cursors; B4/B5 show durable outcome/error/cursor and cancel-request acknowledgement versus canonical terminal state. D1 shows selected/possible/excluded values, pivot, clear-one/all and propagation, plus applicable table navigation/export; none of this M2 baseline moves to M3.
Fix Home to J1-J15 or an explicitly mapped condensed rail; verify all 87 dialog source citations semantically, including rendered Word captions. Use page-specific applicability, permission/refusal, focus, keyboard, supported narrow-view and RTL states. Update Chapter 3/4 MD and illustrated Word from one maintained visual/interaction specification, with source prose preserved and the coverage register inside this workbook. Keep native Figma/tooling source in its implementation environment; store Figma file/node and acceptance references here, not in additional design-book files. No native-Figma, browser-runtime or enterprise-ready claim without the corresponding executed proof.</t>
  </si>
  <si>
    <t>AC1: Every required M2 clause/control/transition is accounted for in a semantic traceability matrix; coverage resolves to a reachable frame/variant or a justified N/A. Literal label search is diagnostic only, not acceptance; no requirement to show permission-conditional controls in one default screenshot.
AC2: Execute documented prototype walkthroughs with labelled fixtures for connect/test/discover/cursor/import, select/inspect/wire/map/publish/reopen, run/schedule/cancel/failure/quarantine/reprocess, and multi-widget selection/clear/export/evidence. Verify normal, refused and recovery transitions, preserved edits, focus and permission outcomes.
AC3: Demonstrate D1/D2 and B5/F4 semantic differences while preserving reusable shell/components; C1/S1 shared structure is allowed. Show all required controls rather than inflating node count.
AC4: J1-J15 mapping is exact; all 87 dialog references are verified against owning clauses in this workbook's coverage data and the Chapter 3/4 MD and illustrated Word (not merely matching an existing heading). All 40 pages, 6 shell components, 82 toolbox entries, 16 inspectors and 10 purpose/mode frames remain in the coverage ledger.
AC5: Check keyboard traversal/focus return, meaningful disabled explanations, responsive panel behavior, RTL with SQL/identifiers kept LTR, and applicable loading/empty/error/read-only states using actual rendered designs.
AC6: Re-open one native Figma import for each structural class and all changed scenes for diagnostics; confirm editable frames/text, fonts, component instances/variants and working prototype transitions. Save file/node references and inspection evidence. Pending Figma execution stays explicitly NOT EXECUTED, not pass.
AC7: Export both illustrated Word chapters only after all included figures resolve, source prose is retained and the corrected images/captions pass a visual check. Task closure is design handoff only; D2/D5 product runtime completion remains with implementing tasks and T-247/T-150.</t>
  </si>
  <si>
    <t>Design authoring</t>
  </si>
  <si>
    <t>Contract-led parallel design</t>
  </si>
  <si>
    <t>Read v4.10.3 and frozen producer contracts. Contract-ready does not require producer completion; final design acceptance requires recorded walkthrough evidence.</t>
  </si>
  <si>
    <t>UI companion: non-OPC M2 scenes + Chapter 3/4 reading-edition assets. CENTRAL alone merges shared tokens/data/atlas; no product source lock.</t>
  </si>
  <si>
    <t>UI design completion is not product implementation completion. Reuse the current authorities/components; use per-surface handoffs and no shared-file concurrent writes.</t>
  </si>
  <si>
    <t>UI companion / design acceptance</t>
  </si>
  <si>
    <t>Functional Design v4.10.3 unchanged. Design, rendered visual, prototype and live-runtime evidence are separate.</t>
  </si>
  <si>
    <t>L1.1; L1.2; L1.3; L1.7; L2.2; L2.3; L2.6; L2.7; L3.2; L3.3; L3.5; L3.6; L3.7; L5.2; L6.1; L6.7</t>
  </si>
  <si>
    <t>Supports implementation; no runtime credit</t>
  </si>
  <si>
    <t>D2 preparation only; D1-D5 product credit requires implementation evidence</t>
  </si>
  <si>
    <t>M2_REQUIRED</t>
  </si>
  <si>
    <t>Design handoff only</t>
  </si>
  <si>
    <t>PENDING — new design/prototype/native Figma evidence not yet executed</t>
  </si>
  <si>
    <t>Fable's provisional estimate retained only in Estimate Review; not accepted as Hours or P80.</t>
  </si>
  <si>
    <t>UI_Coverage_v2.23.0.json and UI_Workflow_Acceptance_v2.23.0.md; same companion version as revised visual edition, distinct from functional authority.</t>
  </si>
  <si>
    <t>T-099; T-106; T-253; T-262; T-101; T-125</t>
  </si>
  <si>
    <t>NOT STARTED — DESIGN DELIVERY</t>
  </si>
  <si>
    <t>UNCONFIRMED DESIGN ESTIMATE</t>
  </si>
  <si>
    <t>Release-1 Industrial Integration / OPC UI workflows and capability-truth visual handoff</t>
  </si>
  <si>
    <t>Functional Industrial Integration requirements are now integrated in Design v4.11.0. This task owns the derived visual/prototype/illustrated handoff inside canonical B1-B5/B6 surfaces: provider-aware connection states; stable field/layout editing; Time / Value change / Trigger-counter controls; requested/effective/qualified settings; continuous-session/batch/spool/gap states; capacity/retention refusal; and exact capability truth. It does not define a second functional contract and does not implement runtime.</t>
  </si>
  <si>
    <t>AC1: Every v4.11.0 Industrial Integration UI obligation maps to an owning clause, semantic control/state and executable task T-268..T-275/T-224..T-226.
AC2: Prototype connection/test -&gt; select data -&gt; fields/layout -&gt; recording policy -&gt; capacity/retention -&gt; Job -&gt; active/buffering/gap/replay -&gt; completed batch -&gt; canonical evidence using labelled synthetic data.
AC3: Show rejected trust/session, unsupported operation, invalid layout, invalid interval/band/trigger, Bad/Uncertain quality, capacity-blocked, retention-blocked, source gap and replay states distinctly.
AC4: Requested, effective and qualified settings are visually separate; no drawing certifies runtime capability.
AC5: Keyboard/focus/virtualized field-grid/narrow-view/RTL checks and integrated Chapter 3/4 illustrated synchronization.
AC6: Final live source/collector/storage proof remains with executable tasks and release gates.</t>
  </si>
  <si>
    <t>T-247; T-274</t>
  </si>
  <si>
    <t>UI companion OPC scene subset only; Worker 1 reviews endpoint/security/time/spool contracts; CENTRAL merges shared UI data.</t>
  </si>
  <si>
    <t>CENTRAL 16-Sep-2026: Functional Industrial Integration design is now v4.11.0 authority. T-266 remains open only for derived visual/prototype/illustrated handoff; no functional-design gap or runtime credit is claimed.</t>
  </si>
  <si>
    <t>L1.4; L1.1; L1.5; L6.8</t>
  </si>
  <si>
    <t>Design v4.11.0; B1-B5/B6 visual/prototype synchronization</t>
  </si>
  <si>
    <t>T-224; T-225; T-226; T-233</t>
  </si>
  <si>
    <t>RE-ESTIMATE REQUIRED — v4.11.0 visual scope delta</t>
  </si>
  <si>
    <t>DESIGN v4.11.0 SCOPE DELTA — SOURCE/PROTOTYPE PREFLIGHT REQUIRED</t>
  </si>
  <si>
    <t>Functional contract integrated; remaining derived UI/prototype effort must be re-estimated.</t>
  </si>
  <si>
    <t>Design v4.11.0 Chapters 2–6; Industrial Integration Engineering Review 16-Sep-2026</t>
  </si>
  <si>
    <t>16-Sep-2026 owner design decision; no live runtime/Figma execution claimed</t>
  </si>
  <si>
    <t>Complete the M3 remainder of the entire existing UI inventory, not just selected BI examples. Preserve all 40 page IDs, all 87 dialogs, 82 toolbox entries, 16 inspectors, 10 S1-S5 Block/SQL mode frames, expressions and G1-G6. Derive each remaining state/interaction from the owning chapter and the approved T-248 outcome matrix, including later Findings/Risk/Practice/Scenario/Benchmarking, Reports, Supervisor, alert/admin and licence/quota depth where deferred.
Own advanced named selections/bookmarks, comparison states, drill/hierarchies, pivot/crosstab or governed equivalent, undo/redo, immutable version compare, multi-sheet layout, concurrency conflict recovery, advanced export fidelity, G3 command palette and G6 activity tray. Basic M2 selection/clear, table navigation, cancellation feedback and existing workflow correctness stay in T-265; do not defer them here.
Use the common component library and model/report/benchmark/decision contracts; no unsupported window is made functional by a mockup. Finish distinct view/edit/inspect/pending/conflict/refusal recovery flows rather than producing duplicate placeholder frames. Deliver the revised visual specification inside Chapter 3/4 MD and both illustrated Word editions with stable traceable captions; retain native editable Figma evidence as file/node references inside this workbook. Do not add a standalone atlas or companion file to the design book.</t>
  </si>
  <si>
    <t>AC1: Every uncompleted UI inventory obligation has a concrete M3 frame/state/interaction and one runtime owner; none disappears because an earlier template lacked it. Explicitly reconcile all 75 T-248 outcome rows with design/prototype evidence and then implementation acceptance; signed N/A only where the chapter allows it.
AC2: Demonstrate advanced selection/save/restore, pending lasso confirm/cancel, drill/return, multi-sheet authoring, undo/redo, version diff, conflict resolution, and current-state export with applied filter/period/permission context.
AC3: Include full deferred page workflows (Reports generation/delivery, Benchmarking sample/direction refusals, model activation/retirement, decisions/outcomes/effectiveness, Supervisor and administration) against their producer contracts.
AC4: Apply semantic control coverage, applicable states, accessibility/focus/keyboard, responsive and RTL checks; shared components are encouraged, not forbidden.
AC5: Native Figma editable import/prototype and no clipped/unreadable controls are observed; evidence references actual scenes and transitions. Updated Chapter 3/4 Markdown and illustrated Word preserve chapter prose and correct citations; coverage and verification remain in the latest Backlog.
AC6: T-248 and T-249 verify product behavior independently. Design acceptance alone never raises product D2/D5 scores or marks an implementation task Done.</t>
  </si>
  <si>
    <t>UI companion M3 subset; shared token/atlas/Word merge owned by CENTRAL; no duplicate functional authority.</t>
  </si>
  <si>
    <t>L3.1; L3.2; L3.3; L3.9; L6.5; L6.7; L7.4; L9.3; L9.5; L10.1; L10.4</t>
  </si>
  <si>
    <t>M3_DEFERRED</t>
  </si>
  <si>
    <t>Full remaining UI inventory + T-248 75-item matrix + UI_Workflow_Acceptance_v2.23.0.md</t>
  </si>
  <si>
    <t>T-248; T-263; T-264; T-196; T-197; T-198; T-199; T-200</t>
  </si>
  <si>
    <t>T-268</t>
  </si>
  <si>
    <t>Industrial acquisition configuration and stable field authority</t>
  </si>
  <si>
    <t>Source integration control plane</t>
  </si>
  <si>
    <t>Extend the existing connection/dataset/field/definition authorities with provider-specific source selectors, stable field_id/source locator/technical key/display label separation, immutable raw layout/schema revisions, recording groups, Time / Value change / Trigger-counter policies, retention/capacity references and exact-version activation bindings. Runtime negotiated evidence remains separate from authored intent. No protocol client, scheduler, durable ingest or UI implementation in this task.</t>
  </si>
  <si>
    <t>Save/reopen/version all three policies and raw/typed field definitions; label rename preserves field identity; address/type/layout edit creates reviewed revision; invalid type/band/trigger/layout combinations refuse server-side; old versions remain readable; tenant/role references are enforced; export/import preserves meaning without exporting secrets; same binary accepts two foreign source shapes.</t>
  </si>
  <si>
    <t>T-269; T-270; T-271; T-272; T-274; T-275</t>
  </si>
  <si>
    <t>Backend/domain/runtime implementation</t>
  </si>
  <si>
    <t>Industrial Integration v4.11.0</t>
  </si>
  <si>
    <t>Consume accepted v4.11.0 contracts and listed producer contracts. Source-present is not closure proof; execute named acceptance and preserve unrelated lanes.</t>
  </si>
  <si>
    <t>Own only the named Industrial Integration subsystem slice; no private scheduler/definition/source-time/capability authority.</t>
  </si>
  <si>
    <t>Preserve existing closed producers and contracts. Implement the delta; do not reopen earlier tasks merely because v4.11.0 adds a new consumer/acceptance slice.</t>
  </si>
  <si>
    <t>Day-1 Data Workbench — Industrial Integration</t>
  </si>
  <si>
    <t>CENTRAL 16-Sep-2026: new bounded owner created from approved Industrial Integration design. No task-ID-named repository implementation files.
17-Sep: read-only Industrial Integration source preflight completed GREEN at HEAD db0b0f84ec721f8adff1da14d4a62762200a22d6 (198 ranked tracked files). Estimate calibration is planning work, not a start gate. Execute when completion prerequisites/path locks permit.</t>
  </si>
  <si>
    <t>L1.1; L1.4; L1.5; L5.6</t>
  </si>
  <si>
    <t>NOT EXECUTED — new v4.11.0 implementation scope</t>
  </si>
  <si>
    <t>No hours fabricated. Source-level preflight required before LOW/BASE/HIGH/P80.</t>
  </si>
  <si>
    <t>Chapters 3/4 v4.11.0 — integrated Industrial Integration contract; T-265/T-266 own derived visual synchronization.</t>
  </si>
  <si>
    <t>NOT STARTED — v4.11.0 NEW SCOPE</t>
  </si>
  <si>
    <t>Design authority only; no source/build/runtime closure claimed.</t>
  </si>
  <si>
    <t>SOURCE PREFLIGHT EXPORTED 17-SEP — OWNER ESTIMATE PENDING</t>
  </si>
  <si>
    <t>DESIGN v4.11.0 NEW SCOPE — SOURCE PREFLIGHT REQUIRED</t>
  </si>
  <si>
    <t>NOT ESTIMATED — not zero, not P80</t>
  </si>
  <si>
    <t>Estimate only after exact owned source/predecessor/runtime seam measurement.</t>
  </si>
  <si>
    <t>PPIQ_Industrial_Integration_Engineering_Review_16Sep2026 + Design v4.11.0 owning clauses</t>
  </si>
  <si>
    <t>17-Sep-2026 source-preflight export at db0b0f84ec721f8adff1da14d4a62762200a22d6; read-only, no build/test/DB claim.</t>
  </si>
  <si>
    <t>T-269</t>
  </si>
  <si>
    <t>Declarative DataBlock/message layout decoder and source-event identity</t>
  </si>
  <si>
    <t>Backend / Edge</t>
  </si>
  <si>
    <t>Industrial source decoding</t>
  </si>
  <si>
    <t>Implement the bounded declarative raw-layout grammar for approved DataBlock/structured inputs: absolute/relative offset, bit/byte/word widths, signedness, byte/word order, strings, arrays and bounded structures; emit typed stable fields plus layout/source-event evidence. Typed OPC nodes bypass raw re-decoding. No arbitrary customer code and no native S7/Modbus transport unless separately approved.</t>
  </si>
  <si>
    <t>Known-answer fixtures for at least two non-identical layouts; reject out-of-bounds/invalid bit/unsupported codec/overlap/resource-budget cases; preserve layout version and raw-source identity on replay; label rename does not alter decode; source-publication/sequence identity survives retry; unsupported transport profile refuses rather than guessing.</t>
  </si>
  <si>
    <t>T-270; T-274</t>
  </si>
  <si>
    <t>L1.5; L5.5</t>
  </si>
  <si>
    <t>T-270</t>
  </si>
  <si>
    <t>Industrial recording policy and trigger/capture state-machine executor</t>
  </si>
  <si>
    <t>Acquisition policy runtime</t>
  </si>
  <si>
    <t>Execute PERIODIC, ON_CHANGE and TRIGGERED policies with durable deterministic state, exact field/layout/policy versions, baseline/edge/counter state, quality/time handling, achieved consistency class, explicit gaps and bounded record assembly. Reuse T-225 protocol operations, T-233 Source Time persistence and T-275 Job/session authority. No private scheduler, no second OPC runtime, no one-Job-per-sample design.</t>
  </si>
  <si>
    <t>Constant periodic values create distinct admitted records; phase anchor does not drift; missed ticks are gap/history evidence, never retroactive clones; change-band baseline advances with durable acceptance; quality transitions are visible; startup/reconnect does not invent an edge; counter reset/wrap/jump semantics are declared; trigger members capture even when unchanged; source-consistency falsification rejects false atomicity; no latest-cache substitution for source-latched capture.
v4.11.1 trigger state: startup/reconnect/re-arm plus counter reset/wrap/jump are explicit and durable.
v4.11.1: trigger/counter mode includes startup, reconnect, re-arm, reset, wrap and jump known answers; restart cannot invent an edge or silently suppress a lawful occurrence.</t>
  </si>
  <si>
    <t>T-268; T-269; T-225; T-233; T-275</t>
  </si>
  <si>
    <t>T-226; T-274</t>
  </si>
  <si>
    <t>Industrial edge acquisition and recording</t>
  </si>
  <si>
    <t>L1.5; L1.7; L2.6; L5.5</t>
  </si>
  <si>
    <t>T-271</t>
  </si>
  <si>
    <t>Qualified relational and file acquisition convergence</t>
  </si>
  <si>
    <t>Backend / Connectors</t>
  </si>
  <si>
    <t>Database and file adapters</t>
  </si>
  <si>
    <t>Converge SQL Server, Oracle, PostgreSQL, MySQL, Excel and CSV behind the shared Dataset/accepted-record contract while preserving provider-native typed ordering, cursor/revision/CDC or overlap policy, parser identity and source load budgets. Advertise only operations executed by that provider/version. Do not enable CDC from a successful login and do not create a second cursor authority.</t>
  </si>
  <si>
    <t>Equal-watermark multi-page paging without loss; update/delete/revision policy; no-change rerun; source mutation consistency test; expired source position; each advertised database engine/version/path tested; workbook sheet/table/range and replaced-file behavior; quoted multiline CSV/encoding/delimiter/escape/header/null cases; exact parser identity; bounded source load and typed refusal for unsupported CDC/revision modes.</t>
  </si>
  <si>
    <t>T-268; T-108</t>
  </si>
  <si>
    <t>L1.1; L1.4; L1.7</t>
  </si>
  <si>
    <t>T-272</t>
  </si>
  <si>
    <t>Dataset-oriented Dump Store accepted-record and consumer contract</t>
  </si>
  <si>
    <t>Database / Backend</t>
  </si>
  <si>
    <t>Staging and source-shaped data plane</t>
  </si>
  <si>
    <t>Resolve logical-versus-physical staging semantics as one governed Dump Store in ppiq_staging. Persist immutable accepted-record identity, exact config/layout/policy/session/batch/source-revision envelope, typed values/quality/time/integrity and idempotency receipts; expose one typed tenant-scoped logical Dataset to preview, Canvas, safe SQL and exact-version projection. One authoritative payload placement only; exact original bytes are immutable artifacts when required, not a second mutable truth.</t>
  </si>
  <si>
    <t>Core-commit/response-loss retry returns same receipt; same identity/different content refuses; precision and supported integer/type values survive; partition-safe identity proven; continuous session exposes only completed sealed batches; typed Dataset reader reopens identically across physical optimisation; original-byte artifact distinction proven; exact published transformation reads exact accepted batch/version; no duplicate JSON/typed raw authorities.
v4.11.1 crash matrix: before/during/after commit-before-response converges to one accepted record by identity/idempotency.
v4.11.1 core crash matrix: before commit, during commit, after commit-before-response and uncertain retry converge through immutable record identity/idempotent receipt.</t>
  </si>
  <si>
    <t>T-087; T-088; T-251; T-252; T-268</t>
  </si>
  <si>
    <t>T-226; T-247; T-273; T-274</t>
  </si>
  <si>
    <t>L1.5; L2.3; L3.5; L5.7</t>
  </si>
  <si>
    <t>T-273</t>
  </si>
  <si>
    <t>Industrial source capacity, retention and replay lifecycle control</t>
  </si>
  <si>
    <t>Infrastructure / Database</t>
  </si>
  <si>
    <t>Acquisition capacity and source-data lifecycle</t>
  </si>
  <si>
    <t>Bind per-dataset hot retention/archive/replay floors and source/collector/site/tenant aggregate capacity to activation. Account for source impact, accepted/event/value rates, payload size, queue/spool reserve, disconnected window, live+replay drain, core ingest/projection lag and backup/restore. Source-data lifecycle is distinct from T-199 log retention. Unknown rates remain unknown; no invented compression or throughput constants.
v4.11.1: T-273 owns persisted dataset/site qualification profile and capacity/retention admission evidence; T-275 supplies runtime measurements; T-254 exposes truth.
v4.11.1 qualification producer: T-273 persists the dataset/site qualification profile and capacity/retention admission evidence. T-275 supplies runtime measurements; T-254 renders the governed truth to customers.</t>
  </si>
  <si>
    <t>Combined-source admission rejection; capacity preview states basis/confidence; finite spool/outage horizon; replay drain exceeds continuing live input; disk-full/overload preserve explicit gap/fault evidence; unprojected/unreconciled input cannot be deleted; archive-before-delete verifies integrity and restore/replay; backup/restore preserves manifests/receipts; source change-log retention dependency enforced; high-rate profile cannot be certified from a configured interval alone.</t>
  </si>
  <si>
    <t>T-150; T-247; T-254; T-274</t>
  </si>
  <si>
    <t>CENTRAL 16-Sep-2026: new bounded owner created from approved Industrial Integration design. No task-ID-named repository implementation files.
17-Sep: T-124 is CONTRACT_READY input, not hard P5 closure dependency; T-150 still requires both release proofs.
17-Sep phase correction: T-124 is contract-ready input, not a P5-completion blocker. T-273 may implement against the frozen backup/restore contract; T-150 still requires final release proof for both.
17-Sep: read-only Industrial Integration source preflight completed GREEN at HEAD db0b0f84ec721f8adff1da14d4a62762200a22d6 (198 ranked tracked files). Estimate calibration is planning work, not a start gate. Execute when completion prerequisites/path locks permit.</t>
  </si>
  <si>
    <t>L1.7; L8.6; L8.7; L8.8</t>
  </si>
  <si>
    <t>T-274</t>
  </si>
  <si>
    <t>Executable unified Industrial Integration configuration UX</t>
  </si>
  <si>
    <t>Frontend / API integration</t>
  </si>
  <si>
    <t>B1-B5/B6 source workflow</t>
  </si>
  <si>
    <t>Implement the v4.11.0 source configuration experience on the existing B1-B5/B6 surfaces for approved databases/files/OPC profiles: provider-aware connection, Select Data, Fields &amp; Layout, Time/Value-change/Trigger-counter policy, requested/effective/qualified state, storage/retention/capacity preview, Job binding and active/buffering/gap/replay/completed-batch monitoring. Browser never becomes the acquisition runtime.</t>
  </si>
  <si>
    <t>Real browser/API journey with keyboard/RTL and bulk field editing; save/reopen/version behavior; stable field picker identity; exact typed errors without leaking values/secrets; source preview obeys budget/permission; all three modes; capacity and retention refusal; capability truth from backend; close browser while collection continues; completed batch becomes available to T3/T4; denied raw-preview role cannot see sample values in error text.</t>
  </si>
  <si>
    <t>T-254; T-266; T-268; T-269; T-270; T-271; T-272; T-273; T-275</t>
  </si>
  <si>
    <t>Frontend/API integration</t>
  </si>
  <si>
    <t>L1.1; L1.2; L1.4; L1.7; L2.6</t>
  </si>
  <si>
    <t>Integrate</t>
  </si>
  <si>
    <t>T-275</t>
  </si>
  <si>
    <t>Continuous acquisition Job runtime, fencing and finite microbatch lifecycle</t>
  </si>
  <si>
    <t>Jobs / Workers</t>
  </si>
  <si>
    <t>Continuous acquisition execution</t>
  </si>
  <si>
    <t>Extend the existing Job authority with ContinuousAcquisition execution: long-lived activation/session plus finite sealed batches/windows, one fenced owner generation per source/group, approved disconnected-capture window, replay-only return of superseded owner, bounded live/replay lanes, pause/cancel safe boundary and session/batch progress/history. No private edge scheduler and no run row per sample.</t>
  </si>
  <si>
    <t>One-owner negative control; central heartbeat loss inside offline allowance does not start duplicate capture; lawful takeover fences prior generation; superseded collector can replay old durable records but cannot capture new; browser/API restart does not stop edge capture; session stays Running while finite batches complete and unblock projection; live capture reserved during replay; disk/queue saturation is explicit; pause/cancel seals or fails in-flight batch truthfully and never advances uncommitted checkpoint.
v4.11.1 runtime safety: callback isolation, bounded queue/backpressure, batch-seal/checkpoint/fence crash recovery.
v4.11.1: source callbacks perform bounded handoff only. Prove callback isolation, bounded queue/backpressure, batch-seal/checkpoint crash safety and live-reserved capacity under replay.</t>
  </si>
  <si>
    <t>T-106; T-107; T-268</t>
  </si>
  <si>
    <t>T-226; T-254; T-270; T-274</t>
  </si>
  <si>
    <t>L1.7; L1.8; L8.4; L8.6</t>
  </si>
  <si>
    <t>Release Plan — v2.24.0 | 17Sep2026 current authority; valid planning estimates only</t>
  </si>
  <si>
    <t>Planning target</t>
  </si>
  <si>
    <t>Outcome</t>
  </si>
  <si>
    <t>Open</t>
  </si>
  <si>
    <t>Exit condition</t>
  </si>
  <si>
    <t>~1 month from owner checkpoint</t>
  </si>
  <si>
    <t>T-150 Day-1 release gate</t>
  </si>
  <si>
    <t>Industrial Intelligence</t>
  </si>
  <si>
    <t>Release Hardening</t>
  </si>
  <si>
    <t>45 days after M2</t>
  </si>
  <si>
    <t>T-249 final release certification</t>
  </si>
  <si>
    <t>Advanced BI / Authoring</t>
  </si>
  <si>
    <t>Advanced ML / Optimisation / Value</t>
  </si>
  <si>
    <t>Worker Tracks — v2.24.0 | Task-ID joins; design work is not runtime proof</t>
  </si>
  <si>
    <t>Start/Gate</t>
  </si>
  <si>
    <t>Lock</t>
  </si>
  <si>
    <t>Handoff</t>
  </si>
  <si>
    <t>Evidence state</t>
  </si>
  <si>
    <t>CLOSED GREEN / COMMITTED — final closure supersedes 15-Sep uncommitted runner state</t>
  </si>
  <si>
    <t>IN PROGRESS — Source Time certification not closed; latest supplied run RED with byte-exact rollback and no commit</t>
  </si>
  <si>
    <t>Requirement Traceability — current Backlog v2.24.0 / Design v4.11.1</t>
  </si>
  <si>
    <t>Requirement family</t>
  </si>
  <si>
    <t>Design authority</t>
  </si>
  <si>
    <t>M2 Release 1</t>
  </si>
  <si>
    <t>M3 Release 2</t>
  </si>
  <si>
    <t>M2 acceptance</t>
  </si>
  <si>
    <t>M3 acceptance</t>
  </si>
  <si>
    <t>Customer use</t>
  </si>
  <si>
    <t>Mirror state</t>
  </si>
  <si>
    <t>Ruling</t>
  </si>
  <si>
    <t>DB Link / external databases</t>
  </si>
  <si>
    <t>Ch3 4.5 + Ch4 5.0.0</t>
  </si>
  <si>
    <t>Day-1 production</t>
  </si>
  <si>
    <t>Scale/certification</t>
  </si>
  <si>
    <t>T-207; T-247; T-254; T-095..105; T-268; T-271; T-272</t>
  </si>
  <si>
    <t>Connect→browse→preview→map→import→canonical with no product-code diff; capability/certification copy comes from one executable truth</t>
  </si>
  <si>
    <t>Real-source endurance and complex relationship certification</t>
  </si>
  <si>
    <t>Customer IT day 1</t>
  </si>
  <si>
    <t>MIRRORED</t>
  </si>
  <si>
    <t>M2 first priority</t>
  </si>
  <si>
    <t>Canvas / SQL / data preparation</t>
  </si>
  <si>
    <t>Ch4 5.0.0 + 5.2</t>
  </si>
  <si>
    <t>Day-1 production core</t>
  </si>
  <si>
    <t>Advanced authoring parity</t>
  </si>
  <si>
    <t>T-241..246; T-253; T-248</t>
  </si>
  <si>
    <t>Typed Canvas/SQL, governed output target, validate/dry-run, save/version, Job bind; no hardcoded plant/material output identity</t>
  </si>
  <si>
    <t>Scoped measure, named states, advanced story/export/subflow parity</t>
  </si>
  <si>
    <t>No unbounded loops</t>
  </si>
  <si>
    <t>Jobs / scheduling / logs</t>
  </si>
  <si>
    <t>Ch4 5.3 + Ch6 runtime</t>
  </si>
  <si>
    <t>Day-1 run/schedule/monitor/log</t>
  </si>
  <si>
    <t>High-volume lanes/capacity</t>
  </si>
  <si>
    <t>T-106..111; T-125; T-245; T-261; T-275; T-227</t>
  </si>
  <si>
    <t>Registered executors, target/version, DAG, bounded admission/parallelism, run/monitor/log with mandatory run identity</t>
  </si>
  <si>
    <t>Capacity, scan amplification, checkpoint/resume under heavy load</t>
  </si>
  <si>
    <t>Core in M2, scale in M3</t>
  </si>
  <si>
    <t>Enterprise BI/HMI</t>
  </si>
  <si>
    <t>Ch3 pages + Ch4 5.0.0/5.1</t>
  </si>
  <si>
    <t>Enterprise core</t>
  </si>
  <si>
    <t>Advanced parity</t>
  </si>
  <si>
    <t>T-148; T-202..205; T-212; T-215; T-222; T-250; T-257; T-258; T-248</t>
  </si>
  <si>
    <t>Associative/persisted enterprise core, frontend execution truth, and generic customer HMI with material-specific surfaces bounded to presentation compatibility; advanced BI parity in Release 2.</t>
  </si>
  <si>
    <t>75-item matrix fully closed incl advanced states/story/export</t>
  </si>
  <si>
    <t>All users day 1</t>
  </si>
  <si>
    <t>Qlik-class outcome, PPIQ semantics</t>
  </si>
  <si>
    <t>Production OPC UA</t>
  </si>
  <si>
    <t>Ch2 OT boundary + Ch3 DF1-DF3 + Ch4 5.3.10 + Ch6 operating envelope</t>
  </si>
  <si>
    <t>Read-only production path</t>
  </si>
  <si>
    <t>Endurance/certification</t>
  </si>
  <si>
    <t>T-207; T-224..226; T-233; T-268..T-275; T-153</t>
  </si>
  <si>
    <t>Connection→Dataset→Fields/Layout→Time/Value/Trigger recording→durable accepted batches→gap/replay/qualification truth; BoundedRead is independently executed; unsupported operations remain unavailable.</t>
  </si>
  <si>
    <t>Real-source endurance and site certification</t>
  </si>
  <si>
    <t>Operations week 1</t>
  </si>
  <si>
    <t>MIRRORED — v4.11.1</t>
  </si>
  <si>
    <t>No fake sample claim</t>
  </si>
  <si>
    <t>Ch3/Ch4 reference authority</t>
  </si>
  <si>
    <t>Visible and usable</t>
  </si>
  <si>
    <t>Deeper scale/authoring</t>
  </si>
  <si>
    <t>T-214; T-232; T-215</t>
  </si>
  <si>
    <t>Customer standard/target/envelope visible with correct scoring direction</t>
  </si>
  <si>
    <t>Advanced authoring and large-scale governance</t>
  </si>
  <si>
    <t>Operations/Quality</t>
  </si>
  <si>
    <t>Reference can be 100% aim</t>
  </si>
  <si>
    <t>Reconciliation / root cause</t>
  </si>
  <si>
    <t>Ch3/Ch4 evidence authority</t>
  </si>
  <si>
    <t>Historical + live evidence</t>
  </si>
  <si>
    <t>Persisted/advanced</t>
  </si>
  <si>
    <t>T-217..223; T-221</t>
  </si>
  <si>
    <t>Seven evidence states + causal confidence + grounded explanation</t>
  </si>
  <si>
    <t>Canonical persistence at scale and richer workflows</t>
  </si>
  <si>
    <t>Never claim human intent/lie</t>
  </si>
  <si>
    <t>Assistant / LLM</t>
  </si>
  <si>
    <t>Ch4 Layer-B + Assistant contracts</t>
  </si>
  <si>
    <t>Grounded investigation</t>
  </si>
  <si>
    <t>InsightBoard composition</t>
  </si>
  <si>
    <t>T-179..181; T-223; T-138; T-228..230</t>
  </si>
  <si>
    <t>Governed tools/evidence; no material-specific KPI authority; provider labels require concrete adapters/conformance</t>
  </si>
  <si>
    <t>Auto-generated governed investigation boards</t>
  </si>
  <si>
    <t>All analytical users</t>
  </si>
  <si>
    <t>LLM never invents plant numbers</t>
  </si>
  <si>
    <t>Multi-objective best practice</t>
  </si>
  <si>
    <t>Ch4 practice intelligence</t>
  </si>
  <si>
    <t>Foundation available</t>
  </si>
  <si>
    <t>Full Pareto/product integration</t>
  </si>
  <si>
    <t>T-171..176; T-238..240</t>
  </si>
  <si>
    <t>Underlying kernels available; not Release-1 blocker</t>
  </si>
  <si>
    <t>Objective sets, Pareto/non-dominance, trade-off explanation</t>
  </si>
  <si>
    <t>Operations/CEO</t>
  </si>
  <si>
    <t>No hidden weights</t>
  </si>
  <si>
    <t>Transition / stabilisation</t>
  </si>
  <si>
    <t>Ch3/Ch4 regime context</t>
  </si>
  <si>
    <t>Correctness gate</t>
  </si>
  <si>
    <t>Scale/learning integration</t>
  </si>
  <si>
    <t>T-234..236; T-235</t>
  </si>
  <si>
    <t>Findings state stable/transition/stabilising/mixed and refuse unsafe pooling</t>
  </si>
  <si>
    <t>Extended real-data calibration</t>
  </si>
  <si>
    <t>Prevents confident wrong correlation</t>
  </si>
  <si>
    <t>Financial value / ROI</t>
  </si>
  <si>
    <t>Ch1 value promise + Ch4/Ch6 Value Engine</t>
  </si>
  <si>
    <t>Existing potential-value evidence may be shown bounded</t>
  </si>
  <si>
    <t>Customer-grade realised ROI</t>
  </si>
  <si>
    <t>T-164; existing value engine + T-237</t>
  </si>
  <si>
    <t>No ungoverned monetary promise</t>
  </si>
  <si>
    <t>Real assumptions, realised-value ledger, heavy-use value certification</t>
  </si>
  <si>
    <t>CEO</t>
  </si>
  <si>
    <t>M3 owns customer-certified €/$ value</t>
  </si>
  <si>
    <t>Users / roles / licence / security</t>
  </si>
  <si>
    <t>Ch3/Ch6 administration/security</t>
  </si>
  <si>
    <t>Minimum production-safe controls</t>
  </si>
  <si>
    <t>Deep enterprise administration</t>
  </si>
  <si>
    <t>T-112..121; T-161..162; T-198..200</t>
  </si>
  <si>
    <t>RLS behavioral proof, fail-closed eight-role mapping, vendor-held licence trust root, secret/config/MFA hygiene</t>
  </si>
  <si>
    <t>SSO, advanced admin/logging/retention/site hardening</t>
  </si>
  <si>
    <t>Admin/IT</t>
  </si>
  <si>
    <t>Important but not allowed to starve Day-1 workbench</t>
  </si>
  <si>
    <t>Database schema authority / physical dictionary</t>
  </si>
  <si>
    <t>Ch3 4.5.2/4.5.5b/4.5.20a</t>
  </si>
  <si>
    <t>Zero-unknown fresh schema + upgrade reconciliation</t>
  </si>
  <si>
    <t>Heavy-use schema evolution and compatibility-safe convergence</t>
  </si>
  <si>
    <t>T-087; T-088; T-115; T-123; T-251; T-252; T-256; T-258</t>
  </si>
  <si>
    <t>Zero-unknown physical catalogue + disposable certification DBs + backend runtime three-schema/genericity convergence + frontend consumer handoff with no cross-owner mutation.</t>
  </si>
  <si>
    <t>Schema evolution remains generated, reversible where possible and customer-operable at scale</t>
  </si>
  <si>
    <t>Developer + Customer IT</t>
  </si>
  <si>
    <t>Table count is not a defect; unowned/undocumented authority is.</t>
  </si>
  <si>
    <t>Repository / audit / release-truth source authority</t>
  </si>
  <si>
    <t>Governance + Ch6 release truth</t>
  </si>
  <si>
    <t>Forward-clean source authority and truthful executed gates</t>
  </si>
  <si>
    <t>Sustained release governance</t>
  </si>
  <si>
    <t>T-205; T-250; T-255; T-257; T-150; T-249</t>
  </si>
  <si>
    <t>Root allowlist; no transient run-state/pack payload; audit severity excludes self/backups/generated; gate scripts execute, release profile zero unapproved skips</t>
  </si>
  <si>
    <t>Same rules remain green under Release-2 production certification</t>
  </si>
  <si>
    <t>Developer / Customer IT</t>
  </si>
  <si>
    <t>No mass-renaming of grandfathered task-ID files; forward gate prevents new violations</t>
  </si>
  <si>
    <t>Execution Governance — v2.24.0 / Design v4.11.1 | 17Sep2026</t>
  </si>
  <si>
    <t>Rule</t>
  </si>
  <si>
    <t>Current authority</t>
  </si>
  <si>
    <t>Rationale</t>
  </si>
  <si>
    <t>Functional authority</t>
  </si>
  <si>
    <t>Six full Design Chapters v4.11.1 + Database Standard v1.2 + Evaluation Standard v1.2</t>
  </si>
  <si>
    <t>Current approved technical contracts</t>
  </si>
  <si>
    <t>Visual authority</t>
  </si>
  <si>
    <t>Integrated Chapter 3/4 visual sections and illustrated Word</t>
  </si>
  <si>
    <t>Derived visual arrangements; no standalone seventh functional authority or companion file.</t>
  </si>
  <si>
    <t>Execution authority</t>
  </si>
  <si>
    <t>Backlog sheet v2.24.0</t>
  </si>
  <si>
    <t>Single active task truth; generated/current sheets derive from it.</t>
  </si>
  <si>
    <t>Real Day-1 bounded customer production</t>
  </si>
  <si>
    <t>Correctness, source limits, cancellation, replay and isolation do not move to M3</t>
  </si>
  <si>
    <t>Advanced model invocation and heavy chunk/scan mechanisms</t>
  </si>
  <si>
    <t>Owner-approved T-246/T-110 placement; final target retained</t>
  </si>
  <si>
    <t>Merges</t>
  </si>
  <si>
    <t>T-105→T-104; T-111→T-110/T-155/T-159</t>
  </si>
  <si>
    <t>Acceptance retained, reverse references regenerated</t>
  </si>
  <si>
    <t>New rows</t>
  </si>
  <si>
    <t>T-262 projection declaration; T-263 reports; T-264 benchmarking</t>
  </si>
  <si>
    <t>Official under owner's update instruction</t>
  </si>
  <si>
    <t>Done evidence preserved; source-present/newly extended work not auto-closed</t>
  </si>
  <si>
    <t>No fabricated commits or runtime proof</t>
  </si>
  <si>
    <t>Estimates</t>
  </si>
  <si>
    <t>New rows unestimated; widened inherited estimates flagged</t>
  </si>
  <si>
    <t>Known-hour totals are not delivery forecasts</t>
  </si>
  <si>
    <t>Tests</t>
  </si>
  <si>
    <t>Targeted suites, isolated DBs, negative controls; never silent green skips</t>
  </si>
  <si>
    <t>Evidence lives with the acceptance it proves</t>
  </si>
  <si>
    <t>Filename law</t>
  </si>
  <si>
    <t>No task ID in implementation filenames</t>
  </si>
  <si>
    <t>Task IDs allowed in backlog/commit/evidence descriptions</t>
  </si>
  <si>
    <t>Compatibility</t>
  </si>
  <si>
    <t>No delete-first retirement</t>
  </si>
  <si>
    <t>Migrate consumers and preserve historical meaning</t>
  </si>
  <si>
    <t>Source safety</t>
  </si>
  <si>
    <t>Single effective load budget, stricter configured ceilings cannot be bypassed</t>
  </si>
  <si>
    <t>Policy applies to incremental and one-shot reads</t>
  </si>
  <si>
    <t>Dependencies</t>
  </si>
  <si>
    <t>Depends On is canonical; Must Precede derived</t>
  </si>
  <si>
    <t>Separate contract-ready handoffs from runtime closure</t>
  </si>
  <si>
    <t>Version policy</t>
  </si>
  <si>
    <t>Only meaningful authority changes increment backlog release</t>
  </si>
  <si>
    <t>Small status/evidence corrections update in place</t>
  </si>
  <si>
    <t>Historical sheets</t>
  </si>
  <si>
    <t>v220 / verified/commit ledgers are historical evidence</t>
  </si>
  <si>
    <t>They do not override active Backlog statuses</t>
  </si>
  <si>
    <t>Physical database authority</t>
  </si>
  <si>
    <t>Zero unknown product tables/columns on fresh certification DB</t>
  </si>
  <si>
    <t>Every object has schema, family, lifecycle, owner, design clause and generated dictionary entry.</t>
  </si>
  <si>
    <t>Disposable database lifecycle</t>
  </si>
  <si>
    <t>CREATE DATABASE implies owner + finally DROP unless explicitly declared persistent</t>
  </si>
  <si>
    <t>Prevents probe/scratch/backup debris and cross-worker shared-DB contamination.</t>
  </si>
  <si>
    <t>Database naming</t>
  </si>
  <si>
    <t>Forward snake_case + no customer vocabulary + no redundant ppiq_ prefix in governed schemas</t>
  </si>
  <si>
    <t>Existing names are grandfathered; no mass rename without owned compatibility proof.</t>
  </si>
  <si>
    <t>Authority precedence</t>
  </si>
  <si>
    <t>Current Master Design / frozen Layer-B semantic rulings &gt; current Backlog execution wording &gt; historical task prose.</t>
  </si>
  <si>
    <t>When two current documents conflict semantically, Central must rule and amend future scope; workers are not blamed for following the then-current backlog.</t>
  </si>
  <si>
    <t>Closed-task regression handling</t>
  </si>
  <si>
    <t>Do not broadly reopen closed tasks. A newly discovered concrete regression receives a narrow new Task ID unless the original closure evidence itself is proven false.</t>
  </si>
  <si>
    <t>Prevents scope erosion and preserves auditability.</t>
  </si>
  <si>
    <t>Release evidence envelope</t>
  </si>
  <si>
    <t>Superseded wording: T-259 owns envelope v1; T-252/T-257 produce; T-227 owns scorecard/policy; T-150 aggregates. See rule below.</t>
  </si>
  <si>
    <t>Prevents duplicated skip-count formats and keeps final release gate from redefining evidence semantics late.</t>
  </si>
  <si>
    <t>Cross-worker genericity handoff</t>
  </si>
  <si>
    <t>Backend runtime convergence and frontend material-surface convergence have separate owners: T-256 Worker 1, T-258 Worker 2.</t>
  </si>
  <si>
    <t>Worker 1 must not repair Worker-2 frontend files; compatibility must remain green across the handoff.</t>
  </si>
  <si>
    <t>Canvas output-target namespace</t>
  </si>
  <si>
    <t>Canonical entity name from ICanonicalEntityCatalog; never physical relation name and never an overloaded Analysis Subject key.</t>
  </si>
  <si>
    <t>Graph and SQL share one governed output identity while Analysis Subject remains a separate semantic authority.</t>
  </si>
  <si>
    <t>Canvas output-target hashing</t>
  </si>
  <si>
    <t>New Graph/SQL saves carry root `outputTarget` in hashed canonical content. Legacy Graph may derive from graph.targetEntity; legacy SQL missing target returns null, never fabricated.</t>
  </si>
  <si>
    <t>Hash change on re-save legitimately creates a new immutable version; prior version remains untouched.</t>
  </si>
  <si>
    <t>Release evidence envelope v1</t>
  </si>
  <si>
    <t>T-259 owns the small shared machine-readable envelope contract. T-252/T-257 produce it; T-227 owns scorecard/policy; T-150 aggregates.</t>
  </si>
  <si>
    <t>Removes the impossible dependency where producers needed a P5 schema that did not yet exist.</t>
  </si>
  <si>
    <t>Release evidence count semantics</t>
  </si>
  <si>
    <t>total_count = executed_count + skipped_count; executed_count = passed_count + failed_count; skipped work is never counted as executed.</t>
  </si>
  <si>
    <t>Prevents an all-skipped suite from appearing fully exercised.</t>
  </si>
  <si>
    <t>Canonical projection-target eligibility</t>
  </si>
  <si>
    <t>Canonical entity identity and projection-target eligibility are separate facts. Eligibility is an explicit model/type-sourced capability, not 'all mapped entities' and not schema-only.</t>
  </si>
  <si>
    <t>Prevents ImportBatch/JobRunHistory/etc. from becoming Canvas/mapping targets while preserving valid reference targets outside ppiq_plant.</t>
  </si>
  <si>
    <t>Schema role in target eligibility</t>
  </si>
  <si>
    <t>ppiq_plant/ppiq_meta topology is a consistency/governance signal, not the sole target predicate.</t>
  </si>
  <si>
    <t>ParameterDefinition/DefectCatalog are valid current targets outside ppiq_plant; ppiq_plant also contains analytical outputs.</t>
  </si>
  <si>
    <t>T-256 synchronization</t>
  </si>
  <si>
    <t>T-253 is a hard dependency of T-256. If Worker 1 reaches the gate first, CENTRAL assigns a disjoint lane rather than allowing duplicate target-classification work.</t>
  </si>
  <si>
    <t>Correctness and single authority take precedence over keeping P1 locally wait-free.</t>
  </si>
  <si>
    <t>Fresh certification DB authority</t>
  </si>
  <si>
    <t>A database called ppiq_acceptance_empty is not authoritative merely by name; it must be constructed by the complete canonical migration-order authority.</t>
  </si>
  <si>
    <t>Prevents catalogue/adjudication against a partial fresh build.</t>
  </si>
  <si>
    <t>T-251/T-260 split</t>
  </si>
  <si>
    <t>T-251 owns read-only physical truth; T-260 owns correction of the fresh certification DB builder discovered by T-251.</t>
  </si>
  <si>
    <t>Avoids violating T-251's read-only lock while preventing false classification work.</t>
  </si>
  <si>
    <t>Adjudication order</t>
  </si>
  <si>
    <t>Do not classify the old 106/81 fresh-DB queue. Correct/rebuild first, rerun census second, adjudicate only the remaining true queue.</t>
  </si>
  <si>
    <t>Avoids spending governance effort on objects stranded by an incomplete build path.</t>
  </si>
  <si>
    <t>Dirty working tree ownership</t>
  </si>
  <si>
    <t>Visible JobExecutor/Transformation compiler/writer/evidence postimages belong to T-261; unseen paths are not guessed.</t>
  </si>
  <si>
    <t>Never reset/clean/stage another worker lane.</t>
  </si>
  <si>
    <t>Industrial estimate start law</t>
  </si>
  <si>
    <t>T-268..T-275 estimation may be calibrated after read-only source preflight; lack of an accepted number does not block a task whose dependency/path gate is otherwise open.</t>
  </si>
  <si>
    <t>Separates planning accuracy from implementation authority.</t>
  </si>
  <si>
    <t>Method and Notes — v2.24.0 / v4.11.1 | 17Sep2026 reconciliation</t>
  </si>
  <si>
    <t>Topic</t>
  </si>
  <si>
    <t>Current rule</t>
  </si>
  <si>
    <t>Supersedes</t>
  </si>
  <si>
    <t>Supersedes defective delivered v2.22.0; source is v2.21.0 plus task-keyed approved edit data. Historical notes remain archives.</t>
  </si>
  <si>
    <t>Source package</t>
  </si>
  <si>
    <t>Design v4.11.1 authority package; backlog v2.24.0; current owner closures through T-262 HEAD db0b0f84...; 17-Sep read-only Industrial Integration source preflight.</t>
  </si>
  <si>
    <t>T-106 boundary</t>
  </si>
  <si>
    <t>T-106 is closed/released. T-261 commissions the governed Transformation executor against T-106 target/version/scheduling/cancellation seams; do not reopen T-106 for that consumer work.</t>
  </si>
  <si>
    <t>T-243 / T-262 boundary</t>
  </si>
  <si>
    <t>T-243 and T-262 are both CLOSED GREEN. T-243 owns board lifecycle + relationship publication/ambient atomicity; T-262 owns the governed declaration/field-binding contract. T-261 consumes both.</t>
  </si>
  <si>
    <t>T-104 / T-261 boundary</t>
  </si>
  <si>
    <t>T-261 executes exact immutable definition; T-104 proves persisted row provenance/version stamping and absorbed T-105 replay/rollback semantics.</t>
  </si>
  <si>
    <t>T-108 / T-110 boundary</t>
  </si>
  <si>
    <t>M2: total-order ingestion, source limits, replay, stage delta. M3: advanced chunk receipts/parallel checkpoint/merge/scan mechanism.</t>
  </si>
  <si>
    <t>Scope versus feature truth</t>
  </si>
  <si>
    <t>Moving advanced implementation to M3 cannot advertise it executable in M2. Required active-path safeguards still pass release-profile proof.</t>
  </si>
  <si>
    <t>UI design scope</t>
  </si>
  <si>
    <t>Full target product visual inventory includes M3 surfaces. Presence of a Figma frame is not implementation evidence.</t>
  </si>
  <si>
    <t>External baseline dependencies</t>
  </si>
  <si>
    <t>T-032, T-035, T-036, T-057, T-064 remain historical baseline prerequisites; their original acceptance records are not regenerated here.</t>
  </si>
  <si>
    <t>Content preservation</t>
  </si>
  <si>
    <t>All original task columns retained. Every changed cell recorded with before/after; retired task definitions retained.</t>
  </si>
  <si>
    <t>No invented date</t>
  </si>
  <si>
    <t>M2 approx. one month from owner's planning checkpoint; M3 45 days later. Historical dates in logs are not new promises.</t>
  </si>
  <si>
    <t>Audit package safety</t>
  </si>
  <si>
    <t>The 08-Sep UltimateAudit package was generated with Mask Secrets=False and is internal engineering evidence only; external evidence must be regenerated masked.</t>
  </si>
  <si>
    <t>Evidence hierarchy</t>
  </si>
  <si>
    <t>Current runtime/source path + executed tests &gt; current source trace &gt; commit/closure &gt; handover &gt; backlog/design prose. Backup/archive copies never override the live path.</t>
  </si>
  <si>
    <t>Evidence-envelope ownership</t>
  </si>
  <si>
    <t>T-259 owns Release Evidence Envelope v1; T-252/T-257 are producers, T-227 scorecard/policy and T-150 aggregation. Supersedes old T-227 schema-ownership wording.</t>
  </si>
  <si>
    <t>T-256/T-258 ownership split</t>
  </si>
  <si>
    <t>T-256 is backend/API/DB-runtime only. Frontend MaterialAnalytics/routes/types are Worker-2 T-258. T-256 must preserve a bounded compatibility handoff so it does not leave the generic frontend red.</t>
  </si>
  <si>
    <t>Fresh certification DB</t>
  </si>
  <si>
    <t>The named fresh canonical certification database for T-251 is `ppiq_acceptance_empty`; do not invent ad-hoc fresh database names before T-252 lifecycle authority.</t>
  </si>
  <si>
    <t>T-253 measured ruling</t>
  </si>
  <si>
    <t>Historical aa57a503 preflight is superseded. T-253 is closed; T-243 later closed its relationship-publication extension at 316383... + 33aca26....</t>
  </si>
  <si>
    <t>T-253 target identity</t>
  </si>
  <si>
    <t>Persist canonical entity name. New hashed root `outputTarget` is representation-independent; graph.targetEntity remains compatibility data and must match on new graph writes.</t>
  </si>
  <si>
    <t>T-253 legacy compatibility</t>
  </si>
  <si>
    <t>Legacy Graph lacking root outputTarget may derive it from graph.targetEntity; legacy SQL lacking it returns null. Re-save under the new content schema creates a new immutable version.</t>
  </si>
  <si>
    <t>T-253 picker</t>
  </si>
  <si>
    <t>Enumerate ICanonicalEntityCatalog through a minimal existing-authoring-support read endpoint. Do not use MappingDefinitionService.AllowedTargetEntities and do not add MaterialUnit as global UA-08 vocabulary.</t>
  </si>
  <si>
    <t>T-259 ruling</t>
  </si>
  <si>
    <t>Option A accepted: 2h P1 Release Evidence Envelope v1 contract after T-251 and before T-252/T-257. T-227 stays P5 scorecard/policy owner.</t>
  </si>
  <si>
    <t>Dirty-tree checkpoint</t>
  </si>
  <si>
    <t>Current 40-entry dirty tree at db0b0f84 contains visible T-261 executor/compiler/writer/evidence postimages. Preserve them; unseen paths remain unassigned until exact census. Index/staging remains exact-owned only.</t>
  </si>
  <si>
    <t>T-148 dependency types</t>
  </si>
  <si>
    <t>T-227 ownership check</t>
  </si>
  <si>
    <t>v2.20.2 already removed the accidental schema ownership from T-227. Its 6h remains because that was the original scorecard/policy task size; no funded hours were transferred out. Stale T-252/T-257 references to T-227 fields are corrected to T-259.</t>
  </si>
  <si>
    <t>Projection-target predicate</t>
  </si>
  <si>
    <t>Do not enumerate every mapped entity and do not use schema-only eligibility. T-253 creates one explicit model/type-sourced projection-target capability; catalog identity stays CLR canonical name.</t>
  </si>
  <si>
    <t>T-251 relationship</t>
  </si>
  <si>
    <t>T-251 logical-family catalogue later cross-checks the projection-target capability but does not define runtime target eligibility; T-253 can proceed independently.</t>
  </si>
  <si>
    <t>T-256 dependency</t>
  </si>
  <si>
    <t>T-253 is intentionally hard in T-256 Depends On. If T-253 is late, Worker 1 stops after T-252 and CENTRAL selects a disjoint lane.</t>
  </si>
  <si>
    <t>T-260 trigger</t>
  </si>
  <si>
    <t>T-251 runner is valid/deterministic, but its fresh reference DB exposed an incomplete builder path (EF+scripts without required topology/views).</t>
  </si>
  <si>
    <t>T-260 execution</t>
  </si>
  <si>
    <t>Build a disposable candidate using the canonical order first; only replace/recreate ppiq_acceptance_empty after candidate GREEN. Never mutate ppiq_app/ppiq_presentation.</t>
  </si>
  <si>
    <t>T-251 resume</t>
  </si>
  <si>
    <t>After T-260, rerun catalogue from scratch. The old 106 unclassified / 81 public-offender counts are diagnostic history, not classification input.</t>
  </si>
  <si>
    <t>Platform allowlist</t>
  </si>
  <si>
    <t>`public.__EFMigrationsHistory` is platform migration bookkeeping and may be allowlisted in T-251 after the corrected rebuild; dead assumed-pattern rules should be removed rather than preserved.</t>
  </si>
  <si>
    <t>Capability standard</t>
  </si>
  <si>
    <t>Product capability mapping follows PPIQ_Product_Analysis_and_Evaluation_Standard_v1.1 (10 layers, 78 capability points).</t>
  </si>
  <si>
    <t>Primary mapping law</t>
  </si>
  <si>
    <t>Every product task has one Primary Capability ID. Secondary IDs are used only where task acceptance genuinely advances another capability.</t>
  </si>
  <si>
    <t>Task closure law</t>
  </si>
  <si>
    <t>Closing mapped tasks does not make a capability 5/5. D1–D5 product evidence remains the completeness authority.</t>
  </si>
  <si>
    <t>Non-capability work</t>
  </si>
  <si>
    <t>Pure execution instruments may use NO-CAP — Execution Tooling; product-boundary work is labelled explicitly rather than forced into a PPIQ capability.</t>
  </si>
  <si>
    <t>Summary-sheet authority</t>
  </si>
  <si>
    <t>Current execution views use Backlog v2.24.0. Historical v220/Prior/Retired/previous-revision sheets preserve past states, not current truth.</t>
  </si>
  <si>
    <t>Keyed write law</t>
  </si>
  <si>
    <t>Task ID, never row offset, joins baseline/change-data to Backlog. Must Precede is the exact inverse of current active Depends On.</t>
  </si>
  <si>
    <t>Acceptance order vs contract</t>
  </si>
  <si>
    <t>M records completion prerequisites; AN records contract-only handoffs. No M3 implementation completion is hidden as an M2 contract dependency.</t>
  </si>
  <si>
    <t>T-099 evidence</t>
  </si>
  <si>
    <t>T-262 state</t>
  </si>
  <si>
    <t>B4 monitoring owner</t>
  </si>
  <si>
    <t>T-101 (Worker 2) owns UI; T-125 (Worker 1) owns operational API/metrics. T-106 owns status truth. T-247 certifies the joined path.</t>
  </si>
  <si>
    <t>Backend test hygiene</t>
  </si>
  <si>
    <t>T-115 owns reproduce-then-fix follow-up for T-210 fixture, historical BOM issues and inherited DefinitionKind assertion. Release DB-fixture skips remain zero.</t>
  </si>
  <si>
    <t>Re-estimation</t>
  </si>
  <si>
    <t>Repair validation</t>
  </si>
  <si>
    <t>After save, independently parse Backlog cells from OOXML, recompute the graph, compare derived cached/formula values, test self-edges/cycles/releases/retirements and estimate flags.</t>
  </si>
  <si>
    <t>Capability links</t>
  </si>
  <si>
    <t>Secondary Capability Links is generated from Backlog column AC. Regenerate membership on mapping edits; status/release cells remain keyed formulas. Validator compares every pair against Backlog.</t>
  </si>
  <si>
    <t>Commit SHA(s) / Tag</t>
  </si>
  <si>
    <t>Commit Subject / Label</t>
  </si>
  <si>
    <t>Commit / Closure Date</t>
  </si>
  <si>
    <t>Date Basis</t>
  </si>
  <si>
    <t>Evidence Confidence</t>
  </si>
  <si>
    <t>77a8ea4f</t>
  </si>
  <si>
    <t>T-086: freeze the legacy regression oracle and gate generic surfaces against its vocabulary</t>
  </si>
  <si>
    <t>Terminal / closure session day</t>
  </si>
  <si>
    <t>Short SHA + subject verified</t>
  </si>
  <si>
    <t>Committed after exact 3-file staging; freeze gate GREEN.</t>
  </si>
  <si>
    <t>e7d82f078d7dfa4c1ca4ec6e88d0dbc7e1ecd6ba</t>
  </si>
  <si>
    <t>Closure-session day; exact Git timestamp not recovered</t>
  </si>
  <si>
    <t>SHA verified</t>
  </si>
  <si>
    <t>Final three-schema closure HEAD/commit authority recovered from late-Aug closure session.</t>
  </si>
  <si>
    <t>6a62c9d6</t>
  </si>
  <si>
    <t>Establish canonical database migration authority</t>
  </si>
  <si>
    <t>Closure session day; exact Git timestamp not recovered</t>
  </si>
  <si>
    <t>Historical canonical migration-order / legacy archival authority.</t>
  </si>
  <si>
    <t>0fd79e5e3516cdfd0ab5a73a02e16638fd02693a</t>
  </si>
  <si>
    <t>Exact day not recovered</t>
  </si>
  <si>
    <t>Canonical Definition Store authority.</t>
  </si>
  <si>
    <t>a6399d9c</t>
  </si>
  <si>
    <t>Short SHA verified</t>
  </si>
  <si>
    <t>Definition-kind convergence authority.</t>
  </si>
  <si>
    <t>c6d64289</t>
  </si>
  <si>
    <t>Impact preview/export/import closure authority.</t>
  </si>
  <si>
    <t>ab2962a4; 7cad36e4</t>
  </si>
  <si>
    <t>Session/git-log day</t>
  </si>
  <si>
    <t>Multi-commit SHAs verified</t>
  </si>
  <si>
    <t>Registry authority used two commits; latest closure authority is 7cad36e4.</t>
  </si>
  <si>
    <t>4e2e0f654b93ceed2ecdfbce4d3c1768550b3079</t>
  </si>
  <si>
    <t>T-093 govern plant vocabulary as data-driven genericity debt</t>
  </si>
  <si>
    <t>Closure session day</t>
  </si>
  <si>
    <t>Full SHA + subject verified</t>
  </si>
  <si>
    <t>CLOSED GREEN.</t>
  </si>
  <si>
    <t>377aabdffb27d651d30537ce5228ee4afe268526; 6ab97ee2; e74ecd1c; 5a967f1b0ab45961c8b8a880bb4fdec53a783134</t>
  </si>
  <si>
    <t>Wave A part 1; Wave A part 2a; 2b/stage 1; T-094 close keyed declared-dimension cutover and genericity reconciliation</t>
  </si>
  <si>
    <t>Final closure transcript day</t>
  </si>
  <si>
    <t>Final full SHA + subject verified; stage SHAs verified</t>
  </si>
  <si>
    <t>Final closure is 5a967f1b... Earlier part-commits retained for forensic lookup.</t>
  </si>
  <si>
    <t>554d1ac02af122fdeb7ca54b1dd35bac0c76f23e</t>
  </si>
  <si>
    <t>Confirmed baseline in 07-Sep T096 preflight; exact Git timestamp not recovered</t>
  </si>
  <si>
    <t>Full SHA verified</t>
  </si>
  <si>
    <t>T-095 closure is ancestral baseline for T-096/T-242 work.</t>
  </si>
  <si>
    <t>de243027073fc5e492d65e9f9845255342517510</t>
  </si>
  <si>
    <t>T-096 relationship resolver consumer convergence</t>
  </si>
  <si>
    <t>Closure transcript day (logs 08Sep2026_100134)</t>
  </si>
  <si>
    <t>95220d1804493f8e7b80347fe3ed4de24741f9ec</t>
  </si>
  <si>
    <t>T-097 relationship consumer barrier across all sixteen families</t>
  </si>
  <si>
    <t>Commit/closure session day</t>
  </si>
  <si>
    <t>Committed after T-096; all sixteen families guarded.</t>
  </si>
  <si>
    <t>16ea041a; 94ab4e40; 723b9434; 6aef283f; ef588f0c</t>
  </si>
  <si>
    <t>Python runtime; C# protocol; real C#→Python→C#; closure evidence; W3-016 CI dependency correction</t>
  </si>
  <si>
    <t>Closed before 15-Aug handover</t>
  </si>
  <si>
    <t>Full Backend regression after dependency correction green/no skips.</t>
  </si>
  <si>
    <t>a887c554</t>
  </si>
  <si>
    <t>T-169 Pack 1: typed columnar artifact contract, Parquet and Arrow IPC adapters, two hashes, B-03 hook</t>
  </si>
  <si>
    <t>Terminal/session day</t>
  </si>
  <si>
    <t>81 Python tests green.</t>
  </si>
  <si>
    <t>5a216483</t>
  </si>
  <si>
    <t>T-170 Chunked sequence-artifact library and bounded loader</t>
  </si>
  <si>
    <t>Eight-tasks-closed-today session day</t>
  </si>
  <si>
    <t>402 Python tests.</t>
  </si>
  <si>
    <t>95cc019c</t>
  </si>
  <si>
    <t>Capability Profiler Pack 2</t>
  </si>
  <si>
    <t>Short SHA verified; subject label from handover</t>
  </si>
  <si>
    <t>24 targeted tests.</t>
  </si>
  <si>
    <t>d4321856</t>
  </si>
  <si>
    <t>T-172 MF-01 Process Encoder runtime behind a replaceable contract</t>
  </si>
  <si>
    <t>448 Python tests.</t>
  </si>
  <si>
    <t>00a14286</t>
  </si>
  <si>
    <t>T-173 MF-02 VectorSimilarityIndex with exact-Flat recall baseline</t>
  </si>
  <si>
    <t>297 tests.</t>
  </si>
  <si>
    <t>db033796</t>
  </si>
  <si>
    <t>T-174 MF-03 novelty runtime and honest refusal semantics</t>
  </si>
  <si>
    <t>340 green.</t>
  </si>
  <si>
    <t>2413c6e1</t>
  </si>
  <si>
    <t>T-175 MF-04 supervised training runtime and mandatory simple baseline</t>
  </si>
  <si>
    <t>Exact terminal/session day</t>
  </si>
  <si>
    <t>141 Python tests / zero skipped.</t>
  </si>
  <si>
    <t>08b54b61; 0a61ccfb</t>
  </si>
  <si>
    <t>T-176 Calibration, explanation stability and three-dimensional promotion kernel | T-176 Pack 2: real TreeSHAP candidate behind an explanation-provider boundary</t>
  </si>
  <si>
    <t>Session day</t>
  </si>
  <si>
    <t>Two short SHAs + subjects verified</t>
  </si>
  <si>
    <t>Final 230 tests / zero skipped.</t>
  </si>
  <si>
    <t>502f8ca3; 502e0da9; bb4c5686</t>
  </si>
  <si>
    <t>T-177 multi-commit statistical-kernel closure</t>
  </si>
  <si>
    <t>Three short SHAs verified</t>
  </si>
  <si>
    <t>52 targeted tests; individual Git subjects not all recovered.</t>
  </si>
  <si>
    <t>b8792516; b5dbf232</t>
  </si>
  <si>
    <t>T-178 Pure remediation eligibility and can_accept decision kernel | T-178 corrective: canonical remediation precedence totalisation</t>
  </si>
  <si>
    <t>Corrective verified in 16-Aug git log/session</t>
  </si>
  <si>
    <t>Base + corrective; 503 tests after corrective.</t>
  </si>
  <si>
    <t>d2bf1834</t>
  </si>
  <si>
    <t>T-179: deterministic Assistant tool planner</t>
  </si>
  <si>
    <t>Git-log/session day</t>
  </si>
  <si>
    <t>Deterministic planner.</t>
  </si>
  <si>
    <t>87428c512c6d6d1ca2bf70a6a8b04aadc7a4cc3b</t>
  </si>
  <si>
    <t>T-180: permission-first hybrid retrieval and deterministic evidence packer</t>
  </si>
  <si>
    <t>43 probes.</t>
  </si>
  <si>
    <t>0b8a1c74</t>
  </si>
  <si>
    <t>INVALID — explicitly corrected; commit does not exist</t>
  </si>
  <si>
    <t>Correction session day</t>
  </si>
  <si>
    <t>REJECTED / DO NOT USE</t>
  </si>
  <si>
    <t>Authoritative T-181 = eaa82b8b45fb1fdb4b406abfbe2809c5f6fc9cd5.</t>
  </si>
  <si>
    <t>eaa82b8b45fb1fdb4b406abfbe2809c5f6fc9cd5</t>
  </si>
  <si>
    <t>T-181: deterministic answer verifier and Q-01..Q-11 evaluation harness</t>
  </si>
  <si>
    <t>IMPORTANT: authoritative hash is eaa82b8b; earlier reported 0b8a1c74 was explicitly corrected as nonexistent.</t>
  </si>
  <si>
    <t>BASELINE HEAD 7da9d46ed29545f1c4f4686fa82c117c08b9fc86; TAG m1-presentation-baseline-2026-08-21</t>
  </si>
  <si>
    <t>No task commit — immutable baseline tag is the closure artifact</t>
  </si>
  <si>
    <t>Executed freeze transcript day</t>
  </si>
  <si>
    <t>Tag + baseline HEAD verified</t>
  </si>
  <si>
    <t>T-201 changed no W1 files and required no task commit. Health smoke PASS; tag is the freeze artifact.</t>
  </si>
  <si>
    <t>ad37c324</t>
  </si>
  <si>
    <t>Add persisted definition replay gate for release truth</t>
  </si>
  <si>
    <t>Terminal / session day</t>
  </si>
  <si>
    <t>Direct session evidence says the six T-202 files landed in ad37c324. This supersedes the earlier incorrect association to 5920bf27.</t>
  </si>
  <si>
    <t>cd1a450e</t>
  </si>
  <si>
    <t>Add customer route invariant gate with durable evidence</t>
  </si>
  <si>
    <t>7 files / durable route evidence.</t>
  </si>
  <si>
    <t>c6491e2d</t>
  </si>
  <si>
    <t>Post-close HEAD day; exact task-commit mapping not independently proven</t>
  </si>
  <si>
    <t>Closure HEAD only</t>
  </si>
  <si>
    <t>Use as closure-state anchor, not as an independently verified task commit subject.</t>
  </si>
  <si>
    <t>b7fcc890</t>
  </si>
  <si>
    <t>Gate the frontend suite on deterministic termination and machine-readable evidence</t>
  </si>
  <si>
    <t>Backlog + closure session day</t>
  </si>
  <si>
    <t>Short SHA + subject + date verified</t>
  </si>
  <si>
    <t>CLOSED GREEN; do not reopen absent gate-contract regression.</t>
  </si>
  <si>
    <t>969c767c</t>
  </si>
  <si>
    <t>T-208: generic controlled validation fixture and continuous-process known answers</t>
  </si>
  <si>
    <t>Commit also carried already-staged T-206/T-207 files per session record.</t>
  </si>
  <si>
    <t>f2bafdb4</t>
  </si>
  <si>
    <t>Task closure session day</t>
  </si>
  <si>
    <t>Analysis Subject + Grain contract/kernel.</t>
  </si>
  <si>
    <t>92a655e1ddc4becedbaf89a3db96dc0d0f1eaf94</t>
  </si>
  <si>
    <t>Executed closure transcript day</t>
  </si>
  <si>
    <t>Full SHA verified; Git subject not recovered</t>
  </si>
  <si>
    <t>T-210 CLOSED GREEN; 7 owned paths, 15/15 acceptance, fresh 102-script replay, 0 introduced regression failures.</t>
  </si>
  <si>
    <t>2748c7fba8a5c4763bc19112ce57e484cea5b9bb</t>
  </si>
  <si>
    <t>Closure transcript day</t>
  </si>
  <si>
    <t>18-file exact owned commit; CLOSED GREEN.</t>
  </si>
  <si>
    <t>ea9103fd</t>
  </si>
  <si>
    <t>Establish source time authority for plant timestamps</t>
  </si>
  <si>
    <t>T-216 CLOSED; 30/30 T-216, 14/14 T-208, 19/19 genericity.</t>
  </si>
  <si>
    <t>c930af079502aa1660ef2bd5c50756d3fc3cf8f3</t>
  </si>
  <si>
    <t>Persist-T231-canonical-analysis-subject-grain-authority</t>
  </si>
  <si>
    <t>Canonical Analysis Subject/Grain persistence authority.</t>
  </si>
  <si>
    <t>eb7fb2ab</t>
  </si>
  <si>
    <t>Canvas executable block contract prerequisite.</t>
  </si>
  <si>
    <t>b93c7a58; fc029aa44ac0079be05d623c73414b7fd9f05590; aa57a503411abeeff38ef346ba8801c7742c7926</t>
  </si>
  <si>
    <t>T-242 Stage 1: extend Canvas executable vocabulary; exhaustive serialisation | T-242 Stage 2: deterministic block algebra and the boolean port type | T-242 close governed aggregate and window block contracts</t>
  </si>
  <si>
    <t>Final closure state as of 08-Sep; stage 2 explicitly seen 07-Sep</t>
  </si>
  <si>
    <t>Final full SHA + staged subjects verified</t>
  </si>
  <si>
    <t>Final closure = aa57a503...</t>
  </si>
  <si>
    <t>4d32c6b10b4605aeb6e0705ad03537d563125652</t>
  </si>
  <si>
    <t>T-244 close canonical Canvas lifecycle and selection model</t>
  </si>
  <si>
    <t>Closure authority known by 04-Sep; exact Git timestamp not recovered</t>
  </si>
  <si>
    <t>CLOSED; parent of T-094 Wave A part 1.</t>
  </si>
  <si>
    <t>6615481b</t>
  </si>
  <si>
    <t>Converge frontend journey and design-system truth</t>
  </si>
  <si>
    <t>CLOSED.</t>
  </si>
  <si>
    <t>CLOSED GREEN / COMMITTED (owner-reported task closure)</t>
  </si>
  <si>
    <t>2026-09-14 — report received; exact Git timestamp not supplied</t>
  </si>
  <si>
    <t>Owner message / final runner summary</t>
  </si>
  <si>
    <t>Owner-reported measured closure; not independently executed in this repair</t>
  </si>
  <si>
    <t>Parent 86e1b677212195f191697ecdca7e9441b3dbde33. 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t>
  </si>
  <si>
    <t>8b3eb5c89352a2779d87f9205700f19e7c9b3e25; a5451dbaf6b55183fe65e2c626c49fdef85bd986; a0a5618d</t>
  </si>
  <si>
    <t>Canonical jobs foundation/corrective + widened released integration</t>
  </si>
  <si>
    <t>Latest recovered execution evidence</t>
  </si>
  <si>
    <t>Two full SHAs + final short released anchor</t>
  </si>
  <si>
    <t>CLOSED GREEN / RELEASED. Full SHA for a0a5618d not recovered; do not fabricate. Transformation executor commissioning remains T-261.</t>
  </si>
  <si>
    <t>6f65bba1; 316383913d3d8254003639274a098f829ecc1ea2; 33aca26a1063cc78fdc3900bb0432886fe496c87</t>
  </si>
  <si>
    <t>Original reopen/version closure; transactional relationship publication; ambient transaction correction</t>
  </si>
  <si>
    <t>Executed closure transcripts supplied by owner</t>
  </si>
  <si>
    <t>Full final extension/correction SHAs + original short baseline</t>
  </si>
  <si>
    <t>CLOSED GREEN / COMMITTED. Relationship writes participate in caller ambient transaction; rollback restores relationship + members.</t>
  </si>
  <si>
    <t>86e1b677212195f191697ecdca7e9441b3dbde33; db0b0f84ec721f8adff1da14d4a62762200a22d6</t>
  </si>
  <si>
    <t>Governed projection declaration producer; final live definition-store integration closure</t>
  </si>
  <si>
    <t>Final owner closure + current HEAD</t>
  </si>
  <si>
    <t>Full producer + final closure SHAs verified</t>
  </si>
  <si>
    <t>CLOSED GREEN / COMMITTED 100%. No hidden remainder. Ambient correction 33aca26a is ancestor.</t>
  </si>
  <si>
    <t>36de9370765183e76227869372fbcd14b43dd066</t>
  </si>
  <si>
    <t>T-256 converge runtime consumers onto canonical three-schema and projection-target authorities</t>
  </si>
  <si>
    <t>Executed closure transcript</t>
  </si>
  <si>
    <t>CLOSED GREEN. Parent 50c282ad5cb301a6422273599d6d6a05e70f71d4.</t>
  </si>
  <si>
    <t>T-100 complete remaining projection quarantine validation classes</t>
  </si>
  <si>
    <t>Final closure supplied after earlier blocked harness state</t>
  </si>
  <si>
    <t>Full SHA + closure state accepted</t>
  </si>
  <si>
    <t>CLOSED GREEN / COMMITTED. Supersedes 15-Sep uncommitted Runner-1 state.</t>
  </si>
  <si>
    <t>T-207 corrective: one provider authority, no advertised provider without a runtime, historian metadata bound to the capability registry</t>
  </si>
  <si>
    <t>Observed HEAD in Source Time runner</t>
  </si>
  <si>
    <t>Current connector/provider truth corrective ancestor.</t>
  </si>
  <si>
    <t>50c282ad5cb301a6422273599d6d6a05e70f71d4</t>
  </si>
  <si>
    <t>T-252 converge automated test databases onto disposable isolated targets</t>
  </si>
  <si>
    <t>Recovered as exact ancestor/preflight HEAD for T-256/T-261</t>
  </si>
  <si>
    <t>Accepted Done; exact commit evidence now recorded.</t>
  </si>
  <si>
    <t>9a7b0e74</t>
  </si>
  <si>
    <t>T-259 freeze release evidence envelope v1 contract</t>
  </si>
  <si>
    <t>Short closure anchor recovered only</t>
  </si>
  <si>
    <t>Short SHA + subject; full SHA/date unrecovered</t>
  </si>
  <si>
    <t>Accepted Done. Do not fabricate full SHA/date.</t>
  </si>
  <si>
    <t>v2.24.0 current change ledger — historical revisions retained below | 17Sep2026 reconciliation</t>
  </si>
  <si>
    <t>RECONCILE</t>
  </si>
  <si>
    <t>M2/P2</t>
  </si>
  <si>
    <t>Record final closure e7ebc563...</t>
  </si>
  <si>
    <t>Supersedes stale 15-Sep uncommitted runner state</t>
  </si>
  <si>
    <t>Release T-261 lock</t>
  </si>
  <si>
    <t>Record final CLOSED GREEN / RELEASED state at short final anchor a0a5618d</t>
  </si>
  <si>
    <t>Later execution evidence supersedes the earlier widened-open interpretation; T-261 owns Transformation executor commissioning.</t>
  </si>
  <si>
    <t>T-245/T-261 consume frozen T-106 authority.</t>
  </si>
  <si>
    <t>Record 316383... + 33aca26... closure</t>
  </si>
  <si>
    <t>Relationship publication and ambient rollback proven</t>
  </si>
  <si>
    <t>No hidden T-243 remainder</t>
  </si>
  <si>
    <t>In Progress → Done at db0b0f84...</t>
  </si>
  <si>
    <t>Final live integration closed</t>
  </si>
  <si>
    <t>Consumers remain separate</t>
  </si>
  <si>
    <t>AMEND</t>
  </si>
  <si>
    <t>T-225/T-226/T-270/T-272/T-275</t>
  </si>
  <si>
    <t>Mixed</t>
  </si>
  <si>
    <t>Add BoundedRead/crash/rearm/callback/backpressure acceptance</t>
  </si>
  <si>
    <t>Converge v4.11.1 acceptance gaps</t>
  </si>
  <si>
    <t>No new Task IDs</t>
  </si>
  <si>
    <t>DEPENDENCY</t>
  </si>
  <si>
    <t>T-124 hard dependency → contract-ready</t>
  </si>
  <si>
    <t>Remove P2←P5 completion inversion</t>
  </si>
  <si>
    <t>T-150 still requires both</t>
  </si>
  <si>
    <t>WORKTREE</t>
  </si>
  <si>
    <t>Visible dirty executor/projection family assigned to T-261 postimages</t>
  </si>
  <si>
    <t>Do not reset/absorb into T-262</t>
  </si>
  <si>
    <t>Exact all-40 census before commit</t>
  </si>
  <si>
    <t>RETIRE</t>
  </si>
  <si>
    <t>M2/P5</t>
  </si>
  <si>
    <t>-12</t>
  </si>
  <si>
    <t>Remove duplicate commissioning umbrella from active authority</t>
  </si>
  <si>
    <t>Install/licence/users/runbook are already uniquely owned by T-123/T-121/T-120/T-126; T-150 is final gate; no dependency references T-118.</t>
  </si>
  <si>
    <t>Archived, not deleted from history</t>
  </si>
  <si>
    <t>PROMOTE</t>
  </si>
  <si>
    <t>M2 P5 → P1</t>
  </si>
  <si>
    <t>0</t>
  </si>
  <si>
    <t>Disposable DB lifecycle becomes foundation</t>
  </si>
  <si>
    <t>Current certification fixtures can touch/assume shared databases; downstream evidence cannot be trusted until isolated.</t>
  </si>
  <si>
    <t>Worker-1 P1: T-251 → T-252 → T-256</t>
  </si>
  <si>
    <t>STATUS</t>
  </si>
  <si>
    <t>In Progress → Not Started / QUEUED</t>
  </si>
  <si>
    <t>T-243 is open and T-245 also consumes T-106 job target/executor authority.</t>
  </si>
  <si>
    <t>Start only after T-243 + T-106</t>
  </si>
  <si>
    <t>+4</t>
  </si>
  <si>
    <t>Add executor capability registry to target/version/DAG</t>
  </si>
  <si>
    <t>Current RunNow central switch exposes unsupported late failures.</t>
  </si>
  <si>
    <t>Unblocks T-245</t>
  </si>
  <si>
    <t>Add bounded parallel worker pools</t>
  </si>
  <si>
    <t>Current import queue is serial and no runtime concurrency primitive is present.</t>
  </si>
  <si>
    <t>Feeds T-125 / Release-1 job plane</t>
  </si>
  <si>
    <t>Real two-tenant RLS proof</t>
  </si>
  <si>
    <t>Vacuous Assert.True(true) cannot count as evidence.</t>
  </si>
  <si>
    <t>Depends T-251/T-252</t>
  </si>
  <si>
    <t>MFA/config/dead-knob hardening</t>
  </si>
  <si>
    <t>PPIQ_RUN_E2E is dead; prod MFA minimum must be explicit.</t>
  </si>
  <si>
    <t>T-150 security gate</t>
  </si>
  <si>
    <t>Converge existing formal role catalogue</t>
  </si>
  <si>
    <t>Model exists; mapping/surface silently collapses/refuses poorly.</t>
  </si>
  <si>
    <t>T-120/T-121</t>
  </si>
  <si>
    <t>Vendor-held licence trust root</t>
  </si>
  <si>
    <t>Customer DB must verify, not mint, production licences; encryption naming must be truthful.</t>
  </si>
  <si>
    <t>T-150 / CEO persona</t>
  </si>
  <si>
    <t>+2</t>
  </si>
  <si>
    <t>Non-root Release-1 runtime + profile-only host config</t>
  </si>
  <si>
    <t>Current Docker/runtime defaults are not yet enterprise-hard.</t>
  </si>
  <si>
    <t>Canonical health + mandatory job correlation + queue metrics</t>
  </si>
  <si>
    <t>Customer IT needs operational evidence before M3 full SLO work.</t>
  </si>
  <si>
    <t>T-150/T-163</t>
  </si>
  <si>
    <t>M2/P4</t>
  </si>
  <si>
    <t>Generic Assistant tool/context convergence</t>
  </si>
  <si>
    <t>Material-specific run_kpi/page/filter context are in existing Assistant tool scope.</t>
  </si>
  <si>
    <t>T-116/T-117/T-138/T-153/T-248</t>
  </si>
  <si>
    <t>+6 (T-248)</t>
  </si>
  <si>
    <t>Absorb route/client/provider/connector/BI parity findings into existing Release-2 owners</t>
  </si>
  <si>
    <t>Avoid duplicate tasks where a natural owner already exists.</t>
  </si>
  <si>
    <t>CORRECT</t>
  </si>
  <si>
    <t>M2/P1</t>
  </si>
  <si>
    <t>Add T-251 to dependency cell</t>
  </si>
  <si>
    <t>Handover and workbook must carry the same mechanical sequence.</t>
  </si>
  <si>
    <t>T-251 → T-252 → T-256</t>
  </si>
  <si>
    <t>CLARIFY</t>
  </si>
  <si>
    <t>Name fresh certification DB `ppiq_acceptance_empty`</t>
  </si>
  <si>
    <t>Prevents ad-hoc fresh DB naming before T-252 lifecycle authority.</t>
  </si>
  <si>
    <t>T-252 protected database list remains consistent</t>
  </si>
  <si>
    <t>SPLIT</t>
  </si>
  <si>
    <t>T-256/T-258</t>
  </si>
  <si>
    <t>M2/P1 + P3</t>
  </si>
  <si>
    <t>W1/W2</t>
  </si>
  <si>
    <t>+8</t>
  </si>
  <si>
    <t>Backend/frontend genericity ownership split</t>
  </si>
  <si>
    <t>T-256 cannot touch Worker-2 MaterialAnalytics/pages/types; T-258 owns frontend convergence.</t>
  </si>
  <si>
    <t>T-256 → T-258 → T-247/T-150</t>
  </si>
  <si>
    <t>RULING</t>
  </si>
  <si>
    <t>Canonical evidence-envelope schema owner</t>
  </si>
  <si>
    <t>Avoids duplicate skip-count artifact formats between T-252 and T-257; T-150 only aggregates.</t>
  </si>
  <si>
    <t>T-252/T-257 producers → T-150 consumer</t>
  </si>
  <si>
    <t>+6</t>
  </si>
  <si>
    <t>Measured canonical-content expansion</t>
  </si>
  <si>
    <t>Two namespaces exist; SQL target is not hashed and cannot round-trip. Scope now includes catalog enumeration, hashed root outputTarget, compatibility read and focused cross-layer tests.</t>
  </si>
  <si>
    <t>In Progress → Not Started</t>
  </si>
  <si>
    <t>Measured main HEAD is T-242 and zero T-243 product-source work exists.</t>
  </si>
  <si>
    <t>Starts fresh after T-253</t>
  </si>
  <si>
    <t>Release Evidence Envelope v1 contract</t>
  </si>
  <si>
    <t>Producers T-252/T-257 cannot consume a schema owned only by later P5 T-227.</t>
  </si>
  <si>
    <t>T-259 → T-252/T-257/T-227/T-150</t>
  </si>
  <si>
    <t>Scorecard/policy only; consume T-259 schema</t>
  </si>
  <si>
    <t>Keeps P5 acceptance content separate from P1 machine-readable contract.</t>
  </si>
  <si>
    <t>P80</t>
  </si>
  <si>
    <t>New/open review tasks</t>
  </si>
  <si>
    <t>Populate missing AI Guarded Time P80</t>
  </si>
  <si>
    <t>Prevents new tasks from counting as zero in capacity views.</t>
  </si>
  <si>
    <t>Release Plan / worker capacity views</t>
  </si>
  <si>
    <t>HANDOFF</t>
  </si>
  <si>
    <t>T-253 → T-256</t>
  </si>
  <si>
    <t>M2/P2 → P1</t>
  </si>
  <si>
    <t>W2 → W1</t>
  </si>
  <si>
    <t>AllowedTargetEntities hardcode assigned to T-256</t>
  </si>
  <si>
    <t>Worker 2 measured the 12-name list but correctly refused to absorb it into T-253.</t>
  </si>
  <si>
    <t>T-256 consumes T-253 catalog authority; no duplicate enumeration.</t>
  </si>
  <si>
    <t>Split total from executed counts</t>
  </si>
  <si>
    <t>Skipped cases were incorrectly counted as executed.</t>
  </si>
  <si>
    <t>Envelope v1 invariants corrected</t>
  </si>
  <si>
    <t>CONFIRM</t>
  </si>
  <si>
    <t>Scorecard/policy only</t>
  </si>
  <si>
    <t>v2.20.2 already removed schema ownership; stale producer references were the remaining issue.</t>
  </si>
  <si>
    <t>T-259 schema → T-227 policy</t>
  </si>
  <si>
    <t>Add model-sourced projection-target eligibility predicate</t>
  </si>
  <si>
    <t>All mapped canonical entities are not all legal mapping/authoring targets; schema-only also misclassifies valid/invalid entities.</t>
  </si>
  <si>
    <t>T-256 consumes same predicate</t>
  </si>
  <si>
    <t>Keep T-253 as hard dependency</t>
  </si>
  <si>
    <t>Removing it would permit duplicate or broadened target classification.</t>
  </si>
  <si>
    <t>If blocked, return to CENTRAL for disjoint lane</t>
  </si>
  <si>
    <t>T-251 proved the named fresh DB is built from an incomplete canonical path; classifying it now would be false work.</t>
  </si>
  <si>
    <t>T-260 → resume T-251 → T-259</t>
  </si>
  <si>
    <t>PAUSE</t>
  </si>
  <si>
    <t>Pause adjudication until T-260</t>
  </si>
  <si>
    <t>Catalogue machine is good; fresh reference state is not yet authoritative.</t>
  </si>
  <si>
    <t>Do not classify current 106/81 queue</t>
  </si>
  <si>
    <t>+12</t>
  </si>
  <si>
    <t>Governed Transformation/Projection executor</t>
  </si>
  <si>
    <t>Measured T-245 preflight proved binding exists but CanonicalRefresh honestly has no governed Transformation executor.</t>
  </si>
  <si>
    <t>T-261 → T-245 → T-247 → T-150</t>
  </si>
  <si>
    <t>TRACE</t>
  </si>
  <si>
    <t>ALL</t>
  </si>
  <si>
    <t>CENTRAL</t>
  </si>
  <si>
    <t>Product Capability Traceability Standard v1.1</t>
  </si>
  <si>
    <t>Every backlog task now declares a Primary Capability point; secondary capability IDs capture real cross-capability contribution without double-counting.</t>
  </si>
  <si>
    <t>Backlog → capability → D-dimension → evidence reporting</t>
  </si>
  <si>
    <t>New implementation owner required by Design v4.11.0 Industrial Integration Contract.</t>
  </si>
  <si>
    <t>T-269; T-270; T-271; T-274; T-275</t>
  </si>
  <si>
    <t>T-274; T-247</t>
  </si>
  <si>
    <t>T-273; T-274; T-226; T-247</t>
  </si>
  <si>
    <t>T-274; T-247; T-150</t>
  </si>
  <si>
    <t>T-270; T-226; T-274</t>
  </si>
  <si>
    <t>T-224/T-225/T-226</t>
  </si>
  <si>
    <t>RE-ESTIMATE</t>
  </si>
  <si>
    <t>OPC acceptance consumes v4.11.0 field/policy/job/dump contracts</t>
  </si>
  <si>
    <t>Preserve original OPC transport ownership; add exact integration acceptance without reopening closed producers.</t>
  </si>
  <si>
    <t>T-226 now consumes T-270/T-272/T-275</t>
  </si>
  <si>
    <t>Functional design gap integrated; task becomes derived visual/prototype handoff</t>
  </si>
  <si>
    <t>Avoid duplicate design authority; keep runtime acceptance with implementation tasks.</t>
  </si>
  <si>
    <t>Precedes T-274/T-247</t>
  </si>
  <si>
    <t>CLASS</t>
  </si>
  <si>
    <t>M2/R1</t>
  </si>
  <si>
    <t>Advanced → Core</t>
  </si>
  <si>
    <t>Current design makes read-only production industrial acquisition a Release-1 gate; evaluation/backlog classification converged.</t>
  </si>
  <si>
    <t>T-224/T-225/T-226/T-270/T-274</t>
  </si>
  <si>
    <t>COMMIT-EVIDENCE</t>
  </si>
  <si>
    <t>Record exact 50c282ad5cb301a6422273599d6d6a05e70f71d4</t>
  </si>
  <si>
    <t>Recovered from subsequent executed T-256/T-261 preflight ancestry.</t>
  </si>
  <si>
    <t>No status change.</t>
  </si>
  <si>
    <t>Record exact 36de9370765183e76227869372fbcd14b43dd066</t>
  </si>
  <si>
    <t>Executed closure transcript recovered.</t>
  </si>
  <si>
    <t>COMMIT-GAP</t>
  </si>
  <si>
    <t>T-253/T-260</t>
  </si>
  <si>
    <t>Keep Done; exact full closure SHA/date remains unrecovered</t>
  </si>
  <si>
    <t>Do not downgrade valid closure and do not invent missing Git evidence.</t>
  </si>
  <si>
    <t>Ledger gap explicit.</t>
  </si>
  <si>
    <t>PREFLIGHT</t>
  </si>
  <si>
    <t>T-268..T-275</t>
  </si>
  <si>
    <t>17-Sep read-only source preflight GREEN</t>
  </si>
  <si>
    <t>198 ranked tracked files; HEAD/status unchanged; planning evidence only.</t>
  </si>
  <si>
    <t>Estimate calibration may follow; not a worker start blocker.</t>
  </si>
  <si>
    <t>Capability Map v1.2 ↔ Backlog v2.24.0 | v4.11.1 current authority</t>
  </si>
  <si>
    <t>T-108; T-213; T-247; T-265; T-266; T-268; T-271; T-274</t>
  </si>
  <si>
    <t>T-213; T-268; T-269</t>
  </si>
  <si>
    <t>T-101; T-247; T-265; T-274</t>
  </si>
  <si>
    <t>T-271; T-272</t>
  </si>
  <si>
    <t>T-108; T-265</t>
  </si>
  <si>
    <t>T-207; T-254</t>
  </si>
  <si>
    <t>T-153; T-266; T-268; T-271; T-274</t>
  </si>
  <si>
    <t>T-216; T-233</t>
  </si>
  <si>
    <t>T-266; T-268; T-269; T-270; T-272</t>
  </si>
  <si>
    <t>T-101; T-106; T-108; T-125; T-265; T-270; T-271; T-273; T-274; T-275</t>
  </si>
  <si>
    <t>T-224; T-225; T-226; T-266; T-270; T-274</t>
  </si>
  <si>
    <t>v4.11.0: Release-1 Core. Covers approved industrial source runtime plus stable field/layout, governed recording policy, durable bounded delivery and exact capability truth. Native PLC transport remains separately scoped.</t>
  </si>
  <si>
    <t>T-087; T-256</t>
  </si>
  <si>
    <t>T-243; T-156; T-265</t>
  </si>
  <si>
    <t>T-099; T-100; T-101; T-104; T-261; T-152</t>
  </si>
  <si>
    <t>T-247; T-253; T-262; T-265; T-272</t>
  </si>
  <si>
    <t>T-102; T-103</t>
  </si>
  <si>
    <t>T-089; T-243</t>
  </si>
  <si>
    <t>T-090; T-091; T-104; T-106</t>
  </si>
  <si>
    <t>T-106; T-275</t>
  </si>
  <si>
    <t>T-107; T-245; T-261; T-263; T-265; T-270; T-274</t>
  </si>
  <si>
    <t>T-106; T-265</t>
  </si>
  <si>
    <t>T-108; T-109; T-110</t>
  </si>
  <si>
    <t>T-148; T-265</t>
  </si>
  <si>
    <t>T-202; T-248; T-267</t>
  </si>
  <si>
    <t>T-265; T-267</t>
  </si>
  <si>
    <t>T-248; T-265; T-267</t>
  </si>
  <si>
    <t>T-212; T-188</t>
  </si>
  <si>
    <t>T-202; T-215; T-258; T-248; T-134; T-189</t>
  </si>
  <si>
    <t>T-244; T-156</t>
  </si>
  <si>
    <t>T-243; T-248; T-265; T-272</t>
  </si>
  <si>
    <t>T-241; T-242; T-253</t>
  </si>
  <si>
    <t>T-243; T-262; T-248; T-265</t>
  </si>
  <si>
    <t>T-248; T-267</t>
  </si>
  <si>
    <t>T-244; T-265</t>
  </si>
  <si>
    <t>T-247; T-261</t>
  </si>
  <si>
    <t>T-171; T-186; T-195</t>
  </si>
  <si>
    <t>T-177; T-211; T-146</t>
  </si>
  <si>
    <t>T-210; T-212; T-236; T-129; T-147; T-188; T-246</t>
  </si>
  <si>
    <t>T-169; T-170; T-128; T-184; T-185</t>
  </si>
  <si>
    <t>T-109; T-192</t>
  </si>
  <si>
    <t>T-168; T-172; T-174; T-175; T-187</t>
  </si>
  <si>
    <t>T-129; T-157</t>
  </si>
  <si>
    <t>T-180; T-182; T-187</t>
  </si>
  <si>
    <t>T-131; T-132; T-133; T-136; T-238; T-239; T-240</t>
  </si>
  <si>
    <t>T-178; T-139; T-140; T-141; T-142; T-143; T-158; T-189</t>
  </si>
  <si>
    <t>T-157; T-246</t>
  </si>
  <si>
    <t>T-137; T-176; T-130; T-157</t>
  </si>
  <si>
    <t>T-182; T-186; T-187; T-192; T-193</t>
  </si>
  <si>
    <t>T-093; T-094; T-206; T-258</t>
  </si>
  <si>
    <t>T-092; T-256</t>
  </si>
  <si>
    <t>T-095; T-096; T-097; T-098; T-196</t>
  </si>
  <si>
    <t>T-209; T-210; T-231; T-147</t>
  </si>
  <si>
    <t>T-094; T-212; T-211</t>
  </si>
  <si>
    <t>T-235; T-234; T-236</t>
  </si>
  <si>
    <t>T-217; T-218; T-129; T-134</t>
  </si>
  <si>
    <t>T-216; T-233; T-221; T-183; T-269; T-270</t>
  </si>
  <si>
    <t>T-090; T-091</t>
  </si>
  <si>
    <t>T-089; T-268</t>
  </si>
  <si>
    <t>T-087; T-088; T-256; T-260; T-272</t>
  </si>
  <si>
    <t>T-220; T-183</t>
  </si>
  <si>
    <t>T-181; T-192</t>
  </si>
  <si>
    <t>T-179; T-180; T-181; T-223; T-138</t>
  </si>
  <si>
    <t>T-263; T-145</t>
  </si>
  <si>
    <t>T-198; T-199</t>
  </si>
  <si>
    <t>T-203; T-248; T-265; T-267</t>
  </si>
  <si>
    <t>T-119; T-120; T-161</t>
  </si>
  <si>
    <t>T-112; T-114; T-162; T-135</t>
  </si>
  <si>
    <t>T-121; T-267</t>
  </si>
  <si>
    <t>T-126; T-167</t>
  </si>
  <si>
    <t>T-088; T-260; T-115; T-123</t>
  </si>
  <si>
    <t>T-205; T-208; T-250; T-252</t>
  </si>
  <si>
    <t>T-260; T-115; T-257</t>
  </si>
  <si>
    <t>T-168; T-110; T-155; T-275</t>
  </si>
  <si>
    <t>T-182; T-154; T-155; T-273</t>
  </si>
  <si>
    <t>T-125; T-163</t>
  </si>
  <si>
    <t>T-141; T-273; T-275</t>
  </si>
  <si>
    <t>T-124; T-160</t>
  </si>
  <si>
    <t>T-086; T-201; T-202; T-203; T-259; T-247; T-150; T-227; T-257; T-151; T-159; T-116; T-117; T-127; T-149; T-194; T-192; T-249</t>
  </si>
  <si>
    <t>T-126; T-152; T-167; T-273</t>
  </si>
  <si>
    <t>T-232; T-215; T-214</t>
  </si>
  <si>
    <t>T-223; T-264</t>
  </si>
  <si>
    <t>T-190; T-267</t>
  </si>
  <si>
    <t>T-144; T-190</t>
  </si>
  <si>
    <t>T-128; T-267</t>
  </si>
  <si>
    <t>T-238; T-267</t>
  </si>
  <si>
    <t>T-222; T-219; T-221</t>
  </si>
  <si>
    <t>T-223; T-236</t>
  </si>
  <si>
    <t>T-228; T-229; T-230</t>
  </si>
  <si>
    <t>HISTORICAL SNAPSHOT — NOT CURRENT AUTHORITY | Phase × Worker — v2.23.0 | reviewed15Sep2026; not an actual/remaining-hours ledger</t>
  </si>
  <si>
    <t>HISTORICAL SNAPSHOT — NOT CURRENT AUTHORITY | Original sheet</t>
  </si>
  <si>
    <t>HISTORICAL SNAPSHOT — NOT CURRENT AUTHORITY | PLANTPROCESS IQ | BACKLOG v2.23.0</t>
  </si>
  <si>
    <t>Consumer</t>
  </si>
  <si>
    <t>Producer</t>
  </si>
  <si>
    <t>Consumer release</t>
  </si>
  <si>
    <t>Producer release</t>
  </si>
  <si>
    <t>Required evidence</t>
  </si>
  <si>
    <t>CONTRACT_READY — not completion</t>
  </si>
  <si>
    <t>Frozen route/field/state/permission/response semantics from chapter and producer; identity + revision/evidence reference required.</t>
  </si>
  <si>
    <t>Record per-surface contract evidence; do not wait for full producer closure</t>
  </si>
  <si>
    <t>SATISFIED — T-100 CLOSED GREEN at e7ebc563...; mutation lock released to the already-preserved T-261 lane.</t>
  </si>
  <si>
    <t>CONTRACT_READY — visual derivation</t>
  </si>
  <si>
    <t>Consume frozen v4.11.1 page/control/state semantics; unavailable/requested/effective/qualified states may be designed before runtime closure.</t>
  </si>
  <si>
    <t>COMPLETION PREREQUISITE</t>
  </si>
  <si>
    <t>UI implementation consumes producer APIs/state contracts; no duplicate backend authority.</t>
  </si>
  <si>
    <t>Prior AI P80 h</t>
  </si>
  <si>
    <t>Current estimate state</t>
  </si>
  <si>
    <t>WITHDRAWN — widened scope requires owner re-estimation</t>
  </si>
  <si>
    <t>UNESTIMATED — owner calibration required</t>
  </si>
  <si>
    <t>FABLE PROPOSAL ONLY — unconfirmed, not accepted P80; withheld from live sums</t>
  </si>
  <si>
    <t>SOURCE PREFLIGHT REQUIRED</t>
  </si>
  <si>
    <t>New v4.11.1 Release-1 scope; no inherited estimate valid.</t>
  </si>
  <si>
    <t>Do not invent LOW/BASE/HIGH from design prose.</t>
  </si>
  <si>
    <t>Owner calibration after current-source review</t>
  </si>
  <si>
    <t>UI 4/6/9 + contract/negative tests 1/2/3 + targeted closure 1/1/2. Reuse all relationship producer work.
Do not duplicate T-095..T-097 or charge their work here.</t>
  </si>
  <si>
    <t>Read API/filter/detail 3/4/6 + B4/C2/C3 UI 4/6/10 + drift/retry integration 3/5/8 + tests/closure 2/3/4.
T-106 owns run-outcome semantics; T-125 owns operational data/health; do not bill those twice.</t>
  </si>
  <si>
    <t>Scope-safe lookup/merge 2/4/7 + ambiguity/idempotency tests 1/2/4 + closure 1/1/1.
Do not recreate alias tables or the full row projector.</t>
  </si>
  <si>
    <t>Weight-contract correction 1/2/3 + direct-DB/traversal negatives 2/3/5 + closure 1/1/2. Existing cycle logic is not new work.
Weight semantics/negative acceptance stay T-103; 841 topology repair remains accepted.</t>
  </si>
  <si>
    <t>Row-version/provenance integration 3/5/8 + replay/rollback semantics 3/6/10 + negative tests/closure 2/3/4.
T-261 owns first resolved-target runtime call and executor; T-104 owns row effects and rollback proof after it.</t>
  </si>
  <si>
    <t>Schedule/parser/due-work 8/12/18 + freshness/outcome policy 4/6/10 + cancellation consumer integration 2/4/6 + targeted service/DB tests and runner 4/6/10. Original completed contracts excluded.
T-261 owns executor implementation, first RecordResolvedTarget and common cancellation seam. T-106 owns schedule/DAG/outcome semantics; no double estimate of executor.</t>
  </si>
  <si>
    <t>Pool/admission implementation 6/10/16 + lane/worker integration 3/5/8 + saturation/cancel/closure tests 3/5/8.
T-155/T-159 calibrate heavy-production constants later; no retraining or new scheduler here.</t>
  </si>
  <si>
    <t>Tuple contract+reader adaptations 8/12/18 + budget enforcement 4/6/9 + durable staging/replay+projection token 5/8/13 + adverse-boundary tests/closure 5/8/12.
T-106 owns Job aggregate status; T-101 B4 UI; T-109 consumes this watermark; no duplicate billing for those consumers.</t>
  </si>
  <si>
    <t>Scope resolution/integration 3/5/9 + telemetry/handoff 1/2/4 + idempotent/late-data tests 2/3/5.
T-108 owns source/projection checkpoint; M3 materializers own full training artifacts.</t>
  </si>
  <si>
    <t>Query integration 3/5/8 + known-answer/refusal tests 2/3/4 + closure 1/1/2.
T-211 computes math; T-210 governs semantics; T-212 wires actual queries.</t>
  </si>
  <si>
    <t>Session/client/trust implementation 5/8/13 + collector lifecycle 2/4/7 + negative/security/closure tests 3/4/6. Vendor access delays excluded.
T-225 browse/subscription; T-226 end-to-end data/recovery; T-266 design. No M3 deferral.</t>
  </si>
  <si>
    <t>Browse/registration 3/5/8 + monitored-item/read lifecycle 4/6/10 + limits/refusal/closure tests 3/5/8.
Do not recreate session security or count T-266 graphics as real read proof.</t>
  </si>
  <si>
    <t>Quality/time/canonical adapter 3/5/9 + spool/ack/recovery 4/6/11 + interruption/replay acceptance 3/5/8.
No new time-authority kernel; no reuse of demo telemetry as customer-source proof.</t>
  </si>
  <si>
    <t>Persistence/resolution adapter 2/4/7 + projections/refusal tests 2/3/4 + closure 1/1/2.
T-214 owns reference decision kernel; T-215 consumes BI projections; a negative symbol search alone is not live absence proof.</t>
  </si>
  <si>
    <t>Persistence/API adapter 2/3/6 + consumer binding 1/2/4 + ambiguity/timezone tests/closure 2/3/4.
Do not charge T-216 kernel work again; OPC T-226 consumes the approved time contract.</t>
  </si>
  <si>
    <t>Persistence/regime adapter 2/4/7 + live-statistics integration 2/4/6 + adversarial tests/closure 2/3/5.
Do not redo T-234/T-236; later broad engine convergence stays T-146.</t>
  </si>
  <si>
    <t>Declared relationship adapter 2/4/7 + atomic/rollback and compatibility tests 2/4/6 + closure 1/1/2. Reopen board work costs zero here.
Do not implement a second relationship store. T-262 save-mapping concern is tracked once there, not charged again.</t>
  </si>
  <si>
    <t>Binding/API/UI 3/5/8 + evidence/cancel views 1/2/4 + integration/negative tests 2/3/4.
T-261 owns executor and block-evidence storage, T-106 schedule/outcome policy; do not count those implementations again.</t>
  </si>
  <si>
    <t>Fixture/setup/data preparation 2/4/6 + actual connected acceptance and evidence 4/7/11 + triage/replay/closure 2/3/5; remediation implementation excluded.
No source-code or drawing count can close runtime acceptance; no duplicate budget for T-106/T-108/T-261 fixes.</t>
  </si>
  <si>
    <t>Backend authority extraction/delegation 1/2/4 + consumer mismatch tests/closure 1/2/3. Original frontend/website work excluded.
No rewrite of T-207, no source availability invented from a certification flag.</t>
  </si>
  <si>
    <t>CONTRACTS PRESENT; EXECUTOR NOT APPLIED IN PROVIDED SNAPSHOT</t>
  </si>
  <si>
    <t>Compiler/dispatch 3/5/8 + executor/write/evidence 6/10/17 + cancellation integration 2/3/5 + Graph/SQL/live Gate0/replay/cancel tests and closure 5/8/12.
Do not implement a new schedule or PV taxonomy. Common cancellation seam billed once here; T-106 handles policy/endpoint coordination.</t>
  </si>
  <si>
    <t>Real-shell reproduction 1/1/2 + bounded callback correction if confirmed 0/1/2 + focused regression/closure 0/1/2. Consumer Gate0 cost counted in T-261.
T-261 owns disposable Gate0 and commissioned projection execution. The executable-book dependency remains until owner confirms acceptance boundary; do not silently mark Done.</t>
  </si>
  <si>
    <t>Credential boundary+tests 5/8/13; profile/route guards 4/7/11; redaction/deployment verification 3/5/8.
T-121 owns DI/quota logic; T-123 install/upgrade; this estimate covers their security gate, not reimplementation.</t>
  </si>
  <si>
    <t>DI and entitlement reconciliation 2/3/5; meters/quota surfaces 5/10/17; acceptance/negative tests 3/5/8.
T-113 release profile gate; T-165 pricing/cost model, not licence enforcement.</t>
  </si>
  <si>
    <t>Path/ledger convergence 4/7/12; populated-upgrade/rollback tests 5/8/15; clean-host profile/non-root proof 3/5/9.
T-113 security policy is consumed, not re-estimated here.</t>
  </si>
  <si>
    <t>Chunk/receipt persistence 6/10/16; resume/merge/enforcement 6/11/17; interruption/parallelism tests 4/7/11.
T-108/109 M2 delta; T-155 measured thresholds; T-159 site certification. No waits/soak included.</t>
  </si>
  <si>
    <t>Workload/hook setup 3/5/8; measurement orchestration/analysis 3/5/9; governed result publication 2/4/7.
T-110 enforcement implementation and T-159 certification reruns are distinct.</t>
  </si>
  <si>
    <t>Profile preparation 3/6/10; certification operation/analysis 3/6/11; reconciliation/sign-off evidence 2/4/7.
No reimplementation of T-110 or calibration billed again from T-155.</t>
  </si>
  <si>
    <t>Consumer/route inventory 3/5/8; safe dual routing and consumer convergence 3/5/9; parity/negative tests 2/4/7.
Do not remove compatibility objects before all live consumers and upgrade paths converge.</t>
  </si>
  <si>
    <t>Remaining outcome mapping 4/6/10; advanced UI/runtime integration 14/24/38; parity/accessibility/recovery acceptance 6/10/16.
T-267 designs; T-248 implementation; T-249 release acceptance. Existing T-204 selection closure retained.</t>
  </si>
  <si>
    <t>Definition/editor/history 6/10/16; job/output/delivery integration 6/10/16; permission/empty/fidelity/retry tests 4/6/10.
T-106 scheduler and generic delivery components not recreated; fixtures alone cannot prove scheduled delivery.</t>
  </si>
  <si>
    <t>Canonical persistence/evaluation 6/10/17; feedback/poisoning/escalation rules 5/8/13; migration/negative tests 3/6/10.
T-190 D6 cutover; T-113 M2 denial; no double price of the same endpoint removal.</t>
  </si>
  <si>
    <t>Pairing/result-contract cutover 3/5/9; producer/persistence convergence 3/5/8; known-answer/refusal regression 2/4/7.
T-186 persistent capability authority; this task consumes it and does not implement a second profile store.</t>
  </si>
  <si>
    <t>Formula/input authority 3/5/8; sales calculator surface/integration 3/5/9; known-answer/refusal tests 2/4/7.
T-121 entitlement differs from commercial pricing; T-155 supplies measurement constants.</t>
  </si>
  <si>
    <t>Persistence/versioning 3/5/9; point/governor/consumer integration 3/5/8; deterministic/negative tests 2/4/7.
T-171 kernel closed; do not reopen. T-146 consumes the commissioned authority.</t>
  </si>
  <si>
    <t>Canonical DTO/permission wiring 3/5/9; D6 state/history cutover 3/5/8; continuity/tampering tests 2/4/7.
T-145 owns outcome/effectiveness persistence; this task consumes it. M2 route denial owned by T-113.</t>
  </si>
  <si>
    <t>Registry/comparison service 4/7/12; result surface/evidence/export 3/6/10; BM01/BM02/tenant tests 3/5/8.
T-214/T-240 semantics reused; no industry taxonomy or a second practice engine.</t>
  </si>
  <si>
    <t>Semantic/fixture mapping 6/10/15; connected M2 flows 16/24/37; native import/RTL/focus/Word synchronization 6/10/16.
T-266 OPC design; T-267 M3 design; runtime implementation remains its own task.</t>
  </si>
  <si>
    <t>Flow/state specification 2/4/6 + detailed visual/prototype integration 2/3/5 + semantic acceptance/handoff 2/3/5. No backend implementation counted.
T-224..T-226 implement/live-certify; T-233 time authority; native design execution availability is a separate uncertainty.</t>
  </si>
  <si>
    <t>M3 requirement/producer mapping 5/8/13; advanced connected flows 14/24/38; native/RTL/coverage/chapter checks 5/8/13.
No basic selection/clear deferred from M2; no duplicate generic frame batch treated as acceptance.</t>
  </si>
  <si>
    <t>Artifact ID</t>
  </si>
  <si>
    <t>Kind</t>
  </si>
  <si>
    <t>Name</t>
  </si>
  <si>
    <t>Release portion</t>
  </si>
  <si>
    <t>Design owner</t>
  </si>
  <si>
    <t>Runtime owner(s)</t>
  </si>
  <si>
    <t>Chapter / source</t>
  </si>
  <si>
    <t>Existing scene IDs</t>
  </si>
  <si>
    <t>Design state</t>
  </si>
  <si>
    <t>Required correction / outcome</t>
  </si>
  <si>
    <t>Citation status</t>
  </si>
  <si>
    <t>Page</t>
  </si>
  <si>
    <t>Login</t>
  </si>
  <si>
    <t>T-113; T-119; T-120</t>
  </si>
  <si>
    <t>PPIQ_Chapter3_General_Technical_Function_Description_v4.11.1.md §A1</t>
  </si>
  <si>
    <t>A1--populated; A1--loading; A1--blocked; A1--refused; A1--failed</t>
  </si>
  <si>
    <t>DESIGN DEPTH PENDING</t>
  </si>
  <si>
    <t>Authenticated/locked/challenge/session recovery; secrets never shown.</t>
  </si>
  <si>
    <t>SOURCE SECTION RETAINED; SEMANTIC REVIEW REQUIRED</t>
  </si>
  <si>
    <t>Home</t>
  </si>
  <si>
    <t>T-148; T-247</t>
  </si>
  <si>
    <t>PPIQ_Chapter3_General_Technical_Function_Description_v4.11.1.md §A2</t>
  </si>
  <si>
    <t>A2--populated; A2--loading; A2--empty; A2--filtered-empty; A2--blocked; A2--refused; A2--failed; A2--read-only</t>
  </si>
  <si>
    <t>Canonical J1-J15 identity, or a labelled condensed mapping; no second journey.</t>
  </si>
  <si>
    <t>B1</t>
  </si>
  <si>
    <t>Connections</t>
  </si>
  <si>
    <t>T-113; T-254; T-148</t>
  </si>
  <si>
    <t>PPIQ_Chapter3_General_Technical_Function_Description_v4.11.1.md §B1</t>
  </si>
  <si>
    <t>B1--populated; B1--loading; B1--empty; B1--filtered-empty; B1--blocked; B1--refused; B1--failed; B1--read-only</t>
  </si>
  <si>
    <t>Provider-aware fields/test/budget/secret reference; OPC variant T-266.</t>
  </si>
  <si>
    <t>B2</t>
  </si>
  <si>
    <t>Dataset Registry</t>
  </si>
  <si>
    <t>T-148; T-101</t>
  </si>
  <si>
    <t>PPIQ_Chapter3_General_Technical_Function_Description_v4.11.1.md §B2</t>
  </si>
  <si>
    <t>B2--populated; B2--loading; B2--empty; B2--filtered-empty; B2--blocked; B2--refused; B2--failed; B2--read-only</t>
  </si>
  <si>
    <t>Discovery tree/selection/register/preview; confirm suggestions; OPC variant T-266.</t>
  </si>
  <si>
    <t>B3</t>
  </si>
  <si>
    <t>Prepare Acquisition</t>
  </si>
  <si>
    <t>T-108; T-148</t>
  </si>
  <si>
    <t>PPIQ_Chapter3_General_Technical_Function_Description_v4.11.1.md §B3</t>
  </si>
  <si>
    <t>B3--populated; B3--loading; B3--empty; B3--filtered-empty; B3--blocked; B3--refused; B3--failed; B3--read-only</t>
  </si>
  <si>
    <t>Typed watermark and deterministic tie-break; no-watermark warning/cadence; OPC T-266.</t>
  </si>
  <si>
    <t>B4</t>
  </si>
  <si>
    <t>Acquisition Runs</t>
  </si>
  <si>
    <t>T-101; T-125</t>
  </si>
  <si>
    <t>PPIQ_Chapter3_General_Technical_Function_Description_v4.11.1.md §B4</t>
  </si>
  <si>
    <t>B4--populated; B4--loading; B4--empty; B4--filtered-empty; B4--blocked; B4--refused; B4--failed; B4--read-only</t>
  </si>
  <si>
    <t>Durable batch state/error/counts/last committed cursor; retry and spool variant.</t>
  </si>
  <si>
    <t>B5</t>
  </si>
  <si>
    <t>Jobs Monitor</t>
  </si>
  <si>
    <t>T-106; T-125; T-245</t>
  </si>
  <si>
    <t>PPIQ_Chapter3_General_Technical_Function_Description_v4.11.1.md §B5</t>
  </si>
  <si>
    <t>B5--populated; B5--loading; B5--empty; B5--filtered-empty; B5--blocked; B5--refused; B5--failed; B5--read-only</t>
  </si>
  <si>
    <t>Monitor and history, cancellation acknowledgement, canonical outcomes.</t>
  </si>
  <si>
    <t>B6</t>
  </si>
  <si>
    <t>Connector Truth</t>
  </si>
  <si>
    <t>T-254; T-224; T-225; T-226</t>
  </si>
  <si>
    <t>PPIQ_Chapter3_General_Technical_Function_Description_v4.11.1.md §B6</t>
  </si>
  <si>
    <t>B6--populated; B6--loading; B6--empty; B6--filtered-empty; B6--blocked; B6--refused; B6--failed; B6--read-only</t>
  </si>
  <si>
    <t>Availability is role/entitlement/runtime-specific; OPC design T-266.</t>
  </si>
  <si>
    <t>C1</t>
  </si>
  <si>
    <t>Transformation Studio</t>
  </si>
  <si>
    <t>M2 + M3</t>
  </si>
  <si>
    <t>T-243; T-262; T-245; T-248</t>
  </si>
  <si>
    <t>PPIQ_Chapter3_General_Technical_Function_Description_v4.11.1.md §C1</t>
  </si>
  <si>
    <t>C1--populated; C1--loading; C1--empty; C1--filtered-empty; C1--blocked; C1--refused; C1--failed; C1--read-only</t>
  </si>
  <si>
    <t>S1 hosting is intentional; selected-block/property/wiring/run flow is required.</t>
  </si>
  <si>
    <t>Mapping Health</t>
  </si>
  <si>
    <t>PPIQ_Chapter3_General_Technical_Function_Description_v4.11.1.md §C2</t>
  </si>
  <si>
    <t>C2--populated; C2--loading; C2--empty; C2--filtered-empty; C2--blocked; C2--refused; C2--failed; C2--read-only</t>
  </si>
  <si>
    <t>Catalogue-driven PV groups, lineage, drift and reprocess; not exactly eight fixed groups.</t>
  </si>
  <si>
    <t>Data Quality</t>
  </si>
  <si>
    <t>T-100; T-101</t>
  </si>
  <si>
    <t>PPIQ_Chapter3_General_Technical_Function_Description_v4.11.1.md §C3</t>
  </si>
  <si>
    <t>C3--populated; C3--loading; C3--empty; C3--filtered-empty; C3--blocked; C3--refused; C3--failed; C3--read-only</t>
  </si>
  <si>
    <t>Quality diagnostics and quarantine states with safe row-detail actions.</t>
  </si>
  <si>
    <t>Plant Model Explorer</t>
  </si>
  <si>
    <t>PPIQ_Chapter3_General_Technical_Function_Description_v4.11.1.md §C4</t>
  </si>
  <si>
    <t>C4--populated; C4--loading; C4--empty; C4--filtered-empty; C4--blocked; C4--refused; C4--failed; C4--read-only</t>
  </si>
  <si>
    <t>Full Plant Model Explorer; canonical route contract available to T-148.</t>
  </si>
  <si>
    <t>Genealogy Explorer</t>
  </si>
  <si>
    <t>T-102; T-103; T-258</t>
  </si>
  <si>
    <t>PPIQ_Chapter3_General_Technical_Function_Description_v4.11.1.md §C5</t>
  </si>
  <si>
    <t>C5--populated; C5--loading; C5--empty; C5--filtered-empty; C5--blocked; C5--refused; C5--failed; C5--read-only</t>
  </si>
  <si>
    <t>Genealogy path, aliases, weights, cycles/refusal and evidence.</t>
  </si>
  <si>
    <t>Relationship Browser</t>
  </si>
  <si>
    <t>PPIQ_Chapter3_General_Technical_Function_Description_v4.11.1.md §C6</t>
  </si>
  <si>
    <t>C6--populated; C6--loading; C6--empty; C6--filtered-empty; C6--blocked; C6--refused; C6--failed; C6--read-only</t>
  </si>
  <si>
    <t>Published relationship members, cardinality, paths and validation controls.</t>
  </si>
  <si>
    <t>D1</t>
  </si>
  <si>
    <t>Interactive Workspace</t>
  </si>
  <si>
    <t>T-148; T-258; T-247; T-248</t>
  </si>
  <si>
    <t>PPIQ_Chapter3_General_Technical_Function_Description_v4.11.1.md §D1</t>
  </si>
  <si>
    <t>D1--populated; D1--loading; D1--empty; D1--filtered-empty; D1--blocked; D1--refused; D1--failed; D1--read-only</t>
  </si>
  <si>
    <t>M2 selection strip, excluded pivot, propagation/table UX; advanced comparison/bookmarks M3.</t>
  </si>
  <si>
    <t>Page Builder</t>
  </si>
  <si>
    <t>T-148; T-212; T-248</t>
  </si>
  <si>
    <t>PPIQ_Chapter3_General_Technical_Function_Description_v4.11.1.md §D2</t>
  </si>
  <si>
    <t>D2--populated; D2--loading; D2--empty; D2--filtered-empty; D2--blocked; D2--refused; D2--failed; D2--read-only</t>
  </si>
  <si>
    <t>Creation/editing/layout/role binding; distinguish from D1 view mode.</t>
  </si>
  <si>
    <t>Analysis Toolbox</t>
  </si>
  <si>
    <t>T-211; T-212; T-237; T-248</t>
  </si>
  <si>
    <t>PPIQ_Chapter3_General_Technical_Function_Description_v4.11.1.md §D3</t>
  </si>
  <si>
    <t>D3--populated; D3--loading; D3--empty; D3--filtered-empty; D3--blocked; D3--refused; D3--failed; D3--read-only</t>
  </si>
  <si>
    <t>Active method/subject/grain/readiness controls; unsupported methods refuse honestly.</t>
  </si>
  <si>
    <t>Findings</t>
  </si>
  <si>
    <t>T-212; T-247; T-188</t>
  </si>
  <si>
    <t>PPIQ_Chapter3_General_Technical_Function_Description_v4.11.1.md §D4</t>
  </si>
  <si>
    <t>D4--populated; D4--loading; D4--empty; D4--filtered-empty; D4--blocked; D4--refused; D4--failed; D4--read-only</t>
  </si>
  <si>
    <t>Existing findings minimum and evidence M2; full findings cutover M3.</t>
  </si>
  <si>
    <t>Risk Dashboard</t>
  </si>
  <si>
    <t>T-247; T-189</t>
  </si>
  <si>
    <t>PPIQ_Chapter3_General_Technical_Function_Description_v4.11.1.md §D5</t>
  </si>
  <si>
    <t>D5--populated; D5--loading; D5--empty; D5--filtered-empty; D5--blocked; D5--refused; D5--failed; D5--read-only</t>
  </si>
  <si>
    <t>Existing risk foundation only in M2; operational prediction depth remains M3.</t>
  </si>
  <si>
    <t>Suggestions</t>
  </si>
  <si>
    <t>T-247; T-113; T-190</t>
  </si>
  <si>
    <t>PPIQ_Chapter3_General_Technical_Function_Description_v4.11.1.md §D6</t>
  </si>
  <si>
    <t>D6--populated; D6--loading; D6--empty; D6--filtered-empty; D6--blocked; D6--refused; D6--failed; D6--read-only</t>
  </si>
  <si>
    <t>Existing evidence-linked suggestions M2; full decisions cutover M3.</t>
  </si>
  <si>
    <t>Value Dashboard</t>
  </si>
  <si>
    <t>T-247; T-164</t>
  </si>
  <si>
    <t>PPIQ_Chapter3_General_Technical_Function_Description_v4.11.1.md §D7</t>
  </si>
  <si>
    <t>D7--populated; D7--loading; D7--empty; D7--filtered-empty; D7--blocked; D7--refused; D7--failed; D7--read-only</t>
  </si>
  <si>
    <t>Bounded potential value only M2; realised-value evidence M3.</t>
  </si>
  <si>
    <t>ML Readiness and Models</t>
  </si>
  <si>
    <t>T-247; T-211; T-186; T-187; T-188</t>
  </si>
  <si>
    <t>PPIQ_Chapter3_General_Technical_Function_Description_v4.11.1.md §D8</t>
  </si>
  <si>
    <t>D8--populated; D8--loading; D8--empty; D8--filtered-empty; D8--blocked; D8--refused; D8--failed; D8--read-only</t>
  </si>
  <si>
    <t>Live readiness/refusal minimum M2; model production lifecycle M3.</t>
  </si>
  <si>
    <t>Early Warning</t>
  </si>
  <si>
    <t>T-189; T-141</t>
  </si>
  <si>
    <t>PPIQ_Chapter3_General_Technical_Function_Description_v4.11.1.md §D9</t>
  </si>
  <si>
    <t>D9--populated; D9--loading; D9--empty; D9--filtered-empty; D9--blocked; D9--refused; D9--failed; D9--read-only</t>
  </si>
  <si>
    <t>Operational warning, deadline and remediation state under canonical contracts.</t>
  </si>
  <si>
    <t>Practice Insights</t>
  </si>
  <si>
    <t>T-136; T-240</t>
  </si>
  <si>
    <t>PPIQ_Chapter3_General_Technical_Function_Description_v4.11.1.md §D10</t>
  </si>
  <si>
    <t>D10--populated; D10--loading; D10--empty; D10--filtered-empty; D10--blocked; D10--refused; D10--failed; D10--read-only</t>
  </si>
  <si>
    <t>Practice selection/benchmark/limitations under declared context.</t>
  </si>
  <si>
    <t>Scenario Simulation</t>
  </si>
  <si>
    <t>PPIQ_Chapter3_General_Technical_Function_Description_v4.11.1.md §D11</t>
  </si>
  <si>
    <t>D11--populated; D11--loading; D11--empty; D11--filtered-empty; D11--blocked; D11--refused; D11--failed; D11--read-only</t>
  </si>
  <si>
    <t>Scenario assumptions, comparison and evidence; no invented monetary result.</t>
  </si>
  <si>
    <t>Benchmarking</t>
  </si>
  <si>
    <t>PPIQ_Chapter3_General_Technical_Function_Description_v4.11.1.md §D12</t>
  </si>
  <si>
    <t>D12--populated; D12--loading; D12--empty; D12--filtered-empty; D12--blocked; D12--refused; D12--failed; D12--read-only</t>
  </si>
  <si>
    <t>Sample/direction refusals BM01/BM02 and declared normalisation.</t>
  </si>
  <si>
    <t>E2</t>
  </si>
  <si>
    <t>Assistant Configuration</t>
  </si>
  <si>
    <t>T-113; T-247; T-138</t>
  </si>
  <si>
    <t>PPIQ_Chapter3_General_Technical_Function_Description_v4.11.1.md §E2</t>
  </si>
  <si>
    <t>E2--populated; E2--loading; E2--empty; E2--filtered-empty; E2--blocked; E2--refused; E2--failed; E2--read-only</t>
  </si>
  <si>
    <t>Safe existing Assistant config M2; canonical advanced runtime config M3.</t>
  </si>
  <si>
    <t>E3</t>
  </si>
  <si>
    <t>Plant Data Log</t>
  </si>
  <si>
    <t>T-125; T-198</t>
  </si>
  <si>
    <t>PPIQ_Chapter3_General_Technical_Function_Description_v4.11.1.md §E3</t>
  </si>
  <si>
    <t>E3--populated; E3--loading; E3--empty; E3--filtered-empty; E3--blocked; E3--refused; E3--failed; E3--read-only</t>
  </si>
  <si>
    <t>Minimum attributable logs M2; deeper audit/channel workflows M3.</t>
  </si>
  <si>
    <t>E4</t>
  </si>
  <si>
    <t>Supervisor</t>
  </si>
  <si>
    <t>PPIQ_Chapter3_General_Technical_Function_Description_v4.11.1.md §E4</t>
  </si>
  <si>
    <t>E4--populated; E4--loading; E4--empty; E4--filtered-empty; E4--blocked; E4--refused; E4--failed; E4--read-only</t>
  </si>
  <si>
    <t>Supervisor proposals/shadow/review; no silent self-modification.</t>
  </si>
  <si>
    <t>E5</t>
  </si>
  <si>
    <t>Reports</t>
  </si>
  <si>
    <t>PPIQ_Chapter3_General_Technical_Function_Description_v4.11.1.md §E5</t>
  </si>
  <si>
    <t>E5--populated; E5--loading; E5--empty; E5--filtered-empty; E5--blocked; E5--refused; E5--failed; E5--read-only</t>
  </si>
  <si>
    <t>Report define/generate/history/download/delivery with job evidence.</t>
  </si>
  <si>
    <t>Alert Routing and Escalation</t>
  </si>
  <si>
    <t>PPIQ_Chapter3_General_Technical_Function_Description_v4.11.1.md §E6</t>
  </si>
  <si>
    <t>E6--populated; E6--loading; E6--empty; E6--filtered-empty; E6--blocked; E6--refused; E6--failed; E6--read-only</t>
  </si>
  <si>
    <t>Routing/escalation/dedupe/retry/dead-letter contract.</t>
  </si>
  <si>
    <t>Users and Roles</t>
  </si>
  <si>
    <t>PPIQ_Chapter3_General_Technical_Function_Description_v4.11.1.md §F1</t>
  </si>
  <si>
    <t>F1--populated; F1--loading; F1--empty; F1--filtered-empty; F1--blocked; F1--refused; F1--failed; F1--read-only</t>
  </si>
  <si>
    <t>Existing M2 role/user security scope; advanced enterprise identity M3.</t>
  </si>
  <si>
    <t>Licence and Entitlement</t>
  </si>
  <si>
    <t>T-121; T-165</t>
  </si>
  <si>
    <t>PPIQ_Chapter3_General_Technical_Function_Description_v4.11.1.md §F2</t>
  </si>
  <si>
    <t>F2--populated; F2--loading; F2--empty; F2--filtered-empty; F2--blocked; F2--refused; F2--failed; F2--read-only</t>
  </si>
  <si>
    <t>Verification-only activation and clear entitlements; deeper commercial UI M3.</t>
  </si>
  <si>
    <t>Authoring Quota and Limits</t>
  </si>
  <si>
    <t>PPIQ_Chapter3_General_Technical_Function_Description_v4.11.1.md §F3</t>
  </si>
  <si>
    <t>F3--populated; F3--loading; F3--empty; F3--filtered-empty; F3--blocked; F3--refused; F3--failed; F3--read-only</t>
  </si>
  <si>
    <t>T-121 quota/limits scope retained; only explicitly deferred depth follows M3.</t>
  </si>
  <si>
    <t>Jobs Administration</t>
  </si>
  <si>
    <t>T-106; T-107; T-125</t>
  </si>
  <si>
    <t>PPIQ_Chapter3_General_Technical_Function_Description_v4.11.1.md §F4</t>
  </si>
  <si>
    <t>F4--populated; F4--loading; F4--empty; F4--filtered-empty; F4--blocked; F4--refused; F4--failed; F4--read-only</t>
  </si>
  <si>
    <t>M2 schedule/DAG/admission/cancel/history controls; heavy administration depth M3.</t>
  </si>
  <si>
    <t>Logging and Audit</t>
  </si>
  <si>
    <t>PPIQ_Chapter3_General_Technical_Function_Description_v4.11.1.md §F5</t>
  </si>
  <si>
    <t>F5--populated; F5--loading; F5--empty; F5--filtered-empty; F5--blocked; F5--refused; F5--failed; F5--read-only</t>
  </si>
  <si>
    <t>Full logging/audit page; minimum M2 log evidence remains E3/B5.</t>
  </si>
  <si>
    <t>Log Channel Configuration</t>
  </si>
  <si>
    <t>PPIQ_Chapter3_General_Technical_Function_Description_v4.11.1.md §F6</t>
  </si>
  <si>
    <t>F6--populated; F6--loading; F6--empty; F6--filtered-empty; F6--blocked; F6--refused; F6--failed; F6--read-only</t>
  </si>
  <si>
    <t>Full channel configuration; no parallel log authority.</t>
  </si>
  <si>
    <t>System Settings</t>
  </si>
  <si>
    <t>T-233; T-200</t>
  </si>
  <si>
    <t>PPIQ_Chapter3_General_Technical_Function_Description_v4.11.1.md §F7</t>
  </si>
  <si>
    <t>F7--populated; F7--loading; F7--empty; F7--filtered-empty; F7--blocked; F7--refused; F7--failed; F7--read-only</t>
  </si>
  <si>
    <t>Plant time semantics M2 at existing commissioning surface; full admin page M3.</t>
  </si>
  <si>
    <t>Translation and Language</t>
  </si>
  <si>
    <t>PPIQ_Chapter3_General_Technical_Function_Description_v4.11.1.md §F8</t>
  </si>
  <si>
    <t>F8--populated; F8--loading; F8--empty; F8--filtered-empty; F8--blocked; F8--refused; F8--failed; F8--read-only</t>
  </si>
  <si>
    <t>Translation/language management; M2 rendered RTL/focus states still T-265.</t>
  </si>
  <si>
    <t>Log Retention and Archival</t>
  </si>
  <si>
    <t>PPIQ_Chapter3_General_Technical_Function_Description_v4.11.1.md §F9</t>
  </si>
  <si>
    <t>F9--populated; F9--loading; F9--empty; F9--filtered-empty; F9--blocked; F9--refused; F9--failed; F9--read-only</t>
  </si>
  <si>
    <t>Retention/archive/legal-hold preview and destructive confirmation.</t>
  </si>
  <si>
    <t>G1</t>
  </si>
  <si>
    <t>Global component</t>
  </si>
  <si>
    <t>Assistant dock</t>
  </si>
  <si>
    <t>PPIQ_Chapter3_General_Technical_Function_Description_v4.11.1.md §G1</t>
  </si>
  <si>
    <t>Applicable source controls/states; no automatic eight-state template. Preserve existing closed implementations.</t>
  </si>
  <si>
    <t>SEMANTIC REVIEW REQUIRED</t>
  </si>
  <si>
    <t>Application header and navigation</t>
  </si>
  <si>
    <t>PPIQ_Chapter3_General_Technical_Function_Description_v4.11.1.md §G2</t>
  </si>
  <si>
    <t>Global search and command palette</t>
  </si>
  <si>
    <t>PPIQ_Chapter3_General_Technical_Function_Description_v4.11.1.md §G3</t>
  </si>
  <si>
    <t>Notification and toast host</t>
  </si>
  <si>
    <t>PPIQ_Chapter3_General_Technical_Function_Description_v4.11.1.md §G4</t>
  </si>
  <si>
    <t>Refusal and error boundary</t>
  </si>
  <si>
    <t>PPIQ_Chapter3_General_Technical_Function_Description_v4.11.1.md §G5</t>
  </si>
  <si>
    <t>Activity and progress tray</t>
  </si>
  <si>
    <t>PPIQ_Chapter3_General_Technical_Function_Description_v4.11.1.md §G6</t>
  </si>
  <si>
    <t>DLG-A1-mfa</t>
  </si>
  <si>
    <t>Dialog</t>
  </si>
  <si>
    <t>Verify administrator access</t>
  </si>
  <si>
    <t>DLG-A1-mfa--default; DLG-A1-mfa--invalid</t>
  </si>
  <si>
    <t>Verification code | No authenticated page until required verification succeeds. | Use meaningful controls, filled/invalid/pending/refused/recovery states only where applicable; prototype focus-return.</t>
  </si>
  <si>
    <t>CHECK DATA / WORD CAPTION / IMAGE AGAINST PARENT CLAUSE</t>
  </si>
  <si>
    <t>DLG-A1-session</t>
  </si>
  <si>
    <t>Session expired</t>
  </si>
  <si>
    <t>DLG-A1-session--default; DLG-A1-session--invalid</t>
  </si>
  <si>
    <t>| Explain expiry; never silently discard a dirty authored draft. | Use meaningful controls, filled/invalid/pending/refused/recovery states only where applicable; prototype focus-return.</t>
  </si>
  <si>
    <t>DLG-B1-create</t>
  </si>
  <si>
    <t>Connection profile</t>
  </si>
  <si>
    <t>DLG-B1-create--default; DLG-B1-create--invalid</t>
  </si>
  <si>
    <t>Name; Provider; Host; Port; Database; Schema; Credential reference; Read-only posture; Allowed window; Row cap; Timeout; Rate cap | Do not display a stored secret; only a credential reference is returned. | Use meaningful controls, filled/invalid/pending/refused/recovery states only where applicable; prototype focus-return.</t>
  </si>
  <si>
    <t>DLG-B1-test</t>
  </si>
  <si>
    <t>Test source connection</t>
  </si>
  <si>
    <t>DLG-B1-test--default; DLG-B1-test--invalid</t>
  </si>
  <si>
    <t>Connection identity; Provider identity; Read-only evidence; Measured source budget | Read-only proof and source-budget check, not just reachability. | Use meaningful controls, filled/invalid/pending/refused/recovery states only where applicable; prototype focus-return.</t>
  </si>
  <si>
    <t>DLG-B1-deactivate</t>
  </si>
  <si>
    <t>Deactivate connection</t>
  </si>
  <si>
    <t>DLG-B1-deactivate--default; DLG-B1-deactivate--invalid</t>
  </si>
  <si>
    <t>Affected datasets; Affected jobs; Reason | Show dependency impact; no deletion of source history. | Use meaningful controls, filled/invalid/pending/refused/recovery states only where applicable; prototype focus-return.</t>
  </si>
  <si>
    <t>DLG-B1-credential</t>
  </si>
  <si>
    <t>Replace credential reference</t>
  </si>
  <si>
    <t>DLG-B1-credential--default; DLG-B1-credential--invalid</t>
  </si>
  <si>
    <t>Current reference (masked label); New protected reference; Reason | No plaintext secret persisted in options or returned by read-back. | Use meaningful controls, filled/invalid/pending/refused/recovery states only where applicable; prototype focus-return.</t>
  </si>
  <si>
    <t>DLG-B2-register</t>
  </si>
  <si>
    <t>Register dataset</t>
  </si>
  <si>
    <t>DLG-B2-register--default; DLG-B2-register--invalid</t>
  </si>
  <si>
    <t>Connection; Schema; Source object; Included columns; Taxonomy source | Author confirms source metadata; suggestions are not declarations. | Use meaningful controls, filled/invalid/pending/refused/recovery states only where applicable; prototype focus-return.</t>
  </si>
  <si>
    <t>DLG-B2-preview</t>
  </si>
  <si>
    <t>Source preview</t>
  </si>
  <si>
    <t>DLG-B2-preview--default; DLG-B2-preview--invalid</t>
  </si>
  <si>
    <t>Source identity; Column names and types; Bounded sample; Rows and elapsed time | Read under the effective source budget. | Use meaningful controls, filled/invalid/pending/refused/recovery states only where applicable; prototype focus-return.</t>
  </si>
  <si>
    <t>DLG-B3-key</t>
  </si>
  <si>
    <t>Business-key members</t>
  </si>
  <si>
    <t>DLG-B3-key--default; DLG-B3-key--invalid</t>
  </si>
  <si>
    <t>Ordered source fields; Member order; Uniqueness evidence | All selected key members belong to imported columns. | Use meaningful controls, filled/invalid/pending/refused/recovery states only where applicable; prototype focus-return.</t>
  </si>
  <si>
    <t>DLG-B3-cursor</t>
  </si>
  <si>
    <t>Incremental cursor</t>
  </si>
  <si>
    <t>DLG-B3-cursor--default; DLG-B3-cursor--invalid</t>
  </si>
  <si>
    <t>Watermark field; Watermark type; Stable tie-break members; Initial position; Source upper bound | v4.11.1 total-order contract; no guessed type or tie-break. | Use meaningful controls, filled/invalid/pending/refused/recovery states only where applicable; prototype focus-return.</t>
  </si>
  <si>
    <t>DLG-B3-fullscan</t>
  </si>
  <si>
    <t>No watermark: daily floor</t>
  </si>
  <si>
    <t>DLG-B3-fullscan--default; DLG-B3-fullscan--invalid</t>
  </si>
  <si>
    <t>Source object; Forced daily minimum; Expected scan budget | Not eligible for fast cadence without a safe incremental contract. | Use meaningful controls, filled/invalid/pending/refused/recovery states only where applicable; prototype focus-return.</t>
  </si>
  <si>
    <t>DLG-B4-rerun</t>
  </si>
  <si>
    <t>Re-run import batch</t>
  </si>
  <si>
    <t>DLG-B4-rerun--default; DLG-B4-rerun--invalid</t>
  </si>
  <si>
    <t>Batch identity; Persisted cursor range; Failure reason; Replay policy | Replay produces idempotent accepted effects, not duplicate staging. | Use meaningful controls, filled/invalid/pending/refused/recovery states only where applicable; prototype focus-return.</t>
  </si>
  <si>
    <t>DLG-B4-backfill</t>
  </si>
  <si>
    <t>Historical backfill</t>
  </si>
  <si>
    <t>DLG-B4-backfill--default; DLG-B4-backfill--invalid</t>
  </si>
  <si>
    <t>Dataset; From / to; Row and byte cap; Checkpoint; Source window | Bounded, pausable/resumable; does not starve cadence work. | Use meaningful controls, filled/invalid/pending/refused/recovery states only where applicable; prototype focus-return.</t>
  </si>
  <si>
    <t>DLG-B4-detail</t>
  </si>
  <si>
    <t>Drawer</t>
  </si>
  <si>
    <t>Import batch detail</t>
  </si>
  <si>
    <t>DLG-B4-detail--default; DLG-B4-detail--invalid</t>
  </si>
  <si>
    <t>Status; Watermark from / to; Rows read / staged; Failed rows; Source lineage; Run log | Failed rows cannot be hidden inside a green aggregate run. | Use meaningful controls, filled/invalid/pending/refused/recovery states only where applicable; prototype focus-return.</t>
  </si>
  <si>
    <t>DLG-B5-cancel</t>
  </si>
  <si>
    <t>Cancel running job</t>
  </si>
  <si>
    <t>DLG-B5-cancel--default; DLG-B5-cancel--invalid</t>
  </si>
  <si>
    <t>Job identity; Run identity; Committed work; Reason | A cancellation request is not an acknowledged terminal state. | Use meaningful controls, filled/invalid/pending/refused/recovery states only where applicable; prototype focus-return.</t>
  </si>
  <si>
    <t>DLG-B5-pause</t>
  </si>
  <si>
    <t>Pause scheduled job</t>
  </si>
  <si>
    <t>DLG-B5-pause--default; DLG-B5-pause--invalid</t>
  </si>
  <si>
    <t>Schedule; Next occurrence; Reason | Pauses future admission; separately cancel any current run. | Use meaningful controls, filled/invalid/pending/refused/recovery states only where applicable; prototype focus-return.</t>
  </si>
  <si>
    <t>DLG-B5-run</t>
  </si>
  <si>
    <t>Run job now</t>
  </si>
  <si>
    <t>DLG-B5-run--default; DLG-B5-run--invalid</t>
  </si>
  <si>
    <t>Definition version; Dependency verdict; Budget verdict; Parameters | Target pinned at admission; unsupported families refuse before execution. | Use meaningful controls, filled/invalid/pending/refused/recovery states only where applicable; prototype focus-return.</t>
  </si>
  <si>
    <t>DLG-B5-history</t>
  </si>
  <si>
    <t>Run evidence</t>
  </si>
  <si>
    <t>DLG-B5-history--default; DLG-B5-history--invalid</t>
  </si>
  <si>
    <t>Run identity; Resolved version; Counts; Duration; Upstream evidence; Failure / refusal | Historical identities remain immutable and tenant-scoped. | Use meaningful controls, filled/invalid/pending/refused/recovery states only where applicable; prototype focus-return.</t>
  </si>
  <si>
    <t>DLG-B6-export</t>
  </si>
  <si>
    <t>Export capability truth</t>
  </si>
  <si>
    <t>DLG-B6-export--default; DLG-B6-export--invalid</t>
  </si>
  <si>
    <t>Provider set; State filter; Evidence date | Read-only representation of server capability truth. | Use meaningful controls, filled/invalid/pending/refused/recovery states only where applicable; prototype focus-return.</t>
  </si>
  <si>
    <t>DLG-C1-publish</t>
  </si>
  <si>
    <t>Publish Transformation</t>
  </si>
  <si>
    <t>DLG-C1-publish--default; DLG-C1-publish--invalid</t>
  </si>
  <si>
    <t>Definition name; Version / hash; Output target; Relationship emission; Downstream impact | Definition and relationship publication must not partially commit. | Use meaningful controls, filled/invalid/pending/refused/recovery states only where applicable; prototype focus-return.</t>
  </si>
  <si>
    <t>DLG-C1-impact</t>
  </si>
  <si>
    <t>Downstream impact</t>
  </si>
  <si>
    <t>DLG-C1-impact--default; DLG-C1-impact--invalid</t>
  </si>
  <si>
    <t>Definitions; Pages; Analyses; Models; Relationships; Required action | No implicit deletion or widening of existing contracts. | Use meaningful controls, filled/invalid/pending/refused/recovery states only where applicable; prototype focus-return.</t>
  </si>
  <si>
    <t>DLG-C1-fork</t>
  </si>
  <si>
    <t>Edit published definition</t>
  </si>
  <si>
    <t>DLG-C1-fork--default; DLG-C1-fork--invalid</t>
  </si>
  <si>
    <t>Published version; Next draft; Reason | Never mutate the existing immutable version. | Use meaningful controls, filled/invalid/pending/refused/recovery states only where applicable; prototype focus-return.</t>
  </si>
  <si>
    <t>DLG-C1-rollback</t>
  </si>
  <si>
    <t>Select prior version</t>
  </si>
  <si>
    <t>DLG-C1-rollback--default; DLG-C1-rollback--invalid</t>
  </si>
  <si>
    <t>Version history; Current pointer; Downstream impact; Reason | Preserve later historical versions and explain the pointer change. | Use meaningful controls, filled/invalid/pending/refused/recovery states only where applicable; prototype focus-return.</t>
  </si>
  <si>
    <t>DLG-C1-import</t>
  </si>
  <si>
    <t>Import definition</t>
  </si>
  <si>
    <t>DLG-C1-import--default; DLG-C1-import--invalid</t>
  </si>
  <si>
    <t>Artifact; Source schema bindings; Target catalog; Validation diagnostics | No authored file bypasses the canonical lifecycle. | Use meaningful controls, filled/invalid/pending/refused/recovery states only where applicable; prototype focus-return.</t>
  </si>
  <si>
    <t>DLG-C1-mode</t>
  </si>
  <si>
    <t>Switch authoring representation</t>
  </si>
  <si>
    <t>DLG-C1-mode--default; DLG-C1-mode--invalid</t>
  </si>
  <si>
    <t>Current representation; Reconstructability; Preserved SQL; Diagram consequence | Do not claim a SQL diagram is reconstructable when it is not. | Use meaningful controls, filled/invalid/pending/refused/recovery states only where applicable; prototype focus-return.</t>
  </si>
  <si>
    <t>DLG-C1-dirty</t>
  </si>
  <si>
    <t>Unsaved definition changes</t>
  </si>
  <si>
    <t>DLG-C1-dirty--default; DLG-C1-dirty--invalid</t>
  </si>
  <si>
    <t>Changed fields; Last persisted version | Actions: save, discard with confirmation, stay. Never silently lose edits. | Use meaningful controls, filled/invalid/pending/refused/recovery states only where applicable; prototype focus-return.</t>
  </si>
  <si>
    <t>DLG-C1-conflict</t>
  </si>
  <si>
    <t>Concurrent edit conflict</t>
  </si>
  <si>
    <t>DLG-C1-conflict--default; DLG-C1-conflict--invalid</t>
  </si>
  <si>
    <t>Base version; Server version; Local changes; Rebase / save-as | No last-write-wins overwrite of a published version. | Use meaningful controls, filled/invalid/pending/refused/recovery states only where applicable; prototype focus-return.</t>
  </si>
  <si>
    <t>DLG-C1-sqlerror</t>
  </si>
  <si>
    <t>SQL validation details</t>
  </si>
  <si>
    <t>DLG-C1-sqlerror--default; DLG-C1-sqlerror--invalid</t>
  </si>
  <si>
    <t>Message; Offending fragment; Token / line / column; Suggested correction | Message + echoed fragment + in-place token highlight. | Use meaningful controls, filled/invalid/pending/refused/recovery states only where applicable; prototype focus-return.</t>
  </si>
  <si>
    <t>DLG-C1-expression</t>
  </si>
  <si>
    <t>Expression editor</t>
  </si>
  <si>
    <t>DLG-C1-expression--default; DLG-C1-expression--invalid</t>
  </si>
  <si>
    <t>Typed fields; Operators; Expression; Declared result type; Validation; Test sample | Single row context; no free control-flow board. Accept is one undo step. | Use meaningful controls, filled/invalid/pending/refused/recovery states only where applicable; prototype focus-return.</t>
  </si>
  <si>
    <t>DLG-C1-mapping</t>
  </si>
  <si>
    <t>Canonical field mapping</t>
  </si>
  <si>
    <t>DLG-C1-mapping--default; DLG-C1-mapping--invalid</t>
  </si>
  <si>
    <t>Target entity; Required business fields; Source output binding; Type verdict; System provenance (read-only) | No inference by ordinal/name resemblance; unknown source type refuses. | Use meaningful controls, filled/invalid/pending/refused/recovery states only where applicable; prototype focus-return.</t>
  </si>
  <si>
    <t>DLG-C2-drift</t>
  </si>
  <si>
    <t>Schema drift event</t>
  </si>
  <si>
    <t>DLG-C2-drift--default; DLG-C2-drift--invalid</t>
  </si>
  <si>
    <t>Dataset; Changed field; Old / new type; Affected mappings; State | Acknowledgement is not automatic repair or reactivation. | Use meaningful controls, filled/invalid/pending/refused/recovery states only where applicable; prototype focus-return.</t>
  </si>
  <si>
    <t>DLG-C2-reprocess</t>
  </si>
  <si>
    <t>Reprocess corrected rows</t>
  </si>
  <si>
    <t>DLG-C2-reprocess--default; DLG-C2-reprocess--invalid</t>
  </si>
  <si>
    <t>Batch; Quarantine code; Corrected definition version; Estimated scope | Preserve original rejection and exact selected correction version. | Use meaningful controls, filled/invalid/pending/refused/recovery states only where applicable; prototype focus-return.</t>
  </si>
  <si>
    <t>DLG-C3-quarantine</t>
  </si>
  <si>
    <t>Quarantine row detail</t>
  </si>
  <si>
    <t>DLG-C3-quarantine--default; DLG-C3-quarantine--invalid</t>
  </si>
  <si>
    <t>Validation code; Offending field; Staging row; Source provenance; Correction hint | Actual failure evidence, not invented successful output. | Use meaningful controls, filled/invalid/pending/refused/recovery states only where applicable; prototype focus-return.</t>
  </si>
  <si>
    <t>DLG-C4-entity</t>
  </si>
  <si>
    <t>Canonical entity detail</t>
  </si>
  <si>
    <t>DLG-C4-entity--default; DLG-C4-entity--invalid</t>
  </si>
  <si>
    <t>Entity type; Registered dimensions; Relationships; Evidence | Generic registry vocabulary; no customer-specific hardcoding. | Use meaningful controls, filled/invalid/pending/refused/recovery states only where applicable; prototype focus-return.</t>
  </si>
  <si>
    <t>DLG-C5-genealogy</t>
  </si>
  <si>
    <t>Genealogy contribution</t>
  </si>
  <si>
    <t>DLG-C5-genealogy--default; DLG-C5-genealogy--invalid</t>
  </si>
  <si>
    <t>Parent / child identities; Ordered key; Weight; Grain; Source definition | Weights and direction are evidence-bearing, never decorative lines. | Use meaningful controls, filled/invalid/pending/refused/recovery states only where applicable; prototype focus-return.</t>
  </si>
  <si>
    <t>DLG-C6-validate</t>
  </si>
  <si>
    <t>Validate relationship</t>
  </si>
  <si>
    <t>DLG-C6-validate--default; DLG-C6-validate--invalid</t>
  </si>
  <si>
    <t>Relationship version; Ordered members; Cardinality; Grain conversion; Attribution; Evidence | Server measures validation state; user cannot assert proven=true. | Use meaningful controls, filled/invalid/pending/refused/recovery states only where applicable; prototype focus-return.</t>
  </si>
  <si>
    <t>DLG-C6-path</t>
  </si>
  <si>
    <t>Preferred relationship path</t>
  </si>
  <si>
    <t>DLG-C6-path--default; DLG-C6-path--invalid</t>
  </si>
  <si>
    <t>Source / destination; Candidate paths; Ambiguity; Declared preference | No guessed path when more than one lawful route exists. | Use meaningful controls, filled/invalid/pending/refused/recovery states only where applicable; prototype focus-return.</t>
  </si>
  <si>
    <t>DLG-D1-selection</t>
  </si>
  <si>
    <t>Selection state</t>
  </si>
  <si>
    <t>DLG-D1-selection--default; DLG-D1-selection--invalid</t>
  </si>
  <si>
    <t>Selected; Possible; Excluded; Clear one / all | Excluded values remain clickable to pivot; color is not the sole signal. | Use meaningful controls, filled/invalid/pending/refused/recovery states only where applicable; prototype focus-return.</t>
  </si>
  <si>
    <t>DLG-D1-bookmark</t>
  </si>
  <si>
    <t>Save current view</t>
  </si>
  <si>
    <t>DLG-D1-bookmark--default; DLG-D1-bookmark--invalid</t>
  </si>
  <si>
    <t>Name; Selection state; Layout version; Visibility | Persist through governed definitions; no layout authority in localStorage. | Use meaningful controls, filled/invalid/pending/refused/recovery states only where applicable; prototype focus-return.</t>
  </si>
  <si>
    <t>DLG-D1-export</t>
  </si>
  <si>
    <t>Export current state</t>
  </si>
  <si>
    <t>DLG-D1-export--default; DLG-D1-export--invalid</t>
  </si>
  <si>
    <t>Format; Current filters; Period; Evidence inclusion; Scope | Export the displayed state and label incomplete/unavailable evidence. | Use meaningful controls, filled/invalid/pending/refused/recovery states only where applicable; prototype focus-return.</t>
  </si>
  <si>
    <t>DLG-D2-page</t>
  </si>
  <si>
    <t>Page definition</t>
  </si>
  <si>
    <t>DLG-D2-page--default; DLG-D2-page--invalid</t>
  </si>
  <si>
    <t>Title; Description; Visibility; Layout; Default selection | Reuse page lifecycle, not a separate dashboard engine. | Use meaningful controls, filled/invalid/pending/refused/recovery states only where applicable; prototype focus-return.</t>
  </si>
  <si>
    <t>DLG-D2-widget</t>
  </si>
  <si>
    <t>Widget binding</t>
  </si>
  <si>
    <t>DLG-D2-widget--default; DLG-D2-widget--invalid</t>
  </si>
  <si>
    <t>Source class; Source identity; Grain; Dimensions; Measures; Chart; Evidence handles | Keep native-grain rich sources intact; refuse invalid joins/roles. | Use meaningful controls, filled/invalid/pending/refused/recovery states only where applicable; prototype focus-return.</t>
  </si>
  <si>
    <t>DLG-D2-filter</t>
  </si>
  <si>
    <t>Filter definition</t>
  </si>
  <si>
    <t>DLG-D2-filter--default; DLG-D2-filter--invalid</t>
  </si>
  <si>
    <t>Name; Scope; Registered field; Filter kind; Default; Version | Page/global/widget scopes stay distinct; stale bindings are visible. | Use meaningful controls, filled/invalid/pending/refused/recovery states only where applicable; prototype focus-return.</t>
  </si>
  <si>
    <t>DLG-D2-delete</t>
  </si>
  <si>
    <t>Remove widget</t>
  </si>
  <si>
    <t>DLG-D2-delete--default; DLG-D2-delete--invalid</t>
  </si>
  <si>
    <t>Widget identity; Page version; Unsaved changes | Removal changes the draft only; saved history retained. | Use meaningful controls, filled/invalid/pending/refused/recovery states only where applicable; prototype focus-return.</t>
  </si>
  <si>
    <t>DLG-D3-readiness</t>
  </si>
  <si>
    <t>Analysis readiness</t>
  </si>
  <si>
    <t>DLG-D3-readiness--default; DLG-D3-readiness--invalid</t>
  </si>
  <si>
    <t>Population; Grain; Method; Measured values; Thresholds; Refusal reasons | A refusal cannot be bypassed by enabling a UI checkbox. | Use meaningful controls, filled/invalid/pending/refused/recovery states only where applicable; prototype focus-return.</t>
  </si>
  <si>
    <t>DLG-D4-evidence</t>
  </si>
  <si>
    <t>Finding evidence</t>
  </si>
  <si>
    <t>DLG-D4-evidence--default; DLG-D4-evidence--invalid</t>
  </si>
  <si>
    <t>Claim class; Method; Population; Effect / uncertainty; q-value; Source handles | A statistical association is not upgraded to a causal claim. | Use meaningful controls, filled/invalid/pending/refused/recovery states only where applicable; prototype focus-return.</t>
  </si>
  <si>
    <t>DLG-D5-risk</t>
  </si>
  <si>
    <t>Risk record</t>
  </si>
  <si>
    <t>DLG-D5-risk--default; DLG-D5-risk--invalid</t>
  </si>
  <si>
    <t>Subject identity; Risk band; Drivers; Model / engine version; Evidence | No certainty claim; source and model states remain explicit. | Use meaningful controls, filled/invalid/pending/refused/recovery states only where applicable; prototype focus-return.</t>
  </si>
  <si>
    <t>DLG-D6-decision</t>
  </si>
  <si>
    <t>Suggestion decision</t>
  </si>
  <si>
    <t>DLG-D6-decision--default; DLG-D6-decision--invalid</t>
  </si>
  <si>
    <t>Suggestion; Evidence; Reason code; Decision; Actor | Server can_accept/permission authority gates action; no plant control write. | Use meaningful controls, filled/invalid/pending/refused/recovery states only where applicable; prototype focus-return.</t>
  </si>
  <si>
    <t>DLG-D6-defer</t>
  </si>
  <si>
    <t>Defer suggestion</t>
  </si>
  <si>
    <t>DLG-D6-defer--default; DLG-D6-defer--invalid</t>
  </si>
  <si>
    <t>Reason code; Review time; Evidence | Record actor/time; do not fabricate an action or outcome. | Use meaningful controls, filled/invalid/pending/refused/recovery states only where applicable; prototype focus-return.</t>
  </si>
  <si>
    <t>DLG-D7-assumptions</t>
  </si>
  <si>
    <t>Cost assumptions</t>
  </si>
  <si>
    <t>DLG-D7-assumptions--default; DLG-D7-assumptions--invalid</t>
  </si>
  <si>
    <t>Measure; Unit / currency; Effective period; Assumption value; Source; Reason | No monetary claim without declared basis and audit. | Use meaningful controls, filled/invalid/pending/refused/recovery states only where applicable; prototype focus-return.</t>
  </si>
  <si>
    <t>DLG-D7-value</t>
  </si>
  <si>
    <t>Value derivation</t>
  </si>
  <si>
    <t>DLG-D7-value--default; DLG-D7-value--invalid</t>
  </si>
  <si>
    <t>Potential / realised class; Assumptions; Counterfactual; Uncertainty; Evidence | Do not combine unsupported realised value with a modeled potential figure. | Use meaningful controls, filled/invalid/pending/refused/recovery states only where applicable; prototype focus-return.</t>
  </si>
  <si>
    <t>DLG-D8-activate</t>
  </si>
  <si>
    <t>Activate model version</t>
  </si>
  <si>
    <t>DLG-D8-activate--default; DLG-D8-activate--invalid</t>
  </si>
  <si>
    <t>Candidate; Serving identity; Gate results; Snapshot / manifest; Warm-up; Fallback | Only approved gates and held-out evidence permit activation. | Use meaningful controls, filled/invalid/pending/refused/recovery states only where applicable; prototype focus-return.</t>
  </si>
  <si>
    <t>DLG-D8-retire</t>
  </si>
  <si>
    <t>Retire model version</t>
  </si>
  <si>
    <t>DLG-D8-retire--default; DLG-D8-retire--invalid</t>
  </si>
  <si>
    <t>Version; Dependent consumers; Fallback; Reason | Never erase provenance of historical predictions. | Use meaningful controls, filled/invalid/pending/refused/recovery states only where applicable; prototype focus-return.</t>
  </si>
  <si>
    <t>DLG-D9-remediation</t>
  </si>
  <si>
    <t>Remediation eligibility</t>
  </si>
  <si>
    <t>DLG-D9-remediation--default; DLG-D9-remediation--invalid</t>
  </si>
  <si>
    <t>Prediction; Deadline; Candidate; Nine check results; Expected effect; Evidence | No accept action after deadline or any failed mandatory gate. | Use meaningful controls, filled/invalid/pending/refused/recovery states only where applicable; prototype focus-return.</t>
  </si>
  <si>
    <t>DLG-D10-practice</t>
  </si>
  <si>
    <t>Practice evidence</t>
  </si>
  <si>
    <t>DLG-D10-practice--default; DLG-D10-practice--invalid</t>
  </si>
  <si>
    <t>Comparable context; Support; Outcome; Confidence; Sensitivity; Benchmark status | Observed practice is not automatically a proven benchmark. | Use meaningful controls, filled/invalid/pending/refused/recovery states only where applicable; prototype focus-return.</t>
  </si>
  <si>
    <t>DLG-D11-save</t>
  </si>
  <si>
    <t>Save scenario</t>
  </si>
  <si>
    <t>DLG-D11-save--default; DLG-D11-save--invalid</t>
  </si>
  <si>
    <t>Name; Baseline; Variable changes; Fixed assumptions; Model version; Uncertainty | Simulation label permanent; no plant write path. | Use meaningful controls, filled/invalid/pending/refused/recovery states only where applicable; prototype focus-return.</t>
  </si>
  <si>
    <t>DLG-D11-compare</t>
  </si>
  <si>
    <t>Compare scenarios</t>
  </si>
  <si>
    <t>DLG-D11-compare--default; DLG-D11-compare--invalid</t>
  </si>
  <si>
    <t>Saved versions; Common baseline; Variables; Result intervals | All models/bases/assumptions explicit; incomparable cases refuse. | Use meaningful controls, filled/invalid/pending/refused/recovery states only where applicable; prototype focus-return.</t>
  </si>
  <si>
    <t>DLG-D12-comparison</t>
  </si>
  <si>
    <t>Benchmark population evidence</t>
  </si>
  <si>
    <t>DLG-D12-comparison--default; DLG-D12-comparison--invalid</t>
  </si>
  <si>
    <t>Both populations; Measure direction; Normalization; Support; Reference | BM01 support and BM02 direction-of-goodness guards are visible. | Use meaningful controls, filled/invalid/pending/refused/recovery states only where applicable; prototype focus-return.</t>
  </si>
  <si>
    <t>DLG-E2-reset</t>
  </si>
  <si>
    <t>Reset Assistant configuration</t>
  </si>
  <si>
    <t>DLG-E2-reset--default; DLG-E2-reset--invalid</t>
  </si>
  <si>
    <t>Current policies; Default policies; Impact; Reason | Cannot weaken grounding or evidence rules. | Use meaningful controls, filled/invalid/pending/refused/recovery states only where applicable; prototype focus-return.</t>
  </si>
  <si>
    <t>DLG-E2-reindex</t>
  </si>
  <si>
    <t>Reindex knowledge</t>
  </si>
  <si>
    <t>DLG-E2-reindex--default; DLG-E2-reindex--invalid</t>
  </si>
  <si>
    <t>Allowed source families; Current index; Expected bounded work | Tenant and permission scope preserved. | Use meaningful controls, filled/invalid/pending/refused/recovery states only where applicable; prototype focus-return.</t>
  </si>
  <si>
    <t>DLG-E3-rule</t>
  </si>
  <si>
    <t>Plant data log rule</t>
  </si>
  <si>
    <t>DLG-E3-rule--default; DLG-E3-rule--invalid</t>
  </si>
  <si>
    <t>Rule name; Parameter; Comparator; Limit; Severity | Comparator whitelist enforced both server and persistence. | Use meaningful controls, filled/invalid/pending/refused/recovery states only where applicable; prototype focus-return.</t>
  </si>
  <si>
    <t>DLG-E3-ack</t>
  </si>
  <si>
    <t>Acknowledge log entry</t>
  </si>
  <si>
    <t>DLG-E3-ack--default; DLG-E3-ack--invalid</t>
  </si>
  <si>
    <t>Entry; Rule; Source subject; Actor; Note | No acknowledgment rewrites the observed measurement. | Use meaningful controls, filled/invalid/pending/refused/recovery states only where applicable; prototype focus-return.</t>
  </si>
  <si>
    <t>DLG-E4-proposal</t>
  </si>
  <si>
    <t>Review Supervisor proposal</t>
  </si>
  <si>
    <t>DLG-E4-proposal--default; DLG-E4-proposal--invalid</t>
  </si>
  <si>
    <t>Target; Before / after; Reason; Evidence; Shadow comparison | Forbidden authority targets remain unwriteable by construction. | Use meaningful controls, filled/invalid/pending/refused/recovery states only where applicable; prototype focus-return.</t>
  </si>
  <si>
    <t>DLG-E4-reject</t>
  </si>
  <si>
    <t>Reject Supervisor proposal</t>
  </si>
  <si>
    <t>DLG-E4-reject--default; DLG-E4-reject--invalid</t>
  </si>
  <si>
    <t>Proposal; Reason | Preserve proposal and evidence history. | Use meaningful controls, filled/invalid/pending/refused/recovery states only where applicable; prototype focus-return.</t>
  </si>
  <si>
    <t>DLG-E5-definition</t>
  </si>
  <si>
    <t>Report definition</t>
  </si>
  <si>
    <t>DLG-E5-definition--default; DLG-E5-definition--invalid</t>
  </si>
  <si>
    <t>Title; Sections; Period; Recipients; Schedule; Delivery target | One report definition and platform Job scheduler. | Use meaningful controls, filled/invalid/pending/refused/recovery states only where applicable; prototype focus-return.</t>
  </si>
  <si>
    <t>DLG-E5-output</t>
  </si>
  <si>
    <t>Generated report output</t>
  </si>
  <si>
    <t>DLG-E5-output--default; DLG-E5-output--invalid</t>
  </si>
  <si>
    <t>Period; Filter state; Generation run; Sections; Evidence; Delivery status | All-empty sections refuse generation; report uses light surface. | Use meaningful controls, filled/invalid/pending/refused/recovery states only where applicable; prototype focus-return.</t>
  </si>
  <si>
    <t>DLG-E6-routing</t>
  </si>
  <si>
    <t>Alert routing rule</t>
  </si>
  <si>
    <t>DLG-E6-routing--default; DLG-E6-routing--invalid</t>
  </si>
  <si>
    <t>Channel / severity; Recipients; Delivery channels; Quiet hours; Dedupe; Rate; Escalation | Recipient and escalation validity checked before save. | Use meaningful controls, filled/invalid/pending/refused/recovery states only where applicable; prototype focus-return.</t>
  </si>
  <si>
    <t>DLG-E6-delivery</t>
  </si>
  <si>
    <t>Delivery attempt</t>
  </si>
  <si>
    <t>DLG-E6-delivery--default; DLG-E6-delivery--invalid</t>
  </si>
  <si>
    <t>Recipient; Channel; Attempts; Reason; Next retry | Retry without duplicate external delivery where receipt exists. | Use meaningful controls, filled/invalid/pending/refused/recovery states only where applicable; prototype focus-return.</t>
  </si>
  <si>
    <t>DLG-F1-user</t>
  </si>
  <si>
    <t>Create user</t>
  </si>
  <si>
    <t>DLG-F1-user--default; DLG-F1-user--invalid</t>
  </si>
  <si>
    <t>Name; Email; Role | Authorised admin; permission matrix derives from approved role contract. | Use meaningful controls, filled/invalid/pending/refused/recovery states only where applicable; prototype focus-return.</t>
  </si>
  <si>
    <t>DLG-F1-role</t>
  </si>
  <si>
    <t>Role / user permission override</t>
  </si>
  <si>
    <t>DLG-F1-role--default; DLG-F1-role--invalid</t>
  </si>
  <si>
    <t>Principal; Role inheritance; Surface × action; Overrides; Reason | Show inherited versus overridden grants; fail-closed at API too. | Use meaningful controls, filled/invalid/pending/refused/recovery states only where applicable; prototype focus-return.</t>
  </si>
  <si>
    <t>DLG-F1-disable</t>
  </si>
  <si>
    <t>Disable user</t>
  </si>
  <si>
    <t>DLG-F1-disable--default; DLG-F1-disable--invalid</t>
  </si>
  <si>
    <t>User; Active sessions; Reason | Audit; revoke active access according to session policy. | Use meaningful controls, filled/invalid/pending/refused/recovery states only where applicable; prototype focus-return.</t>
  </si>
  <si>
    <t>DLG-F2-license</t>
  </si>
  <si>
    <t>Activate signed licence</t>
  </si>
  <si>
    <t>DLG-F2-license--default; DLG-F2-license--invalid</t>
  </si>
  <si>
    <t>Signed artifact; Tenant; Instance; Tier; Validity; Verification result | Customer verifies vendor-signed artifact; no production self-signing. | Use meaningful controls, filled/invalid/pending/refused/recovery states only where applicable; prototype focus-return.</t>
  </si>
  <si>
    <t>DLG-F3-quota</t>
  </si>
  <si>
    <t>Role or user quota</t>
  </si>
  <si>
    <t>DLG-F3-quota--default; DLG-F3-quota--invalid</t>
  </si>
  <si>
    <t>Principal / role; Object type; Inherited limit; Override; Current use | 80% warning, 100% creation guard; never discard existing draft. | Use meaningful controls, filled/invalid/pending/refused/recovery states only where applicable; prototype focus-return.</t>
  </si>
  <si>
    <t>DLG-F4-job</t>
  </si>
  <si>
    <t>Job definition</t>
  </si>
  <si>
    <t>DLG-F4-job--default; DLG-F4-job--invalid</t>
  </si>
  <si>
    <t>Name; Family; Target identity; Version policy; Parameters; Schedule; Pool / weight | One scheduler authority; unsupported family refused as unavailable. | Use meaningful controls, filled/invalid/pending/refused/recovery states only where applicable; prototype focus-return.</t>
  </si>
  <si>
    <t>DLG-F4-schedule</t>
  </si>
  <si>
    <t>Schedule editor</t>
  </si>
  <si>
    <t>DLG-F4-schedule--default; DLG-F4-schedule--invalid</t>
  </si>
  <si>
    <t>Kind; Canonical expression; Time zone; Next occurrences; Jitter; Missed-tick policy | v4.11.1 machine grammar; UI words never executable source text. | Use meaningful controls, filled/invalid/pending/refused/recovery states only where applicable; prototype focus-return.</t>
  </si>
  <si>
    <t>DLG-F4-dependency</t>
  </si>
  <si>
    <t>Dependency policy</t>
  </si>
  <si>
    <t>DLG-F4-dependency--default; DLG-F4-dependency--invalid</t>
  </si>
  <si>
    <t>Upstream job; Required / optional; Pinned version; Allow prior-success reuse; Age ceiling; Cycle impact | Default reuse=false; no beyond-limit acceptance; negative cases named. | Use meaningful controls, filled/invalid/pending/refused/recovery states only where applicable; prototype focus-return.</t>
  </si>
  <si>
    <t>DLG-F5-filter</t>
  </si>
  <si>
    <t>Log search / export</t>
  </si>
  <si>
    <t>DLG-F5-filter--default; DLG-F5-filter--invalid</t>
  </si>
  <si>
    <t>Family; Severity; Actor; Run id; From / to; Export format | Permission and tenant scope retained in export. | Use meaningful controls, filled/invalid/pending/refused/recovery states only where applicable; prototype focus-return.</t>
  </si>
  <si>
    <t>DLG-F6-channel</t>
  </si>
  <si>
    <t>Log channel</t>
  </si>
  <si>
    <t>DLG-F6-channel--default; DLG-F6-channel--invalid</t>
  </si>
  <si>
    <t>Name; Family; Severity policy; Retention policy; Enabled | Cannot redirect customer entries into protected audit authority. | Use meaningful controls, filled/invalid/pending/refused/recovery states only where applicable; prototype focus-return.</t>
  </si>
  <si>
    <t>DLG-F7-timezone</t>
  </si>
  <si>
    <t>Change plant time zone</t>
  </si>
  <si>
    <t>DLG-F7-timezone--default; DLG-F7-timezone--invalid</t>
  </si>
  <si>
    <t>Current zone; New zone; Shift-analysis impact; Next schedule previews | Does not rewrite historical source timestamps; audit setting revision. | Use meaningful controls, filled/invalid/pending/refused/recovery states only where applicable; prototype focus-return.</t>
  </si>
  <si>
    <t>DLG-F7-egress</t>
  </si>
  <si>
    <t>Change data egress policy</t>
  </si>
  <si>
    <t>DLG-F7-egress--default; DLG-F7-egress--invalid</t>
  </si>
  <si>
    <t>Current policy; New policy; Affected tools; Reason | No-egress state reaches every external model/tool boundary. | Use meaningful controls, filled/invalid/pending/refused/recovery states only where applicable; prototype focus-return.</t>
  </si>
  <si>
    <t>DLG-F8-language</t>
  </si>
  <si>
    <t>Import language pack</t>
  </si>
  <si>
    <t>DLG-F8-language--default; DLG-F8-language--invalid</t>
  </si>
  <si>
    <t>Language; Pack version; Changed labels; Fallback; Review state | Keep technical identifiers unchanged; translation does not redefine semantics. | Use meaningful controls, filled/invalid/pending/refused/recovery states only where applicable; prototype focus-return.</t>
  </si>
  <si>
    <t>DLG-F9-retention</t>
  </si>
  <si>
    <t>Retention impact preview</t>
  </si>
  <si>
    <t>DLG-F9-retention--default; DLG-F9-retention--invalid</t>
  </si>
  <si>
    <t>Channel; Cutoff; Rows / storage; Archive destination; Legal hold; Preview receipt | No destructive save without preview; failed archive -&gt; zero deletions. | Use meaningful controls, filled/invalid/pending/refused/recovery states only where applicable; prototype focus-return.</t>
  </si>
  <si>
    <t>DLG-F9-hold</t>
  </si>
  <si>
    <t>Place or remove legal hold</t>
  </si>
  <si>
    <t>DLG-F9-hold--default; DLG-F9-hold--invalid</t>
  </si>
  <si>
    <t>Channel; Current hold; Actor; Reason | Authorised audited action; held data cannot be purged. | Use meaningful controls, filled/invalid/pending/refused/recovery states only where applicable; prototype focus-return.</t>
  </si>
  <si>
    <t>DLG-F9-cleanup</t>
  </si>
  <si>
    <t>Run retention cleanup</t>
  </si>
  <si>
    <t>DLG-F9-cleanup--default; DLG-F9-cleanup--invalid</t>
  </si>
  <si>
    <t>Channels; Exact cutoff; Archive status; Expected count; Preview identity | Abort deletion on archive failure; persist actual terminal summary. | Use meaningful controls, filled/invalid/pending/refused/recovery states only where applicable; prototype focus-return.</t>
  </si>
  <si>
    <t>DLG-G1-citations</t>
  </si>
  <si>
    <t>Assistant citations</t>
  </si>
  <si>
    <t>DLG-G1-citations--default; DLG-G1-citations--invalid</t>
  </si>
  <si>
    <t>Answer claim; Evidence handles; Source identity; Permission scope | Context is not evidence; unresolved evidence cannot be upgraded. | Use meaningful controls, filled/invalid/pending/refused/recovery states only where applicable; prototype focus-return.</t>
  </si>
  <si>
    <t>DLG-G3-commands</t>
  </si>
  <si>
    <t>Global command palette</t>
  </si>
  <si>
    <t>DLG-G3-commands--default; DLG-G3-commands--invalid</t>
  </si>
  <si>
    <t>Search; Permitted pages; Definitions; Fields; Findings; Commands | Only permitted search results/actions; keyboard focus returns to trigger. | Use meaningful controls, filled/invalid/pending/refused/recovery states only where applicable; prototype focus-return.</t>
  </si>
  <si>
    <t>DLG-G6-activity</t>
  </si>
  <si>
    <t>Activity tray</t>
  </si>
  <si>
    <t>DLG-G6-activity--default; DLG-G6-activity--invalid</t>
  </si>
  <si>
    <t>Running jobs; Stage / counts; Last heartbeat; Outcome; Evidence | No fabricated percent; poll fallback explicitly visible. | Use meaningful controls, filled/invalid/pending/refused/recovery states only where applicable; prototype focus-return.</t>
  </si>
  <si>
    <t>TB-001</t>
  </si>
  <si>
    <t>Toolbox entry</t>
  </si>
  <si>
    <t>Source table</t>
  </si>
  <si>
    <t>T-243; T-245; T-211; T-212; T-248</t>
  </si>
  <si>
    <t>PPIQ_Chapter4_Specific_Technical_Function_Description_v4.11.1.md §Group 1 - Source and output</t>
  </si>
  <si>
    <t>Map the exact input/output/configuration/validation to a selected-node inspector, with typed ports and refusal/recovery as applicable.</t>
  </si>
  <si>
    <t>TB-002</t>
  </si>
  <si>
    <t>Output to canonical entity</t>
  </si>
  <si>
    <t>TB-003</t>
  </si>
  <si>
    <t>Output to named dataset</t>
  </si>
  <si>
    <t>TB-004</t>
  </si>
  <si>
    <t>Join</t>
  </si>
  <si>
    <t>PPIQ_Chapter4_Specific_Technical_Function_Description_v4.11.1.md §Group 2 - Relational</t>
  </si>
  <si>
    <t>TB-005</t>
  </si>
  <si>
    <t>Filter</t>
  </si>
  <si>
    <t>TB-006</t>
  </si>
  <si>
    <t>Select columns</t>
  </si>
  <si>
    <t>TB-007</t>
  </si>
  <si>
    <t>Rename / alias</t>
  </si>
  <si>
    <t>TB-008</t>
  </si>
  <si>
    <t>Group by</t>
  </si>
  <si>
    <t>TB-009</t>
  </si>
  <si>
    <t>Sort</t>
  </si>
  <si>
    <t>TB-010</t>
  </si>
  <si>
    <t>Union</t>
  </si>
  <si>
    <t>TB-011</t>
  </si>
  <si>
    <t>Distinct</t>
  </si>
  <si>
    <t>TB-012</t>
  </si>
  <si>
    <t>Limit</t>
  </si>
  <si>
    <t>TB-013</t>
  </si>
  <si>
    <t>Pivot / unpivot</t>
  </si>
  <si>
    <t>TB-014</t>
  </si>
  <si>
    <t>Derived column</t>
  </si>
  <si>
    <t>TB-015</t>
  </si>
  <si>
    <t>Cast</t>
  </si>
  <si>
    <t>TB-016</t>
  </si>
  <si>
    <t>Lookup</t>
  </si>
  <si>
    <t>TB-017</t>
  </si>
  <si>
    <t>Summary statistics</t>
  </si>
  <si>
    <t>PPIQ_Chapter4_Specific_Technical_Function_Description_v4.11.1.md §5.5.2 Group A - Descriptive</t>
  </si>
  <si>
    <t>TB-018</t>
  </si>
  <si>
    <t>Distribution</t>
  </si>
  <si>
    <t>TB-019</t>
  </si>
  <si>
    <t>Category counts</t>
  </si>
  <si>
    <t>TB-020</t>
  </si>
  <si>
    <t>Time series</t>
  </si>
  <si>
    <t>TB-021</t>
  </si>
  <si>
    <t>Cross-tabulation</t>
  </si>
  <si>
    <t>TB-022</t>
  </si>
  <si>
    <t>Outlier detection (IQR / z-score)</t>
  </si>
  <si>
    <t>TB-023</t>
  </si>
  <si>
    <t>Missingness profile</t>
  </si>
  <si>
    <t>TB-024</t>
  </si>
  <si>
    <t>Pearson correlation</t>
  </si>
  <si>
    <t>PPIQ_Chapter4_Specific_Technical_Function_Description_v4.11.1.md §5.5.3 Group B - Association and correlation</t>
  </si>
  <si>
    <t>TB-025</t>
  </si>
  <si>
    <t>Spearman rank correlation</t>
  </si>
  <si>
    <t>TB-026</t>
  </si>
  <si>
    <t>Correlation matrix</t>
  </si>
  <si>
    <t>TB-027</t>
  </si>
  <si>
    <t>Chi-square independence</t>
  </si>
  <si>
    <t>TB-028</t>
  </si>
  <si>
    <t>ANOVA / Kruskal-Wallis</t>
  </si>
  <si>
    <t>TB-029</t>
  </si>
  <si>
    <t>Odds ratio / relative risk</t>
  </si>
  <si>
    <t>TB-030</t>
  </si>
  <si>
    <t>Point-biserial</t>
  </si>
  <si>
    <t>TB-031</t>
  </si>
  <si>
    <t>Lagged correlation</t>
  </si>
  <si>
    <t>TB-032</t>
  </si>
  <si>
    <t>Genealogy-attributed correlation</t>
  </si>
  <si>
    <t>TB-033</t>
  </si>
  <si>
    <t>Mandatory discipline output / inspection</t>
  </si>
  <si>
    <t>False-discovery control</t>
  </si>
  <si>
    <t>PPIQ_Chapter4_Specific_Technical_Function_Description_v4.11.1.md §5.5.4 Group C - Discipline (always applied, never optional)</t>
  </si>
  <si>
    <t>Always-applied discipline; inspect outputs only. Do not turn it into an optional drag/drop bypass.</t>
  </si>
  <si>
    <t>TB-034</t>
  </si>
  <si>
    <t>Effect-size ranking</t>
  </si>
  <si>
    <t>TB-035</t>
  </si>
  <si>
    <t>Stratification</t>
  </si>
  <si>
    <t>TB-036</t>
  </si>
  <si>
    <t>Bootstrap stability</t>
  </si>
  <si>
    <t>TB-037</t>
  </si>
  <si>
    <t>Confounder check</t>
  </si>
  <si>
    <t>TB-038</t>
  </si>
  <si>
    <t>Control chart</t>
  </si>
  <si>
    <t>PPIQ_Chapter4_Specific_Technical_Function_Description_v4.11.1.md §5.5.5 Group D - Process and quality specific</t>
  </si>
  <si>
    <t>TB-039</t>
  </si>
  <si>
    <t>TB-040</t>
  </si>
  <si>
    <t>Pareto of causes</t>
  </si>
  <si>
    <t>TB-041</t>
  </si>
  <si>
    <t>Yield decomposition</t>
  </si>
  <si>
    <t>TB-042</t>
  </si>
  <si>
    <t>Downtime impact split</t>
  </si>
  <si>
    <t>TB-043</t>
  </si>
  <si>
    <t>Transition analysis</t>
  </si>
  <si>
    <t>TB-044</t>
  </si>
  <si>
    <t>Window comparison</t>
  </si>
  <si>
    <t>TB-045</t>
  </si>
  <si>
    <t>Feature assembly</t>
  </si>
  <si>
    <t>T-246; T-248; T-187</t>
  </si>
  <si>
    <t>PPIQ_Chapter4_Specific_Technical_Function_Description_v4.11.1.md §5.6.2 Group E - Feature engineering blocks</t>
  </si>
  <si>
    <t>TB-046</t>
  </si>
  <si>
    <t>Genealogy roll-up</t>
  </si>
  <si>
    <t>TB-047</t>
  </si>
  <si>
    <t>Lag feature</t>
  </si>
  <si>
    <t>TB-048</t>
  </si>
  <si>
    <t>Rolling window feature</t>
  </si>
  <si>
    <t>TB-049</t>
  </si>
  <si>
    <t>Binning</t>
  </si>
  <si>
    <t>TB-050</t>
  </si>
  <si>
    <t>Encoding</t>
  </si>
  <si>
    <t>TB-051</t>
  </si>
  <si>
    <t>Missing-value policy</t>
  </si>
  <si>
    <t>TB-052</t>
  </si>
  <si>
    <t>Scaling</t>
  </si>
  <si>
    <t>TB-053</t>
  </si>
  <si>
    <t>Train/validation split</t>
  </si>
  <si>
    <t>PPIQ_Chapter4_Specific_Technical_Function_Description_v4.11.1.md §5.6.3 Group F - Model blocks</t>
  </si>
  <si>
    <t>TB-054</t>
  </si>
  <si>
    <t>Classification model</t>
  </si>
  <si>
    <t>TB-055</t>
  </si>
  <si>
    <t>Regression model</t>
  </si>
  <si>
    <t>TB-056</t>
  </si>
  <si>
    <t>Anomaly detection</t>
  </si>
  <si>
    <t>TB-057</t>
  </si>
  <si>
    <t>Clustering</t>
  </si>
  <si>
    <t>TB-058</t>
  </si>
  <si>
    <t>Feature importance</t>
  </si>
  <si>
    <t>TB-059</t>
  </si>
  <si>
    <t>Partial dependence</t>
  </si>
  <si>
    <t>TB-060</t>
  </si>
  <si>
    <t>Model evaluation</t>
  </si>
  <si>
    <t>TB-061</t>
  </si>
  <si>
    <t>TB-062</t>
  </si>
  <si>
    <t>Scoring</t>
  </si>
  <si>
    <t>TB-063</t>
  </si>
  <si>
    <t>Early-stage risk score</t>
  </si>
  <si>
    <t>PPIQ_Chapter4_Specific_Technical_Function_Description_v4.11.1.md §5.6.4 Group G - Prediction and recommendation</t>
  </si>
  <si>
    <t>TB-064</t>
  </si>
  <si>
    <t>Downstream remediation search</t>
  </si>
  <si>
    <t>TB-065</t>
  </si>
  <si>
    <t>Practice comparison</t>
  </si>
  <si>
    <t>TB-066</t>
  </si>
  <si>
    <t>Suggestion generation</t>
  </si>
  <si>
    <t>TB-067</t>
  </si>
  <si>
    <t>Value attachment</t>
  </si>
  <si>
    <t>TB-068</t>
  </si>
  <si>
    <t>Practice reconstruction</t>
  </si>
  <si>
    <t>PPIQ_Chapter4_Specific_Technical_Function_Description_v4.11.1.md §5.6.4a Practice authoring blocks - Group G2 (guideline 1.3.b)</t>
  </si>
  <si>
    <t>TB-069</t>
  </si>
  <si>
    <t>Practice-outcome linkage</t>
  </si>
  <si>
    <t>TB-070</t>
  </si>
  <si>
    <t>Best-practice benchmark</t>
  </si>
  <si>
    <t>TB-071</t>
  </si>
  <si>
    <t>Failure-practice linkage</t>
  </si>
  <si>
    <t>TB-072</t>
  </si>
  <si>
    <t>Drift detection</t>
  </si>
  <si>
    <t>TB-073</t>
  </si>
  <si>
    <t>Engine classification reference</t>
  </si>
  <si>
    <t>Correlation</t>
  </si>
  <si>
    <t>PPIQ_Chapter4_Specific_Technical_Function_Description_v4.11.1.md §36.4 Naming discipline, ruled</t>
  </si>
  <si>
    <t>Reference classification row; reconcile with the actual registry. Not automatically another independent draggable block.</t>
  </si>
  <si>
    <t>TB-074</t>
  </si>
  <si>
    <t>TB-075</t>
  </si>
  <si>
    <t>Deep analysis</t>
  </si>
  <si>
    <t>TB-076</t>
  </si>
  <si>
    <t>Anomaly</t>
  </si>
  <si>
    <t>TB-077</t>
  </si>
  <si>
    <t>Similarity / fingerprint</t>
  </si>
  <si>
    <t>TB-078</t>
  </si>
  <si>
    <t>Supervised prediction</t>
  </si>
  <si>
    <t>TB-079</t>
  </si>
  <si>
    <t>TB-080</t>
  </si>
  <si>
    <t>Remediation search</t>
  </si>
  <si>
    <t>TB-081</t>
  </si>
  <si>
    <t>Scenario</t>
  </si>
  <si>
    <t>TB-082</t>
  </si>
  <si>
    <t>INS-01</t>
  </si>
  <si>
    <t>Property inspector</t>
  </si>
  <si>
    <t>Source</t>
  </si>
  <si>
    <t>PPIQ_Chapter4_Specific_Technical_Function_Description_v4.11.1.md §5.2.17 Per-block property inspectors</t>
  </si>
  <si>
    <t>Schema, table (typed pickers), row estimate, column checklist with types, sample toggle | Validation: Table must be registered; at least one column | Preview: First 20 rows</t>
  </si>
  <si>
    <t>INS-02</t>
  </si>
  <si>
    <t>Type (inner/left/right/full), **ordered key-pair rows** with add and reorder, grain on both sides, cardinality (declared, then observed after preview), **attribution rule when grain converts**, weight expression | Validation: `TR08` incomplete or unordered members; `TR09` conversion without attribution; `TR10` weights cannot sum to one; observed cardinality contradicting declared is a warning | Preview: Row counts in, out and expansion factor; **a fan-out warning when output exceeds either input**</t>
  </si>
  <si>
    <t>INS-03</t>
  </si>
  <si>
    <t>Expression (opens 5.2.16), null handling, case sensitivity | Validation: Return type must be boolean | Preview: Rows in, rows out, percentage removed; a warning above 95 percent removal</t>
  </si>
  <si>
    <t>INS-04</t>
  </si>
  <si>
    <t>Column checklist, rename pairs, output order | Validation: At least one column; no duplicate output name | Preview: Output schema</t>
  </si>
  <si>
    <t>INS-05</t>
  </si>
  <si>
    <t>Group keys (multi), aggregate rows: function, column, alias | Validation: An aggregate over a grouped key; a non-aggregated column not in the keys | Preview: Group count and the largest group size</t>
  </si>
  <si>
    <t>INS-06</t>
  </si>
  <si>
    <t>Name, expression (opens 5.2.16), declared type, unit | Validation: Name collision; type mismatch; unit mismatch inside arithmetic | Preview: The column beside its inputs</t>
  </si>
  <si>
    <t>INS-07</t>
  </si>
  <si>
    <t>Sort / Limit</t>
  </si>
  <si>
    <t>Column, direction, n | Validation: n within the absolute cap | Preview: -</t>
  </si>
  <si>
    <t>INS-08</t>
  </si>
  <si>
    <t>Second input, column alignment map | Validation: Arity and type compatibility per aligned pair | Preview: Combined count</t>
  </si>
  <si>
    <t>INS-09</t>
  </si>
  <si>
    <t>Output to canonical</t>
  </si>
  <si>
    <t>Target entity (typed picker), field map rows, `const:` literals, provenance columns (read-only, shown) | Validation: Required target field unmapped; type mismatch; the fifteen `PV` classes previewed | Preview: **The projected error profile from the pre-flight sample**, grouped by code</t>
  </si>
  <si>
    <t>INS-10</t>
  </si>
  <si>
    <t>Statistical method</t>
  </si>
  <si>
    <t>Method, outcome, factor set, window, stratification dimensions, method-auto toggle | Validation: `ST01` to `ST06`; sample-size precondition checked before run | Preview: Population size, and the readiness verdict inline</t>
  </si>
  <si>
    <t>INS-11</t>
  </si>
  <si>
    <t>Model</t>
  </si>
  <si>
    <t>T-246; T-248</t>
  </si>
  <si>
    <t>Algorithm, feature set version, split strategy, missing-value policy, scaling, hyperparameters, acceptance floor | Validation: `ML01` to `ML07`; a random split on time-ordered data warns | Preview: Train and validation row counts, and the overlap count which must be zero</t>
  </si>
  <si>
    <t>INS-12</t>
  </si>
  <si>
    <t>Model version, scope rule, batch size, latency budget, trigger kind | Validation: `PD01` schema mismatch with counts; `PD02` no active model | Preview: Units in scope, and an estimated duration range</t>
  </si>
  <si>
    <t>INS-13</t>
  </si>
  <si>
    <t>Outcome, horizon stage, risk banding thresholds, confidence display | Validation: Horizon stage must exist on the route; banding must be monotonic | Preview: Distribution of scores on a sample</t>
  </si>
  <si>
    <t>INS-14</t>
  </si>
  <si>
    <t>Comparable-condition rule, candidate practice set, **minimum support**, expected-effect measure, limitations text | Validation: Minimum support below the floor is refused; a proposed stage after the horizon is refused | Preview: Candidate count, and how many pass support</t>
  </si>
  <si>
    <t>INS-15</t>
  </si>
  <si>
    <t>Alert condition</t>
  </si>
  <si>
    <t>Parameter, comparator, limit or limit source (specification or operating limit), severity, message template with tokens | Validation: Comparator outside the set; a template token that does not resolve | Preview: The message rendered with sample values</t>
  </si>
  <si>
    <t>INS-16</t>
  </si>
  <si>
    <t>Action kind (log, notify, route), channel, recipients, dedup window | Validation: `AR01` no recipient | Preview: Rendered notification</t>
  </si>
  <si>
    <t>S1-Block</t>
  </si>
  <si>
    <t>Authoring / expression frame</t>
  </si>
  <si>
    <t>Transformation — Block mode</t>
  </si>
  <si>
    <t>T-243; T-244; T-245; T-248</t>
  </si>
  <si>
    <t>Chapter 4 v4.11.1 §5.2 / §5.5 / §5.6 (exact owning clause to be confirmed per frame)</t>
  </si>
  <si>
    <t>Per-purpose schema/toolbox/permission and representability; SQL diagnostic positions and read-only bounded preview; stable definitions; no SQL/RTL corruption.</t>
  </si>
  <si>
    <t>EXACT SUBSECTION REQUIRED</t>
  </si>
  <si>
    <t>S1-SQL</t>
  </si>
  <si>
    <t>Transformation — SQL mode</t>
  </si>
  <si>
    <t>S2-Block</t>
  </si>
  <si>
    <t>Widget / query — Block mode</t>
  </si>
  <si>
    <t>S2-SQL</t>
  </si>
  <si>
    <t>Widget / query — SQL mode</t>
  </si>
  <si>
    <t>S3-Block</t>
  </si>
  <si>
    <t>Analysis — Block mode</t>
  </si>
  <si>
    <t>S3-SQL</t>
  </si>
  <si>
    <t>Analysis — SQL mode</t>
  </si>
  <si>
    <t>S4-Block</t>
  </si>
  <si>
    <t>Model / features — Block mode</t>
  </si>
  <si>
    <t>S4-SQL</t>
  </si>
  <si>
    <t>Model / features — SQL mode</t>
  </si>
  <si>
    <t>S5-Block</t>
  </si>
  <si>
    <t>Rule / alert — Block mode</t>
  </si>
  <si>
    <t>S5-SQL</t>
  </si>
  <si>
    <t>Rule / alert — SQL mode</t>
  </si>
  <si>
    <t>EXPR-01</t>
  </si>
  <si>
    <t>Expression editor — typed row context</t>
  </si>
  <si>
    <t>EXPR-ITEM-01</t>
  </si>
  <si>
    <t>Expression vocabulary entry</t>
  </si>
  <si>
    <t>+</t>
  </si>
  <si>
    <t>T-243; T-244; T-248</t>
  </si>
  <si>
    <t>Chapter 4 v4.11.1 §5.2.16 (verify applicable grammar for each purpose)</t>
  </si>
  <si>
    <t>Typed expression configuration inside the containing block; operator/function legality and named refusal; not a second arithmetic board.</t>
  </si>
  <si>
    <t>EXPR-ITEM-02</t>
  </si>
  <si>
    <t>−</t>
  </si>
  <si>
    <t>EXPR-ITEM-03</t>
  </si>
  <si>
    <t>×</t>
  </si>
  <si>
    <t>EXPR-ITEM-04</t>
  </si>
  <si>
    <t>÷</t>
  </si>
  <si>
    <t>EXPR-ITEM-05</t>
  </si>
  <si>
    <t>=</t>
  </si>
  <si>
    <t>EXPR-ITEM-06</t>
  </si>
  <si>
    <t>&lt;&gt;</t>
  </si>
  <si>
    <t>EXPR-ITEM-07</t>
  </si>
  <si>
    <t>&gt;</t>
  </si>
  <si>
    <t>EXPR-ITEM-08</t>
  </si>
  <si>
    <t>&gt;=</t>
  </si>
  <si>
    <t>EXPR-ITEM-09</t>
  </si>
  <si>
    <t>&lt;</t>
  </si>
  <si>
    <t>EXPR-ITEM-10</t>
  </si>
  <si>
    <t>&lt;=</t>
  </si>
  <si>
    <t>EXPR-ITEM-11</t>
  </si>
  <si>
    <t>AND</t>
  </si>
  <si>
    <t>EXPR-ITEM-12</t>
  </si>
  <si>
    <t>OR</t>
  </si>
  <si>
    <t>EXPR-ITEM-13</t>
  </si>
  <si>
    <t>NOT</t>
  </si>
  <si>
    <t>EXPR-ITEM-14</t>
  </si>
  <si>
    <t>IF / ELSE</t>
  </si>
  <si>
    <t>EXPR-ITEM-15</t>
  </si>
  <si>
    <t>IS NULL</t>
  </si>
  <si>
    <t>EXPR-ITEM-16</t>
  </si>
  <si>
    <t>LIKE</t>
  </si>
  <si>
    <t>EXPR-ITEM-17</t>
  </si>
  <si>
    <t>IN</t>
  </si>
  <si>
    <t>EXPR-ITEM-18</t>
  </si>
  <si>
    <t>BETWEEN</t>
  </si>
  <si>
    <t>EXPR-ITEM-19</t>
  </si>
  <si>
    <t>COALESCE</t>
  </si>
  <si>
    <t>EXPR-ITEM-20</t>
  </si>
  <si>
    <t>ROUND</t>
  </si>
  <si>
    <t>EXPR-ITEM-21</t>
  </si>
  <si>
    <t>ABS</t>
  </si>
  <si>
    <t>EXPR-ITEM-22</t>
  </si>
  <si>
    <t>Date arithmetic</t>
  </si>
  <si>
    <t>OPC-UX-01</t>
  </si>
  <si>
    <t>Missing OPC workflow design</t>
  </si>
  <si>
    <t>Profile and trusted/rejected session</t>
  </si>
  <si>
    <t>T-224; T-113</t>
  </si>
  <si>
    <t>Chapter 2/6 OPC boundary; Chapter 3 B1; existing T-224..T-226 contracts</t>
  </si>
  <si>
    <t>MISSING — to author</t>
  </si>
  <si>
    <t>MISSING DESIGN — T-266 OWNS</t>
  </si>
  <si>
    <t>endpoint, policy, certificate reference, authentication, source identity, connection test</t>
  </si>
  <si>
    <t>EXACT CLAUSE REQUIRED BEFORE ACCEPTANCE</t>
  </si>
  <si>
    <t>OPC-UX-02</t>
  </si>
  <si>
    <t>Browse, tag select and registration</t>
  </si>
  <si>
    <t>Chapter 2/6 OPC boundary; Chapter 3 B2; existing T-224..T-226 contracts</t>
  </si>
  <si>
    <t>namespace/node tree, type, tag identity, selection, bounded discovery, register</t>
  </si>
  <si>
    <t>OPC-UX-03</t>
  </si>
  <si>
    <t>Bounded read and subscription</t>
  </si>
  <si>
    <t>Chapter 2/6 OPC boundary; Chapter 3 B3; existing T-224..T-226 contracts</t>
  </si>
  <si>
    <t>sampling/publishing/deadband, budget/invalid settings, monitored items</t>
  </si>
  <si>
    <t>OPC-UX-04</t>
  </si>
  <si>
    <t>Quality and source-time inspection</t>
  </si>
  <si>
    <t>T-226; T-233</t>
  </si>
  <si>
    <t>Chapter 2/6 OPC boundary; Chapter 3 B4; existing T-224..T-226 contracts</t>
  </si>
  <si>
    <t>StatusCode and Good/Bad/Uncertain; source/server/ingested timestamps; gaps</t>
  </si>
  <si>
    <t>OPC-UX-05</t>
  </si>
  <si>
    <t>Disconnect, spool and replay</t>
  </si>
  <si>
    <t>buffer depth, outage, replay cursor/acknowledgement, duplicates and sequence loss</t>
  </si>
  <si>
    <t>OPC-UX-06</t>
  </si>
  <si>
    <t>Capability/permission/refusal</t>
  </si>
  <si>
    <t>Chapter 2/6 OPC boundary; Chapter 3 B6; existing T-224..T-226 contracts</t>
  </si>
  <si>
    <t>separate current unavailable versus target commissioned; no flip of runtime flags</t>
  </si>
  <si>
    <t>Control review ID</t>
  </si>
  <si>
    <t>Parent</t>
  </si>
  <si>
    <t>Chapter control text</t>
  </si>
  <si>
    <t>Position / reachability</t>
  </si>
  <si>
    <t>Enabled / condition</t>
  </si>
  <si>
    <t>Trace state</t>
  </si>
  <si>
    <t>Acceptance requirement</t>
  </si>
  <si>
    <t>A1/CTRL-01</t>
  </si>
  <si>
    <t>Username</t>
  </si>
  <si>
    <t>`StandardInput`</t>
  </si>
  <si>
    <t>card, first</t>
  </si>
  <si>
    <t>always</t>
  </si>
  <si>
    <t>PENDING SEMANTIC TRACE</t>
  </si>
  <si>
    <t>Frame/state/node + action/outcome proof required</t>
  </si>
  <si>
    <t>A1/CTRL-02</t>
  </si>
  <si>
    <t>Password</t>
  </si>
  <si>
    <t>`StandardInput type=password`</t>
  </si>
  <si>
    <t>card, second</t>
  </si>
  <si>
    <t>A1/CTRL-03</t>
  </si>
  <si>
    <t>Sign in</t>
  </si>
  <si>
    <t>primary button</t>
  </si>
  <si>
    <t>card footer, full width</t>
  </si>
  <si>
    <t>both fields non-empty</t>
  </si>
  <si>
    <t>A1/CTRL-04</t>
  </si>
  <si>
    <t>Second factor code</t>
  </si>
  <si>
    <t>replaces form after step 1</t>
  </si>
  <si>
    <t>challenge issued</t>
  </si>
  <si>
    <t>A1/CTRL-05</t>
  </si>
  <si>
    <t>Language</t>
  </si>
  <si>
    <t>select</t>
  </si>
  <si>
    <t>block-end</t>
  </si>
  <si>
    <t>A2/CTRL-01</t>
  </si>
  <si>
    <t>Journey rail node</t>
  </si>
  <si>
    <t>link chip</t>
  </si>
  <si>
    <t>rail</t>
  </si>
  <si>
    <t>node's page permitted</t>
  </si>
  <si>
    <t>A2/CTRL-02</t>
  </si>
  <si>
    <t>Stat tile</t>
  </si>
  <si>
    <t>`StandardStatGrid` cell</t>
  </si>
  <si>
    <t>grid</t>
  </si>
  <si>
    <t>A2/CTRL-03</t>
  </si>
  <si>
    <t>Readiness dimension bar</t>
  </si>
  <si>
    <t>progress bar</t>
  </si>
  <si>
    <t>inline-start column</t>
  </si>
  <si>
    <t>gate evaluated</t>
  </si>
  <si>
    <t>A2/CTRL-04</t>
  </si>
  <si>
    <t>Finding row</t>
  </si>
  <si>
    <t>link</t>
  </si>
  <si>
    <t>inline-end column</t>
  </si>
  <si>
    <t>findings exist</t>
  </si>
  <si>
    <t>A2/CTRL-05</t>
  </si>
  <si>
    <t>Refresh</t>
  </si>
  <si>
    <t>secondary</t>
  </si>
  <si>
    <t>header inline-end</t>
  </si>
  <si>
    <t>B1/CTRL-01</t>
  </si>
  <si>
    <t>secondary, `RefreshCw`</t>
  </si>
  <si>
    <t>layout header, inline-end</t>
  </si>
  <si>
    <t>B1/CTRL-02</t>
  </si>
  <si>
    <t>New Connection Profile</t>
  </si>
  <si>
    <t>primary, `Plus`</t>
  </si>
  <si>
    <t>panel 1 header, inline-end</t>
  </si>
  <si>
    <t>LIST mode</t>
  </si>
  <si>
    <t>B1/CTRL-03</t>
  </si>
  <si>
    <t>Back</t>
  </si>
  <si>
    <t>panel 1 header, inline-start</t>
  </si>
  <si>
    <t>FORM mode</t>
  </si>
  <si>
    <t>B1/CTRL-04</t>
  </si>
  <si>
    <t>Name / Code / Host / Port / Database / Schema / Username</t>
  </si>
  <si>
    <t>form grid, two columns</t>
  </si>
  <si>
    <t>B1/CTRL-05</t>
  </si>
  <si>
    <t>form grid</t>
  </si>
  <si>
    <t>B1/CTRL-06</t>
  </si>
  <si>
    <t>Provider type</t>
  </si>
  <si>
    <t>`StandardSelect`</t>
  </si>
  <si>
    <t>provider types loaded</t>
  </si>
  <si>
    <t>B1/CTRL-07</t>
  </si>
  <si>
    <t>Source system tag</t>
  </si>
  <si>
    <t>B1/CTRL-08</t>
  </si>
  <si>
    <t>File path</t>
  </si>
  <si>
    <t>provider is file-based</t>
  </si>
  <si>
    <t>B1/CTRL-09</t>
  </si>
  <si>
    <t>Max rows / Timeout / Requests per minute / Approved window</t>
  </si>
  <si>
    <t>`StandardInput`, time pickers</t>
  </si>
  <si>
    <t>budget group</t>
  </si>
  <si>
    <t>B1/CTRL-10</t>
  </si>
  <si>
    <t>Test connection</t>
  </si>
  <si>
    <t>form footer</t>
  </si>
  <si>
    <t>host, database and credentials non-empty</t>
  </si>
  <si>
    <t>B1/CTRL-11</t>
  </si>
  <si>
    <t>Save</t>
  </si>
  <si>
    <t>primary</t>
  </si>
  <si>
    <t>form footer, inline-end</t>
  </si>
  <si>
    <t>client validation passes</t>
  </si>
  <si>
    <t>B1/CTRL-12</t>
  </si>
  <si>
    <t>Row Edit / Test / Activate / Deactivate</t>
  </si>
  <si>
    <t>icon buttons</t>
  </si>
  <si>
    <t>table row, inline-end</t>
  </si>
  <si>
    <t>per row state</t>
  </si>
  <si>
    <t>B2/CTRL-01</t>
  </si>
  <si>
    <t>Connection selector</t>
  </si>
  <si>
    <t>inline-start, block-start</t>
  </si>
  <si>
    <t>profiles exist</t>
  </si>
  <si>
    <t>B2/CTRL-02</t>
  </si>
  <si>
    <t>Tree node expander</t>
  </si>
  <si>
    <t>disclosure</t>
  </si>
  <si>
    <t>tree</t>
  </si>
  <si>
    <t>node has children</t>
  </si>
  <si>
    <t>B2/CTRL-03</t>
  </si>
  <si>
    <t>Register</t>
  </si>
  <si>
    <t>tree row, inline-end</t>
  </si>
  <si>
    <t>a table is selected</t>
  </si>
  <si>
    <t>B2/CTRL-04</t>
  </si>
  <si>
    <t>Unregister</t>
  </si>
  <si>
    <t>registered row</t>
  </si>
  <si>
    <t>row selected</t>
  </si>
  <si>
    <t>B2/CTRL-05</t>
  </si>
  <si>
    <t>Filter tables</t>
  </si>
  <si>
    <t>`StandardInput` search</t>
  </si>
  <si>
    <t>above tree</t>
  </si>
  <si>
    <t>tree loaded</t>
  </si>
  <si>
    <t>B3/CTRL-01</t>
  </si>
  <si>
    <t>Dataset row</t>
  </si>
  <si>
    <t>list item</t>
  </si>
  <si>
    <t>inline-start</t>
  </si>
  <si>
    <t>B3/CTRL-02</t>
  </si>
  <si>
    <t>Column include</t>
  </si>
  <si>
    <t>checkbox per column, plus select-all</t>
  </si>
  <si>
    <t>Columns group</t>
  </si>
  <si>
    <t>dataset selected</t>
  </si>
  <si>
    <t>B3/CTRL-03</t>
  </si>
  <si>
    <t>Business key</t>
  </si>
  <si>
    <t>multi-select of columns</t>
  </si>
  <si>
    <t>Business key group</t>
  </si>
  <si>
    <t>B3/CTRL-04</t>
  </si>
  <si>
    <t>Watermark column</t>
  </si>
  <si>
    <t>`StandardSelect` of orderable columns only</t>
  </si>
  <si>
    <t>Watermark group</t>
  </si>
  <si>
    <t>B3/CTRL-05</t>
  </si>
  <si>
    <t>Save preparation</t>
  </si>
  <si>
    <t>footer, inline-end</t>
  </si>
  <si>
    <t>at least one column included</t>
  </si>
  <si>
    <t>B4/CTRL-01</t>
  </si>
  <si>
    <t>Run due imports</t>
  </si>
  <si>
    <t>batch card header</t>
  </si>
  <si>
    <t>at least one dataset is due</t>
  </si>
  <si>
    <t>B4/CTRL-02</t>
  </si>
  <si>
    <t>Batch row expander</t>
  </si>
  <si>
    <t>batch table</t>
  </si>
  <si>
    <t>B4/CTRL-03</t>
  </si>
  <si>
    <t>Re-run batch</t>
  </si>
  <si>
    <t>expanded row</t>
  </si>
  <si>
    <t>batch is terminal</t>
  </si>
  <si>
    <t>B4/CTRL-04</t>
  </si>
  <si>
    <t>Mapping selector</t>
  </si>
  <si>
    <t>schedule card</t>
  </si>
  <si>
    <t>mappings exist</t>
  </si>
  <si>
    <t>B4/CTRL-05</t>
  </si>
  <si>
    <t>Interval minutes</t>
  </si>
  <si>
    <t>`StandardInput` numeric, default 15</t>
  </si>
  <si>
    <t>mapping selected</t>
  </si>
  <si>
    <t>B4/CTRL-06</t>
  </si>
  <si>
    <t>Save schedule</t>
  </si>
  <si>
    <t>schedule card footer</t>
  </si>
  <si>
    <t>interval valid</t>
  </si>
  <si>
    <t>B5/CTRL-01</t>
  </si>
  <si>
    <t>Family / Status / Time filter</t>
  </si>
  <si>
    <t>filter bar</t>
  </si>
  <si>
    <t>B5/CTRL-02</t>
  </si>
  <si>
    <t>Run now</t>
  </si>
  <si>
    <t>primary small</t>
  </si>
  <si>
    <t>row, inline-end</t>
  </si>
  <si>
    <t>job runnable and not running</t>
  </si>
  <si>
    <t>B5/CTRL-03</t>
  </si>
  <si>
    <t>Pause / Resume</t>
  </si>
  <si>
    <t>secondary small</t>
  </si>
  <si>
    <t>per state</t>
  </si>
  <si>
    <t>B5/CTRL-04</t>
  </si>
  <si>
    <t>Cancel</t>
  </si>
  <si>
    <t>destructive small</t>
  </si>
  <si>
    <t>job running</t>
  </si>
  <si>
    <t>B5/CTRL-05</t>
  </si>
  <si>
    <t>Status pill</t>
  </si>
  <si>
    <t>`StatusPill`</t>
  </si>
  <si>
    <t>Status column</t>
  </si>
  <si>
    <t>B6/CTRL-PROSE</t>
  </si>
  <si>
    <t>Filter by state; export the matrix. No mutating control exists on this page by design.</t>
  </si>
  <si>
    <t>Source prose</t>
  </si>
  <si>
    <t>See source</t>
  </si>
  <si>
    <t>PENDING DECOMPOSITION</t>
  </si>
  <si>
    <t>Split prose obligations into controls; do not count zero controls.</t>
  </si>
  <si>
    <t>C1/CTRL-01</t>
  </si>
  <si>
    <t>Mode toggle Block / SQL</t>
  </si>
  <si>
    <t>segmented control</t>
  </si>
  <si>
    <t>block-start, inline-start</t>
  </si>
  <si>
    <t>SQL requires tier and role</t>
  </si>
  <si>
    <t>C1/CTRL-02</t>
  </si>
  <si>
    <t>Zoom in / out / **Zoom fit** / **Arrange**</t>
  </si>
  <si>
    <t>canvas toolbar</t>
  </si>
  <si>
    <t>board has nodes</t>
  </si>
  <si>
    <t>C1/CTRL-03</t>
  </si>
  <si>
    <t>Validity indicator</t>
  </si>
  <si>
    <t>badge</t>
  </si>
  <si>
    <t>beside Run</t>
  </si>
  <si>
    <t>C1/CTRL-04</t>
  </si>
  <si>
    <t>Preview (dry-run)</t>
  </si>
  <si>
    <t>toolbar inline-end</t>
  </si>
  <si>
    <t>graph valid</t>
  </si>
  <si>
    <t>C1/CTRL-05</t>
  </si>
  <si>
    <t>Compiled SQL</t>
  </si>
  <si>
    <t>C1/CTRL-06</t>
  </si>
  <si>
    <t>Publish version</t>
  </si>
  <si>
    <t>graph valid and previewed</t>
  </si>
  <si>
    <t>C1/CTRL-07</t>
  </si>
  <si>
    <t>Export / Import definition</t>
  </si>
  <si>
    <t>toolbar overflow</t>
  </si>
  <si>
    <t>always / always</t>
  </si>
  <si>
    <t>C1/CTRL-08</t>
  </si>
  <si>
    <t>Node status badge</t>
  </si>
  <si>
    <t>badge on node</t>
  </si>
  <si>
    <t>each node</t>
  </si>
  <si>
    <t>C1/CTRL-09</t>
  </si>
  <si>
    <t>Node inspector fields</t>
  </si>
  <si>
    <t>typed controls fed from live schema</t>
  </si>
  <si>
    <t>inline-end when a node is selected</t>
  </si>
  <si>
    <t>node selected</t>
  </si>
  <si>
    <t>C1/CTRL-10</t>
  </si>
  <si>
    <t>Debug log severity filter</t>
  </si>
  <si>
    <t>segmented</t>
  </si>
  <si>
    <t>log header</t>
  </si>
  <si>
    <t>log has entries</t>
  </si>
  <si>
    <t>C2/CTRL-01</t>
  </si>
  <si>
    <t>Time range</t>
  </si>
  <si>
    <t>header</t>
  </si>
  <si>
    <t>C2/CTRL-02</t>
  </si>
  <si>
    <t>Re-validate</t>
  </si>
  <si>
    <t>a definition is selected</t>
  </si>
  <si>
    <t>C2/CTRL-03</t>
  </si>
  <si>
    <t>Open in Studio</t>
  </si>
  <si>
    <t>link per row</t>
  </si>
  <si>
    <t>mapping row</t>
  </si>
  <si>
    <t>C2/CTRL-04</t>
  </si>
  <si>
    <t>Acknowledge drift</t>
  </si>
  <si>
    <t>drift row</t>
  </si>
  <si>
    <t>drift unacknowledged</t>
  </si>
  <si>
    <t>C2/CTRL-05</t>
  </si>
  <si>
    <t>Quarantine group expander</t>
  </si>
  <si>
    <t>disclosure per error code, with count and examples</t>
  </si>
  <si>
    <t>quarantine section</t>
  </si>
  <si>
    <t>quarantined rows exist</t>
  </si>
  <si>
    <t>C2/CTRL-06</t>
  </si>
  <si>
    <t>**Reprocess quarantined**</t>
  </si>
  <si>
    <t>primary, **confirmed**</t>
  </si>
  <si>
    <t>quarantine section header</t>
  </si>
  <si>
    <t>unresolved quarantined rows exist for the selected definition version</t>
  </si>
  <si>
    <t>C2/CTRL-07</t>
  </si>
  <si>
    <t>Dismiss row</t>
  </si>
  <si>
    <t>destructive small, confirmed, **reason required**</t>
  </si>
  <si>
    <t>quarantine example row</t>
  </si>
  <si>
    <t>C2/CTRL-08</t>
  </si>
  <si>
    <t>Export quarantine</t>
  </si>
  <si>
    <t>rows present</t>
  </si>
  <si>
    <t>C3/CTRL-PROSE</t>
  </si>
  <si>
    <t>Class / Source / Severity filters; Run scan (primary); Export (secondary); Open the affected dataset (link).</t>
  </si>
  <si>
    <t>C4/CTRL-PROSE</t>
  </si>
  <si>
    <t>Tree expanders; search; Show unmapped only (toggle); Open in Genealogy (link where a unit is selected).</t>
  </si>
  <si>
    <t>C5/CTRL-01</t>
  </si>
  <si>
    <t>Search unit</t>
  </si>
  <si>
    <t>C5/CTRL-02</t>
  </si>
  <si>
    <t>Direction toggle back / forward / both</t>
  </si>
  <si>
    <t>graph header</t>
  </si>
  <si>
    <t>graph loaded</t>
  </si>
  <si>
    <t>C5/CTRL-03</t>
  </si>
  <si>
    <t>Depth</t>
  </si>
  <si>
    <t>stepper</t>
  </si>
  <si>
    <t>C5/CTRL-04</t>
  </si>
  <si>
    <t>Edge weight badge</t>
  </si>
  <si>
    <t>each edge</t>
  </si>
  <si>
    <t>weight present</t>
  </si>
  <si>
    <t>C5/CTRL-05</t>
  </si>
  <si>
    <t>Drill to source rows</t>
  </si>
  <si>
    <t>link per node</t>
  </si>
  <si>
    <t>node detail</t>
  </si>
  <si>
    <t>provenance present</t>
  </si>
  <si>
    <t>C5/CTRL-06</t>
  </si>
  <si>
    <t>Open in Workspace</t>
  </si>
  <si>
    <t>C6/CTRL-01</t>
  </si>
  <si>
    <t>Entity search</t>
  </si>
  <si>
    <t>C6/CTRL-02</t>
  </si>
  <si>
    <t>State filter: all / validated / unproven / ambiguous / superseded</t>
  </si>
  <si>
    <t>C6/CTRL-03</t>
  </si>
  <si>
    <t>Graph node</t>
  </si>
  <si>
    <t>selectable</t>
  </si>
  <si>
    <t>centre</t>
  </si>
  <si>
    <t>C6/CTRL-04</t>
  </si>
  <si>
    <t>Preferred-path badge</t>
  </si>
  <si>
    <t>on the edge</t>
  </si>
  <si>
    <t>a preferred path exists</t>
  </si>
  <si>
    <t>C6/CTRL-05</t>
  </si>
  <si>
    <t>Ambiguity badge</t>
  </si>
  <si>
    <t>two equally valid paths</t>
  </si>
  <si>
    <t>C6/CTRL-06</t>
  </si>
  <si>
    <t>Member list</t>
  </si>
  <si>
    <t>read-only ordered rows</t>
  </si>
  <si>
    <t>detail panel</t>
  </si>
  <si>
    <t>relationship selected</t>
  </si>
  <si>
    <t>C6/CTRL-07</t>
  </si>
  <si>
    <t>Grain, cardinality, attribution rule</t>
  </si>
  <si>
    <t>read-only fields</t>
  </si>
  <si>
    <t>C6/CTRL-08</t>
  </si>
  <si>
    <t>Validate against data</t>
  </si>
  <si>
    <t>validationState is unproven</t>
  </si>
  <si>
    <t>C6/CTRL-09</t>
  </si>
  <si>
    <t>Set preferred path</t>
  </si>
  <si>
    <t>secondary, confirmed</t>
  </si>
  <si>
    <t>ambiguityState is ambiguous</t>
  </si>
  <si>
    <t>C6/CTRL-10</t>
  </si>
  <si>
    <t>Open source definition</t>
  </si>
  <si>
    <t>C6/CTRL-11</t>
  </si>
  <si>
    <t>Path finder: from / to</t>
  </si>
  <si>
    <t>two selects plus Find</t>
  </si>
  <si>
    <t>two entities chosen</t>
  </si>
  <si>
    <t>C6/CTRL-12</t>
  </si>
  <si>
    <t>Retire relationship</t>
  </si>
  <si>
    <t>destructive, confirmed</t>
  </si>
  <si>
    <t>Administrator, and no active dependent</t>
  </si>
  <si>
    <t>D1/CTRL-01</t>
  </si>
  <si>
    <t>Sheet selector</t>
  </si>
  <si>
    <t>more than one sheet</t>
  </si>
  <si>
    <t>D1/CTRL-02</t>
  </si>
  <si>
    <t>Filter bar field</t>
  </si>
  <si>
    <t>dropdown per field</t>
  </si>
  <si>
    <t>field is filterable</t>
  </si>
  <si>
    <t>D1/CTRL-03</t>
  </si>
  <si>
    <t>Clear all</t>
  </si>
  <si>
    <t>selections bar, inline-end</t>
  </si>
  <si>
    <t>a selection exists</t>
  </si>
  <si>
    <t>D1/CTRL-04</t>
  </si>
  <si>
    <t>Selection chip</t>
  </si>
  <si>
    <t>removable chip</t>
  </si>
  <si>
    <t>selections bar</t>
  </si>
  <si>
    <t>per selection</t>
  </si>
  <si>
    <t>D1/CTRL-05</t>
  </si>
  <si>
    <t>Card hover tools: maximise, collapse, export, clone, remove, edit</t>
  </si>
  <si>
    <t>card header, inline-end</t>
  </si>
  <si>
    <t>per permission</t>
  </si>
  <si>
    <t>D1/CTRL-06</t>
  </si>
  <si>
    <t>Chart-type switcher</t>
  </si>
  <si>
    <t>select on card</t>
  </si>
  <si>
    <t>card header</t>
  </si>
  <si>
    <t>server registry accepts the type for this binding</t>
  </si>
  <si>
    <t>D1/CTRL-07</t>
  </si>
  <si>
    <t>Save layout / Reset layout</t>
  </si>
  <si>
    <t>primary / secondary</t>
  </si>
  <si>
    <t>layout dirty</t>
  </si>
  <si>
    <t>D1/CTRL-08</t>
  </si>
  <si>
    <t>Edit mode toggle</t>
  </si>
  <si>
    <t>edit permission</t>
  </si>
  <si>
    <t>D2/CTRL-01</t>
  </si>
  <si>
    <t>Create page</t>
  </si>
  <si>
    <t>inline-start header</t>
  </si>
  <si>
    <t>quota not exhausted</t>
  </si>
  <si>
    <t>D2/CTRL-02</t>
  </si>
  <si>
    <t>Add widget</t>
  </si>
  <si>
    <t>preview header</t>
  </si>
  <si>
    <t>page selected, quota available</t>
  </si>
  <si>
    <t>D2/CTRL-03</t>
  </si>
  <si>
    <t>Kind picker: chart, table, KPI, calculated label, calendar filter, filter</t>
  </si>
  <si>
    <t>tile picker</t>
  </si>
  <si>
    <t>modal step 1</t>
  </si>
  <si>
    <t>Add widget pressed</t>
  </si>
  <si>
    <t>D2/CTRL-04</t>
  </si>
  <si>
    <t>Widget name</t>
  </si>
  <si>
    <t>modal step 2</t>
  </si>
  <si>
    <t>kind chosen</t>
  </si>
  <si>
    <t>D2/CTRL-05</t>
  </si>
  <si>
    <t>Binding mode: Catalogue / Query</t>
  </si>
  <si>
    <t>shell, block-start</t>
  </si>
  <si>
    <t>always; Query needs Pro and role</t>
  </si>
  <si>
    <t>D2/CTRL-06</t>
  </si>
  <si>
    <t>Chart type / Dimension / Measure</t>
  </si>
  <si>
    <t>shell, catalogue mode</t>
  </si>
  <si>
    <t>catalogue mode</t>
  </si>
  <si>
    <t>D2/CTRL-07</t>
  </si>
  <si>
    <t>Query editor</t>
  </si>
  <si>
    <t>monospace editor, IBM Plex Mono</t>
  </si>
  <si>
    <t>shell, query mode</t>
  </si>
  <si>
    <t>query mode</t>
  </si>
  <si>
    <t>D2/CTRL-08</t>
  </si>
  <si>
    <t>Run test</t>
  </si>
  <si>
    <t>shell footer</t>
  </si>
  <si>
    <t>query non-empty</t>
  </si>
  <si>
    <t>D2/CTRL-09</t>
  </si>
  <si>
    <t>Result columns to axes</t>
  </si>
  <si>
    <t>mapping rows</t>
  </si>
  <si>
    <t>shell, after Run test</t>
  </si>
  <si>
    <t>test returned columns</t>
  </si>
  <si>
    <t>D2/CTRL-10</t>
  </si>
  <si>
    <t>Saved filter</t>
  </si>
  <si>
    <t>filter rows</t>
  </si>
  <si>
    <t>shell</t>
  </si>
  <si>
    <t>D2/CTRL-11</t>
  </si>
  <si>
    <t>Preview</t>
  </si>
  <si>
    <t>binding valid</t>
  </si>
  <si>
    <t>D2/CTRL-12</t>
  </si>
  <si>
    <t>shell footer, inline-end</t>
  </si>
  <si>
    <t>D3/CTRL-01</t>
  </si>
  <si>
    <t>New definition</t>
  </si>
  <si>
    <t>quota available</t>
  </si>
  <si>
    <t>D3/CTRL-02</t>
  </si>
  <si>
    <t>Outcome / Grain / Window blocks</t>
  </si>
  <si>
    <t>selects fed from `definition-options`</t>
  </si>
  <si>
    <t>options loaded</t>
  </si>
  <si>
    <t>D3/CTRL-03</t>
  </si>
  <si>
    <t>Method</t>
  </si>
  <si>
    <t>`StandardSelect` from the method registry</t>
  </si>
  <si>
    <t>outcome and grain chosen</t>
  </si>
  <si>
    <t>D3/CTRL-04</t>
  </si>
  <si>
    <t>Population filters</t>
  </si>
  <si>
    <t>D3/CTRL-05</t>
  </si>
  <si>
    <t>Parity line</t>
  </si>
  <si>
    <t>payload panel</t>
  </si>
  <si>
    <t>payload built</t>
  </si>
  <si>
    <t>D3/CTRL-06</t>
  </si>
  <si>
    <t>Check readiness</t>
  </si>
  <si>
    <t>readiness panel</t>
  </si>
  <si>
    <t>outcome, grain, window chosen</t>
  </si>
  <si>
    <t>D3/CTRL-07</t>
  </si>
  <si>
    <t>Run governed analysis</t>
  </si>
  <si>
    <t>footer inline-end</t>
  </si>
  <si>
    <t>definition valid</t>
  </si>
  <si>
    <t>D3/CTRL-08</t>
  </si>
  <si>
    <t>Save definition</t>
  </si>
  <si>
    <t>footer</t>
  </si>
  <si>
    <t>D4/CTRL-01</t>
  </si>
  <si>
    <t>Outcome / Window / Method / Significance filters</t>
  </si>
  <si>
    <t>D4/CTRL-02</t>
  </si>
  <si>
    <t>Sortable column headers</t>
  </si>
  <si>
    <t>`SortableDataTable`</t>
  </si>
  <si>
    <t>table head</t>
  </si>
  <si>
    <t>D4/CTRL-03</t>
  </si>
  <si>
    <t>Evidence drawer</t>
  </si>
  <si>
    <t>drawer</t>
  </si>
  <si>
    <t>inline-end on row click</t>
  </si>
  <si>
    <t>D4/CTRL-04</t>
  </si>
  <si>
    <t>Drill to population</t>
  </si>
  <si>
    <t>population recorded</t>
  </si>
  <si>
    <t>D4/CTRL-05</t>
  </si>
  <si>
    <t>Export</t>
  </si>
  <si>
    <t>D4/CTRL-06</t>
  </si>
  <si>
    <t>Add to page</t>
  </si>
  <si>
    <t>drawer footer</t>
  </si>
  <si>
    <t>authoring permission</t>
  </si>
  <si>
    <t>D5/CTRL-PROSE</t>
  </si>
  <si>
    <t>Horizon select; risk-class filter; Recalculate (secondary); Open in Genealogy (link); Export.</t>
  </si>
  <si>
    <t>D6/CTRL-PROSE</t>
  </si>
  <si>
    <t>Generate suggestions (primary); Accept / Reject / Defer (per card, Accept primary, Reject Hot Red); Comment (`StandardTextArea`); Open the evidence (link per reference).</t>
  </si>
  <si>
    <t>D7/CTRL-PROSE</t>
  </si>
  <si>
    <t>Period select; Edit cost assumptions (secondary, Administrator only); Drill to rows (link per input); Compare scenario (secondary); Export monthly report (primary).</t>
  </si>
  <si>
    <t>D8/CTRL-01</t>
  </si>
  <si>
    <t>Outcome and grain select</t>
  </si>
  <si>
    <t>registered values exist</t>
  </si>
  <si>
    <t>D8/CTRL-02</t>
  </si>
  <si>
    <t>Readiness cell</t>
  </si>
  <si>
    <t>selectable, measured value against threshold</t>
  </si>
  <si>
    <t>matrix</t>
  </si>
  <si>
    <t>D8/CTRL-03</t>
  </si>
  <si>
    <t>Ensure jobs</t>
  </si>
  <si>
    <t>Data Engineer</t>
  </si>
  <si>
    <t>D8/CTRL-04</t>
  </si>
  <si>
    <t>Train</t>
  </si>
  <si>
    <t>model row</t>
  </si>
  <si>
    <t>a snapshot exists</t>
  </si>
  <si>
    <t>D8/CTRL-05</t>
  </si>
  <si>
    <t>**Activate**</t>
  </si>
  <si>
    <t>primary, confirmed</t>
  </si>
  <si>
    <t>acceptance floor met and schema-compatible</t>
  </si>
  <si>
    <t>D8/CTRL-06</t>
  </si>
  <si>
    <t>Retire model</t>
  </si>
  <si>
    <t>not the only serving version</t>
  </si>
  <si>
    <t>D8/CTRL-07</t>
  </si>
  <si>
    <t>**Serving-role column**</t>
  </si>
  <si>
    <t>badge: **Active**, **Fallback** or **None**</t>
  </si>
  <si>
    <t>model table</t>
  </si>
  <si>
    <t>D8/CTRL-08</t>
  </si>
  <si>
    <t>**Approve as fallback**</t>
  </si>
  <si>
    <t>secondary, **confirmed, justification required**</t>
  </si>
  <si>
    <t>all six fallback conditions currently pass</t>
  </si>
  <si>
    <t>D8/CTRL-09</t>
  </si>
  <si>
    <t>**Remove fallback approval**</t>
  </si>
  <si>
    <t>`serving_role = 'serving_fallback'`</t>
  </si>
  <si>
    <t>D8/CTRL-10</t>
  </si>
  <si>
    <t>**Fallback readiness panel**</t>
  </si>
  <si>
    <t>per condition: approved, lifecycle status, schema compatibility, drift and validity, outcome and grain match, acceptance floor - each pass or fail with its measured basis</t>
  </si>
  <si>
    <t>inline-end when a model is selected</t>
  </si>
  <si>
    <t>D8/CTRL-11</t>
  </si>
  <si>
    <t>**Current fallback summary**</t>
  </si>
  <si>
    <t>the approved fallback version per outcome and grain, its justification, who approved it and when, its validity window</t>
  </si>
  <si>
    <t>header block</t>
  </si>
  <si>
    <t>a fallback is approved</t>
  </si>
  <si>
    <t>D8/CTRL-12</t>
  </si>
  <si>
    <t>**Latency and deadline health**</t>
  </si>
  <si>
    <t>miss rate, median and p95 delivery latency, current scoring mode, per outcome and route</t>
  </si>
  <si>
    <t>predictions exist</t>
  </si>
  <si>
    <t>D8/CTRL-13</t>
  </si>
  <si>
    <t>Label preview refresh</t>
  </si>
  <si>
    <t>inline-end</t>
  </si>
  <si>
    <t>outcome selected</t>
  </si>
  <si>
    <t>D9/CTRL-01</t>
  </si>
  <si>
    <t>Horizon</t>
  </si>
  <si>
    <t>D9/CTRL-02</t>
  </si>
  <si>
    <t>Outcome / risk class / stage filters</t>
  </si>
  <si>
    <t>D9/CTRL-03</t>
  </si>
  <si>
    <t>**Scoring-mode badge**</t>
  </si>
  <si>
    <t>badge with text: Event, Micro-batch or Scheduled</t>
  </si>
  <si>
    <t>D9/CTRL-04</t>
  </si>
  <si>
    <t>**Degraded-mode notice**</t>
  </si>
  <si>
    <t>persistent banner naming the fallback version and reason</t>
  </si>
  <si>
    <t>block-start</t>
  </si>
  <si>
    <t>`fallbackInUse`</t>
  </si>
  <si>
    <t>D9/CTRL-05</t>
  </si>
  <si>
    <t>Queue row</t>
  </si>
  <si>
    <t>selectable row</t>
  </si>
  <si>
    <t>table</t>
  </si>
  <si>
    <t>D9/CTRL-06</t>
  </si>
  <si>
    <t>**Time-remaining column**</t>
  </si>
  <si>
    <t>countdown to `actionableDeadlineUtc`</t>
  </si>
  <si>
    <t>D9/CTRL-07</t>
  </si>
  <si>
    <t>**Past-actionable-stage chip**</t>
  </si>
  <si>
    <t>chip reading "past actionable stage - historical evidence"</t>
  </si>
  <si>
    <t>table row and drawer</t>
  </si>
  <si>
    <t>`isPastActionableStage`</t>
  </si>
  <si>
    <t>D9/CTRL-08</t>
  </si>
  <si>
    <t>Driver bar</t>
  </si>
  <si>
    <t>horizontal bar per driver, with current value against normal range</t>
  </si>
  <si>
    <t>unit selected</t>
  </si>
  <si>
    <t>D9/CTRL-09</t>
  </si>
  <si>
    <t>**Actionable remediation card**</t>
  </si>
  <si>
    <t>card: practice, proposed stage, support, expected-effect interval, limitations, uplift basis</t>
  </si>
  <si>
    <t>drawer, Decision group</t>
  </si>
  <si>
    <t>**`canAccept` is true**</t>
  </si>
  <si>
    <t>D9/CTRL-10</t>
  </si>
  <si>
    <t>**Evidence-only entry**</t>
  </si>
  <si>
    <t>list row reading "observed historical difference - not actionable here", with the failed check named</t>
  </si>
  <si>
    <t>drawer, Investigation group</t>
  </si>
  <si>
    <t>`eligibilityState = evidence_only`</t>
  </si>
  <si>
    <t>D9/CTRL-11</t>
  </si>
  <si>
    <t>**Exploratory entry**</t>
  </si>
  <si>
    <t>list row behind an explicit disclosure, with the uncertainty and the failed check stated, **no accept affordance**</t>
  </si>
  <si>
    <t>`eligibilityState = exploratory`</t>
  </si>
  <si>
    <t>D9/CTRL-12</t>
  </si>
  <si>
    <t>**Show gate evaluation**</t>
  </si>
  <si>
    <t>secondary, opens the nine-check result</t>
  </si>
  <si>
    <t>any candidate selected</t>
  </si>
  <si>
    <t>D9/CTRL-13</t>
  </si>
  <si>
    <t>**Acknowledge**</t>
  </si>
  <si>
    <t>open and unacknowledged, engineer or operator</t>
  </si>
  <si>
    <t>D9/CTRL-14</t>
  </si>
  <si>
    <t>**Assign**</t>
  </si>
  <si>
    <t>secondary, opens assignee and due-stage picker</t>
  </si>
  <si>
    <t>acknowledged, engineer role</t>
  </si>
  <si>
    <t>D9/CTRL-15</t>
  </si>
  <si>
    <t>**Accept**</t>
  </si>
  <si>
    <t>drawer footer, Decision group</t>
  </si>
  <si>
    <t>**`canAccept` is true. Nothing else is tested**</t>
  </si>
  <si>
    <t>D9/CTRL-16</t>
  </si>
  <si>
    <t>**Reject**</t>
  </si>
  <si>
    <t>destructive, confirmed, **reason required**</t>
  </si>
  <si>
    <t>D9/CTRL-17</t>
  </si>
  <si>
    <t>**Defer**</t>
  </si>
  <si>
    <t>secondary, with a return-stage picker</t>
  </si>
  <si>
    <t>D9/CTRL-18</t>
  </si>
  <si>
    <t>**Inspect**</t>
  </si>
  <si>
    <t>secondary, opens the candidate detail</t>
  </si>
  <si>
    <t>any non-actionable candidate</t>
  </si>
  <si>
    <t>D9/CTRL-19</t>
  </si>
  <si>
    <t>**Compare**</t>
  </si>
  <si>
    <t>secondary, opens the comparable cohort</t>
  </si>
  <si>
    <t>D9/CTRL-20</t>
  </si>
  <si>
    <t>**Escalate for investigation**</t>
  </si>
  <si>
    <t>secondary, reason required</t>
  </si>
  <si>
    <t>`evidence_only` or `exploratory`</t>
  </si>
  <si>
    <t>D9/CTRL-21</t>
  </si>
  <si>
    <t>**Record action**</t>
  </si>
  <si>
    <t>primary, opens planned versus actual action, timestamp and process stage</t>
  </si>
  <si>
    <t>decision is accept</t>
  </si>
  <si>
    <t>D9/CTRL-22</t>
  </si>
  <si>
    <t>**View evaluation**</t>
  </si>
  <si>
    <t>link to the prediction evaluation and remediation effectiveness</t>
  </si>
  <si>
    <t>evaluation exists or is pending</t>
  </si>
  <si>
    <t>D9/CTRL-23</t>
  </si>
  <si>
    <t>Open in Genealogy</t>
  </si>
  <si>
    <t>D9/CTRL-24</t>
  </si>
  <si>
    <t>Open the model in D8</t>
  </si>
  <si>
    <t>D10/CTRL-01</t>
  </si>
  <si>
    <t>Outcome select</t>
  </si>
  <si>
    <t>registered outcomes exist</t>
  </si>
  <si>
    <t>D10/CTRL-02</t>
  </si>
  <si>
    <t>Context select</t>
  </si>
  <si>
    <t>`StandardSelect` from registry</t>
  </si>
  <si>
    <t>contexts exist</t>
  </si>
  <si>
    <t>D10/CTRL-03</t>
  </si>
  <si>
    <t>**Match-type filter: All, Exact only, Relaxed only**</t>
  </si>
  <si>
    <t>D10/CTRL-04</t>
  </si>
  <si>
    <t>**Sensitivity filter: All, Stable only, Exclude fragile**</t>
  </si>
  <si>
    <t>D10/CTRL-05</t>
  </si>
  <si>
    <t>**Match-type badge**</t>
  </si>
  <si>
    <t>badge reading **Exact** or **Relaxed (L`&lt;n&gt;`)**</t>
  </si>
  <si>
    <t>every benchmark card and row</t>
  </si>
  <si>
    <t>D10/CTRL-06</t>
  </si>
  <si>
    <t>**Sensitivity badge**</t>
  </si>
  <si>
    <t>badge reading **Stable**, **Fragile** or **Unstable**</t>
  </si>
  <si>
    <t>D10/CTRL-07</t>
  </si>
  <si>
    <t>**Support pair**</t>
  </si>
  <si>
    <t>text `exact &lt;n&gt; / relaxed &lt;m&gt;`</t>
  </si>
  <si>
    <t>benchmark card</t>
  </si>
  <si>
    <t>D10/CTRL-08</t>
  </si>
  <si>
    <t>**Relaxed-dimensions disclosure**</t>
  </si>
  <si>
    <t>expander listing each relaxed dimension, its original and widened tolerance and the rule applied</t>
  </si>
  <si>
    <t>`similarityLevel &gt; 0`</t>
  </si>
  <si>
    <t>D10/CTRL-09</t>
  </si>
  <si>
    <t>**Sensitivity detail**</t>
  </si>
  <si>
    <t>expander showing the band tested and what changed at each end</t>
  </si>
  <si>
    <t>D10/CTRL-10</t>
  </si>
  <si>
    <t>Practice row expander</t>
  </si>
  <si>
    <t>disclosure showing the parameter combination and sequence</t>
  </si>
  <si>
    <t>comparison table</t>
  </si>
  <si>
    <t>D10/CTRL-11</t>
  </si>
  <si>
    <t>Evidence link</t>
  </si>
  <si>
    <t>link to the periods behind the statistic</t>
  </si>
  <si>
    <t>benchmark card and row</t>
  </si>
  <si>
    <t>D10/CTRL-12</t>
  </si>
  <si>
    <t>Drift period select</t>
  </si>
  <si>
    <t>date-range</t>
  </si>
  <si>
    <t>drift panel</t>
  </si>
  <si>
    <t>D10/CTRL-13</t>
  </si>
  <si>
    <t>D11/CTRL-01</t>
  </si>
  <si>
    <t>New scenario</t>
  </si>
  <si>
    <t>D11/CTRL-02</t>
  </si>
  <si>
    <t>Baseline selector</t>
  </si>
  <si>
    <t>`StandardSelect` (period, context or a saved state)</t>
  </si>
  <si>
    <t>variable panel</t>
  </si>
  <si>
    <t>D11/CTRL-03</t>
  </si>
  <si>
    <t>Variable row: include toggle, value or range</t>
  </si>
  <si>
    <t>toggle plus numeric or slider</t>
  </si>
  <si>
    <t>variable registered and model-supported</t>
  </si>
  <si>
    <t>D11/CTRL-04</t>
  </si>
  <si>
    <t>Fixed assumptions</t>
  </si>
  <si>
    <t>read-only list</t>
  </si>
  <si>
    <t>D11/CTRL-05</t>
  </si>
  <si>
    <t>Model version</t>
  </si>
  <si>
    <t>an active model exists</t>
  </si>
  <si>
    <t>D11/CTRL-06</t>
  </si>
  <si>
    <t>Run simulation</t>
  </si>
  <si>
    <t>at least one variable included and all values in range</t>
  </si>
  <si>
    <t>D11/CTRL-07</t>
  </si>
  <si>
    <t>a result exists</t>
  </si>
  <si>
    <t>D11/CTRL-08</t>
  </si>
  <si>
    <t>Compare</t>
  </si>
  <si>
    <t>comparison strip</t>
  </si>
  <si>
    <t>two or more saved scenarios</t>
  </si>
  <si>
    <t>D11/CTRL-09</t>
  </si>
  <si>
    <t>D12/CTRL-01</t>
  </si>
  <si>
    <t>Compare by</t>
  </si>
  <si>
    <t>`StandardSelect` from registry: line, equipment, route, product family, shift or crew where registered, period</t>
  </si>
  <si>
    <t>registered dimensions exist</t>
  </si>
  <si>
    <t>D12/CTRL-02</t>
  </si>
  <si>
    <t>Measure</t>
  </si>
  <si>
    <t>D12/CTRL-03</t>
  </si>
  <si>
    <t>Period and comparison period</t>
  </si>
  <si>
    <t>date-range pair</t>
  </si>
  <si>
    <t>D12/CTRL-04</t>
  </si>
  <si>
    <t>Matrix cell</t>
  </si>
  <si>
    <t>D12/CTRL-05</t>
  </si>
  <si>
    <t>Normalise by</t>
  </si>
  <si>
    <t>`StandardSelect` (per tonne, per hour, per unit)</t>
  </si>
  <si>
    <t>measure supports it</t>
  </si>
  <si>
    <t>D12/CTRL-06</t>
  </si>
  <si>
    <t>Significance badge</t>
  </si>
  <si>
    <t>badge with text</t>
  </si>
  <si>
    <t>significance panel</t>
  </si>
  <si>
    <t>both populations above minimum</t>
  </si>
  <si>
    <t>D12/CTRL-07</t>
  </si>
  <si>
    <t>Compare to own best practice</t>
  </si>
  <si>
    <t>practice benchmarks exist for the context</t>
  </si>
  <si>
    <t>D12/CTRL-08</t>
  </si>
  <si>
    <t>E2/CTRL-PROSE</t>
  </si>
  <si>
    <t>Grounding policy select (`strict-citations-required`); Evidence policy select (`citations-and-provenance-required`); Max citations stepper; Tools matrix (tool against role and tier); Knowledge sources checklist; Glossary term and synonym rows; Guardrail phrase rows; Serving mode select (self-hosted, private endpoint, customer model) with the no-egress indicator; Save (primary); Reset (secondary, confirmed); Reindex (secondary).</t>
  </si>
  <si>
    <t>E3/CTRL-01</t>
  </si>
  <si>
    <t>Run evaluation</t>
  </si>
  <si>
    <t>not already running</t>
  </si>
  <si>
    <t>E3/CTRL-02</t>
  </si>
  <si>
    <t>Rule name</t>
  </si>
  <si>
    <t>`StandardInput`, placeholder "&lt;rule name&gt;"</t>
  </si>
  <si>
    <t>rule form</t>
  </si>
  <si>
    <t>E3/CTRL-03</t>
  </si>
  <si>
    <t>Parameter code</t>
  </si>
  <si>
    <t>`StandardInput`, placeholder "&lt;parameter_code&gt;"</t>
  </si>
  <si>
    <t>E3/CTRL-04</t>
  </si>
  <si>
    <t>Comparator</t>
  </si>
  <si>
    <t>`StandardSelect`, exactly `&gt;` `&gt;=` `&lt;` `&lt;=` `=`</t>
  </si>
  <si>
    <t>E3/CTRL-05</t>
  </si>
  <si>
    <t>`StandardInput` numeric, placeholder "&lt;limit value&gt;"</t>
  </si>
  <si>
    <t>E3/CTRL-06</t>
  </si>
  <si>
    <t>Severity</t>
  </si>
  <si>
    <t>`StandardSelect` Info / Warning / Critical</t>
  </si>
  <si>
    <t>E3/CTRL-07</t>
  </si>
  <si>
    <t>Add rule</t>
  </si>
  <si>
    <t>rule form footer</t>
  </si>
  <si>
    <t>validation passes</t>
  </si>
  <si>
    <t>E3/CTRL-08</t>
  </si>
  <si>
    <t>Deactivate rule</t>
  </si>
  <si>
    <t>rules row</t>
  </si>
  <si>
    <t>rule active</t>
  </si>
  <si>
    <t>E3/CTRL-09</t>
  </si>
  <si>
    <t>Acknowledge</t>
  </si>
  <si>
    <t>log row</t>
  </si>
  <si>
    <t>entry unacknowledged</t>
  </si>
  <si>
    <t>E4/CTRL-PROSE</t>
  </si>
  <si>
    <t>Run review now (primary, disabled with a spinner while busy); per proposal: Dry-run (secondary), Approve (primary, confirmed), Reject (Hot Red); Open provenance (link).</t>
  </si>
  <si>
    <t>E5/CTRL-PROSE</t>
  </si>
  <si>
    <t>New definition (primary); Sections picker; Period select; Recipients rows; Schedule (cron-like select, plain language); Generate now (primary); Download (link per output); Delivery target rows (email, webhook).</t>
  </si>
  <si>
    <t>E6/CTRL-01</t>
  </si>
  <si>
    <t>New routing rule</t>
  </si>
  <si>
    <t>Administrator</t>
  </si>
  <si>
    <t>E6/CTRL-02</t>
  </si>
  <si>
    <t>Source channel and severity</t>
  </si>
  <si>
    <t>two selects</t>
  </si>
  <si>
    <t>editor</t>
  </si>
  <si>
    <t>E6/CTRL-03</t>
  </si>
  <si>
    <t>Recipients: roles and users</t>
  </si>
  <si>
    <t>multi-select</t>
  </si>
  <si>
    <t>E6/CTRL-04</t>
  </si>
  <si>
    <t>Delivery channel: in-app, email, webhook</t>
  </si>
  <si>
    <t>multi-select with per-channel target field</t>
  </si>
  <si>
    <t>channel enabled in settings</t>
  </si>
  <si>
    <t>E6/CTRL-05</t>
  </si>
  <si>
    <t>Escalate after</t>
  </si>
  <si>
    <t>duration stepper plus escalation recipients</t>
  </si>
  <si>
    <t>acknowledgement is required</t>
  </si>
  <si>
    <t>E6/CTRL-06</t>
  </si>
  <si>
    <t>Working hours and quiet periods</t>
  </si>
  <si>
    <t>time ranges plus days</t>
  </si>
  <si>
    <t>E6/CTRL-07</t>
  </si>
  <si>
    <t>Deduplication window</t>
  </si>
  <si>
    <t>duration</t>
  </si>
  <si>
    <t>E6/CTRL-08</t>
  </si>
  <si>
    <t>Grouping key</t>
  </si>
  <si>
    <t>E6/CTRL-09</t>
  </si>
  <si>
    <t>Rate limit</t>
  </si>
  <si>
    <t>count per period</t>
  </si>
  <si>
    <t>E6/CTRL-10</t>
  </si>
  <si>
    <t>Suppression rule</t>
  </si>
  <si>
    <t>condition rows</t>
  </si>
  <si>
    <t>suppression panel</t>
  </si>
  <si>
    <t>E6/CTRL-11</t>
  </si>
  <si>
    <t>Test delivery</t>
  </si>
  <si>
    <t>editor footer</t>
  </si>
  <si>
    <t>recipients and channel set</t>
  </si>
  <si>
    <t>E6/CTRL-12</t>
  </si>
  <si>
    <t>Save rule</t>
  </si>
  <si>
    <t>E6/CTRL-13</t>
  </si>
  <si>
    <t>Retry delivery</t>
  </si>
  <si>
    <t>delivery row</t>
  </si>
  <si>
    <t>delivery failed and retries remain</t>
  </si>
  <si>
    <t>E6/CTRL-14</t>
  </si>
  <si>
    <t>Dead-letter list</t>
  </si>
  <si>
    <t>delivery panel</t>
  </si>
  <si>
    <t>dead letters exist</t>
  </si>
  <si>
    <t>F1/CTRL-PROSE</t>
  </si>
  <si>
    <t>New user (primary); Role select; permission cells (inherited rendered Muted Steel, overridden rendered Electric Cyan); Reset overrides (secondary); Deactivate (Hot Red, confirmed); Force password reset (secondary); Require second factor (toggle).</t>
  </si>
  <si>
    <t>F2/CTRL-PROSE</t>
  </si>
  <si>
    <t>Paste token (`StandardTextArea`); Apply (primary); Verify (secondary); capability list (read-only, next-tier additions shown Muted Steel); five meter bars each linking to the administration page that would relieve it.</t>
  </si>
  <si>
    <t>F3/CTRL-PROSE</t>
  </si>
  <si>
    <t>Cell limit editor; Add override (secondary); Remove override; Save (primary); Reset role default (secondary, confirmed).</t>
  </si>
  <si>
    <t>F4/CTRL-01</t>
  </si>
  <si>
    <t>**Administrator only**</t>
  </si>
  <si>
    <t>F4/CTRL-02</t>
  </si>
  <si>
    <t>View toggle Table / Graph</t>
  </si>
  <si>
    <t>F4/CTRL-03</t>
  </si>
  <si>
    <t>**Target definition**</t>
  </si>
  <si>
    <t>`StandardSelect` of published definitions **filtered to the surface the job class requires**</t>
  </si>
  <si>
    <t>Schedule tab</t>
  </si>
  <si>
    <t>job class requires a target</t>
  </si>
  <si>
    <t>F4/CTRL-04</t>
  </si>
  <si>
    <t>**Version policy**</t>
  </si>
  <si>
    <t>segmented: **Current published** or **Pinned**</t>
  </si>
  <si>
    <t>a target is chosen</t>
  </si>
  <si>
    <t>F4/CTRL-05</t>
  </si>
  <si>
    <t>**Pinned version**</t>
  </si>
  <si>
    <t>`StandardSelect` of published version numbers</t>
  </si>
  <si>
    <t>policy is Pinned</t>
  </si>
  <si>
    <t>F4/CTRL-06</t>
  </si>
  <si>
    <t>**Open the target definition**</t>
  </si>
  <si>
    <t>F4/CTRL-07</t>
  </si>
  <si>
    <t>schedule control in plain language</t>
  </si>
  <si>
    <t>definition selected</t>
  </si>
  <si>
    <t>F4/CTRL-08</t>
  </si>
  <si>
    <t>Pool select (import, projection, analysis, ml, report, retention)</t>
  </si>
  <si>
    <t>`StandardSelect`, **separate confirmed action**</t>
  </si>
  <si>
    <t>F4/CTRL-09</t>
  </si>
  <si>
    <t>Compute weight stepper</t>
  </si>
  <si>
    <t>stepper, **confirmed**</t>
  </si>
  <si>
    <t>F4/CTRL-10</t>
  </si>
  <si>
    <t>**Add dependency**</t>
  </si>
  <si>
    <t>Dependencies tab</t>
  </si>
  <si>
    <t>F4/CTRL-11</t>
  </si>
  <si>
    <t>**Depends-on job**</t>
  </si>
  <si>
    <t>`StandardSelect` of job definitions</t>
  </si>
  <si>
    <t>dependency row</t>
  </si>
  <si>
    <t>adding or editing</t>
  </si>
  <si>
    <t>F4/CTRL-12</t>
  </si>
  <si>
    <t>**Dependency kind**</t>
  </si>
  <si>
    <t>`StandardSelect`: data, schedule, resource</t>
  </si>
  <si>
    <t>F4/CTRL-13</t>
  </si>
  <si>
    <t>**Required / Optional**</t>
  </si>
  <si>
    <t>toggle; required is the default</t>
  </si>
  <si>
    <t>F4/CTRL-14</t>
  </si>
  <si>
    <t>**Version pin**</t>
  </si>
  <si>
    <t>`StandardSelect`: current published, or a specific version number</t>
  </si>
  <si>
    <t>dependency kind is data</t>
  </si>
  <si>
    <t>F4/CTRL-15</t>
  </si>
  <si>
    <t>**Staleness tolerance**</t>
  </si>
  <si>
    <t>duration stepper in minutes</t>
  </si>
  <si>
    <t>F4/CTRL-16</t>
  </si>
  <si>
    <t>Remove dependency</t>
  </si>
  <si>
    <t>destructive small, confirmed</t>
  </si>
  <si>
    <t>dependency exists</t>
  </si>
  <si>
    <t>F4/CTRL-17</t>
  </si>
  <si>
    <t>**Validate graph**</t>
  </si>
  <si>
    <t>Dependencies tab footer</t>
  </si>
  <si>
    <t>a dependency changed</t>
  </si>
  <si>
    <t>F4/CTRL-18</t>
  </si>
  <si>
    <t>**Impact preview**</t>
  </si>
  <si>
    <t>F4/CTRL-19</t>
  </si>
  <si>
    <t>Enable / Disable</t>
  </si>
  <si>
    <t>row or editor</t>
  </si>
  <si>
    <t>F4/CTRL-20</t>
  </si>
  <si>
    <t>Delete</t>
  </si>
  <si>
    <t>row</t>
  </si>
  <si>
    <t>no dependent definition</t>
  </si>
  <si>
    <t>F4/CTRL-21</t>
  </si>
  <si>
    <t>DAG node</t>
  </si>
  <si>
    <t>selectable, coloured by last outcome</t>
  </si>
  <si>
    <t>Graph view</t>
  </si>
  <si>
    <t>F4/CTRL-22</t>
  </si>
  <si>
    <t>DAG edge</t>
  </si>
  <si>
    <t>solid required, dashed optional</t>
  </si>
  <si>
    <t>F4/CTRL-23</t>
  </si>
  <si>
    <t>Highlight critical path</t>
  </si>
  <si>
    <t>toggle</t>
  </si>
  <si>
    <t>Graph view header</t>
  </si>
  <si>
    <t>F5/CTRL-01</t>
  </si>
  <si>
    <t>Family tabs</t>
  </si>
  <si>
    <t>`StandardTabs`</t>
  </si>
  <si>
    <t>per readable family</t>
  </si>
  <si>
    <t>F5/CTRL-02</t>
  </si>
  <si>
    <t>**Live tail**</t>
  </si>
  <si>
    <t>toggle with pause</t>
  </si>
  <si>
    <t>a family tab is active</t>
  </si>
  <si>
    <t>F5/CTRL-03</t>
  </si>
  <si>
    <t>Time range / Severity / Actor / Job family / Channel</t>
  </si>
  <si>
    <t>filters</t>
  </si>
  <si>
    <t>F5/CTRL-04</t>
  </si>
  <si>
    <t>Free-text search</t>
  </si>
  <si>
    <t>F5/CTRL-05</t>
  </si>
  <si>
    <t>**Correlate by run**</t>
  </si>
  <si>
    <t>link on any row carrying a run identifier</t>
  </si>
  <si>
    <t>entry row</t>
  </si>
  <si>
    <t>`run_id` present</t>
  </si>
  <si>
    <t>F5/CTRL-06</t>
  </si>
  <si>
    <t>Correlation panel</t>
  </si>
  <si>
    <t>cross-family entry list for that run, time-ordered</t>
  </si>
  <si>
    <t>a run selected</t>
  </si>
  <si>
    <t>F5/CTRL-07</t>
  </si>
  <si>
    <t>Open the run in B5</t>
  </si>
  <si>
    <t>correlation panel</t>
  </si>
  <si>
    <t>run exists</t>
  </si>
  <si>
    <t>F5/CTRL-08</t>
  </si>
  <si>
    <t>Pin filter</t>
  </si>
  <si>
    <t>a filter is set</t>
  </si>
  <si>
    <t>F5/CTRL-09</t>
  </si>
  <si>
    <t>F5/CTRL-10</t>
  </si>
  <si>
    <t>Row expander</t>
  </si>
  <si>
    <t>F5/CTRL-11</t>
  </si>
  <si>
    <t>**Retention policy (read-only)**</t>
  </si>
  <si>
    <t>text plus link to F9</t>
  </si>
  <si>
    <t>F6/CTRL-PROSE</t>
  </si>
  <si>
    <t>New channel (primary); Name; Family (fixed for built-ins); Severity mapping rows; Routing and export target select (none, file, syslog, webhook) with its address field; Reading roles multi-select; Save (primary); Disable (secondary).
**Retention is not editable here.** F6 owns channel identity, severity mapping, routing and reading roles. **F9 exclusively owns retention, archival, cleanup, dry-run impact and legal hold**, because those are the only destructive controls and one destructive policy must have one surface. F6 renders the current retention as read-only text with **Manage retention in F9** as a link.</t>
  </si>
  <si>
    <t>F7/CTRL-PROSE</t>
  </si>
  <si>
    <t>Site name and code; units selects; **plant time zone select - confirmed**; date and number format selects with a live example; retention per stage; per-tenant no-egress toggle; Save (primary).</t>
  </si>
  <si>
    <t>F8/CTRL-PROSE</t>
  </si>
  <si>
    <t>Language add; per-cell text editor; Mark reviewed (secondary); Mark verified in mirror (secondary); Export pack (secondary); Import pack (secondary, confirmed); Fallback language select.</t>
  </si>
  <si>
    <t>F9/CTRL-01</t>
  </si>
  <si>
    <t>Retention preset: 1, 2, 3, 6, 12 months, Custom</t>
  </si>
  <si>
    <t>F9/CTRL-02</t>
  </si>
  <si>
    <t>Custom days</t>
  </si>
  <si>
    <t>`StandardInput` numeric</t>
  </si>
  <si>
    <t>preset is Custom</t>
  </si>
  <si>
    <t>F9/CTRL-03</t>
  </si>
  <si>
    <t>Archive before deletion</t>
  </si>
  <si>
    <t>F9/CTRL-04</t>
  </si>
  <si>
    <t>Archive destination</t>
  </si>
  <si>
    <t>`StandardSelect` plus target field</t>
  </si>
  <si>
    <t>archive on</t>
  </si>
  <si>
    <t>F9/CTRL-05</t>
  </si>
  <si>
    <t>Cleanup schedule</t>
  </si>
  <si>
    <t>schedule editor in plain language</t>
  </si>
  <si>
    <t>F9/CTRL-06</t>
  </si>
  <si>
    <t>Maximum rows per cleanup batch</t>
  </si>
  <si>
    <t>F9/CTRL-07</t>
  </si>
  <si>
    <t>**Dry-run preview**</t>
  </si>
  <si>
    <t>policy changed</t>
  </si>
  <si>
    <t>F9/CTRL-08</t>
  </si>
  <si>
    <t>Save policy</t>
  </si>
  <si>
    <t>preview run and validation passed</t>
  </si>
  <si>
    <t>F9/CTRL-09</t>
  </si>
  <si>
    <t>Run cleanup now</t>
  </si>
  <si>
    <t>destructive, **confirmed**</t>
  </si>
  <si>
    <t>no legal hold</t>
  </si>
  <si>
    <t>F9/CTRL-10</t>
  </si>
  <si>
    <t>View cleanup history</t>
  </si>
  <si>
    <t>F9/CTRL-11</t>
  </si>
  <si>
    <t>Place legal hold</t>
  </si>
  <si>
    <t>no hold</t>
  </si>
  <si>
    <t>F9/CTRL-12</t>
  </si>
  <si>
    <t>Remove legal hold</t>
  </si>
  <si>
    <t>hold exists</t>
  </si>
  <si>
    <t>G1/CTRL-PROSE</t>
  </si>
  <si>
    <t>Composer (`StandardTextArea`, auto-growing, Enter sends, Shift-Enter newline); Send (Electric Blue); citation chips (Electric Cyan) beneath each answer; evidence strip sliding from block-end with **Open in page**; expand-width, full-screen, new conversation, copy answer, close; three registry-derived suggested questions on an empty conversation.</t>
  </si>
  <si>
    <t>G2/CTRL-PROSE</t>
  </si>
  <si>
    <t>Navigation group expanders; navigation items (hidden, not disabled, where the role lacks permission); tier badge (Muted Steel Light, Amber Pro, Electric Blue Pro Plus, Cyan Green Enterprise) linking to F2; user menu with profile, units, time zone, language, sign out; breadcrumb segments as links.</t>
  </si>
  <si>
    <t>G3/CTRL-PROSE</t>
  </si>
  <si>
    <t>Search input; result groups (Pages, Fields, Measures, Definitions, Findings, Predictions, Log entries, Commands); arrow navigation; Enter to open; Escape to close.</t>
  </si>
  <si>
    <t>G4/CTRL-PROSE</t>
  </si>
  <si>
    <t>Toast with message, optional action, dismiss; auto-dismiss for success; persistent for warning until dismissed.</t>
  </si>
  <si>
    <t>G5/CTRL-PROSE</t>
  </si>
  <si>
    <t>Title; the sentence stating **what was refused, why, and what would satisfy it**; the stable error code; the offending fragment echoed where one exists; a Retry where retrying can succeed; a link to the surface that would resolve it; and a copy-diagnostics action carrying the code and the trace identifier.</t>
  </si>
  <si>
    <t>G6/CTRL-PROSE</t>
  </si>
  <si>
    <t>Run rows with name, stage, rows processed, progress or indeterminate spinner, elapsed time; Cancel where permitted; Open in Jobs Monitor; dismiss a completed row.</t>
  </si>
  <si>
    <t>PLANTPROCESS IQ | UI CONVERGENCE • v2.23.0</t>
  </si>
  <si>
    <t>Functional Design v4.11.1 unchanged. Design tasks close visual handoffs; product behavior still requires runtime acceptance.</t>
  </si>
  <si>
    <t>176 repaired + 3 design tasks</t>
  </si>
  <si>
    <t>No unearned status change</t>
  </si>
  <si>
    <t>Design tasks not completed</t>
  </si>
  <si>
    <t>Unknown estimates</t>
  </si>
  <si>
    <t>Old/proposed estimates excluded</t>
  </si>
  <si>
    <t>Technical review</t>
  </si>
  <si>
    <t>Handoff boundary</t>
  </si>
  <si>
    <t>Producer owners / CENTRAL</t>
  </si>
  <si>
    <t>Day-1 depth + full citation/Word/atlas correction</t>
  </si>
  <si>
    <t>Worker 1: OPC contracts</t>
  </si>
  <si>
    <t>Missing OPC states inside canonical B1–B4/B6</t>
  </si>
  <si>
    <t>All M3 UI remainder + advanced parity</t>
  </si>
  <si>
    <t>Acceptance: semantic coverage + rendered/prototype walkthrough + implementation ownership; not frame counts or literal label matches.</t>
  </si>
  <si>
    <t>START: UI Coverage v223 → UI Controls v223 → Backlog T-265..T-267. All 270 coverage records are pending depth work; this workbook contains no claim of a completed redesign.</t>
  </si>
  <si>
    <t>T-099: ca02b40ea1b69050a45cb35a3e1d64f15b1f66af | Task CLOSED GREEN; inherited DefinitionKind RED remains tracked separately.</t>
  </si>
  <si>
    <t>Record</t>
  </si>
  <si>
    <t>Owner / file</t>
  </si>
  <si>
    <t>Purpose / result</t>
  </si>
  <si>
    <t>Evidence / boundary</t>
  </si>
  <si>
    <t>CONTROL</t>
  </si>
  <si>
    <t>14 files / 12 document families</t>
  </si>
  <si>
    <t>Definition + six chapters + two illustrated editions + two DB design docs + identity + evaluation + latest Backlog</t>
  </si>
  <si>
    <t>No extra subfolder or standalone deliverable in the book.</t>
  </si>
  <si>
    <t>VERSIONS</t>
  </si>
  <si>
    <t>Design v4.11.1 / Backlog v2.24.0</t>
  </si>
  <si>
    <t>17-Sep final functional/execution reconciliation; no new task family.</t>
  </si>
  <si>
    <t>Workers may execute from this package.</t>
  </si>
  <si>
    <t>SOURCE</t>
  </si>
  <si>
    <t>PPIQ_Backlog_v2.23.0_14Sep2026.xlsx</t>
  </si>
  <si>
    <t>Actual Library backing file, 464046 bytes</t>
  </si>
  <si>
    <t>SHA256 d1e7998d1f6ef382c69925ff8668f334a7a6da883bd3c74fdc52b194f9c9e7e6</t>
  </si>
  <si>
    <t>DEFINITION</t>
  </si>
  <si>
    <t>PPIQ_Definition.md</t>
  </si>
  <si>
    <t>Book register + routing rules + preserved original owner brief</t>
  </si>
  <si>
    <t>Existing owner definition incorporated verbatim; current chapters govern conflicts.</t>
  </si>
  <si>
    <t>VISUALS</t>
  </si>
  <si>
    <t>Chapter 3 MD v4.11.1; illustrated Word regeneration remains T-265/T-266</t>
  </si>
  <si>
    <t>Functional page contracts complete; Word derivative absence does not block implementation.</t>
  </si>
  <si>
    <t>Old Word bytes are not relabelled.</t>
  </si>
  <si>
    <t>EDITORS</t>
  </si>
  <si>
    <t>Chapter 4 MD v4.11.1</t>
  </si>
  <si>
    <t>Runtime semantics + stable section-based toolbox citations.</t>
  </si>
  <si>
    <t>No missing DOCX is claimed present.</t>
  </si>
  <si>
    <t>METHOD</t>
  </si>
  <si>
    <t>Product Analysis and Evaluation Standard v1.2</t>
  </si>
  <si>
    <t>L1.8 converged to Release-1 Core and expanded to field/layout/recording/durability acceptance.</t>
  </si>
  <si>
    <t>No implementation score increase without D5 evidence.</t>
  </si>
  <si>
    <t>HANDOFFS</t>
  </si>
  <si>
    <t>T-265 already has T-262 and T-101 producers in the actual v2.23.0 source.</t>
  </si>
  <si>
    <t>Verified rows 12 and 13; no new dependency or duplicate handoff added.</t>
  </si>
  <si>
    <t>PENDING</t>
  </si>
  <si>
    <t>T-265 capability-link simplification</t>
  </si>
  <si>
    <t>Reviewer proposes reducing secondary links to actual D2 ownership and retaining broader traceability in UI Coverage.</t>
  </si>
  <si>
    <t>Proposal recorded, not silently applied in a document-consolidation pass.</t>
  </si>
  <si>
    <t>BASELINE</t>
  </si>
  <si>
    <t>CLOSED GREEN / COMMITTED remains unchanged.</t>
  </si>
  <si>
    <t>ca02b40ea1b69050a45cb35a3e1d64f15b1f66af; owner-reported, not release-wide GREEN.</t>
  </si>
  <si>
    <t>ESTIMATES</t>
  </si>
  <si>
    <t>T-106/T-108/T-262..T-267</t>
  </si>
  <si>
    <t>Eight absent/withdrawn/unconfirmed estimates preserved.</t>
  </si>
  <si>
    <t>No estimated hours invented by repackaging.</t>
  </si>
  <si>
    <t>ARCHIVE</t>
  </si>
  <si>
    <t>Historical sheets already in the workbook</t>
  </si>
  <si>
    <t>Earlier version references in historical evidence remain historical.</t>
  </si>
  <si>
    <t>Current Authority, Governance and Backlog are current; old captions do not restore old authority.</t>
  </si>
  <si>
    <t>SECURITY</t>
  </si>
  <si>
    <t>Identity and Topology file</t>
  </si>
  <si>
    <t>Existing file copied unchanged; complete book is confidential.</t>
  </si>
  <si>
    <t>Do not publish or distribute unrestricted. No credential values added to workbook/chapter text.</t>
  </si>
  <si>
    <t>DATABASE</t>
  </si>
  <si>
    <t>Naming Standard v1.2 is current design authority</t>
  </si>
  <si>
    <t>Physical dictionary/catalogue remains implementation evidence and must come from the regenerated T-251 output, not stale GENERATED_INFERENCE rows.</t>
  </si>
  <si>
    <t>Do not block execution on stale 04-Sep catalogue bytes; no rename/delete from inference.</t>
  </si>
  <si>
    <t>EXCLUDED</t>
  </si>
  <si>
    <t>Standalone atlas / SVG folder / JSON / README / diff / handoff files</t>
  </si>
  <si>
    <t>Not part of the controlled book. Useful content is integrated; executable tooling belongs in the repository.</t>
  </si>
  <si>
    <t>No original user or Library file is deleted by creating this consolidated copy.</t>
  </si>
  <si>
    <t>Task reference edit</t>
  </si>
  <si>
    <t>Prior output home</t>
  </si>
  <si>
    <t>Current output home</t>
  </si>
  <si>
    <t>Regenerate the derived specification, atlas, editable scene import and illustrated Word chapters from the same revised UI data with source text preserved.</t>
  </si>
  <si>
    <t>Update Chapter 3/4 MD and illustrated Word from one maintained visual/interaction specification, with source prose preserved and the coverage register inside this workbook. Keep native Figma/tooling source in its implementation environment; store Figma file/node and acceptance references here, not in additional design-book files.</t>
  </si>
  <si>
    <t>in data, Markdown, atlas and Word</t>
  </si>
  <si>
    <t>in this workbook's coverage data and the Chapter 3/4 MD and illustrated Word</t>
  </si>
  <si>
    <t>include OPC scenes in the same atlas/Word citation checks</t>
  </si>
  <si>
    <t>include OPC scenes in the same integrated Chapter 3/4 MD and Word citation checks</t>
  </si>
  <si>
    <t>Deliver the revised visual specification, native editable Figma evidence, atlas and both illustrated reading editions with stable traceable captions.</t>
  </si>
  <si>
    <t>Deliver the revised visual specification inside Chapter 3/4 MD and both illustrated Word editions with stable traceable captions; retain native editable Figma evidence as file/node references inside this workbook. Do not add a standalone atlas or companion file to the design book.</t>
  </si>
  <si>
    <t>Regenerated Markdown/HTML/Word preserves chapter prose and correct citations.</t>
  </si>
  <si>
    <t>Updated Chapter 3/4 Markdown and illustrated Word preserve chapter prose and correct citations; coverage and verification remain in the latest Backlog.</t>
  </si>
  <si>
    <t>All active tasks</t>
  </si>
  <si>
    <t>Design package reference</t>
  </si>
  <si>
    <t>v4.10.3 / prior UI references</t>
  </si>
  <si>
    <t>v4.11.0 Chapters 1–6; illustrated synchronization remains T-265/T-266/T-267; Backlog v2.24.0 is execution authority.</t>
  </si>
  <si>
    <t>17Sep v4.11.1 / v2.24.0 authority validation</t>
  </si>
  <si>
    <t>Active task IDs</t>
  </si>
  <si>
    <t>17-Sep saved authority.</t>
  </si>
  <si>
    <t>Active</t>
  </si>
  <si>
    <t>M2 tasks</t>
  </si>
  <si>
    <t>M3 tasks</t>
  </si>
  <si>
    <t>Open rows without valid planning estimate</t>
  </si>
  <si>
    <t>Self-dependencies / self-precede</t>
  </si>
  <si>
    <t>Both dependency columns checked by Task ID.</t>
  </si>
  <si>
    <t>M2 completion depends on M3</t>
  </si>
  <si>
    <t>Completion edges only; contract-ready edges are not completion.</t>
  </si>
  <si>
    <t>Reciprocal Must Precede</t>
  </si>
  <si>
    <t>Regenerated mechanically as inverse of active Depends On.</t>
  </si>
  <si>
    <t>Acyclic nodes</t>
  </si>
  <si>
    <t>Current active graph; no new M2-on-M3 completion edge.</t>
  </si>
  <si>
    <t>Declared external predecessors</t>
  </si>
  <si>
    <t>T-032; T-035; T-036; T-057; T-064. Not silently removed.</t>
  </si>
  <si>
    <t>T-265 T-262/T-101 handoffs</t>
  </si>
  <si>
    <t>Already present in Contract Handoffs; retained.</t>
  </si>
  <si>
    <t>Word images embedded</t>
  </si>
  <si>
    <t>NOT IN PACKAGE</t>
  </si>
  <si>
    <t>Illustrated Word originals are not supplied; v4.11.1 Markdown is current functional authority. No old bytes are relabelled.</t>
  </si>
  <si>
    <t>Named dialog catalogue</t>
  </si>
  <si>
    <t>Full derived descriptions integrated in Chapter 3 MD.</t>
  </si>
  <si>
    <t>Toolbox catalogue</t>
  </si>
  <si>
    <t>Full records integrated in Chapter 4 MD.</t>
  </si>
  <si>
    <t>Detailed inspectors</t>
  </si>
  <si>
    <t>Runtime / database certification</t>
  </si>
  <si>
    <t>NOT RUN</t>
  </si>
  <si>
    <t>Design/backlog reconciliation only; task runtime proof remains separate.</t>
  </si>
  <si>
    <t>Release / Phase</t>
  </si>
  <si>
    <t>Evidence-review verdict</t>
  </si>
  <si>
    <t>Recovered original delivery</t>
  </si>
  <si>
    <t>Current scope conclusion</t>
  </si>
  <si>
    <t>Recorded hours</t>
  </si>
  <si>
    <t>Estimate state</t>
  </si>
  <si>
    <t>Open completion predecessors</t>
  </si>
  <si>
    <t>Source / location</t>
  </si>
  <si>
    <t>Cell flags</t>
  </si>
  <si>
    <t>Next evidence / action</t>
  </si>
  <si>
    <t>FULL-SESSION RECONCILIATION NOT COMPLETED</t>
  </si>
  <si>
    <t>INHERITED WORKBOOK COMMIT: 77a8ea4f — T-086: freeze the legacy regression oracle and gate generic surfaces against its vocabulary | not independently re-verified from complete sessions in this review</t>
  </si>
  <si>
    <t>Current status/scope retained, not independently certified by all ten sessions. Structural/field checks executed.</t>
  </si>
  <si>
    <t>Accepted v2.23.0 book workbook SHA256 730b1c671f68790b47748a2bfbe885e06e9fc1ed3b2fb35376b5853af55c29a2; Backlog row2.</t>
  </si>
  <si>
    <t>No cross-field fault detected by the defined mechanical checks; source-history verification remains separate.</t>
  </si>
  <si>
    <t>Resolve source-history gaps before representing this as a fully verified current status.</t>
  </si>
  <si>
    <t>INHERITED WORKBOOK COMMIT: e7d82f078d7dfa4c1ca4ec6e88d0dbc7e1ecd6ba — subject not recovered | not independently re-verified from complete sessions in this review</t>
  </si>
  <si>
    <t>Accepted v2.23.0 book workbook SHA256 730b1c671f68790b47748a2bfbe885e06e9fc1ed3b2fb35376b5853af55c29a2; Backlog row3.</t>
  </si>
  <si>
    <t>INHERITED WORKBOOK COMMIT: 6a62c9d6 — Establish canonical database migration authority | not independently re-verified from complete sessions in this review</t>
  </si>
  <si>
    <t>Accepted v2.23.0 book workbook SHA256 730b1c671f68790b47748a2bfbe885e06e9fc1ed3b2fb35376b5853af55c29a2; Backlog row4.</t>
  </si>
  <si>
    <t>INHERITED WORKBOOK COMMIT: 0fd79e5e3516cdfd0ab5a73a02e16638fd02693a — subject not recovered | not independently re-verified from complete sessions in this review</t>
  </si>
  <si>
    <t>Accepted v2.23.0 book workbook SHA256 730b1c671f68790b47748a2bfbe885e06e9fc1ed3b2fb35376b5853af55c29a2; Backlog row5.</t>
  </si>
  <si>
    <t>INHERITED WORKBOOK COMMIT: a6399d9c — subject not recovered | not independently re-verified from complete sessions in this review</t>
  </si>
  <si>
    <t>Accepted v2.23.0 book workbook SHA256 730b1c671f68790b47748a2bfbe885e06e9fc1ed3b2fb35376b5853af55c29a2; Backlog row6.</t>
  </si>
  <si>
    <t>INHERITED WORKBOOK COMMIT: c6d64289 — subject not recovered | not independently re-verified from complete sessions in this review</t>
  </si>
  <si>
    <t>Accepted v2.23.0 book workbook SHA256 730b1c671f68790b47748a2bfbe885e06e9fc1ed3b2fb35376b5853af55c29a2; Backlog row7.</t>
  </si>
  <si>
    <t>INHERITED WORKBOOK COMMIT: ab2962a4; 7cad36e4 — registry authority closure commits | not independently re-verified from complete sessions in this review</t>
  </si>
  <si>
    <t>Accepted v2.23.0 book workbook SHA256 730b1c671f68790b47748a2bfbe885e06e9fc1ed3b2fb35376b5853af55c29a2; Backlog row8.</t>
  </si>
  <si>
    <t>INHERITED WORKBOOK COMMIT: 4e2e0f654b93ceed2ecdfbce4d3c1768550b3079 — T-093 govern plant vocabulary as data-driven genericity debt | not independently re-verified from complete sessions in this review</t>
  </si>
  <si>
    <t>Accepted v2.23.0 book workbook SHA256 730b1c671f68790b47748a2bfbe885e06e9fc1ed3b2fb35376b5853af55c29a2; Backlog row9.</t>
  </si>
  <si>
    <t>INHERITED WORKBOOK COMMIT: 377aabdffb27d651d30537ce5228ee4afe268526; 6ab97ee2; e74ecd1c; 5a967f1b0ab45961c8b8a880bb4fdec53a783134 — final: T-094 close keyed declared-dimension cutover and genericity reconciliation | not independently re-verified from complete sessions in this review</t>
  </si>
  <si>
    <t>Accepted v2.23.0 book workbook SHA256 730b1c671f68790b47748a2bfbe885e06e9fc1ed3b2fb35376b5853af55c29a2; Backlog row10.</t>
  </si>
  <si>
    <t>INHERITED WORKBOOK COMMIT: BASELINE HEAD 7da9d46ed29545f1c4f4686fa82c117c08b9fc86; TAG m1-presentation-baseline-2026-08-21 — no task commit; tag is closure artifact | not independently re-verified from complete sessions in this review</t>
  </si>
  <si>
    <t>Accepted v2.23.0 book workbook SHA256 730b1c671f68790b47748a2bfbe885e06e9fc1ed3b2fb35376b5853af55c29a2; Backlog row11.</t>
  </si>
  <si>
    <t>INHERITED WORKBOOK COMMIT: ad37c324 — Add persisted definition replay gate for release truth | not independently re-verified from complete sessions in this review</t>
  </si>
  <si>
    <t>Accepted v2.23.0 book workbook SHA256 730b1c671f68790b47748a2bfbe885e06e9fc1ed3b2fb35376b5853af55c29a2; Backlog row12.</t>
  </si>
  <si>
    <t>INHERITED WORKBOOK COMMIT: cd1a450e — Add customer route invariant gate with durable evidence | not independently re-verified from complete sessions in this review</t>
  </si>
  <si>
    <t>Accepted v2.23.0 book workbook SHA256 730b1c671f68790b47748a2bfbe885e06e9fc1ed3b2fb35376b5853af55c29a2; Backlog row13.</t>
  </si>
  <si>
    <t>INHERITED WORKBOOK COMMIT: c6491e2d — closure-state HEAD; exact task commit subject not independently recovered | not independently re-verified from complete sessions in this review</t>
  </si>
  <si>
    <t>Accepted v2.23.0 book workbook SHA256 730b1c671f68790b47748a2bfbe885e06e9fc1ed3b2fb35376b5853af55c29a2; Backlog row14.</t>
  </si>
  <si>
    <t>INHERITED WORKBOOK COMMIT: b7fcc890 — Gate the frontend suite on deterministic termination and machine-readable evidence | not independently re-verified from complete sessions in this review</t>
  </si>
  <si>
    <t>Accepted v2.23.0 book workbook SHA256 730b1c671f68790b47748a2bfbe885e06e9fc1ed3b2fb35376b5853af55c29a2; Backlog row15.</t>
  </si>
  <si>
    <t>Accepted workbook state retained; no new task-specific closure recovered. This is not proof that no work happened.</t>
  </si>
  <si>
    <t>Accepted v2.23.0 book workbook SHA256 730b1c671f68790b47748a2bfbe885e06e9fc1ed3b2fb35376b5853af55c29a2; Backlog row16.</t>
  </si>
  <si>
    <t>DONE IN ACCEPTED WORKBOOK; COMMIT EVIDENCE NOT RECOVERED</t>
  </si>
  <si>
    <t>INHERITED WORKBOOK COMMIT: 969c767c — T-208: generic controlled validation fixture and continuous-process known answers | not independently re-verified from complete sessions in this review</t>
  </si>
  <si>
    <t>Accepted v2.23.0 book workbook SHA256 730b1c671f68790b47748a2bfbe885e06e9fc1ed3b2fb35376b5853af55c29a2; Backlog row17.</t>
  </si>
  <si>
    <t>INHERITED WORKBOOK COMMIT: f2bafdb4 — subject not recovered | not independently re-verified from complete sessions in this review</t>
  </si>
  <si>
    <t>Accepted v2.23.0 book workbook SHA256 730b1c671f68790b47748a2bfbe885e06e9fc1ed3b2fb35376b5853af55c29a2; Backlog row18.</t>
  </si>
  <si>
    <t>INHERITED WORKBOOK COMMIT: 92a655e1ddc4becedbaf89a3db96dc0d0f1eaf94 — subject not recovered | not independently re-verified from complete sessions in this review</t>
  </si>
  <si>
    <t>Accepted v2.23.0 book workbook SHA256 730b1c671f68790b47748a2bfbe885e06e9fc1ed3b2fb35376b5853af55c29a2; Backlog row19.</t>
  </si>
  <si>
    <t>INHERITED WORKBOOK COMMIT: ea9103fd — Establish source time authority for plant timestamps | not independently re-verified from complete sessions in this review</t>
  </si>
  <si>
    <t>Accepted v2.23.0 book workbook SHA256 730b1c671f68790b47748a2bfbe885e06e9fc1ed3b2fb35376b5853af55c29a2; Backlog row20.</t>
  </si>
  <si>
    <t>INHERITED WORKBOOK COMMIT: c930af079502aa1660ef2bd5c50756d3fc3cf8f3 — Persist-T231-canonical-analysis-subject-grain-authority | not independently re-verified from complete sessions in this review</t>
  </si>
  <si>
    <t>Accepted v2.23.0 book workbook SHA256 730b1c671f68790b47748a2bfbe885e06e9fc1ed3b2fb35376b5853af55c29a2; Backlog row21.</t>
  </si>
  <si>
    <t>INHERITED WORKBOOK COMMIT: 6615481b — Converge frontend journey and design-system truth | not independently re-verified from complete sessions in this review</t>
  </si>
  <si>
    <t>Accepted v2.23.0 book workbook SHA256 730b1c671f68790b47748a2bfbe885e06e9fc1ed3b2fb35376b5853af55c29a2; Backlog row22.</t>
  </si>
  <si>
    <t>CENTRAL CLOSURE SOURCE RECOVERED</t>
  </si>
  <si>
    <t>Inherited Done now has the explicitly recovered CENTRAL closure anchor.</t>
  </si>
  <si>
    <t>No reopening from older RED receipts or later catalogue changes.</t>
  </si>
  <si>
    <t>Accepted v2.23.0 book workbook SHA256 730b1c671f68790b47748a2bfbe885e06e9fc1ed3b2fb35376b5853af55c29a2; Backlog row24.</t>
  </si>
  <si>
    <t>SHORT ANCESTRY CORROBORATION</t>
  </si>
  <si>
    <t>36de9370 (short parent named by T-262)</t>
  </si>
  <si>
    <t>Accepted Done retained. Recovered parent association is not a rerun of T-256 tests.</t>
  </si>
  <si>
    <t>Preserve status; exact full SHA/closure output remains missing in this bounded retrieval.</t>
  </si>
  <si>
    <t>Accepted v2.23.0 book workbook SHA256 730b1c671f68790b47748a2bfbe885e06e9fc1ed3b2fb35376b5853af55c29a2; Backlog row26.</t>
  </si>
  <si>
    <t>Accepted v2.23.0 book workbook SHA256 730b1c671f68790b47748a2bfbe885e06e9fc1ed3b2fb35376b5853af55c29a2; Backlog row27.</t>
  </si>
  <si>
    <t>INHERITED WORKBOOK COMMIT: 554d1ac02af122fdeb7ca54b1dd35bac0c76f23e — subject not recovered | not independently re-verified from complete sessions in this review</t>
  </si>
  <si>
    <t>RelationshipService already validates ordered composite members, join/cardinality vocabulary and grain attribution, publishes through the store and returns read-back. The existing relationship infrastructure is real and must not be recreated.
REMAINS: No new implementation within the accepted original task scope is established here. Canvas publication wiring is owned by the later T-243 addition, not reopening this foundation.</t>
  </si>
  <si>
    <t>Proposed remaining 0/0/0 h, UNCONFIRMED; historical J/R unchanged.</t>
  </si>
  <si>
    <t>T-243 consumes existing publication authority.
Runtime/complete-session proof still not executed/recovered here.</t>
  </si>
  <si>
    <t>INHERITED WORKBOOK COMMIT: de243027073fc5e492d65e9f9845255342517510 — T-096 relationship resolver consumer convergence | not independently re-verified from complete sessions in this review</t>
  </si>
  <si>
    <t>RelationshipResolver reads the published model, finds deterministic shortest/preferred paths, refuses ambiguous or missing paths and prevents automated use of unvalidated relationships. Existing join-planner consumers should be retained.
REMAINS: No new work is assigned to this closed convergence slice. Live downstream execution remains a separate consumer acceptance and is not proven by this source read.</t>
  </si>
  <si>
    <t>Runtime/complete-session proof still not executed/recovered here.</t>
  </si>
  <si>
    <t>INHERITED WORKBOOK COMMIT: 95220d1804493f8e7b80347fe3ed4de24741f9ec — T-097 relationship consumer barrier across all sixteen families | not independently re-verified from complete sessions in this review</t>
  </si>
  <si>
    <t>The permanent consumer barrier names sixteen families and forbids private path authority while allowing intrinsic owning-key navigation. It explicitly covers future engine directories too: a barrier is not proof that all engines are commissioned.
REMAINS: Keep the original barrier task closed. New consumers must pass it; their runtime wiring belongs to their own integration tasks.</t>
  </si>
  <si>
    <t>The relationship API already exposes list, entities, detail and validation, and the resolver/publication services exist. The reviewed frontend route/page sources contain no canonical Relationship Browser implementation. This is a UI/consumer task, not new relationship storage.
REMAINS: Build C6 list/detail/path/validation views against existing services, including ambiguity, preferred-path and refusal evidence; add frontend/API-contract tests and one runtime acceptance.</t>
  </si>
  <si>
    <t>Proposed remaining 6/9/14 h, UNCONFIRMED; historical J/R unchanged.</t>
  </si>
  <si>
    <t>HISTORICAL PRESENTATION WAIT REPLACED BY CURRENT BASELINE/GATE WORDING</t>
  </si>
  <si>
    <t>Do not duplicate T-095..T-097 or charge their work here.
Runtime/complete-session proof still not executed/recovered here.</t>
  </si>
  <si>
    <t>CLOSED GREEN / COMMITTED ca02b40e</t>
  </si>
  <si>
    <t>MappingRowProjector contains PV01–PV08 row classification, existing-row replay behavior, shared mapping context and quarantine reprocess integration. Later owner-supplied closure and recovered transcript report the exact semantic commit and live targeted tests.
REMAINS: Zero remaining inside T-099's closed first-eight-PV scope. PV09–PV15, full replay/update semantics, monitoring and exact weight semantics remain with T-100/T-101/T-104/T-103.</t>
  </si>
  <si>
    <t>6 [STALE]</t>
  </si>
  <si>
    <t>17-Sep current authority supersedes stale 15-Sep status prose.</t>
  </si>
  <si>
    <t>POST /api/quarantine/reprocess and row-level reprocess service exist; the endpoint explicitly leaves list/detail/Mapping Health to T-101. Existing C2/import views are reusable scaffolding, not the complete PV/drift/retry monitoring flow.
REMAINS: Add bounded list/detail by code/dataset/batch and source lineage, extend the existing reprocess path, persist/display mapped-column drift, and B4 batch/error/durable-cursor monitoring. Validate API, UI and failure recovery.</t>
  </si>
  <si>
    <t>12 [STALE]</t>
  </si>
  <si>
    <t>Proposed remaining 12/18/28 h, UNCONFIRMED; historical J/R unchanged.</t>
  </si>
  <si>
    <t>CURRENT ESTIMATE NOT USABLE; TRUNCATED START-GATE PROSE — OMITTED CONDITIONS UNRESOLVED; HISTORICAL PRESENTATION WAIT REPLACED BY CURRENT BASELINE/GATE WORDING</t>
  </si>
  <si>
    <t>T-106 owns run-outcome semantics; T-125 owns operational data/health; do not bill those twice.
Runtime/complete-session proof still not executed/recovered here.</t>
  </si>
  <si>
    <t>material_aliases storage and uniqueness exist. MappingRowProjector creates aliases and resolves a supplied alias, but resolves by AliasCode alone and selects the first material; material-code lookup similarly omits SiteId despite per-site uniqueness. Automatic collision-safe cross-source identity is not complete.
REMAINS: Reuse alias persistence; resolve by governed tenant/site/source/key scope, refuse ambiguity, reconcile two source identifiers into one material and prove idempotent re-import with same alias text across sources/sites.</t>
  </si>
  <si>
    <t>Proposed remaining 4/7/12 h, UNCONFIRMED; historical J/R unchanged.</t>
  </si>
  <si>
    <t>Source-proven ambiguity mechanism: storage permits shared AliasCode across materials/sources; reader selects first by alias alone. No live wrong-material incident asserted.
Do not recreate alias tables or the full row projector.
Runtime/complete-session proof still not executed/recovered here.</t>
  </si>
  <si>
    <t>GenealogyService already rejects self-edges, duplicate edges and cycles by traversal. Migration 841 repairs the deferred weight trigger's schema binding while deliberately preserving its old tolerance. The effective predicate uses abs(sum-1)&gt;0.015, so 0.99 passes that predicate although this task requires rejection.
REMAINS: Retain cycle/self-edge implementation; prove DB direct-write cycle controls and both traversal directions, then reconcile exact declared weight semantics with the 0.015 inherited tolerance and add the explicit 0.99 negative case.</t>
  </si>
  <si>
    <t>Proposed remaining 4/6/10 h, UNCONFIRMED; historical J/R unchanged.</t>
  </si>
  <si>
    <t>CURRENT ESTIMATE NOT USABLE; HISTORICAL PRESENTATION WAIT REPLACED BY CURRENT BASELINE/GATE WORDING</t>
  </si>
  <si>
    <t>Confirmed predicate counterexample: abs(0.99-1)=0.01 is not greater than 0.015. T-099 preserved this deliberately; this does not reopen T-099.
Weight semantics/negative acceptance stay T-103; 841 topology repair remains accepted.
Runtime/complete-session proof still not executed/recovered here.</t>
  </si>
  <si>
    <t>The current projector skips an already existing MaterialUnit by site/code; it is not a proof that a changed mapping re-materializes previous output. Run history has resolved-target storage, but the existing orchestrator discards the resolver result before dispatch.
REMAINS: On top of the T-261 executor, prove canonical row/run version provenance, idempotent accepted effects and rollback-to-version business equivalence. Reuse first-eight-PV/quarantine infrastructure; do not implement a second executor.</t>
  </si>
  <si>
    <t>14 [STALE]</t>
  </si>
  <si>
    <t>Proposed remaining 8/14/22 h, UNCONFIRMED; historical J/R unchanged.</t>
  </si>
  <si>
    <t>CURRENT ESTIMATE NOT USABLE; TRUNCATED START-GATE PROSE — OMITTED CONDITIONS UNRESOLVED; HISTORICAL PRESENTATION WAIT REPLACED BY CURRENT BASELINE/GATE WORDING; DESCRIPTION CONTAINS RETIRED-ID HISTORY; EXECUTE SUCCESSOR CONTRACT, NOT A RETIRED ROW</t>
  </si>
  <si>
    <t>T-261 owns first resolved-target runtime call and executor; T-104 owns row effects and rollback proof after it.
Runtime/complete-session proof still not executed/recovered here.</t>
  </si>
  <si>
    <t>CURRENT ESTIMATE NOT USABLE</t>
  </si>
  <si>
    <t>The Worker has staggered timers and sequential awaits for import, data-quality, risk and delta. Separate telemetry buffers use bounded channels, but are not weighted job pools. Existing capability admission decides executability, not job-slot AND resource-capacity admission.
REMAINS: Add actual bounded job queues/pool slots and dual-predicate resource admission, isolation of three ML lanes, backpressure and exact cancellation/release behavior; test saturation and interactive reservation without inventing production capacity constants.</t>
  </si>
  <si>
    <t>Proposed remaining 12/20/32 h, UNCONFIRMED; historical J/R unchanged.</t>
  </si>
  <si>
    <t>T-098; T-101; T-102; T-103; T-104</t>
  </si>
  <si>
    <t>TRUNCATED START-GATE PROSE — OMITTED CONDITIONS UNRESOLVED; HISTORICAL PRESENTATION WAIT REPLACED BY CURRENT BASELINE/GATE WORDING</t>
  </si>
  <si>
    <t>T-155/T-159 calibrate heavy-production constants later; no retraining or new scheduler here.
Runtime/complete-session proof still not executed/recovered here.</t>
  </si>
  <si>
    <t>A real delta reader/importer, row envelope and cursor persistence already exist; generic bulk staging rejects duplicate batch/source/row entries. The delta path directly creates a fresh batch/rows and uses a scalar cursor. The PostgreSQL query uses strict &gt; plus LIMIT, MaxCursor parses under ambient culture, and incremental reads bypass the wrapper budget while GetBudget ignores profile/dataset.
REMAINS: Implement total-order cursor/tie-key semantics for every supported incremental reader, typed invariant comparisons, per-source effective budget on incremental calls, durable checkpoint/replay identity and projection watermark handoff. Do not recreate source/staging infrastructure already present.</t>
  </si>
  <si>
    <t>Proposed remaining 22/34/52 h, UNCONFIRMED; historical J/R unchanged.</t>
  </si>
  <si>
    <t>The old test checks only returned JSON array shape, not cursor values/exact IDs. Generic bulk-insert dedupe is not proof of delta-path cross-batch replay safety. Confirmed PostgreSQL tie mechanism; other providers require their own tests.
T-106 owns Job aggregate status; T-101 B4 UI; T-109 consumes this watermark; no duplicate billing for those consumers.
Runtime/complete-session proof still not executed/recovered here.</t>
  </si>
  <si>
    <t>The repository has source-delta infrastructure, ML refresh paths and pure analytical kernels, but the inspected analytical service paths do not show a commissioned consumer of the designed feature_refresh/analysis_scope watermark chain. Existing calculation code is reusable, not proof of bounded changed-entity execution.
REMAINS: Consume T-108's committed batch/delta token, materialize changed subjects through governed relations, refresh bounded feature/analysis scope and telemetry, and emit the ML handoff. Prove late data and interrupted retries without a second cursor store.</t>
  </si>
  <si>
    <t>Proposed remaining 6/10/18 h, UNCONFIRMED; historical J/R unchanged.</t>
  </si>
  <si>
    <t>T-098; T-101; T-102; T-103; T-104; T-108</t>
  </si>
  <si>
    <t>T-108 owns source/projection checkpoint; M3 materializers own full training artifacts.
Runtime/complete-session proof still not executed/recovered here.</t>
  </si>
  <si>
    <t>HistorianConnectorCapabilities explicitly declares real browse/read/subscription/session operations unavailable and returns named capability truth. This is a real honest-refusal foundation, not a production OPC implementation.
REMAINS: No original T-207 reimplementation. New backend provider-list convergence belongs to expanded T-254; live OPC operations belong to T-224..T-226.</t>
  </si>
  <si>
    <t>SignalSemanticsResolver already resolves aggregation through the governed database function with AG01/type refusal and a DI registration. Current production reference census finds its definition/implementation/registration, but no widget/query service injection/call. Frontend aggregate binding copies declared metadata; it performs no analytics.
REMAINS: Wire the existing semantics authority into Layer-A widget/query execution and consume the T-211 arithmetic contract. Preserve declared weighting/sampling/null rules, typed refusals and result evidence; do not implement a new aggregation authority.</t>
  </si>
  <si>
    <t>T-211; T-235</t>
  </si>
  <si>
    <t>T-211 computes math; T-210 governs semantics; T-212 wires actual queries.
Runtime/complete-session proof still not executed/recovered here.</t>
  </si>
  <si>
    <t>INHERITED WORKBOOK COMMIT: 2748c7fba8a5c4763bc19112ce57e484cea5b9bb — subject not recovered | not independently re-verified from complete sessions in this review</t>
  </si>
  <si>
    <t>CustomerAssessmentEndpoints exposes authorized assess/latest/version/diff operations and resolves tenant identity before service work. The service/normalization/history migration and tests are present. This is a reusable assessment authority, not an autonomous ingestion/projection executor.
REMAINS: No new work within the accepted T-213 authority scope. Customer intake use within the real UI journey remains the consumer's acceptance, not reopening this producer.</t>
  </si>
  <si>
    <t>The current OPC connector only validates supplied endpoint/read-only configuration and explicitly refuses a requested live handshake. The separate capability authority says session security/certificate/trust handling is not implemented; there is no evidence that the advertised target session is commissioned.
REMAINS: Implement real read-only OPC endpoint/session/certificate lifecycle on the customer-side collector, with governed trust references, security-policy rejection, reconnect and safe telemetry. Reuse configuration/capability contracts, not their success text as handshake proof.</t>
  </si>
  <si>
    <t>Proposed remaining 10/16/26 h, UNCONFIRMED; historical J/R unchanged.</t>
  </si>
  <si>
    <t>T-225 browse/subscription; T-226 end-to-end data/recovery; T-266 design. No M3 deferral.
Runtime/complete-session proof still not executed/recovered here.</t>
  </si>
  <si>
    <t>Current truth explicitly marks tag browse, bounded value read and subscriptions unimplemented. The UI and supplied-tag hints do not establish real namespace traversal or monitored-item persistence. Session support is T-224's prerequisite.
REMAINS: Build namespace browse, stable node identities, tag registration, bounded read/subscriptions and monitored-item lifecycle using the T-224 session and source-load policy; test partial browse, disconnect and invalid intervals.</t>
  </si>
  <si>
    <t>Do not recreate session security or count T-266 graphics as real read proof.
Runtime/complete-session proof still not executed/recovered here.</t>
  </si>
  <si>
    <t>Historian mapping/legacy tag-history and edge-spool scaffolding exist, while real upstream OPC read/subscription operations remain unavailable. Those existing interfaces are useful but do not prove quality/timestamp preservation or replay into canonical data from a live session.
REMAINS: Integrate source/server/ingest time and quality handling, spool/ack/reconnect/gap recovery and idempotent canonical replay using T-233/T-224/T-225; run controlled interruption and real-source evidence.</t>
  </si>
  <si>
    <t>Proposed remaining 10/16/28 h, UNCONFIRMED; historical J/R unchanged.</t>
  </si>
  <si>
    <t>No new time-authority kernel; no reuse of demo telemetry as customer-source proof.
Runtime/complete-session proof still not executed/recovered here.</t>
  </si>
  <si>
    <t>The supplied snapshot includes signal semantics and ordinary limits/parameter storage, but no production Performance Reference authority was located by class/table/name and consumer search. Existing semantics infrastructure is reusable; it is not the effective-dated reference precedence contract.
REMAINS: Implement effective-dated reference persistence, precedence/provenance and governed projections consuming T-214; test overlapping definitions, missing direction/unit and deterministic read-back. Do not reimplement the T-214 decision kernel.</t>
  </si>
  <si>
    <t>Proposed remaining 5/8/13 h, UNCONFIRMED; historical J/R unchanged.</t>
  </si>
  <si>
    <t>T-214 owns reference decision kernel; T-215 consumes BI projections; a negative symbol search alone is not live absence proof.
Runtime/complete-session proof still not executed/recovered here.</t>
  </si>
  <si>
    <t>OperationalTransitionKernel and TransitionAwarePoolingGuard contain actual regime classification and uncertainty-aware pooling refusal. Direct production reference census only finds kernel-to-kernel calls; it does not establish a persisted regime authority consumed by live statistics.
REMAINS: Persist transition/stabilisation declarations and wire current M2 statistical/correlation pooling to the existing guard. Include source-time uncertainty and explicit undeclared-regime handling; prove the live path refuses mixed/uncertain populations.</t>
  </si>
  <si>
    <t>8 [STALE]</t>
  </si>
  <si>
    <t>Proposed remaining 6/11/18 h, UNCONFIRMED; historical J/R unchanged.</t>
  </si>
  <si>
    <t>Do not redo T-234/T-236; later broad engine convergence stays T-146.
Runtime/complete-session proof still not executed/recovered here.</t>
  </si>
  <si>
    <t>INHERITED WORKBOOK COMMIT: eb7fb2ab — subject not recovered | not independently re-verified from complete sessions in this review</t>
  </si>
  <si>
    <t>The shared graph semantics imports typed ports and one block-contract registry; the registry distinguishes implemented/evaluable/persistable capabilities. Those executable validation contracts are real foundation code, not proof of a commissioned job executor.
REMAINS: Retain original typed-port/graph-validation closure. Any actual execution or visual-depth remainder belongs to T-245/T-261/T-265, not recreation of the T-241 graph model.</t>
  </si>
  <si>
    <t>INHERITED WORKBOOK COMMIT: b93c7a58; fc029aa44ac0079be05d623c73414b7fd9f05590; aa57a503411abeeff38ef346ba8801c7742c7926 — final: T-242 close governed aggregate and window block contracts | not independently re-verified from complete sessions in this review</t>
  </si>
  <si>
    <t>The block catalogue is centralized, typed and explicit about evaluable versus persistable behavior. Governed aggregation copies canonical metadata and refuses missing semantics; it deliberately computes no analytics. Non-placeable families must not be described as already commissioned product execution.
REMAINS: Original algebra/catalogue/validation closure remains closed. Persistence/compilation/runtime integration is the relevant downstream work and must retain honest unavailable states until accepted.</t>
  </si>
  <si>
    <t>INHERITED WORKBOOK COMMIT: 4d32c6b10b4605aeb6e0705ad03537d563125652 — T-244 close canonical Canvas lifecycle and selection model | not independently re-verified from complete sessions in this review</t>
  </si>
  <si>
    <t>The current SQL-mode save uses canonical content and the shared safe-SQL/lifecycle path, and SQL publication derives a compatibility projection within the same transaction. This substantiates the earlier persistence/convergence foundation; it does not execute a governed projection job.
REMAINS: Keep the original T-244 closure. The later projection-binding callback concern belongs to the T-262 consumer boundary, and runtime transformation execution belongs to T-261.</t>
  </si>
  <si>
    <t>10Sep preflight at a5451dba; no T-245 closure commit in inspected output</t>
  </si>
  <si>
    <t>Canvas has draft save, SQL preview, publish and reopen adapters; the job target resolver/capability descriptors exist. The current shell/API adapter has no commissioned bind-and-run flow consuming exact version/per-block runtime evidence, and CanonicalRefresh is explicitly unavailable.
REMAINS: Implement the thin Canvas-to-job binding/launch/monitor/error/cancel surface over T-261's real executor, carry exact version and stable block IDs, and test unavailable-family refusal before launch.</t>
  </si>
  <si>
    <t>Proposed remaining 6/10/16 h, UNCONFIRMED; historical J/R unchanged.</t>
  </si>
  <si>
    <t>T-261; T-262</t>
  </si>
  <si>
    <t>T-261 owns executor and block-evidence storage, T-106 schedule/outcome policy; do not count those implementations again.
Runtime/complete-session proof still not executed/recovered here.</t>
  </si>
  <si>
    <t>Individual source/import/Canvas/BI surfaces and earlier demo/journey tests exist, but the supplied production snapshot explicitly refuses governed Transformation execution. The required same-binary customer path cannot be certified by the present source or Figma output alone.
REMAINS: After producer closures, execute one customer-shaped real-source-to-canonical-to-BI/Assistant journey with immutable-version/retry/cancel/refusal/isolation evidence and zero customer-specific product diff. Budget acceptance coordination only; bugs remain with their owning tasks.</t>
  </si>
  <si>
    <t>T-104; T-108; T-125; T-211; T-212; T-235; T-245; T-254; T-258; T-262; T-265; T-266</t>
  </si>
  <si>
    <t>No source-code or drawing count can close runtime acceptance; no duplicate budget for T-106/T-108/T-261 fixes.
Runtime/complete-session proof still not executed/recovered here.</t>
  </si>
  <si>
    <t>Full commit not recovered</t>
  </si>
  <si>
    <t>Canonical content carries one outputTarget; model marker/catalogue authority determines eligible targets and exposes fields. Existing graph/SQL hash and read-back behaviors are real. This is independent of current job executor availability.
REMAINS: No new original output-target work. Preserve original 7a6f91f9 closure; downstream publication and executor consume that authority.</t>
  </si>
  <si>
    <t>The frontend/website runtime-truth convergence was closed at f8a35725. Current backend still has a separate ConnectorConfigurationService provider DTO list beside ConnectorProviderCatalog. Their OPC browse flags and membership/descriptions differ; configuration reads the former.
REMAINS: Complete only the widened backend validation/catalogue convergence and regression tests ensuring profile validation, API truth, UI and website consume one result. Retain frontend/website original closure and absence-of-fallback evidence.</t>
  </si>
  <si>
    <t>Proposed remaining 2/4/7 h, UNCONFIRMED; historical J/R unchanged.</t>
  </si>
  <si>
    <t>No rewrite of T-207, no source availability invented from a certification flag.
Runtime/complete-session proof still not executed/recovered here.</t>
  </si>
  <si>
    <t>Proposed remaining 16/26/42 h, UNCONFIRMED; historical J/R unchanged.</t>
  </si>
  <si>
    <t>Accepted v2.23.0 book workbook SHA256 730b1c671f68790b47748a2bfbe885e06e9fc1ed3b2fb35376b5853af55c29a2; Backlog row61.</t>
  </si>
  <si>
    <t>T-214; T-232</t>
  </si>
  <si>
    <t>Accepted v2.23.0 book workbook SHA256 730b1c671f68790b47748a2bfbe885e06e9fc1ed3b2fb35376b5853af55c29a2; Backlog row62.</t>
  </si>
  <si>
    <t>Accepted v2.23.0 book workbook SHA256 730b1c671f68790b47748a2bfbe885e06e9fc1ed3b2fb35376b5853af55c29a2; Backlog row63.</t>
  </si>
  <si>
    <t>Accepted v2.23.0 book workbook SHA256 730b1c671f68790b47748a2bfbe885e06e9fc1ed3b2fb35376b5853af55c29a2; Backlog row64.</t>
  </si>
  <si>
    <t>Accepted v2.23.0 book workbook SHA256 730b1c671f68790b47748a2bfbe885e06e9fc1ed3b2fb35376b5853af55c29a2; Backlog row65.</t>
  </si>
  <si>
    <t>INHERITED WORKBOOK COMMIT: 16ea041a; 94ab4e40; 723b9434; 6aef283f; ef588f0c — multi-commit runtime/protocol/CI closure | not independently re-verified from complete sessions in this review</t>
  </si>
  <si>
    <t>Accepted v2.23.0 book workbook SHA256 730b1c671f68790b47748a2bfbe885e06e9fc1ed3b2fb35376b5853af55c29a2; Backlog row66.</t>
  </si>
  <si>
    <t>INHERITED WORKBOOK COMMIT: a887c554 — T-169 Pack 1: typed columnar artifact contract, Parquet and Arrow IPC adapters, two hashes, B-03 hook | not independently re-verified from complete sessions in this review</t>
  </si>
  <si>
    <t>Accepted v2.23.0 book workbook SHA256 730b1c671f68790b47748a2bfbe885e06e9fc1ed3b2fb35376b5853af55c29a2; Backlog row67.</t>
  </si>
  <si>
    <t>INHERITED WORKBOOK COMMIT: 5a216483 — T-170 Chunked sequence-artifact library and bounded loader | not independently re-verified from complete sessions in this review</t>
  </si>
  <si>
    <t>Accepted v2.23.0 book workbook SHA256 730b1c671f68790b47748a2bfbe885e06e9fc1ed3b2fb35376b5853af55c29a2; Backlog row68.</t>
  </si>
  <si>
    <t>INHERITED WORKBOOK COMMIT: 95cc019c — Capability Profiler Pack 2 | not independently re-verified from complete sessions in this review</t>
  </si>
  <si>
    <t>Accepted v2.23.0 book workbook SHA256 730b1c671f68790b47748a2bfbe885e06e9fc1ed3b2fb35376b5853af55c29a2; Backlog row69.</t>
  </si>
  <si>
    <t>INHERITED WORKBOOK COMMIT: d4321856 — T-172 MF-01 Process Encoder runtime behind a replaceable contract | not independently re-verified from complete sessions in this review</t>
  </si>
  <si>
    <t>Accepted v2.23.0 book workbook SHA256 730b1c671f68790b47748a2bfbe885e06e9fc1ed3b2fb35376b5853af55c29a2; Backlog row70.</t>
  </si>
  <si>
    <t>INHERITED WORKBOOK COMMIT: 00a14286 — T-173 MF-02 VectorSimilarityIndex with exact-Flat recall baseline | not independently re-verified from complete sessions in this review</t>
  </si>
  <si>
    <t>Accepted v2.23.0 book workbook SHA256 730b1c671f68790b47748a2bfbe885e06e9fc1ed3b2fb35376b5853af55c29a2; Backlog row71.</t>
  </si>
  <si>
    <t>INHERITED WORKBOOK COMMIT: db033796 — T-174 MF-03 novelty runtime and honest refusal semantics | not independently re-verified from complete sessions in this review</t>
  </si>
  <si>
    <t>Accepted v2.23.0 book workbook SHA256 730b1c671f68790b47748a2bfbe885e06e9fc1ed3b2fb35376b5853af55c29a2; Backlog row72.</t>
  </si>
  <si>
    <t>INHERITED WORKBOOK COMMIT: 2413c6e1 — T-175 MF-04 supervised training runtime and mandatory simple baseline | not independently re-verified from complete sessions in this review</t>
  </si>
  <si>
    <t>Accepted v2.23.0 book workbook SHA256 730b1c671f68790b47748a2bfbe885e06e9fc1ed3b2fb35376b5853af55c29a2; Backlog row73.</t>
  </si>
  <si>
    <t>INHERITED WORKBOOK COMMIT: 08b54b61; 0a61ccfb — Calibration/explanation stability/promotion kernel + real TreeSHAP Pack 2 | not independently re-verified from complete sessions in this review</t>
  </si>
  <si>
    <t>Accepted v2.23.0 book workbook SHA256 730b1c671f68790b47748a2bfbe885e06e9fc1ed3b2fb35376b5853af55c29a2; Backlog row74.</t>
  </si>
  <si>
    <t>INHERITED WORKBOOK COMMIT: 502f8ca3; 502e0da9; bb4c5686 — T-177 multi-commit statistical-kernel closure | not independently re-verified from complete sessions in this review</t>
  </si>
  <si>
    <t>Accepted v2.23.0 book workbook SHA256 730b1c671f68790b47748a2bfbe885e06e9fc1ed3b2fb35376b5853af55c29a2; Backlog row75.</t>
  </si>
  <si>
    <t>INHERITED WORKBOOK COMMIT: b8792516; b5dbf232 — remediation eligibility/can_accept kernel + corrective canonical precedence | not independently re-verified from complete sessions in this review</t>
  </si>
  <si>
    <t>Accepted v2.23.0 book workbook SHA256 730b1c671f68790b47748a2bfbe885e06e9fc1ed3b2fb35376b5853af55c29a2; Backlog row76.</t>
  </si>
  <si>
    <t>INHERITED WORKBOOK COMMIT: d2bf1834 — T-179: deterministic Assistant tool planner | not independently re-verified from complete sessions in this review</t>
  </si>
  <si>
    <t>Accepted v2.23.0 book workbook SHA256 730b1c671f68790b47748a2bfbe885e06e9fc1ed3b2fb35376b5853af55c29a2; Backlog row77.</t>
  </si>
  <si>
    <t>INHERITED WORKBOOK COMMIT: 87428c512c6d6d1ca2bf70a6a8b04aadc7a4cc3b — T-180: permission-first hybrid retrieval and deterministic evidence packer | not independently re-verified from complete sessions in this review</t>
  </si>
  <si>
    <t>Accepted v2.23.0 book workbook SHA256 730b1c671f68790b47748a2bfbe885e06e9fc1ed3b2fb35376b5853af55c29a2; Backlog row78.</t>
  </si>
  <si>
    <t>INHERITED WORKBOOK COMMIT: eaa82b8b45fb1fdb4b406abfbe2809c5f6fc9cd5 — T-181: deterministic answer verifier and Q-01..Q-11 evaluation harness | not independently re-verified from complete sessions in this review</t>
  </si>
  <si>
    <t>Accepted v2.23.0 book workbook SHA256 730b1c671f68790b47748a2bfbe885e06e9fc1ed3b2fb35376b5853af55c29a2; Backlog row79.</t>
  </si>
  <si>
    <t>Accepted v2.23.0 book workbook SHA256 730b1c671f68790b47748a2bfbe885e06e9fc1ed3b2fb35376b5853af55c29a2; Backlog row80.</t>
  </si>
  <si>
    <t>Accepted v2.23.0 book workbook SHA256 730b1c671f68790b47748a2bfbe885e06e9fc1ed3b2fb35376b5853af55c29a2; Backlog row81.</t>
  </si>
  <si>
    <t>Accepted v2.23.0 book workbook SHA256 730b1c671f68790b47748a2bfbe885e06e9fc1ed3b2fb35376b5853af55c29a2; Backlog row82.</t>
  </si>
  <si>
    <t>Accepted v2.23.0 book workbook SHA256 730b1c671f68790b47748a2bfbe885e06e9fc1ed3b2fb35376b5853af55c29a2; Backlog row83.</t>
  </si>
  <si>
    <t>Accepted v2.23.0 book workbook SHA256 730b1c671f68790b47748a2bfbe885e06e9fc1ed3b2fb35376b5853af55c29a2; Backlog row84.</t>
  </si>
  <si>
    <t>Accepted v2.23.0 book workbook SHA256 730b1c671f68790b47748a2bfbe885e06e9fc1ed3b2fb35376b5853af55c29a2; Backlog row85.</t>
  </si>
  <si>
    <t>Accepted v2.23.0 book workbook SHA256 730b1c671f68790b47748a2bfbe885e06e9fc1ed3b2fb35376b5853af55c29a2; Backlog row86.</t>
  </si>
  <si>
    <t>T-112; T-114; T-233</t>
  </si>
  <si>
    <t>Accepted v2.23.0 book workbook SHA256 730b1c671f68790b47748a2bfbe885e06e9fc1ed3b2fb35376b5853af55c29a2; Backlog row87.</t>
  </si>
  <si>
    <t>Accepted v2.23.0 book workbook SHA256 730b1c671f68790b47748a2bfbe885e06e9fc1ed3b2fb35376b5853af55c29a2; Backlog row88.</t>
  </si>
  <si>
    <t>Accepted v2.23.0 book workbook SHA256 730b1c671f68790b47748a2bfbe885e06e9fc1ed3b2fb35376b5853af55c29a2; Backlog row89.</t>
  </si>
  <si>
    <t>Accepted v2.23.0 book workbook SHA256 730b1c671f68790b47748a2bfbe885e06e9fc1ed3b2fb35376b5853af55c29a2; Backlog row90.</t>
  </si>
  <si>
    <t>Accepted v2.23.0 book workbook SHA256 730b1c671f68790b47748a2bfbe885e06e9fc1ed3b2fb35376b5853af55c29a2; Backlog row91.</t>
  </si>
  <si>
    <t>Accepted v2.23.0 book workbook SHA256 730b1c671f68790b47748a2bfbe885e06e9fc1ed3b2fb35376b5853af55c29a2; Backlog row92.</t>
  </si>
  <si>
    <t>Resolve source-history gaps before representing this as a fully verified current status. Recover omitted start-gate prose; the original was truncated.</t>
  </si>
  <si>
    <t>Real credential resolution, authentication configuration and provider APIs exist. The resolver prioritises username/password in connection_options_json over a reference; the masking test exits successfully without the round-trip when setup fails. The development mint route already refuses outside Development. These facts narrow the repair: it is not a missing licence verifier or a blank-slate connector.
REMAINS: Close accepted-input, persistence and response secret boundaries with sentinel tests; replace vacuous setup returns; validate the actual release-profile bootstrap/MFA/seed/legacy-route boundary and log/audit redaction. Preserve explicit development-only behaviour.</t>
  </si>
  <si>
    <t>No real secret leak or live production exposure was reproduced. Original 8h covers less than the expanded scope.
T-121 owns DI/quota logic; T-123 install/upgrade; this estimate covers their security gate, not reimplementation.
Runtime/complete-session proof still not executed/recovered here.</t>
  </si>
  <si>
    <t>Accepted v2.23.0 book workbook SHA256 730b1c671f68790b47748a2bfbe885e06e9fc1ed3b2fb35376b5853af55c29a2; Backlog row94.</t>
  </si>
  <si>
    <t>Accepted v2.23.0 book workbook SHA256 730b1c671f68790b47748a2bfbe885e06e9fc1ed3b2fb35376b5853af55c29a2; Backlog row95.</t>
  </si>
  <si>
    <t>Accepted v2.23.0 book workbook SHA256 730b1c671f68790b47748a2bfbe885e06e9fc1ed3b2fb35376b5853af55c29a2; Backlog row96.</t>
  </si>
  <si>
    <t>Accepted v2.23.0 book workbook SHA256 730b1c671f68790b47748a2bfbe885e06e9fc1ed3b2fb35376b5853af55c29a2; Backlog row97.</t>
  </si>
  <si>
    <t>The strict VerifiedEd25519LicenseService and tier/feature checks exist. Production registration points to that implementation, while Application still registers a separate singleton ILicenseService. The dev mint route refuses outside Development. Commercial limits already have reusable code; the full customer-visible metering/quota workflow is not proven by these registrations.
REMAINS: Reconcile to one effective licence authority, implement or complete the declared F2/F3 role/user meters and thresholds, and execute tamper/expiry/meter/no-lost-draft acceptance. Do not build a new signing authority or reclassify the development route as a production mint.</t>
  </si>
  <si>
    <t>16 [STALE]</t>
  </si>
  <si>
    <t>Proposed remaining 10/18/30 h, UNCONFIRMED; historical J/R unchanged.</t>
  </si>
  <si>
    <t>Full metering implementation was not exhaustively traced; wider interval reflects that. Trust-root claims remain withdrawn.
T-113 release profile gate; T-165 pricing/cost model, not licence enforcement.
Runtime/complete-session proof still not executed/recovered here.</t>
  </si>
  <si>
    <t>A deploy entrypoint and migration/seed commands are already present. The inspected legacy entrypoint selects .env.dev and separates migrate/seed/demo verbs; a canonical migration ledger also exists. This demonstrates reusable deployment infrastructure, not certification that the production packaging chooses only the safe path.
REMAINS: Converge the shipped install/upgrade path onto the canonical ledger, preserve populated data, prove failed-upgrade/rollback recovery and non-root runtime for the selected deployment. Audit actual production selection rather than deleting development tooling blindly.</t>
  </si>
  <si>
    <t>Proposed remaining 12/20/36 h, UNCONFIRMED; historical J/R unchanged.</t>
  </si>
  <si>
    <t>No installation/upgrade/rollback was run. Hardware, privileges and environment wait time are excluded.
T-113 security policy is consumed, not re-estimated here.
Runtime/complete-session proof still not executed/recovered here.</t>
  </si>
  <si>
    <t>Accepted v2.23.0 book workbook SHA256 730b1c671f68790b47748a2bfbe885e06e9fc1ed3b2fb35376b5853af55c29a2; Backlog row100.</t>
  </si>
  <si>
    <t>Accepted v2.23.0 book workbook SHA256 730b1c671f68790b47748a2bfbe885e06e9fc1ed3b2fb35376b5853af55c29a2; Backlog row101.</t>
  </si>
  <si>
    <t>Accepted v2.23.0 book workbook SHA256 730b1c671f68790b47748a2bfbe885e06e9fc1ed3b2fb35376b5853af55c29a2; Backlog row102.</t>
  </si>
  <si>
    <t>T-115; T-123; T-124; T-125; T-126; T-212; T-215; T-222; T-223; T-226; T-227; T-247; T-254; T-255; T-257; T-258</t>
  </si>
  <si>
    <t>Accepted v2.23.0 book workbook SHA256 730b1c671f68790b47748a2bfbe885e06e9fc1ed3b2fb35376b5853af55c29a2; Backlog row103.</t>
  </si>
  <si>
    <t>TRUNCATED START-GATE PROSE — OMITTED CONDITIONS UNRESOLVED</t>
  </si>
  <si>
    <t>Accepted v2.23.0 book workbook SHA256 730b1c671f68790b47748a2bfbe885e06e9fc1ed3b2fb35376b5853af55c29a2; Backlog row104.</t>
  </si>
  <si>
    <t>Accepted v2.23.0 book workbook SHA256 730b1c671f68790b47748a2bfbe885e06e9fc1ed3b2fb35376b5853af55c29a2; Backlog row105.</t>
  </si>
  <si>
    <t>Accepted v2.23.0 book workbook SHA256 730b1c671f68790b47748a2bfbe885e06e9fc1ed3b2fb35376b5853af55c29a2; Backlog row106.</t>
  </si>
  <si>
    <t>Existing delta import and versioned job/target contracts are reusable. The inspected importer operates on bounded calls but does not supply the complete general chunk-receipt/checkpoint/resume authority required by this task. Generic channel buffers and ML artifact chunks are not evidence of durable job-scope receipts.
REMAINS: Implement persistent row/byte-bounded chunks, pinned inputs, receipt-atomic progress, interruption resume, deterministic merge and cumulative scan-budget abort. Reuse the M2 source-cursor/replay work rather than implementing it twice.</t>
  </si>
  <si>
    <t>24 [STALE]</t>
  </si>
  <si>
    <t>Proposed remaining 16/28/44 h, UNCONFIRMED; historical J/R unchanged.</t>
  </si>
  <si>
    <t>CURRENT ESTIMATE NOT USABLE; DESCRIPTION CONTAINS RETIRED-ID HISTORY; EXECUTE SUCCESSOR CONTRACT, NOT A RETIRED ROW</t>
  </si>
  <si>
    <t>General chunk engine absence is based on the inspected runtime paths and symbol census, not every historical script.
T-108/109 M2 delta; T-155 measured thresholds; T-159 site certification. No waits/soak included.
Runtime/complete-session proof still not executed/recovered here.</t>
  </si>
  <si>
    <t>T-107; T-112; T-113; T-114; T-117; T-123</t>
  </si>
  <si>
    <t>Accepted v2.23.0 book workbook SHA256 730b1c671f68790b47748a2bfbe885e06e9fc1ed3b2fb35376b5853af55c29a2; Backlog row108.</t>
  </si>
  <si>
    <t>Accepted v2.23.0 book workbook SHA256 730b1c671f68790b47748a2bfbe885e06e9fc1ed3b2fb35376b5853af55c29a2; Backlog row109.</t>
  </si>
  <si>
    <t>Accepted v2.23.0 book workbook SHA256 730b1c671f68790b47748a2bfbe885e06e9fc1ed3b2fb35376b5853af55c29a2; Backlog row110.</t>
  </si>
  <si>
    <t>Accepted v2.23.0 book workbook SHA256 730b1c671f68790b47748a2bfbe885e06e9fc1ed3b2fb35376b5853af55c29a2; Backlog row111.</t>
  </si>
  <si>
    <t>Accepted v2.23.0 book workbook SHA256 730b1c671f68790b47748a2bfbe885e06e9fc1ed3b2fb35376b5853af55c29a2; Backlog row112.</t>
  </si>
  <si>
    <t>B-01..B-09 benchmark contracts and a selected-value guard already exist. The guard requires a measured real-subject Production envelope before a value is published. Those are useful measurement tools, not already-measured site capacities or scan-amplification limits.
REMAINS: Integrate site workloads with those harnesses, collect training/batch/online latency and amplification evidence, and publish measured limits. Do not invent measured capacity from fixture outputs or replace the existing evidence contract.</t>
  </si>
  <si>
    <t>Proposed remaining 8/14/24 h, UNCONFIRMED; historical J/R unchanged.</t>
  </si>
  <si>
    <t>Focused engineer-hours only. Machine run/soak duration, data provisioning and site access excluded; re-estimate if hardware/workload changes.
T-110 enforcement implementation and T-159 certification reruns are distinct.
Runtime/complete-session proof still not executed/recovered here.</t>
  </si>
  <si>
    <t>The same benchmark envelope and real-subject/Production guards provide an existing basis for certification provenance. No C1-C4 run result on target site hardware was executed or observed in this source pass, so completed fixture tooling does not establish certification.
REMAINS: Prepare reproducible C1-C4 workloads, consume T-155 calibration, exercise the T-110 negative controls, reconcile measured sizing examples and capture sign-off without accepting fixture data as production measurements.</t>
  </si>
  <si>
    <t>Proposed remaining 8/16/28 h, UNCONFIRMED; historical J/R unchanged.</t>
  </si>
  <si>
    <t>Operational engineering effort only; elapsed soak duration and access waits explicitly excluded.
No reimplementation of T-110 or calibration billed again from T-155.
Runtime/complete-session proof still not executed/recovered here.</t>
  </si>
  <si>
    <t>Accepted v2.23.0 book workbook SHA256 730b1c671f68790b47748a2bfbe885e06e9fc1ed3b2fb35376b5853af55c29a2; Backlog row115.</t>
  </si>
  <si>
    <t>Accepted v2.23.0 book workbook SHA256 730b1c671f68790b47748a2bfbe885e06e9fc1ed3b2fb35376b5853af55c29a2; Backlog row116.</t>
  </si>
  <si>
    <t>Current provenance resolution is a real service and still reads declared legacy/compatibility relations. Existing endpoints and guarded source lookups are reusable; spelling public/canon alone does not prove a broken fresh install. The migration requires a consumer inventory rather than a delete-first schema rewrite.
REMAINS: Resolve every active old/new route and compatibility consumer, dual-serve only lawful semantic equivalents, test response/permission parity and keep historical handles readable before retiring consumers/objects.</t>
  </si>
  <si>
    <t>544-route count is a task baseline, not a count remeasured in this pass; estimate contingent on full inventory.
Do not remove compatibility objects before all live consumers and upgrade paths converge.
Runtime/complete-session proof still not executed/recovered here.</t>
  </si>
  <si>
    <t>Accepted v2.23.0 book workbook SHA256 730b1c671f68790b47748a2bfbe885e06e9fc1ed3b2fb35376b5853af55c29a2; Backlog row118.</t>
  </si>
  <si>
    <t>T-121; T-196; T-197; T-198; T-199; T-200</t>
  </si>
  <si>
    <t>Accepted v2.23.0 book workbook SHA256 730b1c671f68790b47748a2bfbe885e06e9fc1ed3b2fb35376b5853af55c29a2; Backlog row119.</t>
  </si>
  <si>
    <t>Accepted v2.23.0 book workbook SHA256 730b1c671f68790b47748a2bfbe885e06e9fc1ed3b2fb35376b5853af55c29a2; Backlog row120.</t>
  </si>
  <si>
    <t>Accepted v2.23.0 book workbook SHA256 730b1c671f68790b47748a2bfbe885e06e9fc1ed3b2fb35376b5853af55c29a2; Backlog row121.</t>
  </si>
  <si>
    <t>Accepted v2.23.0 book workbook SHA256 730b1c671f68790b47748a2bfbe885e06e9fc1ed3b2fb35376b5853af55c29a2; Backlog row122.</t>
  </si>
  <si>
    <t>Accepted v2.23.0 book workbook SHA256 730b1c671f68790b47748a2bfbe885e06e9fc1ed3b2fb35376b5853af55c29a2; Backlog row123.</t>
  </si>
  <si>
    <t>Accepted v2.23.0 book workbook SHA256 730b1c671f68790b47748a2bfbe885e06e9fc1ed3b2fb35376b5853af55c29a2; Backlog row124.</t>
  </si>
  <si>
    <t>Accepted v2.23.0 book workbook SHA256 730b1c671f68790b47748a2bfbe885e06e9fc1ed3b2fb35376b5853af55c29a2; Backlog row125.</t>
  </si>
  <si>
    <t>Accepted v2.23.0 book workbook SHA256 730b1c671f68790b47748a2bfbe885e06e9fc1ed3b2fb35376b5853af55c29a2; Backlog row126.</t>
  </si>
  <si>
    <t>Accepted v2.23.0 book workbook SHA256 730b1c671f68790b47748a2bfbe885e06e9fc1ed3b2fb35376b5853af55c29a2; Backlog row127.</t>
  </si>
  <si>
    <t>T-113; T-119</t>
  </si>
  <si>
    <t>Accepted v2.23.0 book workbook SHA256 730b1c671f68790b47748a2bfbe885e06e9fc1ed3b2fb35376b5853af55c29a2; Backlog row128.</t>
  </si>
  <si>
    <t>Accepted v2.23.0 book workbook SHA256 730b1c671f68790b47748a2bfbe885e06e9fc1ed3b2fb35376b5853af55c29a2; Backlog row129.</t>
  </si>
  <si>
    <t>Accepted v2.23.0 book workbook SHA256 730b1c671f68790b47748a2bfbe885e06e9fc1ed3b2fb35376b5853af55c29a2; Backlog row130.</t>
  </si>
  <si>
    <t>Accepted v2.23.0 book workbook SHA256 730b1c671f68790b47748a2bfbe885e06e9fc1ed3b2fb35376b5853af55c29a2; Backlog row131.</t>
  </si>
  <si>
    <t>T-134; T-228</t>
  </si>
  <si>
    <t>Accepted v2.23.0 book workbook SHA256 730b1c671f68790b47748a2bfbe885e06e9fc1ed3b2fb35376b5853af55c29a2; Backlog row132.</t>
  </si>
  <si>
    <t>T-112; T-114; T-229</t>
  </si>
  <si>
    <t>Accepted v2.23.0 book workbook SHA256 730b1c671f68790b47748a2bfbe885e06e9fc1ed3b2fb35376b5853af55c29a2; Backlog row133.</t>
  </si>
  <si>
    <t>The shared authoring shell, immutable reopen/output mapping and associative state are real implementation. AssociativeContext models selected/possible/excluded/alternative states and calls the governed widget query. Thus the 75-outcome enterprise remainder is not a blank-slate BI build, and the existence of basic selection must not be overwritten by a visual-template omission.
REMAINS: Complete the unfulfilled advanced outcome rows, native-grain drill, named/comparison states, concurrency recovery and server-owned persistence; wire G3/G6 consistently. Freeze the precise remaining matrix before code and reuse existing selection/history/validator behaviour.</t>
  </si>
  <si>
    <t>30 [STALE]</t>
  </si>
  <si>
    <t>Proposed remaining 24/40/64 h, UNCONFIRMED; historical J/R unchanged.</t>
  </si>
  <si>
    <t>T-148; T-228; T-245; T-257; T-267</t>
  </si>
  <si>
    <t>Full 75-row functional re-audit still required; estimate is a scope-budget proposal, not measured task duration.
T-267 designs; T-248 implementation; T-249 release acceptance. Existing T-204 selection closure retained.
Runtime/complete-session proof still not executed/recovered here.</t>
  </si>
  <si>
    <t>Reporting endpoints already generate investigation/readiness reports and PDFs through IInvestigationReportService and readiness services. This is real reusable output infrastructure. It does not provide the complete E5 versioned report-definition, scheduled output and delivery-history lifecycle.
REMAINS: Add governed report definition/version/sections/period, shared-job generation, output history, tenant-scoped download and delivery retries/audit; reuse existing PDF/evidence materialisation. Use the same scheduler, never a private report scheduler.</t>
  </si>
  <si>
    <t>T-106 scheduler and generic delivery components not recreated; fixtures alone cannot prove scheduled delivery.
Runtime/complete-session proof still not executed/recovered here.</t>
  </si>
  <si>
    <t>T-098; T-101; T-102; T-103; T-104; T-112; T-114</t>
  </si>
  <si>
    <t>Accepted v2.23.0 book workbook SHA256 730b1c671f68790b47748a2bfbe885e06e9fc1ed3b2fb35376b5853af55c29a2; Backlog row136.</t>
  </si>
  <si>
    <t>T-112; T-114; T-128; T-183</t>
  </si>
  <si>
    <t>Accepted v2.23.0 book workbook SHA256 730b1c671f68790b47748a2bfbe885e06e9fc1ed3b2fb35376b5853af55c29a2; Backlog row137.</t>
  </si>
  <si>
    <t>Accepted v2.23.0 book workbook SHA256 730b1c671f68790b47748a2bfbe885e06e9fc1ed3b2fb35376b5853af55c29a2; Backlog row138.</t>
  </si>
  <si>
    <t>Accepted v2.23.0 book workbook SHA256 730b1c671f68790b47748a2bfbe885e06e9fc1ed3b2fb35376b5853af55c29a2; Backlog row139.</t>
  </si>
  <si>
    <t>Accepted v2.23.0 book workbook SHA256 730b1c671f68790b47748a2bfbe885e06e9fc1ed3b2fb35376b5853af55c29a2; Backlog row140.</t>
  </si>
  <si>
    <t>Accepted v2.23.0 book workbook SHA256 730b1c671f68790b47748a2bfbe885e06e9fc1ed3b2fb35376b5853af55c29a2; Backlog row141.</t>
  </si>
  <si>
    <t>T-129; T-130; T-133; T-139; T-186</t>
  </si>
  <si>
    <t>Accepted v2.23.0 book workbook SHA256 730b1c671f68790b47748a2bfbe885e06e9fc1ed3b2fb35376b5853af55c29a2; Backlog row142.</t>
  </si>
  <si>
    <t>Accepted v2.23.0 book workbook SHA256 730b1c671f68790b47748a2bfbe885e06e9fc1ed3b2fb35376b5853af55c29a2; Backlog row143.</t>
  </si>
  <si>
    <t>T-109; T-131; T-132; T-133</t>
  </si>
  <si>
    <t>Accepted v2.23.0 book workbook SHA256 730b1c671f68790b47748a2bfbe885e06e9fc1ed3b2fb35376b5853af55c29a2; Backlog row144.</t>
  </si>
  <si>
    <t>T-134; T-188</t>
  </si>
  <si>
    <t>Accepted v2.23.0 book workbook SHA256 730b1c671f68790b47748a2bfbe885e06e9fc1ed3b2fb35376b5853af55c29a2; Backlog row145.</t>
  </si>
  <si>
    <t>T-130; T-187</t>
  </si>
  <si>
    <t>Accepted v2.23.0 book workbook SHA256 730b1c671f68790b47748a2bfbe885e06e9fc1ed3b2fb35376b5853af55c29a2; Backlog row146.</t>
  </si>
  <si>
    <t>Accepted v2.23.0 book workbook SHA256 730b1c671f68790b47748a2bfbe885e06e9fc1ed3b2fb35376b5853af55c29a2; Backlog row147.</t>
  </si>
  <si>
    <t>Accepted v2.23.0 book workbook SHA256 730b1c671f68790b47748a2bfbe885e06e9fc1ed3b2fb35376b5853af55c29a2; Backlog row148.</t>
  </si>
  <si>
    <t>Accepted v2.23.0 book workbook SHA256 730b1c671f68790b47748a2bfbe885e06e9fc1ed3b2fb35376b5853af55c29a2; Backlog row149.</t>
  </si>
  <si>
    <t>Accepted v2.23.0 book workbook SHA256 730b1c671f68790b47748a2bfbe885e06e9fc1ed3b2fb35376b5853af55c29a2; Backlog row150.</t>
  </si>
  <si>
    <t>Accepted v2.23.0 book workbook SHA256 730b1c671f68790b47748a2bfbe885e06e9fc1ed3b2fb35376b5853af55c29a2; Backlog row151.</t>
  </si>
  <si>
    <t>Phase8SuggestionOutcomeLoop takes caller-supplied BeforeValue/AfterValue, and its endpoint stores records in a process-wide ConcurrentDictionary. It is not the canonical outcome/feedback authority required by this task. Outcome arithmetic and presentation DTOs may inform migration, but cannot be credited as durable governed feedback.
REMAINS: Implement canonical-only outcomes, durable evaluation/effectiveness records, intervention-aware metrics, feedback eligibility/concentration evidence and controlled Supervisor input. Retire the contradictory writer safely after replacement and preserve legitimate history.</t>
  </si>
  <si>
    <t>Proposed remaining 14/24/40 h, UNCONFIRMED; historical J/R unchanged.</t>
  </si>
  <si>
    <t>Route mapping exists, but effective caller access in a deployed profile was not exercised.
T-190 D6 cutover; T-113 M2 denial; no double price of the same endpoint removal.
Runtime/complete-session proof still not executed/recovered here.</t>
  </si>
  <si>
    <t>ManagedStatisticalComputeEngine already invokes BenjaminiHochberg and Bootstrap from StatisticalDiscipline.cs; AdvancedCorrelationComputeService uses EffectRanking, FDR, Bootstrap and stratification. The file is NOT dead. The separate T-177 KernelMethodSelector/GroupComparisonKernel remain referenced by tests rather than these inspected producers, so a narrower pairing/authority cutover remains.
REMAINS: Wire the certified pairing/refusal kernel into real producers, align persistence/readiness/evidence and consolidate genuinely duplicate paths after consumer migration. Preserve the live discipline functions; do not delete StatisticalDiscipline.cs based on its filename or a zero-hit search for a nonexistent class.</t>
  </si>
  <si>
    <t>10 [STALE]</t>
  </si>
  <si>
    <t>T-128; T-129; T-147</t>
  </si>
  <si>
    <t>Do not equate obsolete CorrelationService annotation with no live analytical engine. Existing functions and keyed engine registration are visible.
T-186 persistent capability authority; this task consumes it and does not implement a second profile store.
Runtime/complete-session proof still not executed/recovered here.</t>
  </si>
  <si>
    <t>T-128; T-129</t>
  </si>
  <si>
    <t>Accepted v2.23.0 book workbook SHA256 730b1c671f68790b47748a2bfbe885e06e9fc1ed3b2fb35376b5853af55c29a2; Backlog row154.</t>
  </si>
  <si>
    <t>Accepted v2.23.0 book workbook SHA256 730b1c671f68790b47748a2bfbe885e06e9fc1ed3b2fb35376b5853af55c29a2; Backlog row155.</t>
  </si>
  <si>
    <t>Accepted v2.23.0 book workbook SHA256 730b1c671f68790b47748a2bfbe885e06e9fc1ed3b2fb35376b5853af55c29a2; Backlog row156.</t>
  </si>
  <si>
    <t>T-235; T-237</t>
  </si>
  <si>
    <t>Accepted v2.23.0 book workbook SHA256 730b1c671f68790b47748a2bfbe885e06e9fc1ed3b2fb35376b5853af55c29a2; Backlog row157.</t>
  </si>
  <si>
    <t>The website pricing component renders configured licence-plan labels, prices and feature lists. It is not an input-driven infrastructure cost/price calculator, and benchmark evidence machinery exists separately. Therefore some display structure is reusable while measured commercial sizing logic remains unproven.
REMAINS: Implement explicit units/currency/time assumptions, the separate infrastructure-cost and licence-price formulae, governed input validation and known-answer quote checks against measured capacity.</t>
  </si>
  <si>
    <t>No current commercial prices or site measured sizing invented; public pricing display does not establish cost engine completion.
T-121 entitlement differs from commercial pricing; T-155 supplies measurement constants.
Runtime/complete-session proof still not executed/recovered here.</t>
  </si>
  <si>
    <t>Accepted v2.23.0 book workbook SHA256 730b1c671f68790b47748a2bfbe885e06e9fc1ed3b2fb35376b5853af55c29a2; Backlog row159.</t>
  </si>
  <si>
    <t>T-112; T-114; T-128; T-135; T-183</t>
  </si>
  <si>
    <t>Accepted v2.23.0 book workbook SHA256 730b1c671f68790b47748a2bfbe885e06e9fc1ed3b2fb35376b5853af55c29a2; Backlog row160.</t>
  </si>
  <si>
    <t>T-112; T-114; T-122; T-135; T-183</t>
  </si>
  <si>
    <t>Accepted v2.23.0 book workbook SHA256 730b1c671f68790b47748a2bfbe885e06e9fc1ed3b2fb35376b5853af55c29a2; Backlog row161.</t>
  </si>
  <si>
    <t>CapabilityProfiler is a real pure kernel returning measured facts and eligibility/refusal states. It explicitly reads no database. Direct Profile-call census found test callers; persistence and production consumer commissioning are not established. This is integration work around an existing engine, not rebuilding profiling logic.
REMAINS: Persist versioned outcome/grain/manifest-scoped profiles, connect governed prediction-point candidates/model-count limits and use one readiness authority for producers. Prove deterministic rich/sparse decisions and missing-data refusals.</t>
  </si>
  <si>
    <t>T-128; T-129; T-135; T-183; T-195</t>
  </si>
  <si>
    <t>CURRENT ESTIMATE NOT USABLE; TRUNCATED START-GATE PROSE — OMITTED CONDITIONS UNRESOLVED</t>
  </si>
  <si>
    <t>T-171 kernel closed; do not reopen. T-146 consumes the commissioned authority.
Runtime/complete-session proof still not executed/recovered here.</t>
  </si>
  <si>
    <t>T-107; T-109; T-112; T-114; T-135; T-183; T-184; T-185; T-186; T-195</t>
  </si>
  <si>
    <t>Accepted v2.23.0 book workbook SHA256 730b1c671f68790b47748a2bfbe885e06e9fc1ed3b2fb35376b5853af55c29a2; Backlog row163.</t>
  </si>
  <si>
    <t>Accepted v2.23.0 book workbook SHA256 730b1c671f68790b47748a2bfbe885e06e9fc1ed3b2fb35376b5853af55c29a2; Backlog row164.</t>
  </si>
  <si>
    <t>Accepted v2.23.0 book workbook SHA256 730b1c671f68790b47748a2bfbe885e06e9fc1ed3b2fb35376b5853af55c29a2; Backlog row165.</t>
  </si>
  <si>
    <t>The legacy outcome endpoints provide a caller-entered/process-memory loop, not durable canonical D6 decisions. Related UI can be reused, but the inspected endpoint returns saved=true after a ConcurrentDictionary write, which must not be presented as canonical persistence.
REMAINS: Bind the actual D6 controls to canonical eligibility and decision records, enforce can_accept on the server, preserve actor/reason history and cut over legacy routes with continuity/negative tests.</t>
  </si>
  <si>
    <t>T-145 owns outcome/effectiveness persistence; this task consumes it. M2 route denial owned by T-113.
Runtime/complete-session proof still not executed/recovered here.</t>
  </si>
  <si>
    <t>Accepted v2.23.0 book workbook SHA256 730b1c671f68790b47748a2bfbe885e06e9fc1ed3b2fb35376b5853af55c29a2; Backlog row167.</t>
  </si>
  <si>
    <t>T-107; T-122; T-183; T-184; T-185; T-186; T-187; T-188; T-189; T-190; T-191</t>
  </si>
  <si>
    <t>Accepted v2.23.0 book workbook SHA256 730b1c671f68790b47748a2bfbe885e06e9fc1ed3b2fb35376b5853af55c29a2; Backlog row168.</t>
  </si>
  <si>
    <t>T-130; T-139; T-145; T-187</t>
  </si>
  <si>
    <t>Accepted v2.23.0 book workbook SHA256 730b1c671f68790b47748a2bfbe885e06e9fc1ed3b2fb35376b5853af55c29a2; Backlog row169.</t>
  </si>
  <si>
    <t>T-112; T-114</t>
  </si>
  <si>
    <t>Accepted v2.23.0 book workbook SHA256 730b1c671f68790b47748a2bfbe885e06e9fc1ed3b2fb35376b5853af55c29a2; Backlog row170.</t>
  </si>
  <si>
    <t>Accepted v2.23.0 book workbook SHA256 730b1c671f68790b47748a2bfbe885e06e9fc1ed3b2fb35376b5853af55c29a2; Backlog row171.</t>
  </si>
  <si>
    <t>T-214; T-238</t>
  </si>
  <si>
    <t>Accepted v2.23.0 book workbook SHA256 730b1c671f68790b47748a2bfbe885e06e9fc1ed3b2fb35376b5853af55c29a2; Backlog row172.</t>
  </si>
  <si>
    <t>Accepted v2.23.0 book workbook SHA256 730b1c671f68790b47748a2bfbe885e06e9fc1ed3b2fb35376b5853af55c29a2; Backlog row173.</t>
  </si>
  <si>
    <t>Accepted v2.23.0 book workbook SHA256 730b1c671f68790b47748a2bfbe885e06e9fc1ed3b2fb35376b5853af55c29a2; Backlog row174.</t>
  </si>
  <si>
    <t>P15BenchmarkingService exists, but builds anonymised industry demo bands from a stable base value and synthetic multipliers. That is not the required registry-driven internal plant benchmarking. Existing display/privacy ideas are reusable; demo bands must not be credited as measured internal comparisons.
REMAINS: Implement registered population/period comparisons with real counts, BM01/BM02, direction-aware normalisation and context-comparable own-best practice; preserve evidence/export and tenant isolation.</t>
  </si>
  <si>
    <t>No current customer benchmark output or exposure was executed here.
T-214/T-240 semantics reused; no industry taxonomy or a second practice engine.
Runtime/complete-session proof still not executed/recovered here.</t>
  </si>
  <si>
    <t>Accepted v2.23.0 book workbook SHA256 730b1c671f68790b47748a2bfbe885e06e9fc1ed3b2fb35376b5853af55c29a2; Backlog row176.</t>
  </si>
  <si>
    <t>T-110; T-153; T-159; T-160; T-161; T-162; T-163; T-164; T-167; T-193; T-230; T-240; T-246; T-248; T-263; T-264; T-267</t>
  </si>
  <si>
    <t>Accepted v2.23.0 book workbook SHA256 730b1c671f68790b47748a2bfbe885e06e9fc1ed3b2fb35376b5853af55c29a2; Backlog row177.</t>
  </si>
  <si>
    <t>The delivered UI dataset contains 40 pages, 87 dialogs and 607 scene descriptions plus a local importer explicitly labelled not run in Figma. Existing product code already handles immutable reopen and associative selections. This is a substantial starting inventory, but static nodes and populated coverage rows are not proof of the required prototype transitions.
REMAINS: Complete the M2 semantic control/transition matrix, selected source/join/output inspector states, refused/recovery paths and labelled realistic fixtures; execute the specified native import/prototype checks and update only Chapters 3/4 MD+Word and workbook coverage.</t>
  </si>
  <si>
    <t>Proposed remaining 28/44/68 h, UNCONFIRMED; historical J/R unchanged.</t>
  </si>
  <si>
    <t>No connected Figma run. No 607-frame count used as a percentage complete; whole UI interaction matrix not executed.
T-266 OPC design; T-267 M3 design; runtime implementation remains its own task.
Runtime/complete-session proof still not executed/recovered here.</t>
  </si>
  <si>
    <t>The source has historian configuration UI/API scaffolding and truthful unavailable operations, while the delivered visual package is a derived design. No native Figma execution or full target/current capability state interaction is established by current repository source.
REMAINS: Design the named OPC profile/browse/read/subscription/quality/time/spool/replay flow and its unavailable states against T-224..T-226 contracts, integrate into Chapter3/4 and embedded Word images, and execute one observed design import/prototype check without claiming live OPC.</t>
  </si>
  <si>
    <t>T-224..T-226 implement/live-certify; T-233 time authority; native design execution availability is a separate uncertainty.
Runtime/complete-session proof still not executed/recovered here.</t>
  </si>
  <si>
    <t>The common UI dataset and existing selection/history mechanisms are reusable. Current UI Coverage deliberately separates M2 flows from M3 depth. Neither the inventory nor the native-importer code is evidence that M3 concurrency, version comparison, reports and advanced comparison prototypes were exercised.
REMAINS: Design the complete M3 remainder against the existing 75-outcome matrix, producer contracts and accepted M2 flows, including advanced states, conflict/recovery, exports and G3/G6. Verify the native scenes and synchronize the two illustrated chapters.</t>
  </si>
  <si>
    <t>Estimate excludes T-248 product implementation and T-249 product certification.
No basic selection/clear deferred from M2; no duplicate generic frame batch treated as acceptance.
Runtime/complete-session proof still not executed/recovered here.</t>
  </si>
  <si>
    <t>v4.11.1 bounded Industrial Integration execution owner; source preflight is estimation input, not completion evidence.</t>
  </si>
  <si>
    <t>NOT ESTIMATED — SOURCE PREFLIGHT REQUIRED</t>
  </si>
  <si>
    <t>Master Design v4.11.1 + Backlog v2.24.0</t>
  </si>
  <si>
    <t>No closure claimed</t>
  </si>
  <si>
    <t>Estimate after source preflight; execute after dependency gate.</t>
  </si>
  <si>
    <t>17-Sep-2026 Authority / Commit / Working-Tree Reconciliation</t>
  </si>
  <si>
    <t>Commit / evidence</t>
  </si>
  <si>
    <t>Ownership / disposition</t>
  </si>
  <si>
    <t>Commit</t>
  </si>
  <si>
    <t>CLOSED GREEN</t>
  </si>
  <si>
    <t>Frozen closure</t>
  </si>
  <si>
    <t>Supersedes 15-Sep uncommitted state</t>
  </si>
  <si>
    <t>316383913d3d8254003639274a098f829ecc1ea2</t>
  </si>
  <si>
    <t>Transactional relationship publication</t>
  </si>
  <si>
    <t>Ambient transaction correction</t>
  </si>
  <si>
    <t>CLOSED CORRECTIVE</t>
  </si>
  <si>
    <t>Provider/runtime truth</t>
  </si>
  <si>
    <t>Ancestor</t>
  </si>
  <si>
    <t>PRODUCER GREEN</t>
  </si>
  <si>
    <t>Projection declaration producer</t>
  </si>
  <si>
    <t>db0b0f84ec721f8adff1da14d4a62762200a22d6</t>
  </si>
  <si>
    <t>Final live definition-store integration</t>
  </si>
  <si>
    <t>Observed HEAD</t>
  </si>
  <si>
    <t>Worktree</t>
  </si>
  <si>
    <t>IN PROGRESS / UNCOMMITTED</t>
  </si>
  <si>
    <t>40 dirty entries observed</t>
  </si>
  <si>
    <t>Preserve bytes; stage only owned paths</t>
  </si>
  <si>
    <t>All 40 paths need exact census before commit</t>
  </si>
  <si>
    <t>Visible dirty</t>
  </si>
  <si>
    <t>M/U</t>
  </si>
  <si>
    <t>VisualMapperEndpoints.cs; TransformationCompiler.cs; JobExecutor.cs; JobExecutorResolver.cs; JobExecutionContext.cs; JobExecutionDiagnostics.cs</t>
  </si>
  <si>
    <t>T-261 executor/API family</t>
  </si>
  <si>
    <t>Screenshot-visible</t>
  </si>
  <si>
    <t>U</t>
  </si>
  <si>
    <t>ITransformationCanonicalWriter.cs; TransformationExecutionPlan.cs; TransformationProjectionJobExecutor.cs; JobRunBlockEvidence.cs; JobRunBlockStatus.cs</t>
  </si>
  <si>
    <t>T-261 writer/plan/evidence family</t>
  </si>
  <si>
    <t>Visible tests</t>
  </si>
  <si>
    <t>TransformationCompilerTests.cs; JobExecutorResolverTests.cs; TransformationProjectionExecutorTests.cs; JobRunBlockEvidenceTests.cs</t>
  </si>
  <si>
    <t>Focused T-261 tests</t>
  </si>
  <si>
    <t>Evidence gap</t>
  </si>
  <si>
    <t>UNSEEN DIRTY PATHS</t>
  </si>
  <si>
    <t>UNASSIGNED</t>
  </si>
  <si>
    <t>Remaining dirty paths not visible</t>
  </si>
  <si>
    <t>Do not guess owner</t>
  </si>
  <si>
    <t>Exact census before staging</t>
  </si>
  <si>
    <t>Exact SHA recovered</t>
  </si>
  <si>
    <t>Commit partial</t>
  </si>
  <si>
    <t>9a7b0e74 short SHA</t>
  </si>
  <si>
    <t>Full SHA/date not supplied</t>
  </si>
  <si>
    <t>Commit gap</t>
  </si>
  <si>
    <t>Full SHA/date not recovered</t>
  </si>
  <si>
    <t>Keep closure + explicit gap</t>
  </si>
  <si>
    <t>a0a5618d (short final anchor)</t>
  </si>
  <si>
    <t>Widened integration accepted; executor commissioning is T-261</t>
  </si>
  <si>
    <t>Full SHA not recovered; short anchor only</t>
  </si>
  <si>
    <t>17-Sep-2026 Worker Start Routing — current Design v4.11.1 / Backlog v2.24.0</t>
  </si>
  <si>
    <t>Immediate task</t>
  </si>
  <si>
    <t>Why now</t>
  </si>
  <si>
    <t>Blocked by</t>
  </si>
  <si>
    <t>Dirty-tree rule</t>
  </si>
  <si>
    <t>Start permission</t>
  </si>
  <si>
    <t>T-268 → T-269/T-272 as gates permit</t>
  </si>
  <si>
    <t>Finish existing Source Time lane, then open Industrial Integration configuration authority</t>
  </si>
  <si>
    <t>T-233 runner/certification only; T-268 depends T-207 already closed</t>
  </si>
  <si>
    <t>Do not touch T-261 postimages</t>
  </si>
  <si>
    <t>Ch2/3/4/6 v4.11.1 + T-233/T-268 rows</t>
  </si>
  <si>
    <t>START T-233 NOW</t>
  </si>
  <si>
    <t>T-245; then T-254/T-266 on disjoint paths</t>
  </si>
  <si>
    <t>40 visible dirty executor/projection postimages belong to T-261 and all named producer prerequisites are now closed</t>
  </si>
  <si>
    <t>Exact all-dirty-path census + T-261 own gates</t>
  </si>
  <si>
    <t>Preserve all unrelated bytes; exact owned staging only</t>
  </si>
  <si>
    <t>T-261 row + Authority Reconciliation 17Sep</t>
  </si>
  <si>
    <t>FINISH T-261 NOW — NO RESET</t>
  </si>
  <si>
    <t>T-225 → T-107 → T-275</t>
  </si>
  <si>
    <t>OPC endpoint/session and browse/subscription are the critical producer chain; T-275 later needs T-107 + T-268</t>
  </si>
  <si>
    <t>T-224 depends T-207 closed; later tasks retain own gates</t>
  </si>
  <si>
    <t>No overlap with T-261 files</t>
  </si>
  <si>
    <t>Ch2/3/4/6 v4.11.1 + T-224/T-225/T-275</t>
  </si>
  <si>
    <t>START T-224 NOW</t>
  </si>
  <si>
    <t>Global rule</t>
  </si>
  <si>
    <t>Estimation</t>
  </si>
  <si>
    <t>Design derivatives</t>
  </si>
  <si>
    <t>Closed tasks</t>
  </si>
  <si>
    <t>OPC truth</t>
  </si>
  <si>
    <t>Files</t>
  </si>
  <si>
    <t>No unnamed mutation</t>
  </si>
  <si>
    <t>T-268..275 estimate calibration is NOT a start gate</t>
  </si>
  <si>
    <t>T-265/T-266 Word/Figma derivative work cannot override Markdown functional authority</t>
  </si>
  <si>
    <t>T-100/T-106/T-243/T-262 stay closed absent concrete regression</t>
  </si>
  <si>
    <t>Requested ≠ effective ≠ qualified</t>
  </si>
  <si>
    <t>No shared/protected DB mutation by certification packs</t>
  </si>
  <si>
    <t>No task ID in repo filenames</t>
  </si>
  <si>
    <t>T-150 remains final Release-1 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</si>
</sst>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0%"/>
    <numFmt numFmtId="167" formatCode="0.0;\-0.0;0.0"/>
  </numFmts>
  <fonts count="36">
    <font>
      <sz val="11"/>
      <name val="Carlito"/>
    </font>
    <font>
      <b/>
      <sz val="16"/>
      <color rgb="FFFFFFFF"/>
      <name val="Carlito"/>
    </font>
    <font>
      <b/>
      <sz val="11"/>
      <color rgb="FFFFFFFF"/>
      <name val="Carlito"/>
    </font>
    <font>
      <b/>
      <sz val="11"/>
      <color rgb="FF17384A"/>
      <name val="Carlito"/>
    </font>
    <font>
      <b/>
      <sz val="14"/>
      <color rgb="FFFFFFFF"/>
      <name val="Carlito"/>
    </font>
    <font>
      <b/>
      <sz val="11"/>
      <name val="Carlito"/>
    </font>
    <font>
      <i/>
      <sz val="11"/>
      <name val="Carlito"/>
    </font>
    <font>
      <b/>
      <sz val="11"/>
      <color rgb="FF17365D"/>
      <name val="Carlito"/>
    </font>
    <font>
      <b/>
      <sz val="20"/>
      <name val="Carlito"/>
    </font>
    <font>
      <b/>
      <sz val="10"/>
      <color rgb="FFFFFFFF"/>
      <name val="Carlito"/>
    </font>
    <font>
      <sz val="10"/>
      <name val="Carlito"/>
    </font>
    <font>
      <b/>
      <sz val="10"/>
      <color rgb="FF17384A"/>
      <name val="Carlito"/>
    </font>
    <font>
      <b/>
      <sz val="20"/>
      <color rgb="FFFFFFFF"/>
      <name val="Carlito"/>
    </font>
    <font>
      <sz val="11"/>
      <color rgb="FF334155"/>
      <name val="Carlito"/>
    </font>
    <font>
      <b/>
      <sz val="11"/>
      <color rgb="FFFFFFFF"/>
      <name val="Aptos"/>
      <family val="2"/>
    </font>
    <font>
      <sz val="11"/>
      <name val="Aptos"/>
      <family val="2"/>
    </font>
    <font>
      <b/>
      <sz val="10"/>
      <color rgb="FFFFFFFF"/>
      <name val="Aptos"/>
      <family val="2"/>
    </font>
    <font>
      <sz val="10"/>
      <name val="Aptos"/>
      <family val="2"/>
    </font>
    <font>
      <b/>
      <sz val="18"/>
      <color rgb="FFFFFFFF"/>
      <name val="Carlito"/>
    </font>
    <font>
      <i/>
      <sz val="10"/>
      <color rgb="FF456174"/>
      <name val="Carlito"/>
    </font>
    <font>
      <b/>
      <sz val="11"/>
      <color rgb="FF123048"/>
      <name val="Carlito"/>
    </font>
    <font>
      <b/>
      <sz val="18"/>
      <color rgb="FFFFFFFF"/>
      <name val="Aptos"/>
      <family val="2"/>
    </font>
    <font>
      <i/>
      <sz val="10"/>
      <color rgb="FF456174"/>
      <name val="Aptos"/>
      <family val="2"/>
    </font>
    <font>
      <b/>
      <sz val="11"/>
      <color rgb="FF123048"/>
      <name val="Aptos"/>
      <family val="2"/>
    </font>
    <font>
      <sz val="11"/>
      <color rgb="FF243447"/>
      <name val="Carlito"/>
    </font>
    <font>
      <b/>
      <sz val="10"/>
      <color rgb="FF243447"/>
      <name val="Carlito"/>
    </font>
    <font>
      <sz val="10"/>
      <color rgb="FF243447"/>
      <name val="Carlito"/>
    </font>
    <font>
      <sz val="10"/>
      <color rgb="FF243447"/>
      <name val="Calibri"/>
      <family val="2"/>
    </font>
    <font>
      <sz val="11"/>
      <color rgb="FF42566B"/>
      <name val="Carlito"/>
    </font>
    <font>
      <b/>
      <sz val="11"/>
      <color rgb="FF7F6000"/>
      <name val="Carlito"/>
    </font>
    <font>
      <b/>
      <sz val="11"/>
      <color rgb="FF1F4E78"/>
      <name val="Carlito"/>
    </font>
    <font>
      <sz val="10"/>
      <color rgb="FF7F6000"/>
      <name val="Carlito"/>
    </font>
    <font>
      <sz val="9"/>
      <color rgb="FF596B7D"/>
      <name val="Carlito"/>
    </font>
    <font>
      <b/>
      <sz val="17"/>
      <color rgb="FFFFFFFF"/>
      <name val="Carlito"/>
    </font>
    <font>
      <b/>
      <sz val="10"/>
      <color rgb="FF7A5400"/>
      <name val="Carlito"/>
    </font>
    <font>
      <b/>
      <sz val="14"/>
      <name val="Carlito"/>
    </font>
  </fonts>
  <fills count="37">
    <fill>
      <patternFill patternType="none"/>
    </fill>
    <fill>
      <patternFill patternType="gray125"/>
    </fill>
    <fill>
      <patternFill patternType="solid">
        <fgColor rgb="FF0B1F33"/>
      </patternFill>
    </fill>
    <fill>
      <patternFill patternType="solid">
        <fgColor rgb="FF1E5A73"/>
      </patternFill>
    </fill>
    <fill>
      <patternFill patternType="solid">
        <fgColor rgb="FFF0F5F8"/>
      </patternFill>
    </fill>
    <fill>
      <patternFill patternType="solid">
        <fgColor rgb="FF92D050"/>
      </patternFill>
    </fill>
    <fill>
      <patternFill patternType="solid">
        <fgColor rgb="FF17365D"/>
      </patternFill>
    </fill>
    <fill>
      <patternFill patternType="solid">
        <fgColor rgb="FF17365D"/>
      </patternFill>
    </fill>
    <fill>
      <patternFill patternType="solid">
        <fgColor rgb="FF17365D"/>
      </patternFill>
    </fill>
    <fill>
      <patternFill patternType="solid">
        <fgColor rgb="FF0B1F33"/>
      </patternFill>
    </fill>
    <fill>
      <patternFill patternType="solid">
        <fgColor rgb="FFD9EAF7"/>
      </patternFill>
    </fill>
    <fill>
      <patternFill patternType="solid">
        <fgColor rgb="FFD9E2F3"/>
      </patternFill>
    </fill>
    <fill>
      <patternFill patternType="solid">
        <fgColor rgb="FFE2F0D9"/>
      </patternFill>
    </fill>
    <fill>
      <patternFill patternType="solid">
        <fgColor rgb="FF17365D"/>
      </patternFill>
    </fill>
    <fill>
      <patternFill patternType="solid">
        <fgColor rgb="FF17365D"/>
      </patternFill>
    </fill>
    <fill>
      <patternFill patternType="solid">
        <fgColor rgb="FFFFFF00"/>
      </patternFill>
    </fill>
    <fill>
      <patternFill patternType="solid">
        <fgColor rgb="FF102A43"/>
      </patternFill>
    </fill>
    <fill>
      <patternFill patternType="solid">
        <fgColor rgb="FFEAF3F8"/>
      </patternFill>
    </fill>
    <fill>
      <patternFill patternType="solid">
        <fgColor rgb="FF102C44"/>
      </patternFill>
    </fill>
    <fill>
      <patternFill patternType="solid">
        <fgColor rgb="FFFFF1C2"/>
      </patternFill>
    </fill>
    <fill>
      <patternFill patternType="solid">
        <fgColor rgb="FFFFF8DE"/>
      </patternFill>
    </fill>
    <fill>
      <patternFill patternType="solid">
        <fgColor rgb="FFE7F0F5"/>
      </patternFill>
    </fill>
    <fill>
      <patternFill patternType="solid">
        <fgColor rgb="FFFFFFFF"/>
      </patternFill>
    </fill>
    <fill>
      <patternFill patternType="solid">
        <fgColor rgb="FF123048"/>
      </patternFill>
    </fill>
    <fill>
      <patternFill patternType="solid">
        <fgColor rgb="FFE5F0F5"/>
      </patternFill>
    </fill>
    <fill>
      <patternFill patternType="solid">
        <fgColor rgb="FF14344B"/>
      </patternFill>
    </fill>
    <fill>
      <patternFill patternType="solid">
        <fgColor rgb="FFFFFFFF"/>
      </patternFill>
    </fill>
    <fill>
      <patternFill patternType="solid">
        <fgColor rgb="FF1F4E78"/>
      </patternFill>
    </fill>
    <fill>
      <patternFill patternType="solid">
        <fgColor rgb="FFFFF2CC"/>
      </patternFill>
    </fill>
    <fill>
      <patternFill patternType="solid">
        <fgColor rgb="FF17365D"/>
      </patternFill>
    </fill>
    <fill>
      <patternFill patternType="solid">
        <fgColor rgb="FFDDEBF7"/>
      </patternFill>
    </fill>
    <fill>
      <patternFill patternType="solid">
        <fgColor rgb="FFE7E6E6"/>
      </patternFill>
    </fill>
    <fill>
      <patternFill patternType="solid">
        <fgColor rgb="FF17324D"/>
      </patternFill>
    </fill>
    <fill>
      <patternFill patternType="solid">
        <fgColor rgb="FFFFF2CC"/>
      </patternFill>
    </fill>
    <fill>
      <patternFill patternType="solid">
        <fgColor rgb="FFE2F0D9"/>
      </patternFill>
    </fill>
    <fill>
      <patternFill patternType="solid">
        <fgColor theme="0"/>
      </patternFill>
    </fill>
    <fill>
      <patternFill patternType="solid">
        <fgColor rgb="FFD9EAF7"/>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50">
    <xf numFmtId="0" fontId="0" fillId="0" borderId="0" xfId="0"/>
    <xf numFmtId="0" fontId="2" fillId="3" borderId="0" xfId="0" applyFont="1" applyFill="1" applyAlignment="1">
      <alignment vertical="center" wrapText="1"/>
    </xf>
    <xf numFmtId="0" fontId="0" fillId="0" borderId="0" xfId="0" applyAlignment="1">
      <alignment wrapText="1"/>
    </xf>
    <xf numFmtId="0" fontId="3" fillId="4" borderId="0" xfId="0" applyFont="1" applyFill="1" applyAlignment="1">
      <alignment wrapText="1"/>
    </xf>
    <xf numFmtId="0" fontId="0" fillId="5" borderId="0" xfId="0" applyFill="1" applyAlignment="1">
      <alignment wrapText="1"/>
    </xf>
    <xf numFmtId="1" fontId="0" fillId="0" borderId="0" xfId="0" applyNumberFormat="1" applyAlignment="1">
      <alignment wrapText="1"/>
    </xf>
    <xf numFmtId="164" fontId="0" fillId="0" borderId="0" xfId="0" applyNumberFormat="1" applyAlignment="1">
      <alignment wrapText="1"/>
    </xf>
    <xf numFmtId="1" fontId="0" fillId="4" borderId="0" xfId="0" applyNumberFormat="1" applyFill="1" applyAlignment="1">
      <alignment wrapText="1"/>
    </xf>
    <xf numFmtId="0" fontId="2" fillId="6" borderId="0" xfId="0" applyFont="1" applyFill="1" applyAlignment="1">
      <alignment horizontal="center" vertical="center" wrapText="1"/>
    </xf>
    <xf numFmtId="165" fontId="0" fillId="0" borderId="0" xfId="0" applyNumberFormat="1" applyAlignment="1">
      <alignment wrapText="1"/>
    </xf>
    <xf numFmtId="166" fontId="0" fillId="0" borderId="0" xfId="0" applyNumberFormat="1"/>
    <xf numFmtId="0" fontId="2" fillId="7" borderId="0" xfId="0" applyFont="1" applyFill="1" applyAlignment="1">
      <alignment horizontal="center" wrapText="1"/>
    </xf>
    <xf numFmtId="166" fontId="0" fillId="4" borderId="0" xfId="0" applyNumberFormat="1" applyFill="1" applyAlignment="1">
      <alignment wrapText="1"/>
    </xf>
    <xf numFmtId="166" fontId="0" fillId="0" borderId="0" xfId="0" applyNumberFormat="1" applyAlignment="1">
      <alignment wrapText="1"/>
    </xf>
    <xf numFmtId="0" fontId="2" fillId="8" borderId="0" xfId="0" applyFont="1" applyFill="1"/>
    <xf numFmtId="0" fontId="2" fillId="8" borderId="0" xfId="0" applyFont="1" applyFill="1" applyAlignment="1">
      <alignment horizontal="center" wrapText="1"/>
    </xf>
    <xf numFmtId="0" fontId="2" fillId="8" borderId="0" xfId="0" applyFont="1" applyFill="1" applyAlignment="1">
      <alignment wrapText="1"/>
    </xf>
    <xf numFmtId="0" fontId="5" fillId="12" borderId="0" xfId="0" applyFont="1" applyFill="1"/>
    <xf numFmtId="0" fontId="4" fillId="13" borderId="0" xfId="0" applyFont="1" applyFill="1"/>
    <xf numFmtId="0" fontId="2" fillId="13" borderId="0" xfId="0" applyFont="1" applyFill="1" applyAlignment="1">
      <alignment wrapText="1"/>
    </xf>
    <xf numFmtId="1" fontId="2" fillId="13" borderId="0" xfId="0" applyNumberFormat="1" applyFont="1" applyFill="1" applyAlignment="1">
      <alignment wrapText="1"/>
    </xf>
    <xf numFmtId="164" fontId="2" fillId="13" borderId="0" xfId="0" applyNumberFormat="1" applyFont="1" applyFill="1" applyAlignment="1">
      <alignment wrapText="1"/>
    </xf>
    <xf numFmtId="0" fontId="2" fillId="14" borderId="0" xfId="0" applyFont="1" applyFill="1" applyAlignment="1">
      <alignment horizontal="center" wrapText="1"/>
    </xf>
    <xf numFmtId="0" fontId="0" fillId="15" borderId="0" xfId="0" applyFill="1" applyAlignment="1">
      <alignment wrapText="1"/>
    </xf>
    <xf numFmtId="0" fontId="10" fillId="0" borderId="0" xfId="0" applyFont="1" applyAlignment="1">
      <alignment wrapText="1"/>
    </xf>
    <xf numFmtId="0" fontId="9" fillId="3" borderId="0" xfId="0" applyFont="1" applyFill="1" applyAlignment="1">
      <alignment vertical="center" wrapText="1"/>
    </xf>
    <xf numFmtId="0" fontId="9" fillId="16" borderId="0" xfId="0" applyFont="1" applyFill="1" applyAlignment="1">
      <alignment wrapText="1"/>
    </xf>
    <xf numFmtId="0" fontId="9" fillId="6" borderId="0" xfId="0" applyFont="1" applyFill="1" applyAlignment="1">
      <alignment horizontal="center" vertical="center" wrapText="1"/>
    </xf>
    <xf numFmtId="0" fontId="12" fillId="16" borderId="0" xfId="0" applyFont="1" applyFill="1"/>
    <xf numFmtId="0" fontId="13" fillId="17" borderId="0" xfId="0" applyFont="1" applyFill="1"/>
    <xf numFmtId="0" fontId="2" fillId="18" borderId="0" xfId="0" applyFont="1" applyFill="1" applyAlignment="1">
      <alignment horizontal="center" vertical="center" wrapText="1"/>
    </xf>
    <xf numFmtId="0" fontId="2" fillId="18" borderId="0" xfId="0" applyFont="1" applyFill="1" applyAlignment="1">
      <alignment wrapText="1"/>
    </xf>
    <xf numFmtId="0" fontId="0" fillId="0" borderId="0" xfId="0" applyAlignment="1">
      <alignment vertical="top" wrapText="1"/>
    </xf>
    <xf numFmtId="49" fontId="0" fillId="0" borderId="0" xfId="0" applyNumberFormat="1" applyAlignment="1">
      <alignment wrapText="1"/>
    </xf>
    <xf numFmtId="0" fontId="0" fillId="20" borderId="0" xfId="0" applyFill="1" applyAlignment="1">
      <alignment wrapText="1"/>
    </xf>
    <xf numFmtId="0" fontId="0" fillId="20" borderId="0" xfId="0" applyFill="1" applyAlignment="1">
      <alignment vertical="top" wrapText="1"/>
    </xf>
    <xf numFmtId="0" fontId="9" fillId="18" borderId="0" xfId="0" applyFont="1" applyFill="1" applyAlignment="1">
      <alignment horizontal="center" vertical="center" wrapText="1"/>
    </xf>
    <xf numFmtId="0" fontId="2" fillId="18" borderId="0" xfId="0" applyFont="1" applyFill="1" applyAlignment="1">
      <alignment vertical="center" wrapText="1"/>
    </xf>
    <xf numFmtId="0" fontId="10" fillId="0" borderId="0" xfId="0" applyFont="1" applyAlignment="1">
      <alignment vertical="top" wrapText="1"/>
    </xf>
    <xf numFmtId="0" fontId="9" fillId="18" borderId="0" xfId="0" applyFont="1" applyFill="1" applyAlignment="1">
      <alignment wrapText="1"/>
    </xf>
    <xf numFmtId="0" fontId="9" fillId="18" borderId="0" xfId="0" applyFont="1" applyFill="1" applyAlignment="1">
      <alignment vertical="center" wrapText="1"/>
    </xf>
    <xf numFmtId="0" fontId="9" fillId="6" borderId="0" xfId="0" applyFont="1" applyFill="1" applyAlignment="1">
      <alignment horizontal="center" vertical="top" wrapText="1"/>
    </xf>
    <xf numFmtId="0" fontId="9" fillId="3" borderId="0" xfId="0" applyFont="1" applyFill="1" applyAlignment="1">
      <alignment vertical="top" wrapText="1"/>
    </xf>
    <xf numFmtId="165" fontId="10" fillId="0" borderId="0" xfId="0" applyNumberFormat="1" applyFont="1" applyAlignment="1">
      <alignment vertical="top" wrapText="1"/>
    </xf>
    <xf numFmtId="1" fontId="10" fillId="0" borderId="0" xfId="0" applyNumberFormat="1" applyFont="1" applyAlignment="1">
      <alignment vertical="top" wrapText="1"/>
    </xf>
    <xf numFmtId="164" fontId="10" fillId="0" borderId="0" xfId="0" applyNumberFormat="1" applyFont="1" applyAlignment="1">
      <alignment vertical="top" wrapText="1"/>
    </xf>
    <xf numFmtId="0" fontId="11" fillId="4" borderId="0" xfId="0" applyFont="1" applyFill="1" applyAlignment="1">
      <alignment vertical="top" wrapText="1"/>
    </xf>
    <xf numFmtId="1" fontId="0" fillId="0" borderId="0" xfId="0" applyNumberFormat="1" applyAlignment="1">
      <alignment vertical="top" wrapText="1"/>
    </xf>
    <xf numFmtId="164" fontId="0" fillId="0" borderId="0" xfId="0" applyNumberFormat="1" applyAlignment="1">
      <alignment vertical="top" wrapText="1"/>
    </xf>
    <xf numFmtId="0" fontId="10" fillId="0" borderId="0" xfId="0" applyFont="1" applyAlignment="1">
      <alignment vertical="center" wrapText="1"/>
    </xf>
    <xf numFmtId="0" fontId="0" fillId="0" borderId="0" xfId="0" applyAlignment="1">
      <alignment vertical="center" wrapText="1"/>
    </xf>
    <xf numFmtId="0" fontId="9" fillId="22" borderId="0" xfId="0" applyFont="1" applyFill="1" applyAlignment="1">
      <alignment wrapText="1"/>
    </xf>
    <xf numFmtId="0" fontId="0" fillId="22" borderId="0" xfId="0" applyFill="1"/>
    <xf numFmtId="0" fontId="1" fillId="23" borderId="0" xfId="0" applyFont="1" applyFill="1" applyAlignment="1">
      <alignment vertical="center" wrapText="1"/>
    </xf>
    <xf numFmtId="0" fontId="2" fillId="23" borderId="0" xfId="0" applyFont="1" applyFill="1"/>
    <xf numFmtId="0" fontId="4" fillId="23" borderId="0" xfId="0" applyFont="1" applyFill="1"/>
    <xf numFmtId="0" fontId="16" fillId="23" borderId="0" xfId="0" applyFont="1" applyFill="1" applyAlignment="1">
      <alignment wrapText="1"/>
    </xf>
    <xf numFmtId="0" fontId="17" fillId="0" borderId="0" xfId="0" applyFont="1" applyAlignment="1">
      <alignment wrapText="1"/>
    </xf>
    <xf numFmtId="0" fontId="15" fillId="0" borderId="0" xfId="0" applyFont="1" applyAlignment="1">
      <alignment vertical="center"/>
    </xf>
    <xf numFmtId="0" fontId="0" fillId="0" borderId="0" xfId="0" applyAlignment="1">
      <alignment vertical="center"/>
    </xf>
    <xf numFmtId="0" fontId="14" fillId="23" borderId="0" xfId="0" applyFont="1" applyFill="1" applyAlignment="1">
      <alignment vertical="center" wrapText="1"/>
    </xf>
    <xf numFmtId="0" fontId="15" fillId="0" borderId="0" xfId="0" applyFont="1" applyAlignment="1">
      <alignment vertical="center" wrapText="1"/>
    </xf>
    <xf numFmtId="0" fontId="2" fillId="25" borderId="0" xfId="0" applyFont="1" applyFill="1"/>
    <xf numFmtId="0" fontId="2" fillId="25" borderId="0" xfId="0" applyFont="1" applyFill="1" applyAlignment="1">
      <alignment wrapText="1"/>
    </xf>
    <xf numFmtId="167" fontId="0" fillId="5" borderId="0" xfId="0" applyNumberFormat="1" applyFill="1" applyAlignment="1">
      <alignment wrapText="1"/>
    </xf>
    <xf numFmtId="167" fontId="0" fillId="0" borderId="0" xfId="0" applyNumberFormat="1" applyAlignment="1">
      <alignment wrapText="1"/>
    </xf>
    <xf numFmtId="167" fontId="0" fillId="15" borderId="0" xfId="0" applyNumberFormat="1" applyFill="1" applyAlignment="1">
      <alignment wrapText="1"/>
    </xf>
    <xf numFmtId="167" fontId="0" fillId="19" borderId="0" xfId="0" applyNumberFormat="1" applyFill="1" applyAlignment="1">
      <alignment wrapText="1"/>
    </xf>
    <xf numFmtId="0" fontId="2" fillId="27" borderId="0" xfId="0" applyFont="1" applyFill="1" applyAlignment="1">
      <alignment wrapText="1"/>
    </xf>
    <xf numFmtId="0" fontId="25" fillId="26" borderId="0" xfId="0" applyFont="1" applyFill="1" applyAlignment="1">
      <alignment horizontal="center" vertical="top" wrapText="1"/>
    </xf>
    <xf numFmtId="0" fontId="26" fillId="26" borderId="0" xfId="0" applyFont="1" applyFill="1" applyAlignment="1">
      <alignment vertical="top" wrapText="1"/>
    </xf>
    <xf numFmtId="0" fontId="24" fillId="26" borderId="0" xfId="0" applyFont="1" applyFill="1"/>
    <xf numFmtId="0" fontId="24" fillId="26" borderId="0" xfId="0" applyFont="1" applyFill="1" applyAlignment="1">
      <alignment vertical="top" wrapText="1"/>
    </xf>
    <xf numFmtId="0" fontId="0" fillId="28" borderId="0" xfId="0" applyFill="1" applyAlignment="1">
      <alignment vertical="top" wrapText="1"/>
    </xf>
    <xf numFmtId="0" fontId="0" fillId="28" borderId="0" xfId="0" applyFill="1" applyAlignment="1">
      <alignment wrapText="1"/>
    </xf>
    <xf numFmtId="0" fontId="2" fillId="29" borderId="0" xfId="0" applyFont="1" applyFill="1" applyAlignment="1">
      <alignment vertical="center" wrapText="1"/>
    </xf>
    <xf numFmtId="0" fontId="27" fillId="0" borderId="0" xfId="0" applyFont="1" applyAlignment="1">
      <alignment vertical="top" wrapText="1"/>
    </xf>
    <xf numFmtId="164" fontId="27" fillId="0" borderId="0" xfId="0" applyNumberFormat="1" applyFont="1" applyAlignment="1">
      <alignment vertical="top" wrapText="1"/>
    </xf>
    <xf numFmtId="0" fontId="18" fillId="29" borderId="0" xfId="0" applyFont="1" applyFill="1"/>
    <xf numFmtId="0" fontId="28" fillId="0" borderId="0" xfId="0" applyFont="1"/>
    <xf numFmtId="0" fontId="29" fillId="28" borderId="0" xfId="0" applyFont="1" applyFill="1" applyAlignment="1">
      <alignment wrapText="1"/>
    </xf>
    <xf numFmtId="1" fontId="27" fillId="0" borderId="0" xfId="0" applyNumberFormat="1" applyFont="1" applyAlignment="1">
      <alignment vertical="top" wrapText="1"/>
    </xf>
    <xf numFmtId="0" fontId="0" fillId="31" borderId="0" xfId="0" applyFill="1" applyAlignment="1">
      <alignment wrapText="1"/>
    </xf>
    <xf numFmtId="0" fontId="27" fillId="28" borderId="0" xfId="0" applyFont="1" applyFill="1" applyAlignment="1">
      <alignment vertical="top" wrapText="1"/>
    </xf>
    <xf numFmtId="0" fontId="2" fillId="32" borderId="0" xfId="0" applyFont="1" applyFill="1"/>
    <xf numFmtId="0" fontId="2" fillId="32" borderId="0" xfId="0" applyFont="1" applyFill="1" applyAlignment="1">
      <alignment wrapText="1"/>
    </xf>
    <xf numFmtId="1" fontId="10" fillId="33" borderId="0" xfId="0" applyNumberFormat="1" applyFont="1" applyFill="1" applyAlignment="1">
      <alignment vertical="top" wrapText="1"/>
    </xf>
    <xf numFmtId="0" fontId="9" fillId="32" borderId="0" xfId="0" applyFont="1" applyFill="1" applyAlignment="1">
      <alignment wrapText="1"/>
    </xf>
    <xf numFmtId="0" fontId="9" fillId="32" borderId="0" xfId="0" applyFont="1" applyFill="1" applyAlignment="1">
      <alignment vertical="center" wrapText="1"/>
    </xf>
    <xf numFmtId="1" fontId="27" fillId="33" borderId="0" xfId="0" applyNumberFormat="1" applyFont="1" applyFill="1" applyAlignment="1">
      <alignment vertical="top" wrapText="1"/>
    </xf>
    <xf numFmtId="1" fontId="0" fillId="33" borderId="0" xfId="0" applyNumberFormat="1" applyFill="1" applyAlignment="1">
      <alignment wrapText="1"/>
    </xf>
    <xf numFmtId="0" fontId="34" fillId="33" borderId="0" xfId="0" applyFont="1" applyFill="1" applyAlignment="1">
      <alignment wrapText="1"/>
    </xf>
    <xf numFmtId="0" fontId="24" fillId="0" borderId="0" xfId="0" applyFont="1" applyAlignment="1">
      <alignment wrapText="1"/>
    </xf>
    <xf numFmtId="167" fontId="0" fillId="35" borderId="0" xfId="0" applyNumberFormat="1" applyFill="1" applyAlignment="1">
      <alignment wrapText="1"/>
    </xf>
    <xf numFmtId="0" fontId="24" fillId="22" borderId="0" xfId="0" applyFont="1" applyFill="1" applyAlignment="1">
      <alignment wrapText="1"/>
    </xf>
    <xf numFmtId="0" fontId="24" fillId="5" borderId="0" xfId="0" applyFont="1" applyFill="1" applyAlignment="1">
      <alignment wrapText="1"/>
    </xf>
    <xf numFmtId="0" fontId="35" fillId="0" borderId="0" xfId="0" applyFont="1" applyAlignment="1">
      <alignment wrapText="1"/>
    </xf>
    <xf numFmtId="0" fontId="5" fillId="10" borderId="0" xfId="0" applyFont="1" applyFill="1" applyAlignment="1">
      <alignment wrapText="1"/>
    </xf>
    <xf numFmtId="0" fontId="5" fillId="36" borderId="0" xfId="0" applyFont="1" applyFill="1" applyAlignment="1">
      <alignment wrapText="1"/>
    </xf>
    <xf numFmtId="0" fontId="9" fillId="23" borderId="0" xfId="0" applyFont="1" applyFill="1" applyAlignment="1">
      <alignment horizontal="left" vertical="center" wrapText="1"/>
    </xf>
    <xf numFmtId="0" fontId="9" fillId="23" borderId="0" xfId="0" applyFont="1" applyFill="1" applyAlignment="1">
      <alignment vertical="center" wrapText="1"/>
    </xf>
    <xf numFmtId="0" fontId="9" fillId="23" borderId="0" xfId="0" applyFont="1" applyFill="1" applyAlignment="1">
      <alignment wrapText="1"/>
    </xf>
    <xf numFmtId="0" fontId="1" fillId="2" borderId="0" xfId="0" applyFont="1" applyFill="1" applyAlignment="1">
      <alignment vertical="center" wrapText="1"/>
    </xf>
    <xf numFmtId="0" fontId="9" fillId="2" borderId="0" xfId="0" applyFont="1" applyFill="1" applyAlignment="1">
      <alignment vertical="center" wrapText="1"/>
    </xf>
    <xf numFmtId="0" fontId="9" fillId="6" borderId="0" xfId="0" applyFont="1" applyFill="1" applyAlignment="1">
      <alignment wrapText="1"/>
    </xf>
    <xf numFmtId="0" fontId="4" fillId="6" borderId="0" xfId="0" applyFont="1" applyFill="1"/>
    <xf numFmtId="0" fontId="4" fillId="7" borderId="0" xfId="0" applyFont="1" applyFill="1" applyAlignment="1">
      <alignment wrapText="1"/>
    </xf>
    <xf numFmtId="0" fontId="4" fillId="8" borderId="0" xfId="0" applyFont="1" applyFill="1" applyAlignment="1">
      <alignment wrapText="1"/>
    </xf>
    <xf numFmtId="0" fontId="8" fillId="0" borderId="0" xfId="0" applyFont="1" applyAlignment="1">
      <alignment horizontal="center" vertical="center"/>
    </xf>
    <xf numFmtId="166" fontId="8" fillId="0" borderId="0" xfId="0" applyNumberFormat="1" applyFont="1" applyAlignment="1">
      <alignment horizontal="center" vertical="center"/>
    </xf>
    <xf numFmtId="0" fontId="2" fillId="8" borderId="0" xfId="0" applyFont="1" applyFill="1"/>
    <xf numFmtId="0" fontId="1" fillId="9" borderId="0" xfId="0" applyFont="1" applyFill="1" applyAlignment="1">
      <alignment vertical="center" wrapText="1"/>
    </xf>
    <xf numFmtId="0" fontId="1" fillId="9" borderId="0" xfId="0" applyFont="1" applyFill="1" applyAlignment="1">
      <alignment vertical="center"/>
    </xf>
    <xf numFmtId="0" fontId="6" fillId="10" borderId="0" xfId="0" applyFont="1" applyFill="1" applyAlignment="1">
      <alignment wrapText="1"/>
    </xf>
    <xf numFmtId="0" fontId="7" fillId="11" borderId="0" xfId="0" applyFont="1" applyFill="1" applyAlignment="1">
      <alignment horizontal="center"/>
    </xf>
    <xf numFmtId="0" fontId="0" fillId="0" borderId="0" xfId="0"/>
    <xf numFmtId="0" fontId="2" fillId="23" borderId="0" xfId="0" applyFont="1" applyFill="1"/>
    <xf numFmtId="0" fontId="10" fillId="0" borderId="0" xfId="0" applyFont="1" applyAlignment="1">
      <alignment wrapText="1"/>
    </xf>
    <xf numFmtId="0" fontId="0" fillId="0" borderId="0" xfId="0" applyAlignment="1">
      <alignment wrapText="1"/>
    </xf>
    <xf numFmtId="0" fontId="10" fillId="0" borderId="0" xfId="0" applyFont="1" applyAlignment="1">
      <alignment vertical="center" wrapText="1"/>
    </xf>
    <xf numFmtId="0" fontId="0" fillId="0" borderId="0" xfId="0" applyAlignment="1">
      <alignment vertical="center" wrapText="1"/>
    </xf>
    <xf numFmtId="0" fontId="12" fillId="23" borderId="0" xfId="0" applyFont="1" applyFill="1" applyAlignment="1">
      <alignment wrapText="1"/>
    </xf>
    <xf numFmtId="0" fontId="12" fillId="23" borderId="0" xfId="0" applyFont="1" applyFill="1"/>
    <xf numFmtId="0" fontId="12" fillId="18" borderId="0" xfId="0" applyFont="1" applyFill="1"/>
    <xf numFmtId="0" fontId="13" fillId="21" borderId="0" xfId="0" applyFont="1" applyFill="1" applyAlignment="1">
      <alignment wrapText="1"/>
    </xf>
    <xf numFmtId="0" fontId="10" fillId="21" borderId="0" xfId="0" applyFont="1" applyFill="1" applyAlignment="1">
      <alignment vertical="center" wrapText="1"/>
    </xf>
    <xf numFmtId="0" fontId="0" fillId="21" borderId="0" xfId="0" applyFill="1" applyAlignment="1">
      <alignment vertical="center" wrapText="1"/>
    </xf>
    <xf numFmtId="164" fontId="0" fillId="0" borderId="0" xfId="0" applyNumberFormat="1" applyAlignment="1">
      <alignment wrapText="1"/>
    </xf>
    <xf numFmtId="0" fontId="0" fillId="28" borderId="0" xfId="0" applyFill="1" applyAlignment="1">
      <alignment wrapText="1"/>
    </xf>
    <xf numFmtId="0" fontId="2" fillId="32" borderId="0" xfId="0" applyFont="1" applyFill="1" applyAlignment="1">
      <alignment wrapText="1"/>
    </xf>
    <xf numFmtId="0" fontId="21" fillId="23" borderId="0" xfId="0" applyFont="1" applyFill="1" applyAlignment="1">
      <alignment vertical="center"/>
    </xf>
    <xf numFmtId="0" fontId="18" fillId="23" borderId="0" xfId="0" applyFont="1" applyFill="1" applyAlignment="1">
      <alignment vertical="center"/>
    </xf>
    <xf numFmtId="0" fontId="22" fillId="0" borderId="0" xfId="0" applyFont="1" applyAlignment="1">
      <alignment vertical="center" wrapText="1"/>
    </xf>
    <xf numFmtId="0" fontId="19" fillId="0" borderId="0" xfId="0" applyFont="1" applyAlignment="1">
      <alignment vertical="center" wrapText="1"/>
    </xf>
    <xf numFmtId="0" fontId="23" fillId="24" borderId="0" xfId="0" applyFont="1" applyFill="1" applyAlignment="1">
      <alignment vertical="center" wrapText="1"/>
    </xf>
    <xf numFmtId="0" fontId="20" fillId="24" borderId="0" xfId="0" applyFont="1" applyFill="1" applyAlignment="1">
      <alignment vertical="center" wrapText="1"/>
    </xf>
    <xf numFmtId="0" fontId="15" fillId="0" borderId="0" xfId="0" applyFont="1" applyAlignment="1">
      <alignment vertical="center" wrapText="1"/>
    </xf>
    <xf numFmtId="0" fontId="2" fillId="29" borderId="0" xfId="0" applyFont="1" applyFill="1" applyAlignment="1">
      <alignment vertical="center" wrapText="1"/>
    </xf>
    <xf numFmtId="0" fontId="30" fillId="30" borderId="0" xfId="0" applyFont="1" applyFill="1" applyAlignment="1">
      <alignment wrapText="1"/>
    </xf>
    <xf numFmtId="0" fontId="18" fillId="29" borderId="0" xfId="0" applyFont="1" applyFill="1"/>
    <xf numFmtId="0" fontId="28" fillId="0" borderId="0" xfId="0" applyFont="1"/>
    <xf numFmtId="0" fontId="29" fillId="28" borderId="0" xfId="0" applyFont="1" applyFill="1" applyAlignment="1">
      <alignment wrapText="1"/>
    </xf>
    <xf numFmtId="0" fontId="0" fillId="31" borderId="0" xfId="0" applyFill="1" applyAlignment="1">
      <alignment wrapText="1"/>
    </xf>
    <xf numFmtId="0" fontId="31" fillId="0" borderId="0" xfId="0" applyFont="1" applyAlignment="1">
      <alignment wrapText="1"/>
    </xf>
    <xf numFmtId="0" fontId="27" fillId="0" borderId="0" xfId="0" applyFont="1" applyAlignment="1">
      <alignment vertical="top" wrapText="1"/>
    </xf>
    <xf numFmtId="0" fontId="32" fillId="0" borderId="0" xfId="0" applyFont="1" applyAlignment="1">
      <alignment wrapText="1"/>
    </xf>
    <xf numFmtId="0" fontId="33" fillId="32" borderId="0" xfId="0" applyFont="1" applyFill="1" applyAlignment="1">
      <alignment wrapText="1"/>
    </xf>
    <xf numFmtId="0" fontId="9" fillId="32" borderId="0" xfId="0" applyFont="1" applyFill="1" applyAlignment="1">
      <alignment wrapText="1"/>
    </xf>
    <xf numFmtId="0" fontId="10" fillId="34" borderId="0" xfId="0" applyFont="1" applyFill="1" applyAlignment="1">
      <alignment wrapText="1"/>
    </xf>
    <xf numFmtId="0" fontId="24" fillId="26" borderId="1" xfId="0" applyFont="1" applyFill="1" applyBorder="1" applyAlignment="1">
      <alignment wrapText="1"/>
    </xf>
  </cellXfs>
  <cellStyles count="1">
    <cellStyle name="Normal" xfId="0" builtinId="0"/>
  </cellStyles>
  <dxfs count="45">
    <dxf>
      <font>
        <b/>
        <color rgb="FF9C1B1B"/>
      </font>
      <fill>
        <patternFill>
          <bgColor rgb="FFF4CCCC"/>
        </patternFill>
      </fill>
    </dxf>
    <dxf>
      <font>
        <b/>
        <color rgb="FF404040"/>
      </font>
      <fill>
        <patternFill>
          <bgColor rgb="FFE7E6E6"/>
        </patternFill>
      </fill>
    </dxf>
    <dxf>
      <font>
        <b/>
        <color rgb="FF7F6000"/>
      </font>
      <fill>
        <patternFill>
          <bgColor rgb="FFFFF2CC"/>
        </patternFill>
      </fill>
    </dxf>
    <dxf>
      <font>
        <b/>
        <color rgb="FF285B32"/>
      </font>
      <fill>
        <patternFill>
          <bgColor rgb="FFD9EAD3"/>
        </patternFill>
      </fill>
    </dxf>
    <dxf>
      <font>
        <color rgb="FF7F6000"/>
      </font>
      <fill>
        <patternFill>
          <bgColor rgb="FFFFF2CC"/>
        </patternFill>
      </fill>
    </dxf>
    <dxf>
      <font>
        <color rgb="FF375623"/>
      </font>
      <fill>
        <patternFill>
          <bgColor rgb="FFE2F0D9"/>
        </patternFill>
      </fill>
    </dxf>
    <dxf>
      <fill>
        <patternFill>
          <bgColor rgb="FFFFF2CC"/>
        </patternFill>
      </fill>
    </dxf>
    <dxf>
      <fill>
        <patternFill>
          <bgColor rgb="FFD9EAD3"/>
        </patternFill>
      </fill>
    </dxf>
    <dxf>
      <font>
        <color rgb="FF7A5400"/>
      </font>
      <fill>
        <patternFill>
          <bgColor rgb="FFFFF2CC"/>
        </patternFill>
      </fill>
    </dxf>
    <dxf>
      <fill>
        <patternFill>
          <bgColor rgb="FFE7E6E6"/>
        </patternFill>
      </fill>
    </dxf>
    <dxf>
      <fill>
        <patternFill>
          <bgColor rgb="FFFFF2CC"/>
        </patternFill>
      </fill>
    </dxf>
    <dxf>
      <fill>
        <patternFill>
          <bgColor rgb="FFD9EAD3"/>
        </patternFill>
      </fill>
    </dxf>
    <dxf>
      <fill>
        <patternFill>
          <bgColor rgb="FFFFF2CC"/>
        </patternFill>
      </fill>
    </dxf>
    <dxf>
      <fill>
        <patternFill>
          <bgColor rgb="FFF4CCCC"/>
        </patternFill>
      </fill>
    </dxf>
    <dxf>
      <fill>
        <patternFill>
          <bgColor rgb="FFFFF2CC"/>
        </patternFill>
      </fill>
    </dxf>
    <dxf>
      <fill>
        <patternFill>
          <bgColor rgb="FFD9EAD3"/>
        </patternFill>
      </fill>
    </dxf>
    <dxf>
      <fill>
        <patternFill>
          <bgColor rgb="FFD9F0E4"/>
        </patternFill>
      </fill>
    </dxf>
    <dxf>
      <fill>
        <patternFill>
          <bgColor rgb="FFFFF2D6"/>
        </patternFill>
      </fill>
    </dxf>
    <dxf>
      <fill>
        <patternFill>
          <bgColor rgb="FFF4CCCC"/>
        </patternFill>
      </fill>
    </dxf>
    <dxf>
      <fill>
        <patternFill>
          <bgColor rgb="FFE7E6E6"/>
        </patternFill>
      </fill>
    </dxf>
    <dxf>
      <fill>
        <patternFill>
          <bgColor rgb="FFFFF2CC"/>
        </patternFill>
      </fill>
    </dxf>
    <dxf>
      <fill>
        <patternFill>
          <bgColor rgb="FFD9EAD3"/>
        </patternFill>
      </fill>
    </dxf>
    <dxf>
      <fill>
        <patternFill>
          <bgColor rgb="FFFFF2CC"/>
        </patternFill>
      </fill>
    </dxf>
    <dxf>
      <fill>
        <patternFill>
          <bgColor rgb="FFE2F0D9"/>
        </patternFill>
      </fill>
    </dxf>
    <dxf>
      <font>
        <b/>
      </font>
      <fill>
        <patternFill>
          <bgColor rgb="FFF4CCCC"/>
        </patternFill>
      </fill>
    </dxf>
    <dxf>
      <fill>
        <patternFill>
          <bgColor rgb="FFF4CCCC"/>
        </patternFill>
      </fill>
    </dxf>
    <dxf>
      <fill>
        <patternFill>
          <bgColor rgb="FFE7E6E6"/>
        </patternFill>
      </fill>
    </dxf>
    <dxf>
      <fill>
        <patternFill>
          <bgColor rgb="FFFFF2CC"/>
        </patternFill>
      </fill>
    </dxf>
    <dxf>
      <fill>
        <patternFill>
          <bgColor rgb="FFD9EAD3"/>
        </patternFill>
      </fill>
    </dxf>
    <dxf>
      <font>
        <b/>
        <color rgb="FF1D6B35"/>
      </font>
      <fill>
        <patternFill>
          <bgColor rgb="FFDDF5EC"/>
        </patternFill>
      </fill>
    </dxf>
    <dxf>
      <fill>
        <patternFill>
          <bgColor rgb="FFF4CCCC"/>
        </patternFill>
      </fill>
    </dxf>
    <dxf>
      <fill>
        <patternFill>
          <bgColor rgb="FFE7E6E6"/>
        </patternFill>
      </fill>
    </dxf>
    <dxf>
      <fill>
        <patternFill>
          <bgColor rgb="FFFFF2CC"/>
        </patternFill>
      </fill>
    </dxf>
    <dxf>
      <fill>
        <patternFill>
          <bgColor rgb="FFD9EAD3"/>
        </patternFill>
      </fill>
    </dxf>
    <dxf>
      <font>
        <color rgb="FF7A5400"/>
      </font>
      <fill>
        <patternFill>
          <bgColor rgb="FFFFF2CC"/>
        </patternFill>
      </fill>
    </dxf>
    <dxf>
      <font>
        <color rgb="FF7F6000"/>
      </font>
      <fill>
        <patternFill>
          <bgColor rgb="FFFFF2CC"/>
        </patternFill>
      </fill>
    </dxf>
    <dxf>
      <fill>
        <patternFill>
          <bgColor rgb="FFE4DFEC"/>
        </patternFill>
      </fill>
    </dxf>
    <dxf>
      <font>
        <color rgb="FF7F6000"/>
      </font>
      <fill>
        <patternFill>
          <bgColor rgb="FFFFF2CC"/>
        </patternFill>
      </fill>
    </dxf>
    <dxf>
      <font>
        <b/>
        <color rgb="FF9C1B1B"/>
      </font>
      <fill>
        <patternFill>
          <bgColor rgb="FFF4CCCC"/>
        </patternFill>
      </fill>
    </dxf>
    <dxf>
      <font>
        <b/>
        <color rgb="FF404040"/>
      </font>
      <fill>
        <patternFill>
          <bgColor rgb="FFE7E6E6"/>
        </patternFill>
      </fill>
    </dxf>
    <dxf>
      <font>
        <b/>
        <color rgb="FF7F6000"/>
      </font>
      <fill>
        <patternFill>
          <bgColor rgb="FFFFF2CC"/>
        </patternFill>
      </fill>
    </dxf>
    <dxf>
      <font>
        <b/>
        <color rgb="FF285B32"/>
      </font>
      <fill>
        <patternFill>
          <bgColor rgb="FFD9EAD3"/>
        </patternFill>
      </fill>
    </dxf>
    <dxf>
      <font>
        <color rgb="FF7F6000"/>
      </font>
      <fill>
        <patternFill>
          <bgColor rgb="FFFFF2CC"/>
        </patternFill>
      </fill>
    </dxf>
    <dxf>
      <fill>
        <patternFill>
          <bgColor rgb="FFE4DFEC"/>
        </patternFill>
      </fill>
    </dxf>
    <dxf>
      <fill>
        <patternFill>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M2 Release 1</c:v>
          </c:tx>
          <c:invertIfNegative val="1"/>
          <c:cat>
            <c:strRef>
              <c:f>'Release Plan'!$C$4:$C$8</c:f>
              <c:strCache>
                <c:ptCount val="5"/>
                <c:pt idx="0">
                  <c:v>P1</c:v>
                </c:pt>
                <c:pt idx="1">
                  <c:v>P2</c:v>
                </c:pt>
                <c:pt idx="2">
                  <c:v>P3</c:v>
                </c:pt>
                <c:pt idx="3">
                  <c:v>P4</c:v>
                </c:pt>
                <c:pt idx="4">
                  <c:v>P5</c:v>
                </c:pt>
              </c:strCache>
            </c:strRef>
          </c:cat>
          <c:val>
            <c:numRef>
              <c:f>'Release Plan'!$G$4:$G$8</c:f>
              <c:numCache>
                <c:formatCode>0.0</c:formatCode>
                <c:ptCount val="5"/>
                <c:pt idx="0">
                  <c:v>0</c:v>
                </c:pt>
                <c:pt idx="1">
                  <c:v>28</c:v>
                </c:pt>
                <c:pt idx="2">
                  <c:v>5</c:v>
                </c:pt>
                <c:pt idx="3">
                  <c:v>5</c:v>
                </c:pt>
                <c:pt idx="4">
                  <c:v>15</c:v>
                </c:pt>
              </c:numCache>
            </c:numRef>
          </c:val>
          <c:extLst>
            <c:ext xmlns:c16="http://schemas.microsoft.com/office/drawing/2014/chart" uri="{C3380CC4-5D6E-409C-BE32-E72D297353CC}">
              <c16:uniqueId val="{00000000-C08A-4D41-9DB8-2635A1A3C24A}"/>
            </c:ext>
          </c:extLst>
        </c:ser>
        <c:ser>
          <c:idx val="1"/>
          <c:order val="1"/>
          <c:tx>
            <c:v>M3 Release 2</c:v>
          </c:tx>
          <c:invertIfNegative val="1"/>
          <c:cat>
            <c:strRef>
              <c:f>'Release Plan'!$C$9:$C$13</c:f>
              <c:strCache>
                <c:ptCount val="5"/>
                <c:pt idx="0">
                  <c:v>P1</c:v>
                </c:pt>
                <c:pt idx="1">
                  <c:v>P2</c:v>
                </c:pt>
                <c:pt idx="2">
                  <c:v>P3</c:v>
                </c:pt>
                <c:pt idx="3">
                  <c:v>P4</c:v>
                </c:pt>
                <c:pt idx="4">
                  <c:v>P5</c:v>
                </c:pt>
              </c:strCache>
            </c:strRef>
          </c:cat>
          <c:val>
            <c:numRef>
              <c:f>'Release Plan'!$G$9:$G$13</c:f>
              <c:numCache>
                <c:formatCode>0.0</c:formatCode>
                <c:ptCount val="5"/>
                <c:pt idx="0">
                  <c:v>10</c:v>
                </c:pt>
                <c:pt idx="1">
                  <c:v>12</c:v>
                </c:pt>
                <c:pt idx="2">
                  <c:v>8</c:v>
                </c:pt>
                <c:pt idx="3">
                  <c:v>40</c:v>
                </c:pt>
                <c:pt idx="4">
                  <c:v>2</c:v>
                </c:pt>
              </c:numCache>
            </c:numRef>
          </c:val>
          <c:extLst>
            <c:ext xmlns:c16="http://schemas.microsoft.com/office/drawing/2014/chart" uri="{C3380CC4-5D6E-409C-BE32-E72D297353CC}">
              <c16:uniqueId val="{00000001-C08A-4D41-9DB8-2635A1A3C24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Closed vs Remaining Hours by M2 Phase — v2.20.0</a:t>
            </a:r>
          </a:p>
        </c:rich>
      </c:tx>
      <c:overlay val="1"/>
    </c:title>
    <c:autoTitleDeleted val="0"/>
    <c:plotArea>
      <c:layout/>
      <c:barChart>
        <c:barDir val="col"/>
        <c:grouping val="stacked"/>
        <c:varyColors val="0"/>
        <c:ser>
          <c:idx val="0"/>
          <c:order val="0"/>
          <c:tx>
            <c:v>Closed h</c:v>
          </c:tx>
          <c:invertIfNegative val="1"/>
          <c:cat>
            <c:strRef>
              <c:f>'Dashboard v220'!$A$20:$A$24</c:f>
              <c:strCache>
                <c:ptCount val="5"/>
                <c:pt idx="0">
                  <c:v>P1</c:v>
                </c:pt>
                <c:pt idx="1">
                  <c:v>P2</c:v>
                </c:pt>
                <c:pt idx="2">
                  <c:v>P3</c:v>
                </c:pt>
                <c:pt idx="3">
                  <c:v>P4</c:v>
                </c:pt>
                <c:pt idx="4">
                  <c:v>P5</c:v>
                </c:pt>
              </c:strCache>
            </c:strRef>
          </c:cat>
          <c:val>
            <c:numRef>
              <c:f>'Dashboard v220'!$B$20:$B$24</c:f>
              <c:numCache>
                <c:formatCode>General</c:formatCode>
                <c:ptCount val="5"/>
                <c:pt idx="0">
                  <c:v>245</c:v>
                </c:pt>
                <c:pt idx="1">
                  <c:v>92</c:v>
                </c:pt>
                <c:pt idx="2">
                  <c:v>0</c:v>
                </c:pt>
                <c:pt idx="3">
                  <c:v>228</c:v>
                </c:pt>
                <c:pt idx="4">
                  <c:v>0</c:v>
                </c:pt>
              </c:numCache>
            </c:numRef>
          </c:val>
          <c:extLst>
            <c:ext xmlns:c16="http://schemas.microsoft.com/office/drawing/2014/chart" uri="{C3380CC4-5D6E-409C-BE32-E72D297353CC}">
              <c16:uniqueId val="{00000000-74A7-4B05-B53B-D6D06D5E0C8A}"/>
            </c:ext>
          </c:extLst>
        </c:ser>
        <c:ser>
          <c:idx val="1"/>
          <c:order val="1"/>
          <c:tx>
            <c:v>Remaining h</c:v>
          </c:tx>
          <c:invertIfNegative val="1"/>
          <c:cat>
            <c:strRef>
              <c:f>'Dashboard v220'!$A$20:$A$24</c:f>
              <c:strCache>
                <c:ptCount val="5"/>
                <c:pt idx="0">
                  <c:v>P1</c:v>
                </c:pt>
                <c:pt idx="1">
                  <c:v>P2</c:v>
                </c:pt>
                <c:pt idx="2">
                  <c:v>P3</c:v>
                </c:pt>
                <c:pt idx="3">
                  <c:v>P4</c:v>
                </c:pt>
                <c:pt idx="4">
                  <c:v>P5</c:v>
                </c:pt>
              </c:strCache>
            </c:strRef>
          </c:cat>
          <c:val>
            <c:numRef>
              <c:f>'Dashboard v220'!$C$20:$C$24</c:f>
              <c:numCache>
                <c:formatCode>General</c:formatCode>
                <c:ptCount val="5"/>
                <c:pt idx="0">
                  <c:v>0</c:v>
                </c:pt>
                <c:pt idx="1">
                  <c:v>231</c:v>
                </c:pt>
                <c:pt idx="2">
                  <c:v>36</c:v>
                </c:pt>
                <c:pt idx="3">
                  <c:v>48</c:v>
                </c:pt>
                <c:pt idx="4">
                  <c:v>154</c:v>
                </c:pt>
              </c:numCache>
            </c:numRef>
          </c:val>
          <c:extLst>
            <c:ext xmlns:c16="http://schemas.microsoft.com/office/drawing/2014/chart" uri="{C3380CC4-5D6E-409C-BE32-E72D297353CC}">
              <c16:uniqueId val="{00000001-74A7-4B05-B53B-D6D06D5E0C8A}"/>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Closed vs Remaining Hours by Active Worker</a:t>
            </a:r>
          </a:p>
        </c:rich>
      </c:tx>
      <c:overlay val="1"/>
    </c:title>
    <c:autoTitleDeleted val="0"/>
    <c:plotArea>
      <c:layout/>
      <c:barChart>
        <c:barDir val="bar"/>
        <c:grouping val="stacked"/>
        <c:varyColors val="0"/>
        <c:ser>
          <c:idx val="0"/>
          <c:order val="0"/>
          <c:tx>
            <c:v>Closed h</c:v>
          </c:tx>
          <c:invertIfNegative val="1"/>
          <c:cat>
            <c:strRef>
              <c:f>'Dashboard v220'!$G$20:$G$22</c:f>
              <c:strCache>
                <c:ptCount val="3"/>
                <c:pt idx="0">
                  <c:v>Worker 1</c:v>
                </c:pt>
                <c:pt idx="1">
                  <c:v>Worker 2</c:v>
                </c:pt>
                <c:pt idx="2">
                  <c:v>Worker 3</c:v>
                </c:pt>
              </c:strCache>
            </c:strRef>
          </c:cat>
          <c:val>
            <c:numRef>
              <c:f>'Dashboard v220'!$H$20:$H$22</c:f>
              <c:numCache>
                <c:formatCode>General</c:formatCode>
                <c:ptCount val="3"/>
                <c:pt idx="0">
                  <c:v>204</c:v>
                </c:pt>
                <c:pt idx="1">
                  <c:v>104</c:v>
                </c:pt>
                <c:pt idx="2">
                  <c:v>85</c:v>
                </c:pt>
              </c:numCache>
            </c:numRef>
          </c:val>
          <c:extLst>
            <c:ext xmlns:c16="http://schemas.microsoft.com/office/drawing/2014/chart" uri="{C3380CC4-5D6E-409C-BE32-E72D297353CC}">
              <c16:uniqueId val="{00000000-59A0-4D08-80D9-4F99F29369D1}"/>
            </c:ext>
          </c:extLst>
        </c:ser>
        <c:ser>
          <c:idx val="1"/>
          <c:order val="1"/>
          <c:tx>
            <c:v>Remaining h</c:v>
          </c:tx>
          <c:invertIfNegative val="1"/>
          <c:cat>
            <c:strRef>
              <c:f>'Dashboard v220'!$G$20:$G$22</c:f>
              <c:strCache>
                <c:ptCount val="3"/>
                <c:pt idx="0">
                  <c:v>Worker 1</c:v>
                </c:pt>
                <c:pt idx="1">
                  <c:v>Worker 2</c:v>
                </c:pt>
                <c:pt idx="2">
                  <c:v>Worker 3</c:v>
                </c:pt>
              </c:strCache>
            </c:strRef>
          </c:cat>
          <c:val>
            <c:numRef>
              <c:f>'Dashboard v220'!$I$20:$I$22</c:f>
              <c:numCache>
                <c:formatCode>General</c:formatCode>
                <c:ptCount val="3"/>
                <c:pt idx="0">
                  <c:v>233</c:v>
                </c:pt>
                <c:pt idx="1">
                  <c:v>152</c:v>
                </c:pt>
                <c:pt idx="2">
                  <c:v>84</c:v>
                </c:pt>
              </c:numCache>
            </c:numRef>
          </c:val>
          <c:extLst>
            <c:ext xmlns:c16="http://schemas.microsoft.com/office/drawing/2014/chart" uri="{C3380CC4-5D6E-409C-BE32-E72D297353CC}">
              <c16:uniqueId val="{00000001-59A0-4D08-80D9-4F99F29369D1}"/>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Task state by release</a:t>
            </a:r>
          </a:p>
        </c:rich>
      </c:tx>
      <c:overlay val="1"/>
    </c:title>
    <c:autoTitleDeleted val="0"/>
    <c:plotArea>
      <c:layout/>
      <c:barChart>
        <c:barDir val="col"/>
        <c:grouping val="clustered"/>
        <c:varyColors val="0"/>
        <c:ser>
          <c:idx val="0"/>
          <c:order val="0"/>
          <c:tx>
            <c:v>M2</c:v>
          </c:tx>
          <c:invertIfNegative val="1"/>
          <c:cat>
            <c:strRef>
              <c:f>'Dashboard v222'!$G$5:$G$7</c:f>
              <c:strCache>
                <c:ptCount val="3"/>
                <c:pt idx="0">
                  <c:v>Done</c:v>
                </c:pt>
                <c:pt idx="1">
                  <c:v>In Progress</c:v>
                </c:pt>
                <c:pt idx="2">
                  <c:v>Not Started</c:v>
                </c:pt>
              </c:strCache>
            </c:strRef>
          </c:cat>
          <c:val>
            <c:numRef>
              <c:f>'Dashboard v222'!$H$5:$H$7</c:f>
              <c:numCache>
                <c:formatCode>General</c:formatCode>
                <c:ptCount val="3"/>
                <c:pt idx="0">
                  <c:v>68</c:v>
                </c:pt>
                <c:pt idx="1">
                  <c:v>4</c:v>
                </c:pt>
                <c:pt idx="2">
                  <c:v>43</c:v>
                </c:pt>
              </c:numCache>
            </c:numRef>
          </c:val>
          <c:extLst>
            <c:ext xmlns:c16="http://schemas.microsoft.com/office/drawing/2014/chart" uri="{C3380CC4-5D6E-409C-BE32-E72D297353CC}">
              <c16:uniqueId val="{00000000-0799-4FAB-A8BC-FDB5B7A2F232}"/>
            </c:ext>
          </c:extLst>
        </c:ser>
        <c:ser>
          <c:idx val="1"/>
          <c:order val="1"/>
          <c:tx>
            <c:v>M3</c:v>
          </c:tx>
          <c:invertIfNegative val="1"/>
          <c:cat>
            <c:strRef>
              <c:f>'Dashboard v222'!$G$5:$G$7</c:f>
              <c:strCache>
                <c:ptCount val="3"/>
                <c:pt idx="0">
                  <c:v>Done</c:v>
                </c:pt>
                <c:pt idx="1">
                  <c:v>In Progress</c:v>
                </c:pt>
                <c:pt idx="2">
                  <c:v>Not Started</c:v>
                </c:pt>
              </c:strCache>
            </c:strRef>
          </c:cat>
          <c:val>
            <c:numRef>
              <c:f>'Dashboard v222'!$I$5:$I$7</c:f>
              <c:numCache>
                <c:formatCode>General</c:formatCode>
                <c:ptCount val="3"/>
                <c:pt idx="0">
                  <c:v>0</c:v>
                </c:pt>
                <c:pt idx="1">
                  <c:v>0</c:v>
                </c:pt>
                <c:pt idx="2">
                  <c:v>72</c:v>
                </c:pt>
              </c:numCache>
            </c:numRef>
          </c:val>
          <c:extLst>
            <c:ext xmlns:c16="http://schemas.microsoft.com/office/drawing/2014/chart" uri="{C3380CC4-5D6E-409C-BE32-E72D297353CC}">
              <c16:uniqueId val="{00000001-0799-4FAB-A8BC-FDB5B7A2F23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Task states — not product completion</a:t>
            </a:r>
          </a:p>
        </c:rich>
      </c:tx>
      <c:overlay val="1"/>
    </c:title>
    <c:autoTitleDeleted val="0"/>
    <c:plotArea>
      <c:layout/>
      <c:barChart>
        <c:barDir val="col"/>
        <c:grouping val="clustered"/>
        <c:varyColors val="0"/>
        <c:ser>
          <c:idx val="0"/>
          <c:order val="0"/>
          <c:tx>
            <c:v>M2</c:v>
          </c:tx>
          <c:invertIfNegative val="1"/>
          <c:cat>
            <c:strRef>
              <c:f>'UI Delivery v223'!$G$24:$G$26</c:f>
              <c:strCache>
                <c:ptCount val="3"/>
                <c:pt idx="0">
                  <c:v>Done</c:v>
                </c:pt>
                <c:pt idx="1">
                  <c:v>In Progress</c:v>
                </c:pt>
                <c:pt idx="2">
                  <c:v>Not Started</c:v>
                </c:pt>
              </c:strCache>
            </c:strRef>
          </c:cat>
          <c:val>
            <c:numRef>
              <c:f>'UI Delivery v223'!$H$24:$H$26</c:f>
              <c:numCache>
                <c:formatCode>General</c:formatCode>
                <c:ptCount val="3"/>
                <c:pt idx="0">
                  <c:v>61</c:v>
                </c:pt>
                <c:pt idx="1">
                  <c:v>4</c:v>
                </c:pt>
                <c:pt idx="2">
                  <c:v>50</c:v>
                </c:pt>
              </c:numCache>
            </c:numRef>
          </c:val>
          <c:extLst>
            <c:ext xmlns:c16="http://schemas.microsoft.com/office/drawing/2014/chart" uri="{C3380CC4-5D6E-409C-BE32-E72D297353CC}">
              <c16:uniqueId val="{00000000-C701-489C-974D-5FF6F9BF6B90}"/>
            </c:ext>
          </c:extLst>
        </c:ser>
        <c:ser>
          <c:idx val="1"/>
          <c:order val="1"/>
          <c:tx>
            <c:v>M3</c:v>
          </c:tx>
          <c:invertIfNegative val="1"/>
          <c:cat>
            <c:strRef>
              <c:f>'UI Delivery v223'!$G$24:$G$26</c:f>
              <c:strCache>
                <c:ptCount val="3"/>
                <c:pt idx="0">
                  <c:v>Done</c:v>
                </c:pt>
                <c:pt idx="1">
                  <c:v>In Progress</c:v>
                </c:pt>
                <c:pt idx="2">
                  <c:v>Not Started</c:v>
                </c:pt>
              </c:strCache>
            </c:strRef>
          </c:cat>
          <c:val>
            <c:numRef>
              <c:f>'UI Delivery v223'!$I$24:$I$26</c:f>
              <c:numCache>
                <c:formatCode>General</c:formatCode>
                <c:ptCount val="3"/>
                <c:pt idx="0">
                  <c:v>0</c:v>
                </c:pt>
                <c:pt idx="1">
                  <c:v>0</c:v>
                </c:pt>
                <c:pt idx="2">
                  <c:v>72</c:v>
                </c:pt>
              </c:numCache>
            </c:numRef>
          </c:val>
          <c:extLst>
            <c:ext xmlns:c16="http://schemas.microsoft.com/office/drawing/2014/chart" uri="{C3380CC4-5D6E-409C-BE32-E72D297353CC}">
              <c16:uniqueId val="{00000001-C701-489C-974D-5FF6F9BF6B9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0</xdr:colOff>
      <xdr:row>5</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26</xdr:row>
      <xdr:rowOff>0</xdr:rowOff>
    </xdr:from>
    <xdr:to>
      <xdr:col>7</xdr:col>
      <xdr:colOff>0</xdr:colOff>
      <xdr:row>44</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26</xdr:row>
      <xdr:rowOff>0</xdr:rowOff>
    </xdr:from>
    <xdr:to>
      <xdr:col>14</xdr:col>
      <xdr:colOff>0</xdr:colOff>
      <xdr:row>44</xdr:row>
      <xdr:rowOff>0</xdr:rowOff>
    </xdr:to>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8</xdr:row>
      <xdr:rowOff>0</xdr:rowOff>
    </xdr:from>
    <xdr:to>
      <xdr:col>15</xdr:col>
      <xdr:colOff>0</xdr:colOff>
      <xdr:row>23</xdr:row>
      <xdr:rowOff>0</xdr:rowOff>
    </xdr:to>
    <xdr:graphicFrame macro="">
      <xdr:nvGraphicFramePr>
        <xdr:cNvPr id="2" name="Chart">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4</xdr:row>
      <xdr:rowOff>0</xdr:rowOff>
    </xdr:from>
    <xdr:to>
      <xdr:col>13</xdr:col>
      <xdr:colOff>0</xdr:colOff>
      <xdr:row>15</xdr:row>
      <xdr:rowOff>0</xdr:rowOff>
    </xdr:to>
    <xdr:graphicFrame macro="">
      <xdr:nvGraphicFramePr>
        <xdr:cNvPr id="2" name="Chart">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0000000}" name="CurrentBacklogTable" displayName="CurrentBacklogTable" ref="A1:BB180" totalsRowShown="0">
  <autoFilter ref="A1:BB180" xr:uid="{00000000-0009-0000-0100-000017000000}">
    <filterColumn colId="2">
      <filters>
        <filter val="P1"/>
        <filter val="P2"/>
        <filter val="P3"/>
      </filters>
    </filterColumn>
  </autoFilter>
  <sortState xmlns:xlrd2="http://schemas.microsoft.com/office/spreadsheetml/2017/richdata2" ref="A2:BB180">
    <sortCondition ref="A1:A180"/>
  </sortState>
  <tableColumns count="54">
    <tableColumn id="1" xr3:uid="{00000000-0010-0000-0000-000001000000}" name="Task Id"/>
    <tableColumn id="2" xr3:uid="{00000000-0010-0000-0000-000002000000}" name="Milestone Id"/>
    <tableColumn id="3" xr3:uid="{00000000-0010-0000-0000-000003000000}" name="Phase Id"/>
    <tableColumn id="4" xr3:uid="{00000000-0010-0000-0000-000004000000}" name="Task Name"/>
    <tableColumn id="5" xr3:uid="{00000000-0010-0000-0000-000005000000}" name="Module"/>
    <tableColumn id="6" xr3:uid="{00000000-0010-0000-0000-000006000000}" name="Sub-module"/>
    <tableColumn id="7" xr3:uid="{00000000-0010-0000-0000-000007000000}" name="Priority"/>
    <tableColumn id="8" xr3:uid="{00000000-0010-0000-0000-000008000000}" name="Task Description"/>
    <tableColumn id="9" xr3:uid="{00000000-0010-0000-0000-000009000000}" name="Task Validation"/>
    <tableColumn id="10" xr3:uid="{00000000-0010-0000-0000-00000A000000}" name="Hours"/>
    <tableColumn id="11" xr3:uid="{00000000-0010-0000-0000-00000B000000}" name="Status"/>
    <tableColumn id="12" xr3:uid="{00000000-0010-0000-0000-00000C000000}" name="AI Agent Owner"/>
    <tableColumn id="13" xr3:uid="{00000000-0010-0000-0000-00000D000000}" name="Depends On (IDs only)"/>
    <tableColumn id="14" xr3:uid="{00000000-0010-0000-0000-00000E000000}" name="Must Precede (IDs only)"/>
    <tableColumn id="15" xr3:uid="{00000000-0010-0000-0000-00000F000000}" name="Delivery Target"/>
    <tableColumn id="16" xr3:uid="{00000000-0010-0000-0000-000010000000}" name="Release Criticality"/>
    <tableColumn id="17" xr3:uid="{00000000-0010-0000-0000-000011000000}" name="AI Execution Class"/>
    <tableColumn id="18" xr3:uid="{00000000-0010-0000-0000-000012000000}" name="AI Guarded Time P80 (h)"/>
    <tableColumn id="19" xr3:uid="{00000000-0010-0000-0000-000013000000}" name="AI Sequence Wave"/>
    <tableColumn id="20" xr3:uid="{00000000-0010-0000-0000-000014000000}" name="AI Start / Dependency Gate"/>
    <tableColumn id="21" xr3:uid="{00000000-0010-0000-0000-000015000000}" name="File / Subsystem Lock"/>
    <tableColumn id="22" xr3:uid="{00000000-0010-0000-0000-000016000000}" name="No-Rework Handoff Ruling"/>
    <tableColumn id="23" xr3:uid="{00000000-0010-0000-0000-000017000000}" name="Product Track"/>
    <tableColumn id="24" xr3:uid="{00000000-0010-0000-0000-000018000000}" name="Tech-Lead Ruling"/>
    <tableColumn id="25" xr3:uid="{00000000-0010-0000-0000-000019000000}" name="Commit String"/>
    <tableColumn id="26" xr3:uid="{00000000-0010-0000-0000-00001A000000}" name="Commit Date"/>
    <tableColumn id="27" xr3:uid="{00000000-0010-0000-0000-00001B000000}" name="Primary Capability ID"/>
    <tableColumn id="28" xr3:uid="{00000000-0010-0000-0000-00001C000000}" name="Primary Capability Name"/>
    <tableColumn id="29" xr3:uid="{00000000-0010-0000-0000-00001D000000}" name="Secondary Capability IDs"/>
    <tableColumn id="30" xr3:uid="{00000000-0010-0000-0000-00001E000000}" name="Capability Contribution"/>
    <tableColumn id="31" xr3:uid="{00000000-0010-0000-0000-00001F000000}" name="Completeness Dimensions Targeted"/>
    <tableColumn id="32" xr3:uid="{00000000-0010-0000-0000-000020000000}" name="Capability Requirement Class"/>
    <tableColumn id="33" xr3:uid="{00000000-0010-0000-0000-000021000000}" name="Release Scope"/>
    <tableColumn id="34" xr3:uid="{00000000-0010-0000-0000-000022000000}" name="Capability Closure Effect"/>
    <tableColumn id="35" xr3:uid="{00000000-0010-0000-0000-000023000000}" name="Capability Evidence"/>
    <tableColumn id="36" xr3:uid="{00000000-0010-0000-0000-000024000000}" name="Estimate Basis"/>
    <tableColumn id="37" xr3:uid="{00000000-0010-0000-0000-000025000000}" name="Design Package"/>
    <tableColumn id="38" xr3:uid="{00000000-0010-0000-0000-000026000000}" name="UI Companion Reference"/>
    <tableColumn id="39" xr3:uid="{00000000-0010-0000-0000-000027000000}" name="Usable scope estimate (1/0)"/>
    <tableColumn id="40" xr3:uid="{00000000-0010-0000-0000-000028000000}" name="Contract-ready predecessors (not completion)"/>
    <tableColumn id="41" xr3:uid="{00000000-0010-0000-0000-000029000000}" name="Evidence State"/>
    <tableColumn id="42" xr3:uid="{00000000-0010-0000-0000-00002A000000}" name="Closure Evidence Basis"/>
    <tableColumn id="43" xr3:uid="{00000000-0010-0000-0000-00002B000000}" name="Parent Commit"/>
    <tableColumn id="44" xr3:uid="{00000000-0010-0000-0000-00002C000000}" name="Estimate Status"/>
    <tableColumn id="45" xr3:uid="{00000000-0010-0000-0000-00002D000000}" name="Usable planning hours"/>
    <tableColumn id="46" xr3:uid="{00000000-0010-0000-0000-00002E000000}" name="Usable planning P80 h"/>
    <tableColumn id="47" xr3:uid="{00000000-0010-0000-0000-00002F000000}" name="Source review coverage"/>
    <tableColumn id="48" xr3:uid="{00000000-0010-0000-0000-000030000000}" name="Proposed remaining LOW h"/>
    <tableColumn id="49" xr3:uid="{00000000-0010-0000-0000-000031000000}" name="Proposed remaining BASE h"/>
    <tableColumn id="50" xr3:uid="{00000000-0010-0000-0000-000032000000}" name="Proposed remaining HIGH h"/>
    <tableColumn id="51" xr3:uid="{00000000-0010-0000-0000-000033000000}" name="Remaining estimate confidence"/>
    <tableColumn id="52" xr3:uid="{00000000-0010-0000-0000-000034000000}" name="Remaining estimate basis"/>
    <tableColumn id="53" xr3:uid="{00000000-0010-0000-0000-000035000000}" name="Source locations"/>
    <tableColumn id="54" xr3:uid="{00000000-0010-0000-0000-000036000000}" name="Source as-of / evidence bounda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ReleasePlanTable" displayName="ReleasePlanTable" ref="A3:L13" totalsRowShown="0">
  <tableColumns count="12">
    <tableColumn id="1" xr3:uid="{00000000-0010-0000-0100-000001000000}" name="Release"/>
    <tableColumn id="2" xr3:uid="{00000000-0010-0000-0100-000002000000}" name="Planning target"/>
    <tableColumn id="3" xr3:uid="{00000000-0010-0000-0100-000003000000}" name="Phase"/>
    <tableColumn id="4" xr3:uid="{00000000-0010-0000-0100-000004000000}" name="Outcome"/>
    <tableColumn id="5" xr3:uid="{00000000-0010-0000-0100-000005000000}" name="Active tasks"/>
    <tableColumn id="6" xr3:uid="{00000000-0010-0000-0100-000006000000}" name="Done"/>
    <tableColumn id="7" xr3:uid="{00000000-0010-0000-0100-000007000000}" name="Open"/>
    <tableColumn id="8" xr3:uid="{00000000-0010-0000-0100-000008000000}" name="In progress"/>
    <tableColumn id="9" xr3:uid="{00000000-0010-0000-0100-000009000000}" name="Known scope h"/>
    <tableColumn id="10" xr3:uid="{00000000-0010-0000-0100-00000A000000}" name="Known open h"/>
    <tableColumn id="11" xr3:uid="{00000000-0010-0000-0100-00000B000000}" name="Unestimated rows"/>
    <tableColumn id="12" xr3:uid="{00000000-0010-0000-0100-00000C000000}" name="Exit condi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WorkerTrackTable" displayName="WorkerTrackTable" ref="A2:N181" totalsRowShown="0">
  <tableColumns count="14">
    <tableColumn id="1" xr3:uid="{00000000-0010-0000-0200-000001000000}" name="Owner"/>
    <tableColumn id="2" xr3:uid="{00000000-0010-0000-0200-000002000000}" name="Release"/>
    <tableColumn id="3" xr3:uid="{00000000-0010-0000-0200-000003000000}" name="Phase"/>
    <tableColumn id="4" xr3:uid="{00000000-0010-0000-0200-000004000000}" name="Task Id"/>
    <tableColumn id="5" xr3:uid="{00000000-0010-0000-0200-000005000000}" name="Task Name"/>
    <tableColumn id="6" xr3:uid="{00000000-0010-0000-0200-000006000000}" name="Status"/>
    <tableColumn id="7" xr3:uid="{00000000-0010-0000-0200-000007000000}" name="Known estimate h"/>
    <tableColumn id="8" xr3:uid="{00000000-0010-0000-0200-000008000000}" name="AI P80 h"/>
    <tableColumn id="9" xr3:uid="{00000000-0010-0000-0200-000009000000}" name="Depends On"/>
    <tableColumn id="10" xr3:uid="{00000000-0010-0000-0200-00000A000000}" name="Start/Gate"/>
    <tableColumn id="11" xr3:uid="{00000000-0010-0000-0200-00000B000000}" name="Lock"/>
    <tableColumn id="12" xr3:uid="{00000000-0010-0000-0200-00000C000000}" name="Handoff"/>
    <tableColumn id="13" xr3:uid="{00000000-0010-0000-0200-00000D000000}" name="Evidence state"/>
    <tableColumn id="14" xr3:uid="{00000000-0010-0000-0200-00000E000000}" name="Contract-ready predecesso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aceabilityTable" displayName="TraceabilityTable" ref="A3:J15" totalsRowShown="0">
  <tableColumns count="10">
    <tableColumn id="1" xr3:uid="{00000000-0010-0000-0300-000001000000}" name="Requirement family"/>
    <tableColumn id="2" xr3:uid="{00000000-0010-0000-0300-000002000000}" name="Design authority"/>
    <tableColumn id="3" xr3:uid="{00000000-0010-0000-0300-000003000000}" name="M2 Release 1"/>
    <tableColumn id="4" xr3:uid="{00000000-0010-0000-0300-000004000000}" name="M3 Release 2"/>
    <tableColumn id="5" xr3:uid="{00000000-0010-0000-0300-000005000000}" name="Primary tasks"/>
    <tableColumn id="6" xr3:uid="{00000000-0010-0000-0300-000006000000}" name="M2 acceptance"/>
    <tableColumn id="7" xr3:uid="{00000000-0010-0000-0300-000007000000}" name="M3 acceptance"/>
    <tableColumn id="8" xr3:uid="{00000000-0010-0000-0300-000008000000}" name="Customer use"/>
    <tableColumn id="9" xr3:uid="{00000000-0010-0000-0300-000009000000}" name="Mirror state"/>
    <tableColumn id="10" xr3:uid="{00000000-0010-0000-0300-00000A000000}" name="Rul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DependencyTable" displayName="DependencyTable" ref="A1:J180" totalsRowShown="0">
  <tableColumns count="10">
    <tableColumn id="1" xr3:uid="{00000000-0010-0000-0400-000001000000}" name="Task Id"/>
    <tableColumn id="2" xr3:uid="{00000000-0010-0000-0400-000002000000}" name="Release"/>
    <tableColumn id="3" xr3:uid="{00000000-0010-0000-0400-000003000000}" name="Phase"/>
    <tableColumn id="4" xr3:uid="{00000000-0010-0000-0400-000004000000}" name="Owner"/>
    <tableColumn id="5" xr3:uid="{00000000-0010-0000-0400-000005000000}" name="Status"/>
    <tableColumn id="6" xr3:uid="{00000000-0010-0000-0400-000006000000}" name="AI P80 h"/>
    <tableColumn id="7" xr3:uid="{00000000-0010-0000-0400-000007000000}" name="Depends On"/>
    <tableColumn id="8" xr3:uid="{00000000-0010-0000-0400-000008000000}" name="Must Precede"/>
    <tableColumn id="9" xr3:uid="{00000000-0010-0000-0400-000009000000}" name="Gate"/>
    <tableColumn id="10" xr3:uid="{00000000-0010-0000-0400-00000A000000}" name="Contract-ready predecessor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iorBaselineTable" displayName="PriorBaselineTable" ref="A3:H88" totalsRowShown="0">
  <tableColumns count="8">
    <tableColumn id="1" xr3:uid="{00000000-0010-0000-0500-000001000000}" name="Task Id"/>
    <tableColumn id="2" xr3:uid="{00000000-0010-0000-0500-000002000000}" name="Task Name"/>
    <tableColumn id="3" xr3:uid="{00000000-0010-0000-0500-000003000000}" name="Historical status"/>
    <tableColumn id="4" xr3:uid="{00000000-0010-0000-0500-000004000000}" name="Hours"/>
    <tableColumn id="5" xr3:uid="{00000000-0010-0000-0500-000005000000}" name="Evidence / Commit"/>
    <tableColumn id="6" xr3:uid="{00000000-0010-0000-0500-000006000000}" name="Archive ruling"/>
    <tableColumn id="7" xr3:uid="{00000000-0010-0000-0500-000007000000}" name="Column1"/>
    <tableColumn id="8" xr3:uid="{00000000-0010-0000-0500-000008000000}" name="Column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CommitLedgerTable" displayName="CommitLedgerTable" ref="A1:I50" totalsRowShown="0">
  <tableColumns count="9">
    <tableColumn id="1" xr3:uid="{00000000-0010-0000-0600-000001000000}" name="Task ID"/>
    <tableColumn id="2" xr3:uid="{00000000-0010-0000-0600-000002000000}" name="Phase"/>
    <tableColumn id="3" xr3:uid="{00000000-0010-0000-0600-000003000000}" name="Worker"/>
    <tableColumn id="4" xr3:uid="{00000000-0010-0000-0600-000004000000}" name="Commit SHA(s) / Tag"/>
    <tableColumn id="5" xr3:uid="{00000000-0010-0000-0600-000005000000}" name="Commit Subject / Label"/>
    <tableColumn id="6" xr3:uid="{00000000-0010-0000-0600-000006000000}" name="Commit / Closure Date"/>
    <tableColumn id="7" xr3:uid="{00000000-0010-0000-0600-000007000000}" name="Date Basis"/>
    <tableColumn id="8" xr3:uid="{00000000-0010-0000-0600-000008000000}" name="Evidence Confidence"/>
    <tableColumn id="9" xr3:uid="{00000000-0010-0000-0600-000009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7000000}" name="UICoverageTable" displayName="UICoverageTable" ref="A1:K271" totalsRowShown="0">
  <tableColumns count="11">
    <tableColumn id="1" xr3:uid="{00000000-0010-0000-0700-000001000000}" name="Artifact ID"/>
    <tableColumn id="2" xr3:uid="{00000000-0010-0000-0700-000002000000}" name="Kind"/>
    <tableColumn id="3" xr3:uid="{00000000-0010-0000-0700-000003000000}" name="Name"/>
    <tableColumn id="4" xr3:uid="{00000000-0010-0000-0700-000004000000}" name="Release portion"/>
    <tableColumn id="5" xr3:uid="{00000000-0010-0000-0700-000005000000}" name="Design owner"/>
    <tableColumn id="6" xr3:uid="{00000000-0010-0000-0700-000006000000}" name="Runtime owner(s)"/>
    <tableColumn id="7" xr3:uid="{00000000-0010-0000-0700-000007000000}" name="Chapter / source"/>
    <tableColumn id="8" xr3:uid="{00000000-0010-0000-0700-000008000000}" name="Existing scene IDs"/>
    <tableColumn id="9" xr3:uid="{00000000-0010-0000-0700-000009000000}" name="Design state"/>
    <tableColumn id="10" xr3:uid="{00000000-0010-0000-0700-00000A000000}" name="Required correction / outcome"/>
    <tableColumn id="11" xr3:uid="{00000000-0010-0000-0700-00000B000000}" name="Citation 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UIControlsTable" displayName="UIControlsTable" ref="A1:K271" totalsRowShown="0">
  <tableColumns count="11">
    <tableColumn id="1" xr3:uid="{00000000-0010-0000-0800-000001000000}" name="Control review ID"/>
    <tableColumn id="2" xr3:uid="{00000000-0010-0000-0800-000002000000}" name="Parent"/>
    <tableColumn id="3" xr3:uid="{00000000-0010-0000-0800-000003000000}" name="Chapter control text"/>
    <tableColumn id="4" xr3:uid="{00000000-0010-0000-0800-000004000000}" name="Type"/>
    <tableColumn id="5" xr3:uid="{00000000-0010-0000-0800-000005000000}" name="Position / reachability"/>
    <tableColumn id="6" xr3:uid="{00000000-0010-0000-0800-000006000000}" name="Enabled / condition"/>
    <tableColumn id="7" xr3:uid="{00000000-0010-0000-0800-000007000000}" name="Source"/>
    <tableColumn id="8" xr3:uid="{00000000-0010-0000-0800-000008000000}" name="Release portion"/>
    <tableColumn id="9" xr3:uid="{00000000-0010-0000-0800-000009000000}" name="Design owner"/>
    <tableColumn id="10" xr3:uid="{00000000-0010-0000-0800-00000A000000}" name="Trace state"/>
    <tableColumn id="11" xr3:uid="{00000000-0010-0000-0800-00000B000000}" name="Acceptance requirem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9000000}" name="UIChangeTable" displayName="UIChangeTable" ref="A1:E29" totalsRowShown="0">
  <tableColumns count="5">
    <tableColumn id="1" xr3:uid="{00000000-0010-0000-0900-000001000000}" name="Task ID"/>
    <tableColumn id="2" xr3:uid="{00000000-0010-0000-0900-000002000000}" name="Field"/>
    <tableColumn id="3" xr3:uid="{00000000-0010-0000-0900-000003000000}" name="Before"/>
    <tableColumn id="4" xr3:uid="{00000000-0010-0000-0900-000004000000}" name="After"/>
    <tableColumn id="5" xr3:uid="{00000000-0010-0000-0900-000005000000}" name="Reas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A000000}" name="TaskEvidence15Sep" displayName="TaskEvidence15Sep" ref="A1:L180" totalsRowShown="0">
  <tableColumns count="12">
    <tableColumn id="1" xr3:uid="{00000000-0010-0000-0A00-000001000000}" name="Task ID"/>
    <tableColumn id="2" xr3:uid="{00000000-0010-0000-0A00-000002000000}" name="Release / Phase"/>
    <tableColumn id="3" xr3:uid="{00000000-0010-0000-0A00-000003000000}" name="Current status"/>
    <tableColumn id="4" xr3:uid="{00000000-0010-0000-0A00-000004000000}" name="Evidence-review verdict"/>
    <tableColumn id="5" xr3:uid="{00000000-0010-0000-0A00-000005000000}" name="Recovered original delivery"/>
    <tableColumn id="6" xr3:uid="{00000000-0010-0000-0A00-000006000000}" name="Current scope conclusion"/>
    <tableColumn id="7" xr3:uid="{00000000-0010-0000-0A00-000007000000}" name="Recorded hours"/>
    <tableColumn id="8" xr3:uid="{00000000-0010-0000-0A00-000008000000}" name="Estimate state"/>
    <tableColumn id="9" xr3:uid="{00000000-0010-0000-0A00-000009000000}" name="Open completion predecessors"/>
    <tableColumn id="10" xr3:uid="{00000000-0010-0000-0A00-00000A000000}" name="Source / location"/>
    <tableColumn id="11" xr3:uid="{00000000-0010-0000-0A00-00000B000000}" name="Cell flags"/>
    <tableColumn id="12" xr3:uid="{00000000-0010-0000-0A00-00000C000000}" name="Next evidence / a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B000000}" name="P2Evidence15Sep" displayName="P2Evidence15Sep" ref="A1:N35" totalsRowShown="0">
  <tableColumns count="14">
    <tableColumn id="1" xr3:uid="{00000000-0010-0000-0B00-000001000000}" name="Task ID"/>
    <tableColumn id="2" xr3:uid="{00000000-0010-0000-0B00-000002000000}" name="Task"/>
    <tableColumn id="3" xr3:uid="{00000000-0010-0000-0B00-000003000000}" name="Current status"/>
    <tableColumn id="4" xr3:uid="{00000000-0010-0000-0B00-000004000000}" name="Current implementation"/>
    <tableColumn id="5" xr3:uid="{00000000-0010-0000-0B00-000005000000}" name="Remaining work"/>
    <tableColumn id="6" xr3:uid="{00000000-0010-0000-0B00-000006000000}" name="Original scope hours"/>
    <tableColumn id="7" xr3:uid="{00000000-0010-0000-0B00-000007000000}" name="Remaining LOW h"/>
    <tableColumn id="8" xr3:uid="{00000000-0010-0000-0B00-000008000000}" name="Remaining BASE h"/>
    <tableColumn id="9" xr3:uid="{00000000-0010-0000-0B00-000009000000}" name="Remaining HIGH h"/>
    <tableColumn id="10" xr3:uid="{00000000-0010-0000-0B00-00000A000000}" name="Estimate confidence"/>
    <tableColumn id="11" xr3:uid="{00000000-0010-0000-0B00-00000B000000}" name="Original closure / later scope"/>
    <tableColumn id="12" xr3:uid="{00000000-0010-0000-0B00-00000C000000}" name="Source references"/>
    <tableColumn id="13" xr3:uid="{00000000-0010-0000-0B00-00000D000000}" name="Shared-work boundary"/>
    <tableColumn id="14" xr3:uid="{00000000-0010-0000-0B00-00000E000000}" name="Evidence limit"/>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C000000}" name="CellChanges15Sep" displayName="CellChanges15Sep" ref="A1:F2874" totalsRowShown="0">
  <tableColumns count="6">
    <tableColumn id="1" xr3:uid="{00000000-0010-0000-0C00-000001000000}" name="Worksheet"/>
    <tableColumn id="2" xr3:uid="{00000000-0010-0000-0C00-000002000000}" name="Cell/range"/>
    <tableColumn id="3" xr3:uid="{00000000-0010-0000-0C00-000003000000}" name="Before"/>
    <tableColumn id="4" xr3:uid="{00000000-0010-0000-0C00-000004000000}" name="After"/>
    <tableColumn id="5" xr3:uid="{00000000-0010-0000-0C00-000005000000}" name="Reason (net differences, not product findings)"/>
    <tableColumn id="6" xr3:uid="{00000000-0010-0000-0C00-000006000000}" name="Evidence/basi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D000000}" name="SourceReviewTasks" displayName="SourceReviewTasks" ref="A1:L52" totalsRowShown="0">
  <tableColumns count="12">
    <tableColumn id="1" xr3:uid="{00000000-0010-0000-0D00-000001000000}" name="Task ID"/>
    <tableColumn id="2" xr3:uid="{00000000-0010-0000-0D00-000002000000}" name="Source verdict"/>
    <tableColumn id="3" xr3:uid="{00000000-0010-0000-0D00-000003000000}" name="Current implementation"/>
    <tableColumn id="4" xr3:uid="{00000000-0010-0000-0D00-000004000000}" name="Remaining scope"/>
    <tableColumn id="5" xr3:uid="{00000000-0010-0000-0D00-000005000000}" name="Code evidence"/>
    <tableColumn id="6" xr3:uid="{00000000-0010-0000-0D00-000006000000}" name="Remaining low h"/>
    <tableColumn id="7" xr3:uid="{00000000-0010-0000-0D00-000007000000}" name="Remaining base h"/>
    <tableColumn id="8" xr3:uid="{00000000-0010-0000-0D00-000008000000}" name="Remaining high h"/>
    <tableColumn id="9" xr3:uid="{00000000-0010-0000-0D00-000009000000}" name="Estimate basis"/>
    <tableColumn id="10" xr3:uid="{00000000-0010-0000-0D00-00000A000000}" name="Risks / qualification"/>
    <tableColumn id="11" xr3:uid="{00000000-0010-0000-0D00-00000B000000}" name="Historical scope"/>
    <tableColumn id="12" xr3:uid="{00000000-0010-0000-0D00-00000C000000}" name="Ownershi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E000000}" name="SourceEvidenceRows" displayName="SourceEvidenceRows" ref="A1:H130" totalsRowShown="0">
  <tableColumns count="8">
    <tableColumn id="1" xr3:uid="{00000000-0010-0000-0E00-000001000000}" name="Task ID"/>
    <tableColumn id="2" xr3:uid="{00000000-0010-0000-0E00-000002000000}" name="Repository path"/>
    <tableColumn id="3" xr3:uid="{00000000-0010-0000-0E00-000003000000}" name="Symbol"/>
    <tableColumn id="4" xr3:uid="{00000000-0010-0000-0E00-000004000000}" name="First line"/>
    <tableColumn id="5" xr3:uid="{00000000-0010-0000-0E00-000005000000}" name="Last line"/>
    <tableColumn id="6" xr3:uid="{00000000-0010-0000-0E00-000006000000}" name="Source excerpt"/>
    <tableColumn id="7" xr3:uid="{00000000-0010-0000-0E00-000007000000}" name="Export + recorded original SHA256"/>
    <tableColumn id="8" xr3:uid="{00000000-0010-0000-0E00-000008000000}" name="Evidence 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workbookViewId="0">
      <selection sqref="A1:D1"/>
    </sheetView>
  </sheetViews>
  <sheetFormatPr defaultRowHeight="14.25"/>
  <cols>
    <col min="1" max="1" width="26" customWidth="1"/>
    <col min="2" max="4" width="42" customWidth="1"/>
    <col min="5" max="8" width="10" customWidth="1"/>
  </cols>
  <sheetData>
    <row r="1" spans="1:14" ht="32.1" customHeight="1">
      <c r="A1" s="99" t="s">
        <v>8589</v>
      </c>
      <c r="B1" s="99"/>
      <c r="C1" s="99"/>
      <c r="D1" s="99"/>
      <c r="E1" s="53"/>
      <c r="F1" s="53"/>
      <c r="G1" s="53"/>
      <c r="H1" s="53"/>
      <c r="I1" s="54"/>
      <c r="J1" s="54"/>
      <c r="K1" s="54"/>
      <c r="L1" s="54"/>
      <c r="M1" s="54"/>
      <c r="N1" s="54"/>
    </row>
    <row r="2" spans="1:14" ht="36" customHeight="1">
      <c r="A2" s="40" t="s">
        <v>8590</v>
      </c>
      <c r="B2" s="40" t="s">
        <v>8591</v>
      </c>
      <c r="C2" s="40" t="s">
        <v>8592</v>
      </c>
      <c r="D2" s="40" t="s">
        <v>826</v>
      </c>
      <c r="E2" s="2"/>
      <c r="F2" s="2"/>
      <c r="G2" s="2"/>
      <c r="H2" s="2"/>
    </row>
    <row r="3" spans="1:14" ht="60" customHeight="1">
      <c r="A3" s="42" t="s">
        <v>8593</v>
      </c>
      <c r="B3" s="42" t="s">
        <v>8594</v>
      </c>
      <c r="C3" s="42" t="s">
        <v>8595</v>
      </c>
      <c r="D3" s="42" t="s">
        <v>8596</v>
      </c>
      <c r="E3" s="1"/>
      <c r="F3" s="1"/>
      <c r="G3" s="1"/>
      <c r="H3" s="1"/>
    </row>
    <row r="4" spans="1:14" ht="60" customHeight="1">
      <c r="A4" s="38" t="s">
        <v>8597</v>
      </c>
      <c r="B4" s="38" t="s">
        <v>8598</v>
      </c>
      <c r="C4" s="38" t="s">
        <v>8595</v>
      </c>
      <c r="D4" s="38" t="s">
        <v>8599</v>
      </c>
      <c r="E4" s="2"/>
      <c r="F4" s="2"/>
      <c r="G4" s="2"/>
      <c r="H4" s="2"/>
    </row>
    <row r="5" spans="1:14" ht="60" customHeight="1">
      <c r="A5" s="38" t="s">
        <v>8600</v>
      </c>
      <c r="B5" s="38" t="s">
        <v>8601</v>
      </c>
      <c r="C5" s="43" t="s">
        <v>8595</v>
      </c>
      <c r="D5" s="38" t="s">
        <v>8602</v>
      </c>
      <c r="E5" s="2"/>
      <c r="F5" s="2"/>
      <c r="G5" s="2"/>
      <c r="H5" s="2"/>
    </row>
    <row r="6" spans="1:14" ht="60" customHeight="1">
      <c r="A6" s="38" t="s">
        <v>8603</v>
      </c>
      <c r="B6" s="38" t="s">
        <v>8604</v>
      </c>
      <c r="C6" s="38" t="s">
        <v>8605</v>
      </c>
      <c r="D6" s="38" t="s">
        <v>8606</v>
      </c>
      <c r="E6" s="2"/>
      <c r="F6" s="2"/>
      <c r="G6" s="2"/>
      <c r="H6" s="2"/>
    </row>
    <row r="7" spans="1:14" ht="60" customHeight="1">
      <c r="A7" s="38" t="s">
        <v>8607</v>
      </c>
      <c r="B7" s="38" t="s">
        <v>8608</v>
      </c>
      <c r="C7" s="38" t="s">
        <v>8605</v>
      </c>
      <c r="D7" s="38" t="s">
        <v>8609</v>
      </c>
      <c r="E7" s="2"/>
      <c r="F7" s="2"/>
      <c r="G7" s="2"/>
      <c r="H7" s="2"/>
    </row>
    <row r="8" spans="1:14" ht="60" customHeight="1">
      <c r="A8" s="38" t="s">
        <v>8610</v>
      </c>
      <c r="B8" s="38" t="s">
        <v>8611</v>
      </c>
      <c r="C8" s="38" t="s">
        <v>8612</v>
      </c>
      <c r="D8" s="38" t="s">
        <v>8613</v>
      </c>
      <c r="E8" s="2"/>
      <c r="F8" s="2"/>
      <c r="G8" s="2"/>
      <c r="H8" s="2"/>
    </row>
    <row r="9" spans="1:14" ht="60" customHeight="1">
      <c r="A9" s="38" t="s">
        <v>8614</v>
      </c>
      <c r="B9" s="38" t="s">
        <v>1437</v>
      </c>
      <c r="C9" s="38" t="s">
        <v>1979</v>
      </c>
      <c r="D9" s="38" t="s">
        <v>1982</v>
      </c>
      <c r="E9" s="2"/>
      <c r="F9" s="2"/>
      <c r="G9" s="2"/>
      <c r="H9" s="2"/>
    </row>
    <row r="10" spans="1:14" ht="60" customHeight="1">
      <c r="A10" s="38" t="s">
        <v>8615</v>
      </c>
      <c r="B10" s="38" t="s">
        <v>8616</v>
      </c>
      <c r="C10" s="38" t="s">
        <v>8617</v>
      </c>
      <c r="D10" s="38" t="s">
        <v>8618</v>
      </c>
      <c r="E10" s="2"/>
      <c r="F10" s="2"/>
      <c r="G10" s="2"/>
      <c r="H10" s="2"/>
    </row>
    <row r="11" spans="1:14" ht="60" customHeight="1">
      <c r="A11" s="38" t="s">
        <v>8619</v>
      </c>
      <c r="B11" s="38" t="s">
        <v>8620</v>
      </c>
      <c r="C11" s="43" t="s">
        <v>8595</v>
      </c>
      <c r="D11" s="38" t="s">
        <v>8621</v>
      </c>
      <c r="E11" s="2"/>
      <c r="F11" s="2"/>
      <c r="G11" s="2"/>
      <c r="H11" s="2"/>
    </row>
    <row r="12" spans="1:14" ht="60" customHeight="1">
      <c r="A12" s="38" t="s">
        <v>8622</v>
      </c>
      <c r="B12" s="38" t="s">
        <v>8623</v>
      </c>
      <c r="C12" s="38" t="s">
        <v>8624</v>
      </c>
      <c r="D12" s="38" t="s">
        <v>8625</v>
      </c>
      <c r="E12" s="2"/>
      <c r="F12" s="2"/>
      <c r="G12" s="2"/>
      <c r="H12" s="2"/>
    </row>
    <row r="13" spans="1:14" ht="60" customHeight="1">
      <c r="A13" s="38" t="s">
        <v>8626</v>
      </c>
      <c r="B13" s="38" t="s">
        <v>8627</v>
      </c>
      <c r="C13" s="38" t="s">
        <v>8598</v>
      </c>
      <c r="D13" s="38" t="s">
        <v>8628</v>
      </c>
    </row>
    <row r="14" spans="1:14" ht="60" customHeight="1">
      <c r="A14" s="32" t="s">
        <v>8629</v>
      </c>
      <c r="B14" s="32" t="s">
        <v>8630</v>
      </c>
      <c r="C14" s="32" t="s">
        <v>8595</v>
      </c>
      <c r="D14" s="32" t="s">
        <v>8631</v>
      </c>
    </row>
    <row r="15" spans="1:14" ht="60" customHeight="1">
      <c r="A15" s="32" t="s">
        <v>8632</v>
      </c>
      <c r="B15" s="32" t="s">
        <v>8633</v>
      </c>
      <c r="C15" s="32" t="s">
        <v>8595</v>
      </c>
      <c r="D15" s="32" t="s">
        <v>8634</v>
      </c>
    </row>
    <row r="16" spans="1:14" ht="60" customHeight="1"/>
    <row r="17" spans="1:4">
      <c r="A17" t="s">
        <v>2009</v>
      </c>
      <c r="B17" t="s">
        <v>8635</v>
      </c>
      <c r="C17" t="s">
        <v>1973</v>
      </c>
      <c r="D17" t="s">
        <v>8636</v>
      </c>
    </row>
    <row r="19" spans="1:4" ht="68.099999999999994" customHeight="1">
      <c r="A19" s="2" t="s">
        <v>7832</v>
      </c>
      <c r="B19" s="2" t="s">
        <v>8637</v>
      </c>
      <c r="C19" s="2" t="s">
        <v>8595</v>
      </c>
      <c r="D19" s="2" t="s">
        <v>8638</v>
      </c>
    </row>
    <row r="20" spans="1:4" ht="68.099999999999994" customHeight="1">
      <c r="A20" s="2" t="s">
        <v>7836</v>
      </c>
      <c r="B20" s="2" t="s">
        <v>8616</v>
      </c>
      <c r="C20" s="2" t="s">
        <v>8617</v>
      </c>
      <c r="D20" s="2" t="s">
        <v>8639</v>
      </c>
    </row>
    <row r="21" spans="1:4" ht="68.099999999999994" customHeight="1">
      <c r="A21" s="2" t="s">
        <v>7839</v>
      </c>
      <c r="B21" s="2" t="s">
        <v>8640</v>
      </c>
      <c r="C21" s="2" t="s">
        <v>8595</v>
      </c>
      <c r="D21" s="2" t="s">
        <v>8641</v>
      </c>
    </row>
    <row r="22" spans="1:4" ht="68.099999999999994" customHeight="1">
      <c r="A22" s="2" t="s">
        <v>8642</v>
      </c>
      <c r="B22" s="2" t="s">
        <v>8643</v>
      </c>
      <c r="C22" s="2" t="s">
        <v>1973</v>
      </c>
      <c r="D22" s="2" t="s">
        <v>8644</v>
      </c>
    </row>
    <row r="23" spans="1:4" ht="68.099999999999994" customHeight="1">
      <c r="A23" s="2" t="s">
        <v>8645</v>
      </c>
      <c r="B23" s="2" t="s">
        <v>8616</v>
      </c>
      <c r="C23" s="2" t="s">
        <v>8617</v>
      </c>
      <c r="D23" s="2" t="s">
        <v>8646</v>
      </c>
    </row>
    <row r="24" spans="1:4" ht="68.099999999999994" customHeight="1">
      <c r="A24" s="2" t="s">
        <v>8647</v>
      </c>
      <c r="B24" s="2" t="s">
        <v>8648</v>
      </c>
      <c r="C24" s="2" t="s">
        <v>8595</v>
      </c>
      <c r="D24" s="2" t="s">
        <v>8649</v>
      </c>
    </row>
    <row r="31" spans="1:4" ht="68.099999999999994" customHeight="1">
      <c r="A31" s="2" t="s">
        <v>8650</v>
      </c>
      <c r="B31" s="2" t="s">
        <v>8651</v>
      </c>
      <c r="C31" s="2" t="s">
        <v>8652</v>
      </c>
      <c r="D31" s="2" t="s">
        <v>8653</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88"/>
  <sheetViews>
    <sheetView tabSelected="1" topLeftCell="G116" workbookViewId="0">
      <selection activeCell="K121" sqref="K121"/>
    </sheetView>
  </sheetViews>
  <sheetFormatPr defaultRowHeight="14.25"/>
  <cols>
    <col min="1" max="2" width="11" customWidth="1"/>
    <col min="3" max="3" width="10" customWidth="1"/>
    <col min="4" max="4" width="36" customWidth="1"/>
    <col min="5" max="6" width="18" customWidth="1"/>
    <col min="7" max="7" width="14" customWidth="1"/>
    <col min="8" max="9" width="64" customWidth="1"/>
    <col min="10" max="10" width="9.875" customWidth="1"/>
    <col min="11" max="12" width="17" customWidth="1"/>
    <col min="13" max="14" width="36" customWidth="1"/>
    <col min="15" max="15" width="32" customWidth="1"/>
    <col min="16" max="16" width="22" customWidth="1"/>
    <col min="17" max="17" width="24" customWidth="1"/>
    <col min="18" max="18" width="13" customWidth="1"/>
    <col min="19" max="19" width="12" customWidth="1"/>
    <col min="20" max="20" width="40" customWidth="1"/>
    <col min="21" max="22" width="35" customWidth="1"/>
    <col min="23" max="23" width="48" customWidth="1"/>
    <col min="24" max="24" width="35" customWidth="1"/>
    <col min="25" max="25" width="62" customWidth="1"/>
    <col min="26" max="26" width="15" customWidth="1"/>
    <col min="27" max="27" width="19" customWidth="1"/>
    <col min="28" max="28" width="38" customWidth="1"/>
    <col min="29" max="29" width="26" customWidth="1"/>
    <col min="30" max="30" width="18" customWidth="1"/>
    <col min="31" max="31" width="23" customWidth="1"/>
    <col min="32" max="32" width="17" customWidth="1"/>
    <col min="33" max="33" width="12" customWidth="1"/>
    <col min="34" max="34" width="20" customWidth="1"/>
    <col min="35" max="35" width="40" customWidth="1"/>
    <col min="36" max="36" width="32" customWidth="1"/>
    <col min="37" max="37" width="15" customWidth="1"/>
    <col min="38" max="38" width="37" customWidth="1"/>
    <col min="40" max="40" width="36" customWidth="1"/>
    <col min="41" max="44" width="34" customWidth="1"/>
    <col min="45" max="46" width="18" customWidth="1"/>
    <col min="47" max="47" width="34" customWidth="1"/>
    <col min="48" max="50" width="14" customWidth="1"/>
    <col min="51" max="54" width="38" customWidth="1"/>
  </cols>
  <sheetData>
    <row r="1" spans="1:54" ht="44.1" customHeight="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0" t="s">
        <v>22</v>
      </c>
      <c r="X1" s="30" t="s">
        <v>23</v>
      </c>
      <c r="Y1" s="30" t="s">
        <v>24</v>
      </c>
      <c r="Z1" s="30" t="s">
        <v>25</v>
      </c>
      <c r="AA1" s="31" t="s">
        <v>26</v>
      </c>
      <c r="AB1" s="31" t="s">
        <v>27</v>
      </c>
      <c r="AC1" s="31" t="s">
        <v>28</v>
      </c>
      <c r="AD1" s="31" t="s">
        <v>29</v>
      </c>
      <c r="AE1" s="31" t="s">
        <v>30</v>
      </c>
      <c r="AF1" s="31" t="s">
        <v>31</v>
      </c>
      <c r="AG1" s="31" t="s">
        <v>32</v>
      </c>
      <c r="AH1" s="31" t="s">
        <v>33</v>
      </c>
      <c r="AI1" s="31" t="s">
        <v>34</v>
      </c>
      <c r="AJ1" s="31" t="s">
        <v>35</v>
      </c>
      <c r="AK1" s="31" t="s">
        <v>36</v>
      </c>
      <c r="AL1" s="31" t="s">
        <v>37</v>
      </c>
      <c r="AM1" s="31" t="s">
        <v>38</v>
      </c>
      <c r="AN1" s="31" t="s">
        <v>39</v>
      </c>
      <c r="AO1" s="31" t="s">
        <v>40</v>
      </c>
      <c r="AP1" s="31" t="s">
        <v>41</v>
      </c>
      <c r="AQ1" s="31" t="s">
        <v>42</v>
      </c>
      <c r="AR1" s="31" t="s">
        <v>43</v>
      </c>
      <c r="AS1" s="68" t="s">
        <v>44</v>
      </c>
      <c r="AT1" s="68" t="s">
        <v>45</v>
      </c>
      <c r="AU1" s="87" t="s">
        <v>46</v>
      </c>
      <c r="AV1" s="87" t="s">
        <v>47</v>
      </c>
      <c r="AW1" s="87" t="s">
        <v>48</v>
      </c>
      <c r="AX1" s="87" t="s">
        <v>49</v>
      </c>
      <c r="AY1" s="87" t="s">
        <v>50</v>
      </c>
      <c r="AZ1" s="87" t="s">
        <v>51</v>
      </c>
      <c r="BA1" s="87" t="s">
        <v>52</v>
      </c>
      <c r="BB1" s="87" t="s">
        <v>53</v>
      </c>
    </row>
    <row r="2" spans="1:54" ht="75.95" customHeight="1">
      <c r="A2" s="4" t="s">
        <v>62</v>
      </c>
      <c r="B2" s="4" t="s">
        <v>449</v>
      </c>
      <c r="C2" s="4" t="s">
        <v>450</v>
      </c>
      <c r="D2" s="4" t="s">
        <v>452</v>
      </c>
      <c r="E2" s="4" t="s">
        <v>8654</v>
      </c>
      <c r="F2" s="4" t="s">
        <v>8655</v>
      </c>
      <c r="G2" s="4" t="s">
        <v>8656</v>
      </c>
      <c r="H2" s="4" t="s">
        <v>8657</v>
      </c>
      <c r="I2" s="4" t="s">
        <v>8658</v>
      </c>
      <c r="J2" s="64">
        <v>8</v>
      </c>
      <c r="K2" s="94" t="s">
        <v>249</v>
      </c>
      <c r="L2" s="4" t="s">
        <v>451</v>
      </c>
      <c r="M2" s="2" t="s">
        <v>71</v>
      </c>
      <c r="N2" s="2" t="s">
        <v>454</v>
      </c>
      <c r="O2" s="2" t="s">
        <v>1165</v>
      </c>
      <c r="P2" s="2" t="s">
        <v>455</v>
      </c>
      <c r="Q2" s="2" t="s">
        <v>8659</v>
      </c>
      <c r="R2" s="65">
        <v>2.72</v>
      </c>
      <c r="S2" s="2" t="s">
        <v>8660</v>
      </c>
      <c r="T2" s="2" t="s">
        <v>2026</v>
      </c>
      <c r="U2" s="2" t="s">
        <v>8661</v>
      </c>
      <c r="V2" s="2" t="s">
        <v>1513</v>
      </c>
      <c r="W2" s="2" t="s">
        <v>8662</v>
      </c>
      <c r="X2" s="2" t="s">
        <v>456</v>
      </c>
      <c r="Y2" s="33" t="s">
        <v>453</v>
      </c>
      <c r="Z2" s="9">
        <v>46259</v>
      </c>
      <c r="AA2" s="2" t="s">
        <v>964</v>
      </c>
      <c r="AB2" s="2" t="s">
        <v>8663</v>
      </c>
      <c r="AC2" s="2"/>
      <c r="AD2" s="2" t="s">
        <v>8664</v>
      </c>
      <c r="AE2" s="2" t="s">
        <v>6137</v>
      </c>
      <c r="AF2" s="2" t="s">
        <v>830</v>
      </c>
      <c r="AG2" s="2" t="s">
        <v>1061</v>
      </c>
      <c r="AH2" s="2" t="s">
        <v>8665</v>
      </c>
      <c r="AI2" s="2" t="str">
        <f>IF(Y2="","",Y2)</f>
        <v>77a8ea4f — T-086: freeze the legacy regression oracle and gate generic surfaces against its vocabulary</v>
      </c>
      <c r="AJ2" s="2" t="s">
        <v>1522</v>
      </c>
      <c r="AK2" s="2" t="s">
        <v>8594</v>
      </c>
      <c r="AL2" s="2" t="s">
        <v>8666</v>
      </c>
      <c r="AM2" s="2">
        <f>IF(AND(ISNUMBER(J2),OR(AR2="INHERITED ESTIMATE",AR2="CONFIRMED ESTIMATE")),1,0)</f>
        <v>1</v>
      </c>
      <c r="AN2" s="2"/>
      <c r="AO2" s="32" t="s">
        <v>1415</v>
      </c>
      <c r="AP2" s="32" t="s">
        <v>1418</v>
      </c>
      <c r="AQ2" s="32"/>
      <c r="AR2" s="32" t="s">
        <v>1420</v>
      </c>
      <c r="AS2" s="65">
        <f>IF(AM2=1,J2,"")</f>
        <v>8</v>
      </c>
      <c r="AT2" s="65">
        <f>IF(AND(AM2=1,ISNUMBER(R2)),R2,"")</f>
        <v>2.72</v>
      </c>
      <c r="AU2" s="2" t="s">
        <v>8667</v>
      </c>
      <c r="AV2" s="5"/>
      <c r="AW2" s="5"/>
      <c r="AX2" s="5"/>
      <c r="AY2" s="2" t="s">
        <v>8668</v>
      </c>
      <c r="AZ2" s="2"/>
      <c r="BA2" s="2"/>
      <c r="BB2" s="2"/>
    </row>
    <row r="3" spans="1:54" ht="75.95" customHeight="1">
      <c r="A3" s="4" t="s">
        <v>63</v>
      </c>
      <c r="B3" s="4" t="s">
        <v>449</v>
      </c>
      <c r="C3" s="4" t="s">
        <v>450</v>
      </c>
      <c r="D3" s="4" t="s">
        <v>457</v>
      </c>
      <c r="E3" s="4" t="s">
        <v>8669</v>
      </c>
      <c r="F3" s="4" t="s">
        <v>8670</v>
      </c>
      <c r="G3" s="4" t="s">
        <v>8656</v>
      </c>
      <c r="H3" s="4" t="s">
        <v>8671</v>
      </c>
      <c r="I3" s="4" t="s">
        <v>8672</v>
      </c>
      <c r="J3" s="64">
        <v>12</v>
      </c>
      <c r="K3" s="94" t="s">
        <v>249</v>
      </c>
      <c r="L3" s="4" t="s">
        <v>451</v>
      </c>
      <c r="M3" s="2" t="s">
        <v>459</v>
      </c>
      <c r="N3" s="2" t="s">
        <v>8673</v>
      </c>
      <c r="O3" s="2" t="s">
        <v>1165</v>
      </c>
      <c r="P3" s="2" t="s">
        <v>455</v>
      </c>
      <c r="Q3" s="2" t="s">
        <v>8674</v>
      </c>
      <c r="R3" s="65">
        <v>2.3250000000000002</v>
      </c>
      <c r="S3" s="2" t="s">
        <v>8660</v>
      </c>
      <c r="T3" s="2" t="s">
        <v>2026</v>
      </c>
      <c r="U3" s="2" t="s">
        <v>8661</v>
      </c>
      <c r="V3" s="2" t="s">
        <v>1513</v>
      </c>
      <c r="W3" s="2" t="s">
        <v>8662</v>
      </c>
      <c r="X3" s="2" t="s">
        <v>456</v>
      </c>
      <c r="Y3" s="33" t="s">
        <v>458</v>
      </c>
      <c r="Z3" s="9">
        <v>46262</v>
      </c>
      <c r="AA3" s="2" t="s">
        <v>845</v>
      </c>
      <c r="AB3" s="2" t="s">
        <v>847</v>
      </c>
      <c r="AC3" s="2" t="s">
        <v>911</v>
      </c>
      <c r="AD3" s="2" t="s">
        <v>8675</v>
      </c>
      <c r="AE3" s="2" t="s">
        <v>8676</v>
      </c>
      <c r="AF3" s="2" t="s">
        <v>830</v>
      </c>
      <c r="AG3" s="2" t="s">
        <v>1061</v>
      </c>
      <c r="AH3" s="2" t="s">
        <v>8665</v>
      </c>
      <c r="AI3" s="2" t="str">
        <f>IF(Y3="","",Y3)</f>
        <v>e7d82f078d7dfa4c1ca4ec6e88d0dbc7e1ecd6ba — subject not recovered</v>
      </c>
      <c r="AJ3" s="2" t="s">
        <v>1522</v>
      </c>
      <c r="AK3" s="2" t="s">
        <v>8594</v>
      </c>
      <c r="AL3" s="2" t="s">
        <v>8666</v>
      </c>
      <c r="AM3" s="2">
        <f>IF(AND(ISNUMBER(J3),OR(AR3="INHERITED ESTIMATE",AR3="CONFIRMED ESTIMATE")),1,0)</f>
        <v>1</v>
      </c>
      <c r="AN3" s="2"/>
      <c r="AO3" s="32" t="s">
        <v>1415</v>
      </c>
      <c r="AP3" s="32" t="s">
        <v>1418</v>
      </c>
      <c r="AQ3" s="32"/>
      <c r="AR3" s="32" t="s">
        <v>1420</v>
      </c>
      <c r="AS3" s="65">
        <f>IF(AM3=1,J3,"")</f>
        <v>12</v>
      </c>
      <c r="AT3" s="65">
        <f>IF(AND(AM3=1,ISNUMBER(R3)),R3,"")</f>
        <v>2.3250000000000002</v>
      </c>
      <c r="AU3" s="2" t="s">
        <v>8667</v>
      </c>
      <c r="AV3" s="5"/>
      <c r="AW3" s="5"/>
      <c r="AX3" s="5"/>
      <c r="AY3" s="2" t="s">
        <v>8668</v>
      </c>
      <c r="AZ3" s="2"/>
      <c r="BA3" s="2"/>
      <c r="BB3" s="2"/>
    </row>
    <row r="4" spans="1:54" ht="75.95" customHeight="1">
      <c r="A4" s="4" t="s">
        <v>64</v>
      </c>
      <c r="B4" s="4" t="s">
        <v>449</v>
      </c>
      <c r="C4" s="4" t="s">
        <v>450</v>
      </c>
      <c r="D4" s="4" t="s">
        <v>461</v>
      </c>
      <c r="E4" s="4" t="s">
        <v>8669</v>
      </c>
      <c r="F4" s="4" t="s">
        <v>8670</v>
      </c>
      <c r="G4" s="4" t="s">
        <v>8677</v>
      </c>
      <c r="H4" s="4" t="s">
        <v>8678</v>
      </c>
      <c r="I4" s="4" t="s">
        <v>8679</v>
      </c>
      <c r="J4" s="64">
        <v>12</v>
      </c>
      <c r="K4" s="94" t="s">
        <v>249</v>
      </c>
      <c r="L4" s="4" t="s">
        <v>451</v>
      </c>
      <c r="M4" s="2" t="s">
        <v>62</v>
      </c>
      <c r="N4" s="2" t="s">
        <v>8680</v>
      </c>
      <c r="O4" s="2" t="s">
        <v>1165</v>
      </c>
      <c r="P4" s="2" t="s">
        <v>455</v>
      </c>
      <c r="Q4" s="2" t="s">
        <v>8674</v>
      </c>
      <c r="R4" s="65">
        <v>2.3250000000000002</v>
      </c>
      <c r="S4" s="2" t="s">
        <v>8660</v>
      </c>
      <c r="T4" s="2" t="s">
        <v>2026</v>
      </c>
      <c r="U4" s="2" t="s">
        <v>8661</v>
      </c>
      <c r="V4" s="2" t="s">
        <v>1513</v>
      </c>
      <c r="W4" s="2" t="s">
        <v>8662</v>
      </c>
      <c r="X4" s="2" t="s">
        <v>456</v>
      </c>
      <c r="Y4" s="33" t="s">
        <v>462</v>
      </c>
      <c r="Z4" s="9">
        <v>46260</v>
      </c>
      <c r="AA4" s="2" t="s">
        <v>949</v>
      </c>
      <c r="AB4" s="2" t="s">
        <v>951</v>
      </c>
      <c r="AC4" s="2" t="s">
        <v>8681</v>
      </c>
      <c r="AD4" s="2" t="s">
        <v>8675</v>
      </c>
      <c r="AE4" s="2" t="s">
        <v>8676</v>
      </c>
      <c r="AF4" s="2" t="s">
        <v>830</v>
      </c>
      <c r="AG4" s="2" t="s">
        <v>1061</v>
      </c>
      <c r="AH4" s="2" t="s">
        <v>8665</v>
      </c>
      <c r="AI4" s="2" t="str">
        <f>IF(Y4="","",Y4)</f>
        <v>6a62c9d6 — Establish canonical database migration authority</v>
      </c>
      <c r="AJ4" s="2" t="s">
        <v>1522</v>
      </c>
      <c r="AK4" s="2" t="s">
        <v>8594</v>
      </c>
      <c r="AL4" s="2" t="s">
        <v>8666</v>
      </c>
      <c r="AM4" s="2">
        <f>IF(AND(ISNUMBER(J4),OR(AR4="INHERITED ESTIMATE",AR4="CONFIRMED ESTIMATE")),1,0)</f>
        <v>1</v>
      </c>
      <c r="AN4" s="2"/>
      <c r="AO4" s="32" t="s">
        <v>1415</v>
      </c>
      <c r="AP4" s="32" t="s">
        <v>1418</v>
      </c>
      <c r="AQ4" s="32"/>
      <c r="AR4" s="32" t="s">
        <v>1420</v>
      </c>
      <c r="AS4" s="65">
        <f>IF(AM4=1,J4,"")</f>
        <v>12</v>
      </c>
      <c r="AT4" s="65">
        <f>IF(AND(AM4=1,ISNUMBER(R4)),R4,"")</f>
        <v>2.3250000000000002</v>
      </c>
      <c r="AU4" s="2" t="s">
        <v>8667</v>
      </c>
      <c r="AV4" s="5"/>
      <c r="AW4" s="5"/>
      <c r="AX4" s="5"/>
      <c r="AY4" s="2" t="s">
        <v>8668</v>
      </c>
      <c r="AZ4" s="2"/>
      <c r="BA4" s="2"/>
      <c r="BB4" s="2"/>
    </row>
    <row r="5" spans="1:54" ht="75.95" customHeight="1">
      <c r="A5" s="4" t="s">
        <v>65</v>
      </c>
      <c r="B5" s="4" t="s">
        <v>449</v>
      </c>
      <c r="C5" s="4" t="s">
        <v>450</v>
      </c>
      <c r="D5" s="4" t="s">
        <v>464</v>
      </c>
      <c r="E5" s="4" t="s">
        <v>8669</v>
      </c>
      <c r="F5" s="4" t="s">
        <v>8682</v>
      </c>
      <c r="G5" s="4" t="s">
        <v>8656</v>
      </c>
      <c r="H5" s="4" t="s">
        <v>8683</v>
      </c>
      <c r="I5" s="4" t="s">
        <v>8684</v>
      </c>
      <c r="J5" s="64">
        <v>12</v>
      </c>
      <c r="K5" s="94" t="s">
        <v>249</v>
      </c>
      <c r="L5" s="4" t="s">
        <v>451</v>
      </c>
      <c r="M5" s="2" t="s">
        <v>466</v>
      </c>
      <c r="N5" s="2" t="s">
        <v>8685</v>
      </c>
      <c r="O5" s="2" t="s">
        <v>1165</v>
      </c>
      <c r="P5" s="2" t="s">
        <v>455</v>
      </c>
      <c r="Q5" s="2" t="s">
        <v>8674</v>
      </c>
      <c r="R5" s="65">
        <v>2.3250000000000002</v>
      </c>
      <c r="S5" s="2" t="s">
        <v>8660</v>
      </c>
      <c r="T5" s="2" t="s">
        <v>2026</v>
      </c>
      <c r="U5" s="2" t="s">
        <v>8661</v>
      </c>
      <c r="V5" s="2" t="s">
        <v>1513</v>
      </c>
      <c r="W5" s="2" t="s">
        <v>8662</v>
      </c>
      <c r="X5" s="2" t="s">
        <v>456</v>
      </c>
      <c r="Y5" s="33" t="s">
        <v>465</v>
      </c>
      <c r="Z5" s="9"/>
      <c r="AA5" s="2" t="s">
        <v>854</v>
      </c>
      <c r="AB5" s="2" t="s">
        <v>855</v>
      </c>
      <c r="AC5" s="2" t="s">
        <v>909</v>
      </c>
      <c r="AD5" s="2" t="s">
        <v>8686</v>
      </c>
      <c r="AE5" s="2" t="s">
        <v>8676</v>
      </c>
      <c r="AF5" s="2" t="s">
        <v>830</v>
      </c>
      <c r="AG5" s="2" t="s">
        <v>1061</v>
      </c>
      <c r="AH5" s="2" t="s">
        <v>8665</v>
      </c>
      <c r="AI5" s="2" t="str">
        <f>IF(Y5="","",Y5)</f>
        <v>0fd79e5e3516cdfd0ab5a73a02e16638fd02693a — subject not recovered</v>
      </c>
      <c r="AJ5" s="2" t="s">
        <v>1522</v>
      </c>
      <c r="AK5" s="2" t="s">
        <v>8594</v>
      </c>
      <c r="AL5" s="2" t="s">
        <v>8666</v>
      </c>
      <c r="AM5" s="2">
        <f>IF(AND(ISNUMBER(J5),OR(AR5="INHERITED ESTIMATE",AR5="CONFIRMED ESTIMATE")),1,0)</f>
        <v>1</v>
      </c>
      <c r="AN5" s="2"/>
      <c r="AO5" s="32" t="s">
        <v>1415</v>
      </c>
      <c r="AP5" s="32" t="s">
        <v>1418</v>
      </c>
      <c r="AQ5" s="32"/>
      <c r="AR5" s="32" t="s">
        <v>1420</v>
      </c>
      <c r="AS5" s="65">
        <f>IF(AM5=1,J5,"")</f>
        <v>12</v>
      </c>
      <c r="AT5" s="65">
        <f>IF(AND(AM5=1,ISNUMBER(R5)),R5,"")</f>
        <v>2.3250000000000002</v>
      </c>
      <c r="AU5" s="2" t="s">
        <v>8667</v>
      </c>
      <c r="AV5" s="5"/>
      <c r="AW5" s="5"/>
      <c r="AX5" s="5"/>
      <c r="AY5" s="2" t="s">
        <v>8668</v>
      </c>
      <c r="AZ5" s="2"/>
      <c r="BA5" s="2"/>
      <c r="BB5" s="2"/>
    </row>
    <row r="6" spans="1:54" ht="75.95" customHeight="1">
      <c r="A6" s="4" t="s">
        <v>66</v>
      </c>
      <c r="B6" s="4" t="s">
        <v>449</v>
      </c>
      <c r="C6" s="4" t="s">
        <v>450</v>
      </c>
      <c r="D6" s="4" t="s">
        <v>468</v>
      </c>
      <c r="E6" s="4" t="s">
        <v>8687</v>
      </c>
      <c r="F6" s="4" t="s">
        <v>8682</v>
      </c>
      <c r="G6" s="4" t="s">
        <v>8656</v>
      </c>
      <c r="H6" s="4" t="s">
        <v>8688</v>
      </c>
      <c r="I6" s="4" t="s">
        <v>8689</v>
      </c>
      <c r="J6" s="64">
        <v>12</v>
      </c>
      <c r="K6" s="94" t="s">
        <v>249</v>
      </c>
      <c r="L6" s="4" t="s">
        <v>451</v>
      </c>
      <c r="M6" s="2" t="s">
        <v>65</v>
      </c>
      <c r="N6" s="2" t="s">
        <v>8690</v>
      </c>
      <c r="O6" s="2" t="s">
        <v>1165</v>
      </c>
      <c r="P6" s="2" t="s">
        <v>455</v>
      </c>
      <c r="Q6" s="2" t="s">
        <v>8691</v>
      </c>
      <c r="R6" s="65">
        <v>1.7999999999999998</v>
      </c>
      <c r="S6" s="2" t="s">
        <v>8660</v>
      </c>
      <c r="T6" s="2" t="s">
        <v>2026</v>
      </c>
      <c r="U6" s="2" t="s">
        <v>8661</v>
      </c>
      <c r="V6" s="2" t="s">
        <v>8692</v>
      </c>
      <c r="W6" s="2" t="s">
        <v>8662</v>
      </c>
      <c r="X6" s="2" t="s">
        <v>471</v>
      </c>
      <c r="Y6" s="33" t="s">
        <v>469</v>
      </c>
      <c r="Z6" s="9"/>
      <c r="AA6" s="2" t="s">
        <v>909</v>
      </c>
      <c r="AB6" s="2" t="s">
        <v>910</v>
      </c>
      <c r="AC6" s="2" t="s">
        <v>854</v>
      </c>
      <c r="AD6" s="2" t="s">
        <v>8675</v>
      </c>
      <c r="AE6" s="2" t="s">
        <v>8693</v>
      </c>
      <c r="AF6" s="2" t="s">
        <v>830</v>
      </c>
      <c r="AG6" s="2" t="s">
        <v>1061</v>
      </c>
      <c r="AH6" s="2" t="s">
        <v>8665</v>
      </c>
      <c r="AI6" s="2" t="str">
        <f>IF(Y6="","",Y6)</f>
        <v>a6399d9c — subject not recovered</v>
      </c>
      <c r="AJ6" s="2" t="s">
        <v>1522</v>
      </c>
      <c r="AK6" s="2" t="s">
        <v>8594</v>
      </c>
      <c r="AL6" s="2" t="s">
        <v>8666</v>
      </c>
      <c r="AM6" s="2">
        <f>IF(AND(ISNUMBER(J6),OR(AR6="INHERITED ESTIMATE",AR6="CONFIRMED ESTIMATE")),1,0)</f>
        <v>1</v>
      </c>
      <c r="AN6" s="2"/>
      <c r="AO6" s="32" t="s">
        <v>1415</v>
      </c>
      <c r="AP6" s="32" t="s">
        <v>1418</v>
      </c>
      <c r="AQ6" s="32"/>
      <c r="AR6" s="32" t="s">
        <v>1420</v>
      </c>
      <c r="AS6" s="65">
        <f>IF(AM6=1,J6,"")</f>
        <v>12</v>
      </c>
      <c r="AT6" s="65">
        <f>IF(AND(AM6=1,ISNUMBER(R6)),R6,"")</f>
        <v>1.7999999999999998</v>
      </c>
      <c r="AU6" s="2" t="s">
        <v>8667</v>
      </c>
      <c r="AV6" s="5"/>
      <c r="AW6" s="5"/>
      <c r="AX6" s="5"/>
      <c r="AY6" s="2" t="s">
        <v>8668</v>
      </c>
      <c r="AZ6" s="2"/>
      <c r="BA6" s="2"/>
      <c r="BB6" s="2"/>
    </row>
    <row r="7" spans="1:54" ht="75.95" customHeight="1">
      <c r="A7" s="4" t="s">
        <v>67</v>
      </c>
      <c r="B7" s="4" t="s">
        <v>449</v>
      </c>
      <c r="C7" s="4" t="s">
        <v>450</v>
      </c>
      <c r="D7" s="4" t="s">
        <v>472</v>
      </c>
      <c r="E7" s="4" t="s">
        <v>8687</v>
      </c>
      <c r="F7" s="4" t="s">
        <v>8682</v>
      </c>
      <c r="G7" s="4" t="s">
        <v>8677</v>
      </c>
      <c r="H7" s="4" t="s">
        <v>8694</v>
      </c>
      <c r="I7" s="4" t="s">
        <v>8695</v>
      </c>
      <c r="J7" s="64">
        <v>12</v>
      </c>
      <c r="K7" s="94" t="s">
        <v>249</v>
      </c>
      <c r="L7" s="4" t="s">
        <v>451</v>
      </c>
      <c r="M7" s="2" t="s">
        <v>66</v>
      </c>
      <c r="N7" s="2" t="s">
        <v>474</v>
      </c>
      <c r="O7" s="2" t="s">
        <v>1165</v>
      </c>
      <c r="P7" s="2" t="s">
        <v>455</v>
      </c>
      <c r="Q7" s="2" t="s">
        <v>8691</v>
      </c>
      <c r="R7" s="65">
        <v>1.7999999999999998</v>
      </c>
      <c r="S7" s="2" t="s">
        <v>8660</v>
      </c>
      <c r="T7" s="2" t="s">
        <v>2026</v>
      </c>
      <c r="U7" s="2" t="s">
        <v>8661</v>
      </c>
      <c r="V7" s="2" t="s">
        <v>1513</v>
      </c>
      <c r="W7" s="2" t="s">
        <v>8662</v>
      </c>
      <c r="X7" s="2" t="s">
        <v>456</v>
      </c>
      <c r="Y7" s="33" t="s">
        <v>473</v>
      </c>
      <c r="Z7" s="9"/>
      <c r="AA7" s="2" t="s">
        <v>909</v>
      </c>
      <c r="AB7" s="2" t="s">
        <v>910</v>
      </c>
      <c r="AC7" s="2" t="s">
        <v>854</v>
      </c>
      <c r="AD7" s="2" t="s">
        <v>8686</v>
      </c>
      <c r="AE7" s="2" t="s">
        <v>8696</v>
      </c>
      <c r="AF7" s="2" t="s">
        <v>830</v>
      </c>
      <c r="AG7" s="2" t="s">
        <v>1061</v>
      </c>
      <c r="AH7" s="2" t="s">
        <v>8665</v>
      </c>
      <c r="AI7" s="2" t="str">
        <f>IF(Y7="","",Y7)</f>
        <v>c6d64289 — subject not recovered</v>
      </c>
      <c r="AJ7" s="2" t="s">
        <v>1522</v>
      </c>
      <c r="AK7" s="2" t="s">
        <v>8594</v>
      </c>
      <c r="AL7" s="2" t="s">
        <v>8666</v>
      </c>
      <c r="AM7" s="2">
        <f>IF(AND(ISNUMBER(J7),OR(AR7="INHERITED ESTIMATE",AR7="CONFIRMED ESTIMATE")),1,0)</f>
        <v>1</v>
      </c>
      <c r="AN7" s="2"/>
      <c r="AO7" s="32" t="s">
        <v>1415</v>
      </c>
      <c r="AP7" s="32" t="s">
        <v>1418</v>
      </c>
      <c r="AQ7" s="32"/>
      <c r="AR7" s="32" t="s">
        <v>1420</v>
      </c>
      <c r="AS7" s="65">
        <f>IF(AM7=1,J7,"")</f>
        <v>12</v>
      </c>
      <c r="AT7" s="65">
        <f>IF(AND(AM7=1,ISNUMBER(R7)),R7,"")</f>
        <v>1.7999999999999998</v>
      </c>
      <c r="AU7" s="2" t="s">
        <v>8667</v>
      </c>
      <c r="AV7" s="5"/>
      <c r="AW7" s="5"/>
      <c r="AX7" s="5"/>
      <c r="AY7" s="2" t="s">
        <v>8668</v>
      </c>
      <c r="AZ7" s="2"/>
      <c r="BA7" s="2"/>
      <c r="BB7" s="2"/>
    </row>
    <row r="8" spans="1:54" ht="75.95" customHeight="1">
      <c r="A8" s="4" t="s">
        <v>68</v>
      </c>
      <c r="B8" s="4" t="s">
        <v>449</v>
      </c>
      <c r="C8" s="4" t="s">
        <v>450</v>
      </c>
      <c r="D8" s="4" t="s">
        <v>475</v>
      </c>
      <c r="E8" s="4" t="s">
        <v>8687</v>
      </c>
      <c r="F8" s="4" t="s">
        <v>8697</v>
      </c>
      <c r="G8" s="4" t="s">
        <v>8656</v>
      </c>
      <c r="H8" s="4" t="s">
        <v>8698</v>
      </c>
      <c r="I8" s="4" t="s">
        <v>8699</v>
      </c>
      <c r="J8" s="64">
        <v>12</v>
      </c>
      <c r="K8" s="94" t="s">
        <v>249</v>
      </c>
      <c r="L8" s="4" t="s">
        <v>451</v>
      </c>
      <c r="M8" s="2" t="s">
        <v>477</v>
      </c>
      <c r="N8" s="2" t="s">
        <v>478</v>
      </c>
      <c r="O8" s="2" t="s">
        <v>1165</v>
      </c>
      <c r="P8" s="2" t="s">
        <v>455</v>
      </c>
      <c r="Q8" s="2" t="s">
        <v>8691</v>
      </c>
      <c r="R8" s="65">
        <v>1.7999999999999998</v>
      </c>
      <c r="S8" s="2" t="s">
        <v>8660</v>
      </c>
      <c r="T8" s="2" t="s">
        <v>2026</v>
      </c>
      <c r="U8" s="2" t="s">
        <v>8661</v>
      </c>
      <c r="V8" s="2" t="s">
        <v>1513</v>
      </c>
      <c r="W8" s="2" t="s">
        <v>8662</v>
      </c>
      <c r="X8" s="2" t="s">
        <v>456</v>
      </c>
      <c r="Y8" s="33" t="s">
        <v>476</v>
      </c>
      <c r="Z8" s="9">
        <v>46267</v>
      </c>
      <c r="AA8" s="2" t="s">
        <v>879</v>
      </c>
      <c r="AB8" s="2" t="s">
        <v>880</v>
      </c>
      <c r="AC8" s="2" t="s">
        <v>898</v>
      </c>
      <c r="AD8" s="2" t="s">
        <v>8686</v>
      </c>
      <c r="AE8" s="2" t="s">
        <v>8700</v>
      </c>
      <c r="AF8" s="2" t="s">
        <v>830</v>
      </c>
      <c r="AG8" s="2" t="s">
        <v>1061</v>
      </c>
      <c r="AH8" s="2" t="s">
        <v>8665</v>
      </c>
      <c r="AI8" s="2" t="str">
        <f>IF(Y8="","",Y8)</f>
        <v>ab2962a4; 7cad36e4 — registry authority closure commits</v>
      </c>
      <c r="AJ8" s="2" t="s">
        <v>1522</v>
      </c>
      <c r="AK8" s="2" t="s">
        <v>8594</v>
      </c>
      <c r="AL8" s="2" t="s">
        <v>8666</v>
      </c>
      <c r="AM8" s="2">
        <f>IF(AND(ISNUMBER(J8),OR(AR8="INHERITED ESTIMATE",AR8="CONFIRMED ESTIMATE")),1,0)</f>
        <v>1</v>
      </c>
      <c r="AN8" s="2"/>
      <c r="AO8" s="32" t="s">
        <v>1415</v>
      </c>
      <c r="AP8" s="32" t="s">
        <v>1418</v>
      </c>
      <c r="AQ8" s="32"/>
      <c r="AR8" s="32" t="s">
        <v>1420</v>
      </c>
      <c r="AS8" s="65">
        <f>IF(AM8=1,J8,"")</f>
        <v>12</v>
      </c>
      <c r="AT8" s="65">
        <f>IF(AND(AM8=1,ISNUMBER(R8)),R8,"")</f>
        <v>1.7999999999999998</v>
      </c>
      <c r="AU8" s="2" t="s">
        <v>8667</v>
      </c>
      <c r="AV8" s="5"/>
      <c r="AW8" s="5"/>
      <c r="AX8" s="5"/>
      <c r="AY8" s="2" t="s">
        <v>8668</v>
      </c>
      <c r="AZ8" s="2"/>
      <c r="BA8" s="2"/>
      <c r="BB8" s="2"/>
    </row>
    <row r="9" spans="1:54" ht="75.95" customHeight="1">
      <c r="A9" s="4" t="s">
        <v>69</v>
      </c>
      <c r="B9" s="4" t="s">
        <v>449</v>
      </c>
      <c r="C9" s="4" t="s">
        <v>450</v>
      </c>
      <c r="D9" s="4" t="s">
        <v>479</v>
      </c>
      <c r="E9" s="4" t="s">
        <v>8687</v>
      </c>
      <c r="F9" s="4" t="s">
        <v>8697</v>
      </c>
      <c r="G9" s="4" t="s">
        <v>8677</v>
      </c>
      <c r="H9" s="4" t="s">
        <v>8701</v>
      </c>
      <c r="I9" s="4" t="s">
        <v>8702</v>
      </c>
      <c r="J9" s="64">
        <v>6</v>
      </c>
      <c r="K9" s="94" t="s">
        <v>249</v>
      </c>
      <c r="L9" s="4" t="s">
        <v>451</v>
      </c>
      <c r="M9" s="2" t="s">
        <v>481</v>
      </c>
      <c r="N9" s="2" t="s">
        <v>482</v>
      </c>
      <c r="O9" s="2" t="s">
        <v>1165</v>
      </c>
      <c r="P9" s="2" t="s">
        <v>455</v>
      </c>
      <c r="Q9" s="2" t="s">
        <v>8691</v>
      </c>
      <c r="R9" s="65">
        <v>0.89999999999999991</v>
      </c>
      <c r="S9" s="2" t="s">
        <v>8660</v>
      </c>
      <c r="T9" s="2" t="s">
        <v>2026</v>
      </c>
      <c r="U9" s="2" t="s">
        <v>8661</v>
      </c>
      <c r="V9" s="2" t="s">
        <v>1513</v>
      </c>
      <c r="W9" s="2" t="s">
        <v>8662</v>
      </c>
      <c r="X9" s="2" t="s">
        <v>456</v>
      </c>
      <c r="Y9" s="33" t="s">
        <v>480</v>
      </c>
      <c r="Z9" s="9">
        <v>46268</v>
      </c>
      <c r="AA9" s="2" t="s">
        <v>898</v>
      </c>
      <c r="AB9" s="2" t="s">
        <v>900</v>
      </c>
      <c r="AC9" s="2"/>
      <c r="AD9" s="2" t="s">
        <v>8686</v>
      </c>
      <c r="AE9" s="2" t="s">
        <v>8696</v>
      </c>
      <c r="AF9" s="2" t="s">
        <v>830</v>
      </c>
      <c r="AG9" s="2" t="s">
        <v>1061</v>
      </c>
      <c r="AH9" s="2" t="s">
        <v>8665</v>
      </c>
      <c r="AI9" s="2" t="str">
        <f>IF(Y9="","",Y9)</f>
        <v>4e2e0f654b93ceed2ecdfbce4d3c1768550b3079 — T-093 govern plant vocabulary as data-driven genericity debt</v>
      </c>
      <c r="AJ9" s="2" t="s">
        <v>1522</v>
      </c>
      <c r="AK9" s="2" t="s">
        <v>8594</v>
      </c>
      <c r="AL9" s="2" t="s">
        <v>8666</v>
      </c>
      <c r="AM9" s="2">
        <f>IF(AND(ISNUMBER(J9),OR(AR9="INHERITED ESTIMATE",AR9="CONFIRMED ESTIMATE")),1,0)</f>
        <v>1</v>
      </c>
      <c r="AN9" s="2"/>
      <c r="AO9" s="32" t="s">
        <v>1415</v>
      </c>
      <c r="AP9" s="32" t="s">
        <v>1418</v>
      </c>
      <c r="AQ9" s="32"/>
      <c r="AR9" s="32" t="s">
        <v>1420</v>
      </c>
      <c r="AS9" s="65">
        <f>IF(AM9=1,J9,"")</f>
        <v>6</v>
      </c>
      <c r="AT9" s="65">
        <f>IF(AND(AM9=1,ISNUMBER(R9)),R9,"")</f>
        <v>0.89999999999999991</v>
      </c>
      <c r="AU9" s="2" t="s">
        <v>8667</v>
      </c>
      <c r="AV9" s="5"/>
      <c r="AW9" s="5"/>
      <c r="AX9" s="5"/>
      <c r="AY9" s="2" t="s">
        <v>8668</v>
      </c>
      <c r="AZ9" s="2"/>
      <c r="BA9" s="2"/>
      <c r="BB9" s="2"/>
    </row>
    <row r="10" spans="1:54" ht="75.95" customHeight="1">
      <c r="A10" s="4" t="s">
        <v>70</v>
      </c>
      <c r="B10" s="4" t="s">
        <v>449</v>
      </c>
      <c r="C10" s="4" t="s">
        <v>450</v>
      </c>
      <c r="D10" s="4" t="s">
        <v>483</v>
      </c>
      <c r="E10" s="4" t="s">
        <v>8687</v>
      </c>
      <c r="F10" s="4" t="s">
        <v>8697</v>
      </c>
      <c r="G10" s="4" t="s">
        <v>8677</v>
      </c>
      <c r="H10" s="4" t="s">
        <v>8703</v>
      </c>
      <c r="I10" s="4" t="s">
        <v>8704</v>
      </c>
      <c r="J10" s="64">
        <v>24</v>
      </c>
      <c r="K10" s="94" t="s">
        <v>249</v>
      </c>
      <c r="L10" s="4" t="s">
        <v>451</v>
      </c>
      <c r="M10" s="2" t="s">
        <v>485</v>
      </c>
      <c r="N10" s="2" t="s">
        <v>8705</v>
      </c>
      <c r="O10" s="2" t="s">
        <v>1165</v>
      </c>
      <c r="P10" s="2" t="s">
        <v>455</v>
      </c>
      <c r="Q10" s="2" t="s">
        <v>8691</v>
      </c>
      <c r="R10" s="65">
        <v>3.6</v>
      </c>
      <c r="S10" s="2" t="s">
        <v>8660</v>
      </c>
      <c r="T10" s="2" t="s">
        <v>2026</v>
      </c>
      <c r="U10" s="2" t="s">
        <v>8661</v>
      </c>
      <c r="V10" s="2" t="s">
        <v>1513</v>
      </c>
      <c r="W10" s="2" t="s">
        <v>8662</v>
      </c>
      <c r="X10" s="2" t="s">
        <v>487</v>
      </c>
      <c r="Y10" s="33" t="s">
        <v>484</v>
      </c>
      <c r="Z10" s="9">
        <v>46272</v>
      </c>
      <c r="AA10" s="2" t="s">
        <v>898</v>
      </c>
      <c r="AB10" s="2" t="s">
        <v>900</v>
      </c>
      <c r="AC10" s="2" t="s">
        <v>903</v>
      </c>
      <c r="AD10" s="2" t="s">
        <v>8686</v>
      </c>
      <c r="AE10" s="2" t="s">
        <v>8700</v>
      </c>
      <c r="AF10" s="2" t="s">
        <v>830</v>
      </c>
      <c r="AG10" s="2" t="s">
        <v>1061</v>
      </c>
      <c r="AH10" s="2" t="s">
        <v>8665</v>
      </c>
      <c r="AI10" s="2" t="str">
        <f>IF(Y10="","",Y10)</f>
        <v>377aabdffb27d651d30537ce5228ee4afe268526; 6ab97ee2; e74ecd1c; 5a967f1b0ab45961c8b8a880bb4fdec53a783134 — final: T-094 close keyed declared-dimension cutover and genericity reconciliation</v>
      </c>
      <c r="AJ10" s="2" t="s">
        <v>1522</v>
      </c>
      <c r="AK10" s="2" t="s">
        <v>8594</v>
      </c>
      <c r="AL10" s="2" t="s">
        <v>8666</v>
      </c>
      <c r="AM10" s="2">
        <f>IF(AND(ISNUMBER(J10),OR(AR10="INHERITED ESTIMATE",AR10="CONFIRMED ESTIMATE")),1,0)</f>
        <v>1</v>
      </c>
      <c r="AN10" s="2"/>
      <c r="AO10" s="32" t="s">
        <v>1415</v>
      </c>
      <c r="AP10" s="32" t="s">
        <v>1418</v>
      </c>
      <c r="AQ10" s="32"/>
      <c r="AR10" s="32" t="s">
        <v>1420</v>
      </c>
      <c r="AS10" s="65">
        <f>IF(AM10=1,J10,"")</f>
        <v>24</v>
      </c>
      <c r="AT10" s="65">
        <f>IF(AND(AM10=1,ISNUMBER(R10)),R10,"")</f>
        <v>3.6</v>
      </c>
      <c r="AU10" s="2" t="s">
        <v>8667</v>
      </c>
      <c r="AV10" s="5"/>
      <c r="AW10" s="5"/>
      <c r="AX10" s="5"/>
      <c r="AY10" s="2" t="s">
        <v>8668</v>
      </c>
      <c r="AZ10" s="2"/>
      <c r="BA10" s="2"/>
      <c r="BB10" s="2"/>
    </row>
    <row r="11" spans="1:54" ht="75.95" customHeight="1">
      <c r="A11" s="2" t="s">
        <v>88</v>
      </c>
      <c r="B11" s="2" t="s">
        <v>449</v>
      </c>
      <c r="C11" s="2" t="s">
        <v>524</v>
      </c>
      <c r="D11" s="2" t="s">
        <v>525</v>
      </c>
      <c r="E11" s="2" t="s">
        <v>8687</v>
      </c>
      <c r="F11" s="2" t="s">
        <v>8829</v>
      </c>
      <c r="G11" s="2" t="s">
        <v>8656</v>
      </c>
      <c r="H11" s="2" t="s">
        <v>8830</v>
      </c>
      <c r="I11" s="2" t="s">
        <v>8831</v>
      </c>
      <c r="J11" s="65">
        <v>12</v>
      </c>
      <c r="K11" s="94" t="s">
        <v>249</v>
      </c>
      <c r="L11" s="2" t="s">
        <v>451</v>
      </c>
      <c r="M11" s="2" t="s">
        <v>527</v>
      </c>
      <c r="N11" s="2" t="s">
        <v>528</v>
      </c>
      <c r="O11" s="2" t="s">
        <v>1165</v>
      </c>
      <c r="P11" s="2" t="s">
        <v>455</v>
      </c>
      <c r="Q11" s="2" t="s">
        <v>8691</v>
      </c>
      <c r="R11" s="65">
        <v>1.7999999999999998</v>
      </c>
      <c r="S11" s="2" t="s">
        <v>1175</v>
      </c>
      <c r="T11" s="2" t="s">
        <v>2026</v>
      </c>
      <c r="U11" s="2" t="s">
        <v>8661</v>
      </c>
      <c r="V11" s="2" t="s">
        <v>1513</v>
      </c>
      <c r="W11" s="2" t="s">
        <v>1178</v>
      </c>
      <c r="X11" s="2" t="s">
        <v>529</v>
      </c>
      <c r="Y11" s="33" t="s">
        <v>526</v>
      </c>
      <c r="Z11" s="9">
        <v>46272</v>
      </c>
      <c r="AA11" s="2" t="s">
        <v>901</v>
      </c>
      <c r="AB11" s="2" t="s">
        <v>902</v>
      </c>
      <c r="AC11" s="2"/>
      <c r="AD11" s="2" t="s">
        <v>8686</v>
      </c>
      <c r="AE11" s="2" t="s">
        <v>8700</v>
      </c>
      <c r="AF11" s="2" t="s">
        <v>830</v>
      </c>
      <c r="AG11" s="2" t="s">
        <v>1061</v>
      </c>
      <c r="AH11" s="2" t="s">
        <v>8665</v>
      </c>
      <c r="AI11" s="2" t="str">
        <f>IF(Y11="","",Y11)</f>
        <v>554d1ac02af122fdeb7ca54b1dd35bac0c76f23e — subject not recovered</v>
      </c>
      <c r="AJ11" s="2" t="s">
        <v>1522</v>
      </c>
      <c r="AK11" s="2" t="s">
        <v>8594</v>
      </c>
      <c r="AL11" s="2" t="s">
        <v>8666</v>
      </c>
      <c r="AM11" s="2">
        <f>IF(AND(ISNUMBER(J11),OR(AR11="INHERITED ESTIMATE",AR11="CONFIRMED ESTIMATE")),1,0)</f>
        <v>1</v>
      </c>
      <c r="AN11" s="2"/>
      <c r="AO11" s="32" t="s">
        <v>1415</v>
      </c>
      <c r="AP11" s="32" t="s">
        <v>1418</v>
      </c>
      <c r="AQ11" s="32"/>
      <c r="AR11" s="32" t="s">
        <v>1420</v>
      </c>
      <c r="AS11" s="65">
        <f>IF(AM11=1,J11,"")</f>
        <v>12</v>
      </c>
      <c r="AT11" s="65">
        <f>IF(AND(AM11=1,ISNUMBER(R11)),R11,"")</f>
        <v>1.7999999999999998</v>
      </c>
      <c r="AU11" s="2" t="s">
        <v>7938</v>
      </c>
      <c r="AV11" s="5">
        <v>0</v>
      </c>
      <c r="AW11" s="5">
        <v>0</v>
      </c>
      <c r="AX11" s="5">
        <v>0</v>
      </c>
      <c r="AY11" s="2" t="s">
        <v>8832</v>
      </c>
      <c r="AZ11" s="2" t="s">
        <v>7939</v>
      </c>
      <c r="BA11" s="2" t="s">
        <v>1654</v>
      </c>
      <c r="BB11" s="2" t="s">
        <v>8833</v>
      </c>
    </row>
    <row r="12" spans="1:54" ht="75.95" customHeight="1">
      <c r="A12" s="2" t="s">
        <v>89</v>
      </c>
      <c r="B12" s="2" t="s">
        <v>449</v>
      </c>
      <c r="C12" s="2" t="s">
        <v>524</v>
      </c>
      <c r="D12" s="2" t="s">
        <v>530</v>
      </c>
      <c r="E12" s="2" t="s">
        <v>8687</v>
      </c>
      <c r="F12" s="2" t="s">
        <v>8829</v>
      </c>
      <c r="G12" s="2" t="s">
        <v>8656</v>
      </c>
      <c r="H12" s="2" t="s">
        <v>8834</v>
      </c>
      <c r="I12" s="2" t="s">
        <v>8835</v>
      </c>
      <c r="J12" s="65">
        <v>8</v>
      </c>
      <c r="K12" s="94" t="s">
        <v>249</v>
      </c>
      <c r="L12" s="2" t="s">
        <v>451</v>
      </c>
      <c r="M12" s="2" t="s">
        <v>88</v>
      </c>
      <c r="N12" s="2" t="s">
        <v>532</v>
      </c>
      <c r="O12" s="2" t="s">
        <v>1165</v>
      </c>
      <c r="P12" s="2" t="s">
        <v>455</v>
      </c>
      <c r="Q12" s="2" t="s">
        <v>8691</v>
      </c>
      <c r="R12" s="65">
        <v>1.2000000000000002</v>
      </c>
      <c r="S12" s="2" t="s">
        <v>1175</v>
      </c>
      <c r="T12" s="2" t="s">
        <v>2026</v>
      </c>
      <c r="U12" s="2" t="s">
        <v>8661</v>
      </c>
      <c r="V12" s="2" t="s">
        <v>1513</v>
      </c>
      <c r="W12" s="2" t="s">
        <v>1178</v>
      </c>
      <c r="X12" s="2" t="s">
        <v>529</v>
      </c>
      <c r="Y12" s="33" t="s">
        <v>531</v>
      </c>
      <c r="Z12" s="9">
        <v>46273</v>
      </c>
      <c r="AA12" s="2" t="s">
        <v>901</v>
      </c>
      <c r="AB12" s="2" t="s">
        <v>902</v>
      </c>
      <c r="AC12" s="2"/>
      <c r="AD12" s="2" t="s">
        <v>8686</v>
      </c>
      <c r="AE12" s="2" t="s">
        <v>8696</v>
      </c>
      <c r="AF12" s="2" t="s">
        <v>830</v>
      </c>
      <c r="AG12" s="2" t="s">
        <v>1061</v>
      </c>
      <c r="AH12" s="2" t="s">
        <v>8665</v>
      </c>
      <c r="AI12" s="2" t="str">
        <f>IF(Y12="","",Y12)</f>
        <v>de243027073fc5e492d65e9f9845255342517510 — T-096 relationship resolver consumer convergence</v>
      </c>
      <c r="AJ12" s="2" t="s">
        <v>1522</v>
      </c>
      <c r="AK12" s="2" t="s">
        <v>8594</v>
      </c>
      <c r="AL12" s="2" t="s">
        <v>8666</v>
      </c>
      <c r="AM12" s="2">
        <f>IF(AND(ISNUMBER(J12),OR(AR12="INHERITED ESTIMATE",AR12="CONFIRMED ESTIMATE")),1,0)</f>
        <v>1</v>
      </c>
      <c r="AN12" s="2"/>
      <c r="AO12" s="32" t="s">
        <v>1415</v>
      </c>
      <c r="AP12" s="32" t="s">
        <v>1418</v>
      </c>
      <c r="AQ12" s="32"/>
      <c r="AR12" s="32" t="s">
        <v>1420</v>
      </c>
      <c r="AS12" s="65">
        <f>IF(AM12=1,J12,"")</f>
        <v>8</v>
      </c>
      <c r="AT12" s="65">
        <f>IF(AND(AM12=1,ISNUMBER(R12)),R12,"")</f>
        <v>1.2000000000000002</v>
      </c>
      <c r="AU12" s="2" t="s">
        <v>7938</v>
      </c>
      <c r="AV12" s="5">
        <v>0</v>
      </c>
      <c r="AW12" s="5">
        <v>0</v>
      </c>
      <c r="AX12" s="5">
        <v>0</v>
      </c>
      <c r="AY12" s="2" t="s">
        <v>8832</v>
      </c>
      <c r="AZ12" s="2" t="s">
        <v>7940</v>
      </c>
      <c r="BA12" s="2" t="s">
        <v>1659</v>
      </c>
      <c r="BB12" s="2" t="s">
        <v>8833</v>
      </c>
    </row>
    <row r="13" spans="1:54" ht="75.95" customHeight="1">
      <c r="A13" s="2" t="s">
        <v>90</v>
      </c>
      <c r="B13" s="2" t="s">
        <v>449</v>
      </c>
      <c r="C13" s="2" t="s">
        <v>524</v>
      </c>
      <c r="D13" s="2" t="s">
        <v>533</v>
      </c>
      <c r="E13" s="2" t="s">
        <v>8687</v>
      </c>
      <c r="F13" s="2" t="s">
        <v>8829</v>
      </c>
      <c r="G13" s="2" t="s">
        <v>8656</v>
      </c>
      <c r="H13" s="2" t="s">
        <v>8836</v>
      </c>
      <c r="I13" s="2" t="s">
        <v>8837</v>
      </c>
      <c r="J13" s="65">
        <v>6</v>
      </c>
      <c r="K13" s="94" t="s">
        <v>249</v>
      </c>
      <c r="L13" s="2" t="s">
        <v>451</v>
      </c>
      <c r="M13" s="2" t="s">
        <v>89</v>
      </c>
      <c r="N13" s="2" t="s">
        <v>535</v>
      </c>
      <c r="O13" s="2" t="s">
        <v>1165</v>
      </c>
      <c r="P13" s="2" t="s">
        <v>455</v>
      </c>
      <c r="Q13" s="2" t="s">
        <v>8691</v>
      </c>
      <c r="R13" s="65">
        <v>0.89999999999999991</v>
      </c>
      <c r="S13" s="2" t="s">
        <v>1175</v>
      </c>
      <c r="T13" s="2" t="s">
        <v>2026</v>
      </c>
      <c r="U13" s="2" t="s">
        <v>8661</v>
      </c>
      <c r="V13" s="2" t="s">
        <v>1513</v>
      </c>
      <c r="W13" s="2" t="s">
        <v>1178</v>
      </c>
      <c r="X13" s="2" t="s">
        <v>529</v>
      </c>
      <c r="Y13" s="33" t="s">
        <v>534</v>
      </c>
      <c r="Z13" s="9">
        <v>46273</v>
      </c>
      <c r="AA13" s="2" t="s">
        <v>901</v>
      </c>
      <c r="AB13" s="2" t="s">
        <v>902</v>
      </c>
      <c r="AC13" s="2"/>
      <c r="AD13" s="2" t="s">
        <v>8686</v>
      </c>
      <c r="AE13" s="2" t="s">
        <v>8696</v>
      </c>
      <c r="AF13" s="2" t="s">
        <v>830</v>
      </c>
      <c r="AG13" s="2" t="s">
        <v>1061</v>
      </c>
      <c r="AH13" s="2" t="s">
        <v>8665</v>
      </c>
      <c r="AI13" s="2" t="str">
        <f>IF(Y13="","",Y13)</f>
        <v>95220d1804493f8e7b80347fe3ed4de24741f9ec — T-097 relationship consumer barrier across all sixteen families</v>
      </c>
      <c r="AJ13" s="2" t="s">
        <v>1522</v>
      </c>
      <c r="AK13" s="2" t="s">
        <v>8594</v>
      </c>
      <c r="AL13" s="2" t="s">
        <v>8666</v>
      </c>
      <c r="AM13" s="2">
        <f>IF(AND(ISNUMBER(J13),OR(AR13="INHERITED ESTIMATE",AR13="CONFIRMED ESTIMATE")),1,0)</f>
        <v>1</v>
      </c>
      <c r="AN13" s="2"/>
      <c r="AO13" s="32" t="s">
        <v>1415</v>
      </c>
      <c r="AP13" s="32" t="s">
        <v>1418</v>
      </c>
      <c r="AQ13" s="32"/>
      <c r="AR13" s="32" t="s">
        <v>1420</v>
      </c>
      <c r="AS13" s="65">
        <f>IF(AM13=1,J13,"")</f>
        <v>6</v>
      </c>
      <c r="AT13" s="65">
        <f>IF(AND(AM13=1,ISNUMBER(R13)),R13,"")</f>
        <v>0.89999999999999991</v>
      </c>
      <c r="AU13" s="2" t="s">
        <v>7941</v>
      </c>
      <c r="AV13" s="5">
        <v>0</v>
      </c>
      <c r="AW13" s="5">
        <v>0</v>
      </c>
      <c r="AX13" s="5">
        <v>0</v>
      </c>
      <c r="AY13" s="2" t="s">
        <v>8832</v>
      </c>
      <c r="AZ13" s="2" t="s">
        <v>7942</v>
      </c>
      <c r="BA13" s="2" t="s">
        <v>1662</v>
      </c>
      <c r="BB13" s="2" t="s">
        <v>8833</v>
      </c>
    </row>
    <row r="14" spans="1:54" ht="75.95" customHeight="1">
      <c r="A14" s="2" t="s">
        <v>91</v>
      </c>
      <c r="B14" s="2" t="s">
        <v>449</v>
      </c>
      <c r="C14" s="2" t="s">
        <v>524</v>
      </c>
      <c r="D14" s="2" t="s">
        <v>536</v>
      </c>
      <c r="E14" s="2" t="s">
        <v>8728</v>
      </c>
      <c r="F14" s="2" t="s">
        <v>8829</v>
      </c>
      <c r="G14" s="2" t="s">
        <v>8677</v>
      </c>
      <c r="H14" s="2" t="s">
        <v>8838</v>
      </c>
      <c r="I14" s="2" t="s">
        <v>8839</v>
      </c>
      <c r="J14" s="65">
        <v>12</v>
      </c>
      <c r="K14" s="94" t="s">
        <v>537</v>
      </c>
      <c r="L14" s="2" t="s">
        <v>491</v>
      </c>
      <c r="M14" s="2" t="s">
        <v>538</v>
      </c>
      <c r="N14" s="2" t="s">
        <v>539</v>
      </c>
      <c r="O14" s="2" t="s">
        <v>1165</v>
      </c>
      <c r="P14" s="2" t="s">
        <v>455</v>
      </c>
      <c r="Q14" s="2" t="s">
        <v>8840</v>
      </c>
      <c r="R14" s="65">
        <v>2</v>
      </c>
      <c r="S14" s="2" t="s">
        <v>1175</v>
      </c>
      <c r="T14" s="2" t="s">
        <v>2306</v>
      </c>
      <c r="U14" s="2" t="s">
        <v>8841</v>
      </c>
      <c r="V14" s="2" t="s">
        <v>1513</v>
      </c>
      <c r="W14" s="2" t="s">
        <v>1178</v>
      </c>
      <c r="X14" s="2" t="s">
        <v>529</v>
      </c>
      <c r="Y14" s="33"/>
      <c r="Z14" s="9"/>
      <c r="AA14" s="2" t="s">
        <v>901</v>
      </c>
      <c r="AB14" s="2" t="s">
        <v>902</v>
      </c>
      <c r="AC14" s="2"/>
      <c r="AD14" s="2" t="s">
        <v>8686</v>
      </c>
      <c r="AE14" s="2" t="s">
        <v>8787</v>
      </c>
      <c r="AF14" s="2" t="s">
        <v>830</v>
      </c>
      <c r="AG14" s="2" t="s">
        <v>1061</v>
      </c>
      <c r="AH14" s="2" t="s">
        <v>8665</v>
      </c>
      <c r="AI14" s="2" t="str">
        <f>IF(Y14="","",Y14)</f>
        <v/>
      </c>
      <c r="AJ14" s="2" t="s">
        <v>1522</v>
      </c>
      <c r="AK14" s="2" t="s">
        <v>8594</v>
      </c>
      <c r="AL14" s="2" t="s">
        <v>8842</v>
      </c>
      <c r="AM14" s="2">
        <f>IF(AND(ISNUMBER(J14),OR(AR14="INHERITED ESTIMATE",AR14="CONFIRMED ESTIMATE")),1,0)</f>
        <v>1</v>
      </c>
      <c r="AN14" s="2"/>
      <c r="AO14" s="32" t="s">
        <v>1429</v>
      </c>
      <c r="AP14" s="32" t="s">
        <v>1418</v>
      </c>
      <c r="AQ14" s="32"/>
      <c r="AR14" s="32" t="s">
        <v>1420</v>
      </c>
      <c r="AS14" s="65">
        <f>IF(AM14=1,J14,"")</f>
        <v>12</v>
      </c>
      <c r="AT14" s="65">
        <f>IF(AND(AM14=1,ISNUMBER(R14)),R14,"")</f>
        <v>2</v>
      </c>
      <c r="AU14" s="2" t="s">
        <v>7943</v>
      </c>
      <c r="AV14" s="5">
        <v>6</v>
      </c>
      <c r="AW14" s="5">
        <v>9</v>
      </c>
      <c r="AX14" s="5">
        <v>14</v>
      </c>
      <c r="AY14" s="2" t="s">
        <v>8832</v>
      </c>
      <c r="AZ14" s="2" t="s">
        <v>7944</v>
      </c>
      <c r="BA14" s="2" t="s">
        <v>1665</v>
      </c>
      <c r="BB14" s="2" t="s">
        <v>8833</v>
      </c>
    </row>
    <row r="15" spans="1:54" ht="75.95" customHeight="1">
      <c r="A15" s="2" t="s">
        <v>92</v>
      </c>
      <c r="B15" s="2" t="s">
        <v>449</v>
      </c>
      <c r="C15" s="2" t="s">
        <v>524</v>
      </c>
      <c r="D15" s="2" t="s">
        <v>540</v>
      </c>
      <c r="E15" s="2" t="s">
        <v>8687</v>
      </c>
      <c r="F15" s="2" t="s">
        <v>8843</v>
      </c>
      <c r="G15" s="2" t="s">
        <v>8656</v>
      </c>
      <c r="H15" s="2" t="s">
        <v>8844</v>
      </c>
      <c r="I15" s="2" t="s">
        <v>8845</v>
      </c>
      <c r="J15" s="65">
        <v>8</v>
      </c>
      <c r="K15" s="94" t="s">
        <v>249</v>
      </c>
      <c r="L15" s="2" t="s">
        <v>451</v>
      </c>
      <c r="M15" s="2" t="s">
        <v>541</v>
      </c>
      <c r="N15" s="2" t="s">
        <v>1219</v>
      </c>
      <c r="O15" s="2" t="s">
        <v>1165</v>
      </c>
      <c r="P15" s="2" t="s">
        <v>455</v>
      </c>
      <c r="Q15" s="2" t="s">
        <v>8691</v>
      </c>
      <c r="R15" s="65">
        <v>1.2000000000000002</v>
      </c>
      <c r="S15" s="2" t="s">
        <v>1175</v>
      </c>
      <c r="T15" s="2" t="s">
        <v>2026</v>
      </c>
      <c r="U15" s="2" t="s">
        <v>8661</v>
      </c>
      <c r="V15" s="2" t="s">
        <v>1513</v>
      </c>
      <c r="W15" s="2" t="s">
        <v>1178</v>
      </c>
      <c r="X15" s="2" t="s">
        <v>1434</v>
      </c>
      <c r="Y15" s="33" t="s">
        <v>1437</v>
      </c>
      <c r="Z15" s="9"/>
      <c r="AA15" s="2" t="s">
        <v>850</v>
      </c>
      <c r="AB15" s="2" t="s">
        <v>851</v>
      </c>
      <c r="AC15" s="2"/>
      <c r="AD15" s="2" t="s">
        <v>8686</v>
      </c>
      <c r="AE15" s="2" t="s">
        <v>8693</v>
      </c>
      <c r="AF15" s="2" t="s">
        <v>830</v>
      </c>
      <c r="AG15" s="2" t="s">
        <v>1061</v>
      </c>
      <c r="AH15" s="2" t="s">
        <v>8665</v>
      </c>
      <c r="AI15" s="2" t="str">
        <f>IF(Y15="","",Y15)</f>
        <v>ca02b40ea1b69050a45cb35a3e1d64f15b1f66af</v>
      </c>
      <c r="AJ15" s="2" t="s">
        <v>1522</v>
      </c>
      <c r="AK15" s="2" t="s">
        <v>8594</v>
      </c>
      <c r="AL15" s="2" t="s">
        <v>8666</v>
      </c>
      <c r="AM15" s="2">
        <f>IF(AND(ISNUMBER(J15),OR(AR15="INHERITED ESTIMATE",AR15="CONFIRMED ESTIMATE")),1,0)</f>
        <v>1</v>
      </c>
      <c r="AN15" s="2"/>
      <c r="AO15" s="32" t="s">
        <v>2322</v>
      </c>
      <c r="AP15" s="32" t="s">
        <v>2326</v>
      </c>
      <c r="AQ15" s="32" t="s">
        <v>1446</v>
      </c>
      <c r="AR15" s="32" t="s">
        <v>1420</v>
      </c>
      <c r="AS15" s="65">
        <f>IF(AM15=1,J15,"")</f>
        <v>8</v>
      </c>
      <c r="AT15" s="65">
        <f>IF(AND(AM15=1,ISNUMBER(R15)),R15,"")</f>
        <v>1.2000000000000002</v>
      </c>
      <c r="AU15" s="2" t="s">
        <v>7945</v>
      </c>
      <c r="AV15" s="5">
        <v>0</v>
      </c>
      <c r="AW15" s="5">
        <v>0</v>
      </c>
      <c r="AX15" s="5">
        <v>0</v>
      </c>
      <c r="AY15" s="2" t="s">
        <v>8832</v>
      </c>
      <c r="AZ15" s="2" t="s">
        <v>7946</v>
      </c>
      <c r="BA15" s="2" t="s">
        <v>1670</v>
      </c>
      <c r="BB15" s="2" t="s">
        <v>8833</v>
      </c>
    </row>
    <row r="16" spans="1:54" ht="75.95" customHeight="1">
      <c r="A16" s="4" t="s">
        <v>93</v>
      </c>
      <c r="B16" s="4" t="s">
        <v>449</v>
      </c>
      <c r="C16" s="4" t="s">
        <v>524</v>
      </c>
      <c r="D16" s="4" t="s">
        <v>543</v>
      </c>
      <c r="E16" s="4" t="s">
        <v>8687</v>
      </c>
      <c r="F16" s="4" t="s">
        <v>8843</v>
      </c>
      <c r="G16" s="4" t="s">
        <v>8656</v>
      </c>
      <c r="H16" s="4" t="s">
        <v>8846</v>
      </c>
      <c r="I16" s="4" t="s">
        <v>7736</v>
      </c>
      <c r="J16" s="93">
        <v>6</v>
      </c>
      <c r="K16" s="94" t="s">
        <v>249</v>
      </c>
      <c r="L16" s="4" t="s">
        <v>451</v>
      </c>
      <c r="M16" s="2" t="s">
        <v>92</v>
      </c>
      <c r="N16" s="2" t="s">
        <v>7754</v>
      </c>
      <c r="O16" s="2" t="s">
        <v>1165</v>
      </c>
      <c r="P16" s="2" t="s">
        <v>455</v>
      </c>
      <c r="Q16" s="2" t="s">
        <v>8691</v>
      </c>
      <c r="R16" s="65">
        <v>0.89999999999999991</v>
      </c>
      <c r="S16" s="2" t="s">
        <v>1175</v>
      </c>
      <c r="T16" s="2" t="s">
        <v>7727</v>
      </c>
      <c r="U16" s="2" t="s">
        <v>7730</v>
      </c>
      <c r="V16" s="2" t="s">
        <v>7733</v>
      </c>
      <c r="W16" s="2" t="s">
        <v>1178</v>
      </c>
      <c r="X16" s="2" t="s">
        <v>529</v>
      </c>
      <c r="Y16" s="33" t="s">
        <v>8847</v>
      </c>
      <c r="Z16" s="9" t="s">
        <v>1973</v>
      </c>
      <c r="AA16" s="2" t="s">
        <v>850</v>
      </c>
      <c r="AB16" s="2" t="s">
        <v>851</v>
      </c>
      <c r="AC16" s="2"/>
      <c r="AD16" s="2" t="s">
        <v>8686</v>
      </c>
      <c r="AE16" s="2" t="s">
        <v>8696</v>
      </c>
      <c r="AF16" s="2" t="s">
        <v>830</v>
      </c>
      <c r="AG16" s="2" t="s">
        <v>1061</v>
      </c>
      <c r="AH16" s="2" t="s">
        <v>8665</v>
      </c>
      <c r="AI16" s="2" t="str">
        <f>IF(Y16="","",Y16)</f>
        <v>e7ebc56341c371ce7b617585dce7f42d9a255f61 — T-100 complete remaining projection quarantine validation classes</v>
      </c>
      <c r="AJ16" s="2" t="s">
        <v>7741</v>
      </c>
      <c r="AK16" s="2" t="s">
        <v>8594</v>
      </c>
      <c r="AL16" s="2" t="s">
        <v>8666</v>
      </c>
      <c r="AM16" s="2">
        <f>IF(AND(ISNUMBER(J16),OR(AR16="INHERITED ESTIMATE",AR16="CONFIRMED ESTIMATE")),1,0)</f>
        <v>0</v>
      </c>
      <c r="AN16" s="2"/>
      <c r="AO16" s="32" t="s">
        <v>8616</v>
      </c>
      <c r="AP16" s="32" t="s">
        <v>8848</v>
      </c>
      <c r="AQ16" s="32"/>
      <c r="AR16" s="32" t="s">
        <v>635</v>
      </c>
      <c r="AS16" s="65" t="str">
        <f>IF(AM16=1,J16,"")</f>
        <v/>
      </c>
      <c r="AT16" s="65" t="str">
        <f>IF(AND(AM16=1,ISNUMBER(R16)),R16,"")</f>
        <v/>
      </c>
      <c r="AU16" s="2" t="s">
        <v>7722</v>
      </c>
      <c r="AV16" s="5" t="s">
        <v>1696</v>
      </c>
      <c r="AW16" s="5" t="s">
        <v>1696</v>
      </c>
      <c r="AX16" s="5" t="s">
        <v>1696</v>
      </c>
      <c r="AY16" s="2" t="s">
        <v>7744</v>
      </c>
      <c r="AZ16" s="2" t="s">
        <v>7741</v>
      </c>
      <c r="BA16" s="2" t="s">
        <v>7779</v>
      </c>
      <c r="BB16" s="2" t="s">
        <v>7747</v>
      </c>
    </row>
    <row r="17" spans="1:54" ht="75.95" customHeight="1">
      <c r="A17" s="2" t="s">
        <v>94</v>
      </c>
      <c r="B17" s="2" t="s">
        <v>449</v>
      </c>
      <c r="C17" s="2" t="s">
        <v>524</v>
      </c>
      <c r="D17" s="2" t="s">
        <v>545</v>
      </c>
      <c r="E17" s="2" t="s">
        <v>8728</v>
      </c>
      <c r="F17" s="2" t="s">
        <v>8843</v>
      </c>
      <c r="G17" s="2" t="s">
        <v>8677</v>
      </c>
      <c r="H17" s="2" t="s">
        <v>1450</v>
      </c>
      <c r="I17" s="2" t="s">
        <v>1453</v>
      </c>
      <c r="J17" s="65">
        <v>12</v>
      </c>
      <c r="K17" s="94" t="s">
        <v>537</v>
      </c>
      <c r="L17" s="2" t="s">
        <v>491</v>
      </c>
      <c r="M17" s="2" t="s">
        <v>546</v>
      </c>
      <c r="N17" s="2" t="s">
        <v>539</v>
      </c>
      <c r="O17" s="2" t="s">
        <v>1165</v>
      </c>
      <c r="P17" s="2" t="s">
        <v>455</v>
      </c>
      <c r="Q17" s="2" t="s">
        <v>8840</v>
      </c>
      <c r="R17" s="65">
        <v>2</v>
      </c>
      <c r="S17" s="2" t="s">
        <v>1175</v>
      </c>
      <c r="T17" s="2" t="s">
        <v>2344</v>
      </c>
      <c r="U17" s="2" t="s">
        <v>8841</v>
      </c>
      <c r="V17" s="2" t="s">
        <v>1513</v>
      </c>
      <c r="W17" s="2" t="s">
        <v>1178</v>
      </c>
      <c r="X17" s="2" t="s">
        <v>529</v>
      </c>
      <c r="Y17" s="33"/>
      <c r="Z17" s="9"/>
      <c r="AA17" s="2" t="s">
        <v>850</v>
      </c>
      <c r="AB17" s="2" t="s">
        <v>851</v>
      </c>
      <c r="AC17" s="2" t="s">
        <v>1456</v>
      </c>
      <c r="AD17" s="2" t="s">
        <v>8686</v>
      </c>
      <c r="AE17" s="2" t="s">
        <v>8722</v>
      </c>
      <c r="AF17" s="2" t="s">
        <v>830</v>
      </c>
      <c r="AG17" s="2" t="s">
        <v>1061</v>
      </c>
      <c r="AH17" s="2" t="s">
        <v>8665</v>
      </c>
      <c r="AI17" s="2" t="str">
        <f>IF(Y17="","",Y17)</f>
        <v/>
      </c>
      <c r="AJ17" s="2" t="s">
        <v>2348</v>
      </c>
      <c r="AK17" s="2" t="s">
        <v>8594</v>
      </c>
      <c r="AL17" s="2" t="s">
        <v>8849</v>
      </c>
      <c r="AM17" s="2">
        <f>IF(AND(ISNUMBER(J17),OR(AR17="INHERITED ESTIMATE",AR17="CONFIRMED ESTIMATE")),1,0)</f>
        <v>0</v>
      </c>
      <c r="AN17" s="2"/>
      <c r="AO17" s="32" t="s">
        <v>1429</v>
      </c>
      <c r="AP17" s="32" t="s">
        <v>1418</v>
      </c>
      <c r="AQ17" s="32"/>
      <c r="AR17" s="32" t="s">
        <v>1472</v>
      </c>
      <c r="AS17" s="65" t="str">
        <f>IF(AM17=1,J17,"")</f>
        <v/>
      </c>
      <c r="AT17" s="65" t="str">
        <f>IF(AND(AM17=1,ISNUMBER(R17)),R17,"")</f>
        <v/>
      </c>
      <c r="AU17" s="2" t="s">
        <v>7947</v>
      </c>
      <c r="AV17" s="5">
        <v>12</v>
      </c>
      <c r="AW17" s="5">
        <v>18</v>
      </c>
      <c r="AX17" s="5">
        <v>28</v>
      </c>
      <c r="AY17" s="2" t="s">
        <v>8832</v>
      </c>
      <c r="AZ17" s="2" t="s">
        <v>7948</v>
      </c>
      <c r="BA17" s="2" t="s">
        <v>1680</v>
      </c>
      <c r="BB17" s="2" t="s">
        <v>8833</v>
      </c>
    </row>
    <row r="18" spans="1:54" ht="75.95" customHeight="1">
      <c r="A18" s="2" t="s">
        <v>95</v>
      </c>
      <c r="B18" s="2" t="s">
        <v>449</v>
      </c>
      <c r="C18" s="2" t="s">
        <v>524</v>
      </c>
      <c r="D18" s="2" t="s">
        <v>547</v>
      </c>
      <c r="E18" s="2" t="s">
        <v>8687</v>
      </c>
      <c r="F18" s="2" t="s">
        <v>8850</v>
      </c>
      <c r="G18" s="2" t="s">
        <v>8677</v>
      </c>
      <c r="H18" s="2" t="s">
        <v>8851</v>
      </c>
      <c r="I18" s="2" t="s">
        <v>8852</v>
      </c>
      <c r="J18" s="65">
        <v>8</v>
      </c>
      <c r="K18" s="94" t="s">
        <v>537</v>
      </c>
      <c r="L18" s="2" t="s">
        <v>451</v>
      </c>
      <c r="M18" s="2" t="s">
        <v>548</v>
      </c>
      <c r="N18" s="2" t="s">
        <v>549</v>
      </c>
      <c r="O18" s="2" t="s">
        <v>1165</v>
      </c>
      <c r="P18" s="2" t="s">
        <v>455</v>
      </c>
      <c r="Q18" s="2" t="s">
        <v>8691</v>
      </c>
      <c r="R18" s="65">
        <v>1.2000000000000002</v>
      </c>
      <c r="S18" s="2" t="s">
        <v>1175</v>
      </c>
      <c r="T18" s="2" t="s">
        <v>2363</v>
      </c>
      <c r="U18" s="2" t="s">
        <v>8661</v>
      </c>
      <c r="V18" s="2" t="s">
        <v>1513</v>
      </c>
      <c r="W18" s="2" t="s">
        <v>1178</v>
      </c>
      <c r="X18" s="2" t="s">
        <v>529</v>
      </c>
      <c r="Y18" s="33"/>
      <c r="Z18" s="9"/>
      <c r="AA18" s="2" t="s">
        <v>852</v>
      </c>
      <c r="AB18" s="2" t="s">
        <v>853</v>
      </c>
      <c r="AC18" s="2"/>
      <c r="AD18" s="2" t="s">
        <v>8686</v>
      </c>
      <c r="AE18" s="2" t="s">
        <v>8696</v>
      </c>
      <c r="AF18" s="2" t="s">
        <v>830</v>
      </c>
      <c r="AG18" s="2" t="s">
        <v>1061</v>
      </c>
      <c r="AH18" s="2" t="s">
        <v>8665</v>
      </c>
      <c r="AI18" s="2" t="str">
        <f>IF(Y18="","",Y18)</f>
        <v/>
      </c>
      <c r="AJ18" s="2" t="s">
        <v>1522</v>
      </c>
      <c r="AK18" s="2" t="s">
        <v>8594</v>
      </c>
      <c r="AL18" s="2" t="s">
        <v>8666</v>
      </c>
      <c r="AM18" s="2">
        <f>IF(AND(ISNUMBER(J18),OR(AR18="INHERITED ESTIMATE",AR18="CONFIRMED ESTIMATE")),1,0)</f>
        <v>1</v>
      </c>
      <c r="AN18" s="2"/>
      <c r="AO18" s="32" t="s">
        <v>1429</v>
      </c>
      <c r="AP18" s="32" t="s">
        <v>1418</v>
      </c>
      <c r="AQ18" s="32"/>
      <c r="AR18" s="32" t="s">
        <v>1420</v>
      </c>
      <c r="AS18" s="65">
        <f>IF(AM18=1,J18,"")</f>
        <v>8</v>
      </c>
      <c r="AT18" s="65">
        <f>IF(AND(AM18=1,ISNUMBER(R18)),R18,"")</f>
        <v>1.2000000000000002</v>
      </c>
      <c r="AU18" s="2" t="s">
        <v>7949</v>
      </c>
      <c r="AV18" s="5">
        <v>4</v>
      </c>
      <c r="AW18" s="5">
        <v>7</v>
      </c>
      <c r="AX18" s="5">
        <v>12</v>
      </c>
      <c r="AY18" s="2" t="s">
        <v>8832</v>
      </c>
      <c r="AZ18" s="2" t="s">
        <v>7950</v>
      </c>
      <c r="BA18" s="2" t="s">
        <v>1684</v>
      </c>
      <c r="BB18" s="2" t="s">
        <v>8833</v>
      </c>
    </row>
    <row r="19" spans="1:54" ht="75.95" customHeight="1">
      <c r="A19" s="2" t="s">
        <v>96</v>
      </c>
      <c r="B19" s="2" t="s">
        <v>449</v>
      </c>
      <c r="C19" s="2" t="s">
        <v>524</v>
      </c>
      <c r="D19" s="2" t="s">
        <v>550</v>
      </c>
      <c r="E19" s="2" t="s">
        <v>8687</v>
      </c>
      <c r="F19" s="2" t="s">
        <v>8850</v>
      </c>
      <c r="G19" s="2" t="s">
        <v>8677</v>
      </c>
      <c r="H19" s="2" t="s">
        <v>1074</v>
      </c>
      <c r="I19" s="2" t="s">
        <v>1076</v>
      </c>
      <c r="J19" s="65">
        <v>6</v>
      </c>
      <c r="K19" s="94" t="s">
        <v>537</v>
      </c>
      <c r="L19" s="2" t="s">
        <v>451</v>
      </c>
      <c r="M19" s="2" t="s">
        <v>551</v>
      </c>
      <c r="N19" s="2" t="s">
        <v>539</v>
      </c>
      <c r="O19" s="2" t="s">
        <v>1165</v>
      </c>
      <c r="P19" s="2" t="s">
        <v>455</v>
      </c>
      <c r="Q19" s="2" t="s">
        <v>8691</v>
      </c>
      <c r="R19" s="65">
        <v>0.89999999999999991</v>
      </c>
      <c r="S19" s="2" t="s">
        <v>1175</v>
      </c>
      <c r="T19" s="2" t="s">
        <v>2373</v>
      </c>
      <c r="U19" s="2" t="s">
        <v>8661</v>
      </c>
      <c r="V19" s="2" t="s">
        <v>1513</v>
      </c>
      <c r="W19" s="2" t="s">
        <v>1178</v>
      </c>
      <c r="X19" s="2" t="s">
        <v>529</v>
      </c>
      <c r="Y19" s="33"/>
      <c r="Z19" s="9"/>
      <c r="AA19" s="2" t="s">
        <v>852</v>
      </c>
      <c r="AB19" s="2" t="s">
        <v>853</v>
      </c>
      <c r="AC19" s="2"/>
      <c r="AD19" s="2" t="s">
        <v>8802</v>
      </c>
      <c r="AE19" s="2" t="s">
        <v>8696</v>
      </c>
      <c r="AF19" s="2" t="s">
        <v>830</v>
      </c>
      <c r="AG19" s="2" t="s">
        <v>1061</v>
      </c>
      <c r="AH19" s="2" t="s">
        <v>8665</v>
      </c>
      <c r="AI19" s="2" t="str">
        <f>IF(Y19="","",Y19)</f>
        <v/>
      </c>
      <c r="AJ19" s="2" t="s">
        <v>2348</v>
      </c>
      <c r="AK19" s="2" t="s">
        <v>8594</v>
      </c>
      <c r="AL19" s="2" t="s">
        <v>8666</v>
      </c>
      <c r="AM19" s="2">
        <f>IF(AND(ISNUMBER(J19),OR(AR19="INHERITED ESTIMATE",AR19="CONFIRMED ESTIMATE")),1,0)</f>
        <v>0</v>
      </c>
      <c r="AN19" s="2"/>
      <c r="AO19" s="32" t="s">
        <v>1429</v>
      </c>
      <c r="AP19" s="32" t="s">
        <v>1418</v>
      </c>
      <c r="AQ19" s="32"/>
      <c r="AR19" s="32" t="s">
        <v>1472</v>
      </c>
      <c r="AS19" s="65" t="str">
        <f>IF(AM19=1,J19,"")</f>
        <v/>
      </c>
      <c r="AT19" s="65" t="str">
        <f>IF(AND(AM19=1,ISNUMBER(R19)),R19,"")</f>
        <v/>
      </c>
      <c r="AU19" s="2" t="s">
        <v>7952</v>
      </c>
      <c r="AV19" s="5">
        <v>4</v>
      </c>
      <c r="AW19" s="5">
        <v>6</v>
      </c>
      <c r="AX19" s="5">
        <v>10</v>
      </c>
      <c r="AY19" s="2" t="s">
        <v>8832</v>
      </c>
      <c r="AZ19" s="2" t="s">
        <v>7953</v>
      </c>
      <c r="BA19" s="2" t="s">
        <v>1688</v>
      </c>
      <c r="BB19" s="2" t="s">
        <v>8833</v>
      </c>
    </row>
    <row r="20" spans="1:54" ht="75.95" customHeight="1">
      <c r="A20" s="2" t="s">
        <v>97</v>
      </c>
      <c r="B20" s="2" t="s">
        <v>449</v>
      </c>
      <c r="C20" s="2" t="s">
        <v>524</v>
      </c>
      <c r="D20" s="2" t="s">
        <v>1021</v>
      </c>
      <c r="E20" s="2" t="s">
        <v>8687</v>
      </c>
      <c r="F20" s="2" t="s">
        <v>8853</v>
      </c>
      <c r="G20" s="2" t="s">
        <v>8656</v>
      </c>
      <c r="H20" s="2" t="s">
        <v>1016</v>
      </c>
      <c r="I20" s="2" t="s">
        <v>1019</v>
      </c>
      <c r="J20" s="65">
        <v>14</v>
      </c>
      <c r="K20" s="94" t="s">
        <v>537</v>
      </c>
      <c r="L20" s="2" t="s">
        <v>451</v>
      </c>
      <c r="M20" s="2" t="s">
        <v>1148</v>
      </c>
      <c r="N20" s="2" t="s">
        <v>1428</v>
      </c>
      <c r="O20" s="2" t="s">
        <v>1165</v>
      </c>
      <c r="P20" s="2" t="s">
        <v>455</v>
      </c>
      <c r="Q20" s="2" t="s">
        <v>8691</v>
      </c>
      <c r="R20" s="65">
        <v>1.2000000000000002</v>
      </c>
      <c r="S20" s="2" t="s">
        <v>1175</v>
      </c>
      <c r="T20" s="2" t="s">
        <v>2386</v>
      </c>
      <c r="U20" s="2" t="s">
        <v>8661</v>
      </c>
      <c r="V20" s="2" t="s">
        <v>1513</v>
      </c>
      <c r="W20" s="2" t="s">
        <v>1178</v>
      </c>
      <c r="X20" s="2" t="s">
        <v>529</v>
      </c>
      <c r="Y20" s="33"/>
      <c r="Z20" s="9"/>
      <c r="AA20" s="2" t="s">
        <v>850</v>
      </c>
      <c r="AB20" s="2" t="s">
        <v>851</v>
      </c>
      <c r="AC20" s="2" t="s">
        <v>854</v>
      </c>
      <c r="AD20" s="2" t="s">
        <v>8686</v>
      </c>
      <c r="AE20" s="2" t="s">
        <v>8696</v>
      </c>
      <c r="AF20" s="2" t="s">
        <v>830</v>
      </c>
      <c r="AG20" s="2" t="s">
        <v>1061</v>
      </c>
      <c r="AH20" s="2" t="s">
        <v>8665</v>
      </c>
      <c r="AI20" s="2" t="str">
        <f>IF(Y20="","",Y20)</f>
        <v/>
      </c>
      <c r="AJ20" s="2" t="s">
        <v>2348</v>
      </c>
      <c r="AK20" s="2" t="s">
        <v>8594</v>
      </c>
      <c r="AL20" s="2" t="s">
        <v>8666</v>
      </c>
      <c r="AM20" s="2">
        <f>IF(AND(ISNUMBER(J20),OR(AR20="INHERITED ESTIMATE",AR20="CONFIRMED ESTIMATE")),1,0)</f>
        <v>0</v>
      </c>
      <c r="AN20" s="2"/>
      <c r="AO20" s="32" t="s">
        <v>1429</v>
      </c>
      <c r="AP20" s="32" t="s">
        <v>1418</v>
      </c>
      <c r="AQ20" s="32"/>
      <c r="AR20" s="32" t="s">
        <v>1472</v>
      </c>
      <c r="AS20" s="65" t="str">
        <f>IF(AM20=1,J20,"")</f>
        <v/>
      </c>
      <c r="AT20" s="65" t="str">
        <f>IF(AND(AM20=1,ISNUMBER(R20)),R20,"")</f>
        <v/>
      </c>
      <c r="AU20" s="2" t="s">
        <v>7955</v>
      </c>
      <c r="AV20" s="5">
        <v>8</v>
      </c>
      <c r="AW20" s="5">
        <v>14</v>
      </c>
      <c r="AX20" s="5">
        <v>22</v>
      </c>
      <c r="AY20" s="2" t="s">
        <v>8832</v>
      </c>
      <c r="AZ20" s="2" t="s">
        <v>7956</v>
      </c>
      <c r="BA20" s="2" t="s">
        <v>1692</v>
      </c>
      <c r="BB20" s="2" t="s">
        <v>8833</v>
      </c>
    </row>
    <row r="21" spans="1:54" ht="75.95" customHeight="1">
      <c r="A21" s="4" t="s">
        <v>98</v>
      </c>
      <c r="B21" s="4" t="s">
        <v>449</v>
      </c>
      <c r="C21" s="4" t="s">
        <v>524</v>
      </c>
      <c r="D21" s="4" t="s">
        <v>1030</v>
      </c>
      <c r="E21" s="4" t="s">
        <v>8687</v>
      </c>
      <c r="F21" s="4" t="s">
        <v>8854</v>
      </c>
      <c r="G21" s="4" t="s">
        <v>8656</v>
      </c>
      <c r="H21" s="4" t="s">
        <v>1025</v>
      </c>
      <c r="I21" s="4" t="s">
        <v>1028</v>
      </c>
      <c r="J21" s="64">
        <v>12</v>
      </c>
      <c r="K21" s="94" t="s">
        <v>249</v>
      </c>
      <c r="L21" s="4" t="s">
        <v>504</v>
      </c>
      <c r="M21" s="2" t="s">
        <v>1036</v>
      </c>
      <c r="N21" s="2" t="s">
        <v>8855</v>
      </c>
      <c r="O21" s="2" t="s">
        <v>1165</v>
      </c>
      <c r="P21" s="2" t="s">
        <v>455</v>
      </c>
      <c r="Q21" s="2" t="s">
        <v>8691</v>
      </c>
      <c r="R21" s="65"/>
      <c r="S21" s="2" t="s">
        <v>1175</v>
      </c>
      <c r="T21" s="2" t="s">
        <v>1168</v>
      </c>
      <c r="U21" s="2" t="s">
        <v>8856</v>
      </c>
      <c r="V21" s="2" t="s">
        <v>1513</v>
      </c>
      <c r="W21" s="2" t="s">
        <v>1178</v>
      </c>
      <c r="X21" s="2" t="s">
        <v>8857</v>
      </c>
      <c r="Y21" s="33" t="s">
        <v>8858</v>
      </c>
      <c r="Z21" s="9" t="s">
        <v>1973</v>
      </c>
      <c r="AA21" s="2" t="s">
        <v>856</v>
      </c>
      <c r="AB21" s="2" t="s">
        <v>857</v>
      </c>
      <c r="AC21" s="2" t="s">
        <v>1034</v>
      </c>
      <c r="AD21" s="2" t="s">
        <v>8686</v>
      </c>
      <c r="AE21" s="2" t="s">
        <v>8693</v>
      </c>
      <c r="AF21" s="2" t="s">
        <v>830</v>
      </c>
      <c r="AG21" s="2" t="s">
        <v>1061</v>
      </c>
      <c r="AH21" s="2" t="s">
        <v>8665</v>
      </c>
      <c r="AI21" s="2" t="str">
        <f>IF(Y21="","",Y21)</f>
        <v>8b3eb5c89352a2779d87f9205700f19e7c9b3e25; a5451dbaf6b55183fe65e2c626c49fdef85bd986; a0a5618d — final released short anchor</v>
      </c>
      <c r="AJ21" s="34" t="s">
        <v>1467</v>
      </c>
      <c r="AK21" s="34" t="s">
        <v>8594</v>
      </c>
      <c r="AL21" s="34" t="s">
        <v>8666</v>
      </c>
      <c r="AM21" s="34">
        <f>IF(AND(ISNUMBER(J21),OR(AR21="INHERITED ESTIMATE",AR21="CONFIRMED ESTIMATE")),1,0)</f>
        <v>1</v>
      </c>
      <c r="AN21" s="34"/>
      <c r="AO21" s="35" t="s">
        <v>8859</v>
      </c>
      <c r="AP21" s="35" t="s">
        <v>8860</v>
      </c>
      <c r="AQ21" s="35"/>
      <c r="AR21" s="35" t="s">
        <v>1420</v>
      </c>
      <c r="AS21" s="65">
        <f>IF(AM21=1,J21,"")</f>
        <v>12</v>
      </c>
      <c r="AT21" s="65" t="str">
        <f>IF(AND(AM21=1,ISNUMBER(R21)),R21,"")</f>
        <v/>
      </c>
      <c r="AU21" s="2" t="s">
        <v>7957</v>
      </c>
      <c r="AV21" s="5">
        <v>0</v>
      </c>
      <c r="AW21" s="5">
        <v>0</v>
      </c>
      <c r="AX21" s="5">
        <v>0</v>
      </c>
      <c r="AY21" s="2" t="s">
        <v>8832</v>
      </c>
      <c r="AZ21" s="2" t="s">
        <v>7958</v>
      </c>
      <c r="BA21" s="2" t="s">
        <v>1698</v>
      </c>
      <c r="BB21" s="2" t="s">
        <v>8833</v>
      </c>
    </row>
    <row r="22" spans="1:54" ht="75.95" customHeight="1">
      <c r="A22" s="4" t="s">
        <v>99</v>
      </c>
      <c r="B22" s="4" t="s">
        <v>449</v>
      </c>
      <c r="C22" s="4" t="s">
        <v>524</v>
      </c>
      <c r="D22" s="4" t="s">
        <v>560</v>
      </c>
      <c r="E22" s="4" t="s">
        <v>8687</v>
      </c>
      <c r="F22" s="4" t="s">
        <v>8854</v>
      </c>
      <c r="G22" s="4" t="s">
        <v>8656</v>
      </c>
      <c r="H22" s="4" t="s">
        <v>8861</v>
      </c>
      <c r="I22" s="4" t="s">
        <v>8862</v>
      </c>
      <c r="J22" s="64">
        <v>16</v>
      </c>
      <c r="K22" s="94" t="s">
        <v>615</v>
      </c>
      <c r="L22" s="4" t="s">
        <v>504</v>
      </c>
      <c r="M22" s="2" t="s">
        <v>1150</v>
      </c>
      <c r="N22" s="2" t="s">
        <v>8863</v>
      </c>
      <c r="O22" s="2" t="s">
        <v>1165</v>
      </c>
      <c r="P22" s="2" t="s">
        <v>455</v>
      </c>
      <c r="Q22" s="2" t="s">
        <v>8691</v>
      </c>
      <c r="R22" s="65">
        <v>1.7999999999999998</v>
      </c>
      <c r="S22" s="2" t="s">
        <v>1175</v>
      </c>
      <c r="T22" s="2" t="s">
        <v>2419</v>
      </c>
      <c r="U22" s="2" t="s">
        <v>8856</v>
      </c>
      <c r="V22" s="2" t="s">
        <v>1513</v>
      </c>
      <c r="W22" s="2" t="s">
        <v>1178</v>
      </c>
      <c r="X22" s="2" t="s">
        <v>529</v>
      </c>
      <c r="Y22" s="33"/>
      <c r="Z22" s="9"/>
      <c r="AA22" s="2" t="s">
        <v>956</v>
      </c>
      <c r="AB22" s="2" t="s">
        <v>957</v>
      </c>
      <c r="AC22" s="2" t="s">
        <v>856</v>
      </c>
      <c r="AD22" s="2" t="s">
        <v>8686</v>
      </c>
      <c r="AE22" s="2" t="s">
        <v>8696</v>
      </c>
      <c r="AF22" s="2" t="s">
        <v>830</v>
      </c>
      <c r="AG22" s="2" t="s">
        <v>1061</v>
      </c>
      <c r="AH22" s="2" t="s">
        <v>8665</v>
      </c>
      <c r="AI22" s="2" t="str">
        <f>IF(Y22="","",Y22)</f>
        <v/>
      </c>
      <c r="AJ22" s="2" t="s">
        <v>1522</v>
      </c>
      <c r="AK22" s="2" t="s">
        <v>8594</v>
      </c>
      <c r="AL22" s="2" t="s">
        <v>8666</v>
      </c>
      <c r="AM22" s="2">
        <f>IF(AND(ISNUMBER(J22),OR(AR22="INHERITED ESTIMATE",AR22="CONFIRMED ESTIMATE")),1,0)</f>
        <v>1</v>
      </c>
      <c r="AN22" s="2"/>
      <c r="AO22" s="32" t="s">
        <v>1429</v>
      </c>
      <c r="AP22" s="32" t="s">
        <v>1418</v>
      </c>
      <c r="AQ22" s="32"/>
      <c r="AR22" s="32" t="s">
        <v>1420</v>
      </c>
      <c r="AS22" s="65">
        <f>IF(AM22=1,J22,"")</f>
        <v>16</v>
      </c>
      <c r="AT22" s="65">
        <f>IF(AND(AM22=1,ISNUMBER(R22)),R22,"")</f>
        <v>1.7999999999999998</v>
      </c>
      <c r="AU22" s="2" t="s">
        <v>7960</v>
      </c>
      <c r="AV22" s="5">
        <v>12</v>
      </c>
      <c r="AW22" s="5">
        <v>20</v>
      </c>
      <c r="AX22" s="5">
        <v>32</v>
      </c>
      <c r="AY22" s="2" t="s">
        <v>8832</v>
      </c>
      <c r="AZ22" s="2" t="s">
        <v>7961</v>
      </c>
      <c r="BA22" s="2" t="s">
        <v>1702</v>
      </c>
      <c r="BB22" s="2" t="s">
        <v>8833</v>
      </c>
    </row>
    <row r="23" spans="1:54" ht="75.95" customHeight="1">
      <c r="A23" s="2" t="s">
        <v>100</v>
      </c>
      <c r="B23" s="2" t="s">
        <v>449</v>
      </c>
      <c r="C23" s="2" t="s">
        <v>524</v>
      </c>
      <c r="D23" s="2" t="s">
        <v>1044</v>
      </c>
      <c r="E23" s="2" t="s">
        <v>8687</v>
      </c>
      <c r="F23" s="2" t="s">
        <v>8864</v>
      </c>
      <c r="G23" s="2" t="s">
        <v>8656</v>
      </c>
      <c r="H23" s="2" t="s">
        <v>1039</v>
      </c>
      <c r="I23" s="2" t="s">
        <v>1042</v>
      </c>
      <c r="J23" s="67"/>
      <c r="K23" s="94" t="s">
        <v>537</v>
      </c>
      <c r="L23" s="2" t="s">
        <v>451</v>
      </c>
      <c r="M23" s="2" t="s">
        <v>1047</v>
      </c>
      <c r="N23" s="2" t="s">
        <v>8865</v>
      </c>
      <c r="O23" s="2" t="s">
        <v>1165</v>
      </c>
      <c r="P23" s="2" t="s">
        <v>455</v>
      </c>
      <c r="Q23" s="2" t="s">
        <v>8691</v>
      </c>
      <c r="R23" s="65"/>
      <c r="S23" s="2" t="s">
        <v>1175</v>
      </c>
      <c r="T23" s="2" t="s">
        <v>1173</v>
      </c>
      <c r="U23" s="2" t="s">
        <v>8661</v>
      </c>
      <c r="V23" s="2" t="s">
        <v>1513</v>
      </c>
      <c r="W23" s="2" t="s">
        <v>1178</v>
      </c>
      <c r="X23" s="2" t="s">
        <v>1170</v>
      </c>
      <c r="Y23" s="33"/>
      <c r="Z23" s="9"/>
      <c r="AA23" s="2" t="s">
        <v>860</v>
      </c>
      <c r="AB23" s="2" t="s">
        <v>861</v>
      </c>
      <c r="AC23" s="2" t="s">
        <v>1046</v>
      </c>
      <c r="AD23" s="2" t="s">
        <v>8686</v>
      </c>
      <c r="AE23" s="2" t="s">
        <v>8693</v>
      </c>
      <c r="AF23" s="2" t="s">
        <v>830</v>
      </c>
      <c r="AG23" s="2" t="s">
        <v>1061</v>
      </c>
      <c r="AH23" s="2" t="s">
        <v>8665</v>
      </c>
      <c r="AI23" s="2" t="str">
        <f>IF(Y23="","",Y23)</f>
        <v/>
      </c>
      <c r="AJ23" s="34" t="s">
        <v>1467</v>
      </c>
      <c r="AK23" s="34" t="s">
        <v>8594</v>
      </c>
      <c r="AL23" s="34" t="s">
        <v>8666</v>
      </c>
      <c r="AM23" s="34">
        <f>IF(AND(ISNUMBER(J23),OR(AR23="INHERITED ESTIMATE",AR23="CONFIRMED ESTIMATE")),1,0)</f>
        <v>0</v>
      </c>
      <c r="AN23" s="34"/>
      <c r="AO23" s="35" t="s">
        <v>1429</v>
      </c>
      <c r="AP23" s="35" t="s">
        <v>1418</v>
      </c>
      <c r="AQ23" s="35"/>
      <c r="AR23" s="35" t="s">
        <v>1472</v>
      </c>
      <c r="AS23" s="65" t="str">
        <f>IF(AM23=1,J23,"")</f>
        <v/>
      </c>
      <c r="AT23" s="65" t="str">
        <f>IF(AND(AM23=1,ISNUMBER(R23)),R23,"")</f>
        <v/>
      </c>
      <c r="AU23" s="2" t="s">
        <v>7962</v>
      </c>
      <c r="AV23" s="5">
        <v>22</v>
      </c>
      <c r="AW23" s="5">
        <v>34</v>
      </c>
      <c r="AX23" s="5">
        <v>52</v>
      </c>
      <c r="AY23" s="2" t="s">
        <v>8832</v>
      </c>
      <c r="AZ23" s="2" t="s">
        <v>7963</v>
      </c>
      <c r="BA23" s="2" t="s">
        <v>1706</v>
      </c>
      <c r="BB23" s="2" t="s">
        <v>8833</v>
      </c>
    </row>
    <row r="24" spans="1:54" ht="75.95" customHeight="1">
      <c r="A24" s="4" t="s">
        <v>101</v>
      </c>
      <c r="B24" s="4" t="s">
        <v>449</v>
      </c>
      <c r="C24" s="4" t="s">
        <v>524</v>
      </c>
      <c r="D24" s="4" t="s">
        <v>564</v>
      </c>
      <c r="E24" s="4" t="s">
        <v>8687</v>
      </c>
      <c r="F24" s="4" t="s">
        <v>8864</v>
      </c>
      <c r="G24" s="4" t="s">
        <v>8656</v>
      </c>
      <c r="H24" s="4" t="s">
        <v>8866</v>
      </c>
      <c r="I24" s="4" t="s">
        <v>8867</v>
      </c>
      <c r="J24" s="64">
        <v>6</v>
      </c>
      <c r="K24" s="94" t="s">
        <v>537</v>
      </c>
      <c r="L24" s="4" t="s">
        <v>504</v>
      </c>
      <c r="M24" s="2" t="s">
        <v>1151</v>
      </c>
      <c r="N24" s="2" t="s">
        <v>1225</v>
      </c>
      <c r="O24" s="2" t="s">
        <v>1165</v>
      </c>
      <c r="P24" s="2" t="s">
        <v>455</v>
      </c>
      <c r="Q24" s="2" t="s">
        <v>8691</v>
      </c>
      <c r="R24" s="65">
        <v>0.89999999999999991</v>
      </c>
      <c r="S24" s="2" t="s">
        <v>1175</v>
      </c>
      <c r="T24" s="2" t="s">
        <v>2436</v>
      </c>
      <c r="U24" s="2" t="s">
        <v>8856</v>
      </c>
      <c r="V24" s="2" t="s">
        <v>1513</v>
      </c>
      <c r="W24" s="2" t="s">
        <v>1178</v>
      </c>
      <c r="X24" s="2" t="s">
        <v>529</v>
      </c>
      <c r="Y24" s="33"/>
      <c r="Z24" s="9"/>
      <c r="AA24" s="2" t="s">
        <v>860</v>
      </c>
      <c r="AB24" s="2" t="s">
        <v>861</v>
      </c>
      <c r="AC24" s="2" t="s">
        <v>886</v>
      </c>
      <c r="AD24" s="2" t="s">
        <v>8686</v>
      </c>
      <c r="AE24" s="2" t="s">
        <v>8696</v>
      </c>
      <c r="AF24" s="2" t="s">
        <v>830</v>
      </c>
      <c r="AG24" s="2" t="s">
        <v>1061</v>
      </c>
      <c r="AH24" s="2" t="s">
        <v>8665</v>
      </c>
      <c r="AI24" s="2" t="str">
        <f>IF(Y24="","",Y24)</f>
        <v/>
      </c>
      <c r="AJ24" s="2" t="s">
        <v>1522</v>
      </c>
      <c r="AK24" s="2" t="s">
        <v>8594</v>
      </c>
      <c r="AL24" s="2" t="s">
        <v>8666</v>
      </c>
      <c r="AM24" s="2">
        <f>IF(AND(ISNUMBER(J24),OR(AR24="INHERITED ESTIMATE",AR24="CONFIRMED ESTIMATE")),1,0)</f>
        <v>1</v>
      </c>
      <c r="AN24" s="2"/>
      <c r="AO24" s="32" t="s">
        <v>1429</v>
      </c>
      <c r="AP24" s="32" t="s">
        <v>1418</v>
      </c>
      <c r="AQ24" s="32"/>
      <c r="AR24" s="32" t="s">
        <v>1420</v>
      </c>
      <c r="AS24" s="65">
        <f>IF(AM24=1,J24,"")</f>
        <v>6</v>
      </c>
      <c r="AT24" s="65">
        <f>IF(AND(AM24=1,ISNUMBER(R24)),R24,"")</f>
        <v>0.89999999999999991</v>
      </c>
      <c r="AU24" s="2" t="s">
        <v>7965</v>
      </c>
      <c r="AV24" s="5">
        <v>6</v>
      </c>
      <c r="AW24" s="5">
        <v>10</v>
      </c>
      <c r="AX24" s="5">
        <v>18</v>
      </c>
      <c r="AY24" s="2" t="s">
        <v>8832</v>
      </c>
      <c r="AZ24" s="2" t="s">
        <v>7966</v>
      </c>
      <c r="BA24" s="2" t="s">
        <v>1710</v>
      </c>
      <c r="BB24" s="2" t="s">
        <v>8833</v>
      </c>
    </row>
    <row r="25" spans="1:54" ht="75.95" customHeight="1">
      <c r="A25" s="2" t="s">
        <v>167</v>
      </c>
      <c r="B25" s="2" t="s">
        <v>1058</v>
      </c>
      <c r="C25" s="2" t="s">
        <v>450</v>
      </c>
      <c r="D25" s="2" t="s">
        <v>1054</v>
      </c>
      <c r="E25" s="2" t="s">
        <v>8687</v>
      </c>
      <c r="F25" s="2" t="s">
        <v>8864</v>
      </c>
      <c r="G25" s="2" t="s">
        <v>8656</v>
      </c>
      <c r="H25" s="2" t="s">
        <v>1049</v>
      </c>
      <c r="I25" s="2" t="s">
        <v>1052</v>
      </c>
      <c r="J25" s="65">
        <v>24</v>
      </c>
      <c r="K25" s="94" t="s">
        <v>537</v>
      </c>
      <c r="L25" s="2" t="s">
        <v>451</v>
      </c>
      <c r="M25" s="2" t="s">
        <v>1057</v>
      </c>
      <c r="N25" s="2" t="s">
        <v>237</v>
      </c>
      <c r="O25" s="2" t="s">
        <v>1174</v>
      </c>
      <c r="P25" s="2" t="s">
        <v>1060</v>
      </c>
      <c r="Q25" s="2" t="s">
        <v>8691</v>
      </c>
      <c r="R25" s="65">
        <v>1.7999999999999998</v>
      </c>
      <c r="S25" s="2" t="s">
        <v>1176</v>
      </c>
      <c r="T25" s="2" t="s">
        <v>1180</v>
      </c>
      <c r="U25" s="2" t="s">
        <v>8661</v>
      </c>
      <c r="V25" s="2" t="s">
        <v>1513</v>
      </c>
      <c r="W25" s="2" t="s">
        <v>1179</v>
      </c>
      <c r="X25" s="2" t="s">
        <v>1170</v>
      </c>
      <c r="Y25" s="33"/>
      <c r="Z25" s="9"/>
      <c r="AA25" s="2" t="s">
        <v>860</v>
      </c>
      <c r="AB25" s="2" t="s">
        <v>861</v>
      </c>
      <c r="AC25" s="2" t="s">
        <v>956</v>
      </c>
      <c r="AD25" s="2" t="s">
        <v>8686</v>
      </c>
      <c r="AE25" s="2" t="s">
        <v>8696</v>
      </c>
      <c r="AF25" s="2" t="s">
        <v>830</v>
      </c>
      <c r="AG25" s="2" t="s">
        <v>1062</v>
      </c>
      <c r="AH25" s="2" t="s">
        <v>8665</v>
      </c>
      <c r="AI25" s="2" t="str">
        <f>IF(Y25="","",Y25)</f>
        <v/>
      </c>
      <c r="AJ25" s="2" t="s">
        <v>2348</v>
      </c>
      <c r="AK25" s="2" t="s">
        <v>8594</v>
      </c>
      <c r="AL25" s="2" t="s">
        <v>8666</v>
      </c>
      <c r="AM25" s="2">
        <f>IF(AND(ISNUMBER(J25),OR(AR25="INHERITED ESTIMATE",AR25="CONFIRMED ESTIMATE")),1,0)</f>
        <v>0</v>
      </c>
      <c r="AN25" s="2"/>
      <c r="AO25" s="32" t="s">
        <v>1429</v>
      </c>
      <c r="AP25" s="32" t="s">
        <v>1418</v>
      </c>
      <c r="AQ25" s="32"/>
      <c r="AR25" s="32" t="s">
        <v>1472</v>
      </c>
      <c r="AS25" s="65" t="str">
        <f>IF(AM25=1,J25,"")</f>
        <v/>
      </c>
      <c r="AT25" s="65" t="str">
        <f>IF(AND(AM25=1,ISNUMBER(R25)),R25,"")</f>
        <v/>
      </c>
      <c r="AU25" s="2" t="s">
        <v>8027</v>
      </c>
      <c r="AV25" s="5">
        <v>16</v>
      </c>
      <c r="AW25" s="5">
        <v>28</v>
      </c>
      <c r="AX25" s="5">
        <v>44</v>
      </c>
      <c r="AY25" s="2" t="s">
        <v>8832</v>
      </c>
      <c r="AZ25" s="2" t="s">
        <v>8031</v>
      </c>
      <c r="BA25" s="2" t="s">
        <v>8030</v>
      </c>
      <c r="BB25" s="2" t="s">
        <v>8833</v>
      </c>
    </row>
    <row r="26" spans="1:54" ht="75.95" customHeight="1">
      <c r="A26" s="2" t="s">
        <v>177</v>
      </c>
      <c r="B26" s="2" t="s">
        <v>1058</v>
      </c>
      <c r="C26" s="2" t="s">
        <v>524</v>
      </c>
      <c r="D26" s="2" t="s">
        <v>9256</v>
      </c>
      <c r="E26" s="2" t="s">
        <v>8687</v>
      </c>
      <c r="F26" s="2" t="s">
        <v>9009</v>
      </c>
      <c r="G26" s="2" t="s">
        <v>8677</v>
      </c>
      <c r="H26" s="2" t="s">
        <v>1122</v>
      </c>
      <c r="I26" s="2" t="s">
        <v>1124</v>
      </c>
      <c r="J26" s="65">
        <v>8</v>
      </c>
      <c r="K26" s="94" t="s">
        <v>537</v>
      </c>
      <c r="L26" s="2" t="s">
        <v>451</v>
      </c>
      <c r="M26" s="2" t="s">
        <v>85</v>
      </c>
      <c r="N26" s="2"/>
      <c r="O26" s="2" t="s">
        <v>1174</v>
      </c>
      <c r="P26" s="2" t="s">
        <v>1060</v>
      </c>
      <c r="Q26" s="2" t="s">
        <v>8691</v>
      </c>
      <c r="R26" s="65">
        <v>1.2000000000000002</v>
      </c>
      <c r="S26" s="2" t="s">
        <v>9257</v>
      </c>
      <c r="T26" s="2" t="s">
        <v>2891</v>
      </c>
      <c r="U26" s="2" t="s">
        <v>8661</v>
      </c>
      <c r="V26" s="2" t="s">
        <v>1513</v>
      </c>
      <c r="W26" s="2" t="s">
        <v>9258</v>
      </c>
      <c r="X26" s="2" t="s">
        <v>9259</v>
      </c>
      <c r="Y26" s="33"/>
      <c r="Z26" s="9"/>
      <c r="AA26" s="2" t="s">
        <v>964</v>
      </c>
      <c r="AB26" s="2" t="s">
        <v>8663</v>
      </c>
      <c r="AC26" s="2"/>
      <c r="AD26" s="2" t="s">
        <v>8675</v>
      </c>
      <c r="AE26" s="2" t="s">
        <v>8693</v>
      </c>
      <c r="AF26" s="2" t="s">
        <v>830</v>
      </c>
      <c r="AG26" s="2" t="s">
        <v>1062</v>
      </c>
      <c r="AH26" s="2" t="s">
        <v>8665</v>
      </c>
      <c r="AI26" s="2" t="str">
        <f>IF(Y26="","",Y26)</f>
        <v/>
      </c>
      <c r="AJ26" s="2" t="s">
        <v>2348</v>
      </c>
      <c r="AK26" s="2" t="s">
        <v>8594</v>
      </c>
      <c r="AL26" s="2" t="s">
        <v>8666</v>
      </c>
      <c r="AM26" s="2">
        <f>IF(AND(ISNUMBER(J26),OR(AR26="INHERITED ESTIMATE",AR26="CONFIRMED ESTIMATE")),1,0)</f>
        <v>0</v>
      </c>
      <c r="AN26" s="2"/>
      <c r="AO26" s="32" t="s">
        <v>1429</v>
      </c>
      <c r="AP26" s="32" t="s">
        <v>1418</v>
      </c>
      <c r="AQ26" s="32"/>
      <c r="AR26" s="32" t="s">
        <v>1472</v>
      </c>
      <c r="AS26" s="65" t="str">
        <f>IF(AM26=1,J26,"")</f>
        <v/>
      </c>
      <c r="AT26" s="65" t="str">
        <f>IF(AND(AM26=1,ISNUMBER(R26)),R26,"")</f>
        <v/>
      </c>
      <c r="AU26" s="2" t="s">
        <v>8048</v>
      </c>
      <c r="AV26" s="5">
        <v>8</v>
      </c>
      <c r="AW26" s="5">
        <v>14</v>
      </c>
      <c r="AX26" s="5">
        <v>24</v>
      </c>
      <c r="AY26" s="2" t="s">
        <v>8832</v>
      </c>
      <c r="AZ26" s="2" t="s">
        <v>8052</v>
      </c>
      <c r="BA26" s="2" t="s">
        <v>8051</v>
      </c>
      <c r="BB26" s="2" t="s">
        <v>8833</v>
      </c>
    </row>
    <row r="27" spans="1:54" ht="75.95" customHeight="1">
      <c r="A27" s="2" t="s">
        <v>178</v>
      </c>
      <c r="B27" s="2" t="s">
        <v>1058</v>
      </c>
      <c r="C27" s="2" t="s">
        <v>524</v>
      </c>
      <c r="D27" s="2" t="s">
        <v>9260</v>
      </c>
      <c r="E27" s="2" t="s">
        <v>8687</v>
      </c>
      <c r="F27" s="2" t="s">
        <v>9009</v>
      </c>
      <c r="G27" s="2" t="s">
        <v>8677</v>
      </c>
      <c r="H27" s="2" t="s">
        <v>9261</v>
      </c>
      <c r="I27" s="2" t="s">
        <v>9262</v>
      </c>
      <c r="J27" s="65">
        <v>6</v>
      </c>
      <c r="K27" s="94" t="s">
        <v>537</v>
      </c>
      <c r="L27" s="2" t="s">
        <v>451</v>
      </c>
      <c r="M27" s="2"/>
      <c r="N27" s="2" t="s">
        <v>1530</v>
      </c>
      <c r="O27" s="2" t="s">
        <v>1174</v>
      </c>
      <c r="P27" s="2" t="s">
        <v>1060</v>
      </c>
      <c r="Q27" s="2" t="s">
        <v>8691</v>
      </c>
      <c r="R27" s="65">
        <v>0.89999999999999991</v>
      </c>
      <c r="S27" s="2" t="s">
        <v>9257</v>
      </c>
      <c r="T27" s="2" t="s">
        <v>2891</v>
      </c>
      <c r="U27" s="2" t="s">
        <v>8661</v>
      </c>
      <c r="V27" s="2" t="s">
        <v>1513</v>
      </c>
      <c r="W27" s="2" t="s">
        <v>9258</v>
      </c>
      <c r="X27" s="2" t="s">
        <v>9259</v>
      </c>
      <c r="Y27" s="33"/>
      <c r="Z27" s="9"/>
      <c r="AA27" s="2" t="s">
        <v>964</v>
      </c>
      <c r="AB27" s="2" t="s">
        <v>8663</v>
      </c>
      <c r="AC27" s="2"/>
      <c r="AD27" s="2" t="s">
        <v>8675</v>
      </c>
      <c r="AE27" s="2" t="s">
        <v>8693</v>
      </c>
      <c r="AF27" s="2" t="s">
        <v>830</v>
      </c>
      <c r="AG27" s="2" t="s">
        <v>1062</v>
      </c>
      <c r="AH27" s="2" t="s">
        <v>8665</v>
      </c>
      <c r="AI27" s="2" t="str">
        <f>IF(Y27="","",Y27)</f>
        <v/>
      </c>
      <c r="AJ27" s="2" t="s">
        <v>1522</v>
      </c>
      <c r="AK27" s="2" t="s">
        <v>8594</v>
      </c>
      <c r="AL27" s="2" t="s">
        <v>8666</v>
      </c>
      <c r="AM27" s="2">
        <f>IF(AND(ISNUMBER(J27),OR(AR27="INHERITED ESTIMATE",AR27="CONFIRMED ESTIMATE")),1,0)</f>
        <v>1</v>
      </c>
      <c r="AN27" s="2"/>
      <c r="AO27" s="32" t="s">
        <v>1429</v>
      </c>
      <c r="AP27" s="32" t="s">
        <v>1418</v>
      </c>
      <c r="AQ27" s="32"/>
      <c r="AR27" s="32" t="s">
        <v>1420</v>
      </c>
      <c r="AS27" s="65">
        <f>IF(AM27=1,J27,"")</f>
        <v>6</v>
      </c>
      <c r="AT27" s="65">
        <f>IF(AND(AM27=1,ISNUMBER(R27)),R27,"")</f>
        <v>0.89999999999999991</v>
      </c>
      <c r="AU27" s="2" t="s">
        <v>8667</v>
      </c>
      <c r="AV27" s="5"/>
      <c r="AW27" s="5"/>
      <c r="AX27" s="5"/>
      <c r="AY27" s="2" t="s">
        <v>8668</v>
      </c>
      <c r="AZ27" s="2"/>
      <c r="BA27" s="2"/>
      <c r="BB27" s="2"/>
    </row>
    <row r="28" spans="1:54" ht="75.95" customHeight="1">
      <c r="A28" s="2" t="s">
        <v>168</v>
      </c>
      <c r="B28" s="2" t="s">
        <v>1058</v>
      </c>
      <c r="C28" s="2" t="s">
        <v>450</v>
      </c>
      <c r="D28" s="2" t="s">
        <v>9221</v>
      </c>
      <c r="E28" s="2" t="s">
        <v>9176</v>
      </c>
      <c r="F28" s="2" t="s">
        <v>9177</v>
      </c>
      <c r="G28" s="2" t="s">
        <v>8656</v>
      </c>
      <c r="H28" s="2" t="s">
        <v>9222</v>
      </c>
      <c r="I28" s="2" t="s">
        <v>9223</v>
      </c>
      <c r="J28" s="65">
        <v>12</v>
      </c>
      <c r="K28" s="94" t="s">
        <v>537</v>
      </c>
      <c r="L28" s="2" t="s">
        <v>451</v>
      </c>
      <c r="M28" s="2" t="s">
        <v>1524</v>
      </c>
      <c r="N28" s="2" t="s">
        <v>1525</v>
      </c>
      <c r="O28" s="2" t="s">
        <v>1174</v>
      </c>
      <c r="P28" s="2" t="s">
        <v>1060</v>
      </c>
      <c r="Q28" s="2" t="s">
        <v>9178</v>
      </c>
      <c r="R28" s="65">
        <v>3.2</v>
      </c>
      <c r="S28" s="2" t="s">
        <v>1176</v>
      </c>
      <c r="T28" s="2" t="s">
        <v>3027</v>
      </c>
      <c r="U28" s="2" t="s">
        <v>8661</v>
      </c>
      <c r="V28" s="2" t="s">
        <v>1513</v>
      </c>
      <c r="W28" s="2" t="s">
        <v>1179</v>
      </c>
      <c r="X28" s="2" t="s">
        <v>9224</v>
      </c>
      <c r="Y28" s="33"/>
      <c r="Z28" s="9"/>
      <c r="AA28" s="2" t="s">
        <v>954</v>
      </c>
      <c r="AB28" s="2" t="s">
        <v>955</v>
      </c>
      <c r="AC28" s="2"/>
      <c r="AD28" s="2" t="s">
        <v>8686</v>
      </c>
      <c r="AE28" s="2" t="s">
        <v>8696</v>
      </c>
      <c r="AF28" s="2" t="s">
        <v>830</v>
      </c>
      <c r="AG28" s="2" t="s">
        <v>1062</v>
      </c>
      <c r="AH28" s="2" t="s">
        <v>8665</v>
      </c>
      <c r="AI28" s="2" t="str">
        <f>IF(Y28="","",Y28)</f>
        <v/>
      </c>
      <c r="AJ28" s="2" t="s">
        <v>1522</v>
      </c>
      <c r="AK28" s="2" t="s">
        <v>8594</v>
      </c>
      <c r="AL28" s="2" t="s">
        <v>8666</v>
      </c>
      <c r="AM28" s="2">
        <f>IF(AND(ISNUMBER(J28),OR(AR28="INHERITED ESTIMATE",AR28="CONFIRMED ESTIMATE")),1,0)</f>
        <v>1</v>
      </c>
      <c r="AN28" s="2"/>
      <c r="AO28" s="32" t="s">
        <v>1429</v>
      </c>
      <c r="AP28" s="32" t="s">
        <v>1418</v>
      </c>
      <c r="AQ28" s="32"/>
      <c r="AR28" s="32" t="s">
        <v>1420</v>
      </c>
      <c r="AS28" s="65">
        <f>IF(AM28=1,J28,"")</f>
        <v>12</v>
      </c>
      <c r="AT28" s="65">
        <f>IF(AND(AM28=1,ISNUMBER(R28)),R28,"")</f>
        <v>3.2</v>
      </c>
      <c r="AU28" s="2" t="s">
        <v>8667</v>
      </c>
      <c r="AV28" s="5"/>
      <c r="AW28" s="5"/>
      <c r="AX28" s="5"/>
      <c r="AY28" s="2" t="s">
        <v>8668</v>
      </c>
      <c r="AZ28" s="2"/>
      <c r="BA28" s="2"/>
      <c r="BB28" s="2"/>
    </row>
    <row r="29" spans="1:54" ht="75.95" customHeight="1">
      <c r="A29" s="2" t="s">
        <v>179</v>
      </c>
      <c r="B29" s="2" t="s">
        <v>1058</v>
      </c>
      <c r="C29" s="2" t="s">
        <v>524</v>
      </c>
      <c r="D29" s="2" t="s">
        <v>9263</v>
      </c>
      <c r="E29" s="2" t="s">
        <v>8654</v>
      </c>
      <c r="F29" s="2" t="s">
        <v>9264</v>
      </c>
      <c r="G29" s="2" t="s">
        <v>8656</v>
      </c>
      <c r="H29" s="2" t="s">
        <v>9265</v>
      </c>
      <c r="I29" s="2" t="s">
        <v>9266</v>
      </c>
      <c r="J29" s="65">
        <v>12</v>
      </c>
      <c r="K29" s="94" t="s">
        <v>537</v>
      </c>
      <c r="L29" s="2" t="s">
        <v>491</v>
      </c>
      <c r="M29" s="2" t="s">
        <v>1531</v>
      </c>
      <c r="N29" s="2" t="s">
        <v>183</v>
      </c>
      <c r="O29" s="2" t="s">
        <v>1174</v>
      </c>
      <c r="P29" s="2" t="s">
        <v>1060</v>
      </c>
      <c r="Q29" s="2" t="s">
        <v>8659</v>
      </c>
      <c r="R29" s="65">
        <v>4.08</v>
      </c>
      <c r="S29" s="2" t="s">
        <v>9257</v>
      </c>
      <c r="T29" s="2" t="s">
        <v>3118</v>
      </c>
      <c r="U29" s="2" t="s">
        <v>8841</v>
      </c>
      <c r="V29" s="2" t="s">
        <v>9267</v>
      </c>
      <c r="W29" s="2" t="s">
        <v>9258</v>
      </c>
      <c r="X29" s="2" t="s">
        <v>9259</v>
      </c>
      <c r="Y29" s="33"/>
      <c r="Z29" s="9"/>
      <c r="AA29" s="2" t="s">
        <v>964</v>
      </c>
      <c r="AB29" s="2" t="s">
        <v>8663</v>
      </c>
      <c r="AC29" s="2"/>
      <c r="AD29" s="2" t="s">
        <v>8686</v>
      </c>
      <c r="AE29" s="2" t="s">
        <v>8713</v>
      </c>
      <c r="AF29" s="2" t="s">
        <v>830</v>
      </c>
      <c r="AG29" s="2" t="s">
        <v>1062</v>
      </c>
      <c r="AH29" s="2" t="s">
        <v>8665</v>
      </c>
      <c r="AI29" s="2" t="str">
        <f>IF(Y29="","",Y29)</f>
        <v/>
      </c>
      <c r="AJ29" s="2" t="s">
        <v>1522</v>
      </c>
      <c r="AK29" s="2" t="s">
        <v>8594</v>
      </c>
      <c r="AL29" s="2" t="s">
        <v>8666</v>
      </c>
      <c r="AM29" s="2">
        <f>IF(AND(ISNUMBER(J29),OR(AR29="INHERITED ESTIMATE",AR29="CONFIRMED ESTIMATE")),1,0)</f>
        <v>1</v>
      </c>
      <c r="AN29" s="2"/>
      <c r="AO29" s="32" t="s">
        <v>1429</v>
      </c>
      <c r="AP29" s="32" t="s">
        <v>1418</v>
      </c>
      <c r="AQ29" s="32"/>
      <c r="AR29" s="32" t="s">
        <v>1420</v>
      </c>
      <c r="AS29" s="65">
        <f>IF(AM29=1,J29,"")</f>
        <v>12</v>
      </c>
      <c r="AT29" s="65">
        <f>IF(AND(AM29=1,ISNUMBER(R29)),R29,"")</f>
        <v>4.08</v>
      </c>
      <c r="AU29" s="2" t="s">
        <v>8667</v>
      </c>
      <c r="AV29" s="5"/>
      <c r="AW29" s="5"/>
      <c r="AX29" s="5"/>
      <c r="AY29" s="2" t="s">
        <v>8668</v>
      </c>
      <c r="AZ29" s="2"/>
      <c r="BA29" s="2"/>
      <c r="BB29" s="2"/>
    </row>
    <row r="30" spans="1:54" ht="75.95" customHeight="1">
      <c r="A30" s="2" t="s">
        <v>121</v>
      </c>
      <c r="B30" s="2" t="s">
        <v>449</v>
      </c>
      <c r="C30" s="2" t="s">
        <v>622</v>
      </c>
      <c r="D30" s="2" t="s">
        <v>627</v>
      </c>
      <c r="E30" s="2" t="s">
        <v>8728</v>
      </c>
      <c r="F30" s="2" t="s">
        <v>9009</v>
      </c>
      <c r="G30" s="2" t="s">
        <v>8677</v>
      </c>
      <c r="H30" s="2" t="s">
        <v>9010</v>
      </c>
      <c r="I30" s="2" t="s">
        <v>1617</v>
      </c>
      <c r="J30" s="65">
        <v>8</v>
      </c>
      <c r="K30" s="94" t="s">
        <v>537</v>
      </c>
      <c r="L30" s="2" t="s">
        <v>491</v>
      </c>
      <c r="M30" s="2"/>
      <c r="N30" s="2" t="s">
        <v>194</v>
      </c>
      <c r="O30" s="2" t="s">
        <v>1165</v>
      </c>
      <c r="P30" s="2" t="s">
        <v>455</v>
      </c>
      <c r="Q30" s="2" t="s">
        <v>8840</v>
      </c>
      <c r="R30" s="65">
        <v>1.3333333333333333</v>
      </c>
      <c r="S30" s="2" t="s">
        <v>9011</v>
      </c>
      <c r="T30" s="2" t="s">
        <v>1488</v>
      </c>
      <c r="U30" s="2" t="s">
        <v>9012</v>
      </c>
      <c r="V30" s="2" t="s">
        <v>1491</v>
      </c>
      <c r="W30" s="2" t="s">
        <v>9013</v>
      </c>
      <c r="X30" s="2" t="s">
        <v>629</v>
      </c>
      <c r="Y30" s="33"/>
      <c r="Z30" s="9"/>
      <c r="AA30" s="2" t="s">
        <v>862</v>
      </c>
      <c r="AB30" s="2" t="s">
        <v>864</v>
      </c>
      <c r="AC30" s="2"/>
      <c r="AD30" s="2" t="s">
        <v>8686</v>
      </c>
      <c r="AE30" s="2" t="s">
        <v>8722</v>
      </c>
      <c r="AF30" s="2" t="s">
        <v>830</v>
      </c>
      <c r="AG30" s="2" t="s">
        <v>1061</v>
      </c>
      <c r="AH30" s="2" t="s">
        <v>8665</v>
      </c>
      <c r="AI30" s="2" t="str">
        <f>IF(Y30="","",Y30)</f>
        <v/>
      </c>
      <c r="AJ30" s="2" t="s">
        <v>1522</v>
      </c>
      <c r="AK30" s="2" t="s">
        <v>8594</v>
      </c>
      <c r="AL30" s="2" t="s">
        <v>8666</v>
      </c>
      <c r="AM30" s="2">
        <f>IF(AND(ISNUMBER(J30),OR(AR30="INHERITED ESTIMATE",AR30="CONFIRMED ESTIMATE")),1,0)</f>
        <v>1</v>
      </c>
      <c r="AN30" s="2" t="s">
        <v>1611</v>
      </c>
      <c r="AO30" s="32" t="s">
        <v>1429</v>
      </c>
      <c r="AP30" s="32" t="s">
        <v>1418</v>
      </c>
      <c r="AQ30" s="32"/>
      <c r="AR30" s="32" t="s">
        <v>1420</v>
      </c>
      <c r="AS30" s="65">
        <f>IF(AM30=1,J30,"")</f>
        <v>8</v>
      </c>
      <c r="AT30" s="65">
        <f>IF(AND(AM30=1,ISNUMBER(R30)),R30,"")</f>
        <v>1.3333333333333333</v>
      </c>
      <c r="AU30" s="2" t="s">
        <v>8667</v>
      </c>
      <c r="AV30" s="5"/>
      <c r="AW30" s="5"/>
      <c r="AX30" s="5"/>
      <c r="AY30" s="2" t="s">
        <v>8668</v>
      </c>
      <c r="AZ30" s="2"/>
      <c r="BA30" s="2"/>
      <c r="BB30" s="2"/>
    </row>
    <row r="31" spans="1:54" ht="75.95" customHeight="1">
      <c r="A31" s="2" t="s">
        <v>180</v>
      </c>
      <c r="B31" s="2" t="s">
        <v>1058</v>
      </c>
      <c r="C31" s="2" t="s">
        <v>524</v>
      </c>
      <c r="D31" s="2" t="s">
        <v>9268</v>
      </c>
      <c r="E31" s="2" t="s">
        <v>8728</v>
      </c>
      <c r="F31" s="2" t="s">
        <v>9009</v>
      </c>
      <c r="G31" s="2" t="s">
        <v>8677</v>
      </c>
      <c r="H31" s="2" t="s">
        <v>9269</v>
      </c>
      <c r="I31" s="2" t="s">
        <v>9270</v>
      </c>
      <c r="J31" s="65">
        <v>6</v>
      </c>
      <c r="K31" s="94" t="s">
        <v>537</v>
      </c>
      <c r="L31" s="2" t="s">
        <v>491</v>
      </c>
      <c r="M31" s="2"/>
      <c r="N31" s="2"/>
      <c r="O31" s="2" t="s">
        <v>1174</v>
      </c>
      <c r="P31" s="2" t="s">
        <v>1060</v>
      </c>
      <c r="Q31" s="2" t="s">
        <v>8840</v>
      </c>
      <c r="R31" s="65">
        <v>1</v>
      </c>
      <c r="S31" s="2" t="s">
        <v>9257</v>
      </c>
      <c r="T31" s="2" t="s">
        <v>9271</v>
      </c>
      <c r="U31" s="2" t="s">
        <v>9012</v>
      </c>
      <c r="V31" s="2" t="s">
        <v>1513</v>
      </c>
      <c r="W31" s="2" t="s">
        <v>9258</v>
      </c>
      <c r="X31" s="2" t="s">
        <v>9259</v>
      </c>
      <c r="Y31" s="33"/>
      <c r="Z31" s="9"/>
      <c r="AA31" s="2" t="s">
        <v>964</v>
      </c>
      <c r="AB31" s="2" t="s">
        <v>8663</v>
      </c>
      <c r="AC31" s="2"/>
      <c r="AD31" s="2" t="s">
        <v>8675</v>
      </c>
      <c r="AE31" s="2" t="s">
        <v>8722</v>
      </c>
      <c r="AF31" s="2" t="s">
        <v>830</v>
      </c>
      <c r="AG31" s="2" t="s">
        <v>1062</v>
      </c>
      <c r="AH31" s="2" t="s">
        <v>8665</v>
      </c>
      <c r="AI31" s="2" t="str">
        <f>IF(Y31="","",Y31)</f>
        <v/>
      </c>
      <c r="AJ31" s="2" t="s">
        <v>1522</v>
      </c>
      <c r="AK31" s="2" t="s">
        <v>8594</v>
      </c>
      <c r="AL31" s="2" t="s">
        <v>8666</v>
      </c>
      <c r="AM31" s="2">
        <f>IF(AND(ISNUMBER(J31),OR(AR31="INHERITED ESTIMATE",AR31="CONFIRMED ESTIMATE")),1,0)</f>
        <v>1</v>
      </c>
      <c r="AN31" s="2"/>
      <c r="AO31" s="32" t="s">
        <v>1429</v>
      </c>
      <c r="AP31" s="32" t="s">
        <v>1418</v>
      </c>
      <c r="AQ31" s="32"/>
      <c r="AR31" s="32" t="s">
        <v>1420</v>
      </c>
      <c r="AS31" s="65">
        <f>IF(AM31=1,J31,"")</f>
        <v>6</v>
      </c>
      <c r="AT31" s="65">
        <f>IF(AND(AM31=1,ISNUMBER(R31)),R31,"")</f>
        <v>1</v>
      </c>
      <c r="AU31" s="2" t="s">
        <v>8667</v>
      </c>
      <c r="AV31" s="5"/>
      <c r="AW31" s="5"/>
      <c r="AX31" s="5"/>
      <c r="AY31" s="2" t="s">
        <v>8668</v>
      </c>
      <c r="AZ31" s="2"/>
      <c r="BA31" s="2"/>
      <c r="BB31" s="2"/>
    </row>
    <row r="32" spans="1:54" ht="75.95" customHeight="1">
      <c r="A32" s="2" t="s">
        <v>169</v>
      </c>
      <c r="B32" s="2" t="s">
        <v>1058</v>
      </c>
      <c r="C32" s="2" t="s">
        <v>450</v>
      </c>
      <c r="D32" s="2" t="s">
        <v>9225</v>
      </c>
      <c r="E32" s="2" t="s">
        <v>8687</v>
      </c>
      <c r="F32" s="2" t="s">
        <v>9226</v>
      </c>
      <c r="G32" s="2" t="s">
        <v>8656</v>
      </c>
      <c r="H32" s="2" t="s">
        <v>9227</v>
      </c>
      <c r="I32" s="2" t="s">
        <v>9228</v>
      </c>
      <c r="J32" s="65">
        <v>12</v>
      </c>
      <c r="K32" s="94" t="s">
        <v>537</v>
      </c>
      <c r="L32" s="2" t="s">
        <v>451</v>
      </c>
      <c r="M32" s="2"/>
      <c r="N32" s="2"/>
      <c r="O32" s="2" t="s">
        <v>1174</v>
      </c>
      <c r="P32" s="2" t="s">
        <v>1060</v>
      </c>
      <c r="Q32" s="2" t="s">
        <v>9229</v>
      </c>
      <c r="R32" s="65">
        <v>7.2</v>
      </c>
      <c r="S32" s="2" t="s">
        <v>1176</v>
      </c>
      <c r="T32" s="2" t="s">
        <v>9230</v>
      </c>
      <c r="U32" s="2" t="s">
        <v>9231</v>
      </c>
      <c r="V32" s="2" t="s">
        <v>1513</v>
      </c>
      <c r="W32" s="2" t="s">
        <v>1179</v>
      </c>
      <c r="X32" s="2" t="s">
        <v>9224</v>
      </c>
      <c r="Y32" s="33"/>
      <c r="Z32" s="9"/>
      <c r="AA32" s="2" t="s">
        <v>964</v>
      </c>
      <c r="AB32" s="2" t="s">
        <v>8663</v>
      </c>
      <c r="AC32" s="2"/>
      <c r="AD32" s="2" t="s">
        <v>8686</v>
      </c>
      <c r="AE32" s="2" t="s">
        <v>8696</v>
      </c>
      <c r="AF32" s="2" t="s">
        <v>830</v>
      </c>
      <c r="AG32" s="2" t="s">
        <v>1062</v>
      </c>
      <c r="AH32" s="2" t="s">
        <v>8665</v>
      </c>
      <c r="AI32" s="2" t="str">
        <f>IF(Y32="","",Y32)</f>
        <v/>
      </c>
      <c r="AJ32" s="2" t="s">
        <v>1522</v>
      </c>
      <c r="AK32" s="2" t="s">
        <v>8594</v>
      </c>
      <c r="AL32" s="2" t="s">
        <v>8666</v>
      </c>
      <c r="AM32" s="2">
        <f>IF(AND(ISNUMBER(J32),OR(AR32="INHERITED ESTIMATE",AR32="CONFIRMED ESTIMATE")),1,0)</f>
        <v>1</v>
      </c>
      <c r="AN32" s="2"/>
      <c r="AO32" s="32" t="s">
        <v>1429</v>
      </c>
      <c r="AP32" s="32" t="s">
        <v>1418</v>
      </c>
      <c r="AQ32" s="32"/>
      <c r="AR32" s="32" t="s">
        <v>1420</v>
      </c>
      <c r="AS32" s="65">
        <f>IF(AM32=1,J32,"")</f>
        <v>12</v>
      </c>
      <c r="AT32" s="65">
        <f>IF(AND(AM32=1,ISNUMBER(R32)),R32,"")</f>
        <v>7.2</v>
      </c>
      <c r="AU32" s="2" t="s">
        <v>8667</v>
      </c>
      <c r="AV32" s="5"/>
      <c r="AW32" s="5"/>
      <c r="AX32" s="5"/>
      <c r="AY32" s="2" t="s">
        <v>8668</v>
      </c>
      <c r="AZ32" s="2"/>
      <c r="BA32" s="2"/>
      <c r="BB32" s="2"/>
    </row>
    <row r="33" spans="1:54" ht="75.95" customHeight="1">
      <c r="A33" s="2" t="s">
        <v>170</v>
      </c>
      <c r="B33" s="2" t="s">
        <v>1058</v>
      </c>
      <c r="C33" s="2" t="s">
        <v>450</v>
      </c>
      <c r="D33" s="2" t="s">
        <v>9232</v>
      </c>
      <c r="E33" s="2" t="s">
        <v>8669</v>
      </c>
      <c r="F33" s="2" t="s">
        <v>9226</v>
      </c>
      <c r="G33" s="2" t="s">
        <v>8656</v>
      </c>
      <c r="H33" s="2" t="s">
        <v>9233</v>
      </c>
      <c r="I33" s="2" t="s">
        <v>9234</v>
      </c>
      <c r="J33" s="65">
        <v>12</v>
      </c>
      <c r="K33" s="94" t="s">
        <v>537</v>
      </c>
      <c r="L33" s="2" t="s">
        <v>451</v>
      </c>
      <c r="M33" s="2"/>
      <c r="N33" s="2"/>
      <c r="O33" s="2" t="s">
        <v>1174</v>
      </c>
      <c r="P33" s="2" t="s">
        <v>1060</v>
      </c>
      <c r="Q33" s="2" t="s">
        <v>9229</v>
      </c>
      <c r="R33" s="65">
        <v>7.2</v>
      </c>
      <c r="S33" s="2" t="s">
        <v>1176</v>
      </c>
      <c r="T33" s="2" t="s">
        <v>9230</v>
      </c>
      <c r="U33" s="2" t="s">
        <v>9231</v>
      </c>
      <c r="V33" s="2" t="s">
        <v>1513</v>
      </c>
      <c r="W33" s="2" t="s">
        <v>1179</v>
      </c>
      <c r="X33" s="2" t="s">
        <v>9224</v>
      </c>
      <c r="Y33" s="33"/>
      <c r="Z33" s="9"/>
      <c r="AA33" s="2" t="s">
        <v>850</v>
      </c>
      <c r="AB33" s="2" t="s">
        <v>851</v>
      </c>
      <c r="AC33" s="2" t="s">
        <v>964</v>
      </c>
      <c r="AD33" s="2" t="s">
        <v>8686</v>
      </c>
      <c r="AE33" s="2" t="s">
        <v>8676</v>
      </c>
      <c r="AF33" s="2" t="s">
        <v>830</v>
      </c>
      <c r="AG33" s="2" t="s">
        <v>1062</v>
      </c>
      <c r="AH33" s="2" t="s">
        <v>8665</v>
      </c>
      <c r="AI33" s="2" t="str">
        <f>IF(Y33="","",Y33)</f>
        <v/>
      </c>
      <c r="AJ33" s="2" t="s">
        <v>1522</v>
      </c>
      <c r="AK33" s="2" t="s">
        <v>8594</v>
      </c>
      <c r="AL33" s="2" t="s">
        <v>8666</v>
      </c>
      <c r="AM33" s="2">
        <f>IF(AND(ISNUMBER(J33),OR(AR33="INHERITED ESTIMATE",AR33="CONFIRMED ESTIMATE")),1,0)</f>
        <v>1</v>
      </c>
      <c r="AN33" s="2"/>
      <c r="AO33" s="32" t="s">
        <v>1429</v>
      </c>
      <c r="AP33" s="32" t="s">
        <v>1418</v>
      </c>
      <c r="AQ33" s="32"/>
      <c r="AR33" s="32" t="s">
        <v>1420</v>
      </c>
      <c r="AS33" s="65">
        <f>IF(AM33=1,J33,"")</f>
        <v>12</v>
      </c>
      <c r="AT33" s="65">
        <f>IF(AND(AM33=1,ISNUMBER(R33)),R33,"")</f>
        <v>7.2</v>
      </c>
      <c r="AU33" s="2" t="s">
        <v>8667</v>
      </c>
      <c r="AV33" s="5"/>
      <c r="AW33" s="5"/>
      <c r="AX33" s="5"/>
      <c r="AY33" s="2" t="s">
        <v>8668</v>
      </c>
      <c r="AZ33" s="2"/>
      <c r="BA33" s="2"/>
      <c r="BB33" s="2"/>
    </row>
    <row r="34" spans="1:54" ht="75.95" customHeight="1">
      <c r="A34" s="2" t="s">
        <v>171</v>
      </c>
      <c r="B34" s="2" t="s">
        <v>1058</v>
      </c>
      <c r="C34" s="2" t="s">
        <v>450</v>
      </c>
      <c r="D34" s="2" t="s">
        <v>9235</v>
      </c>
      <c r="E34" s="2" t="s">
        <v>8687</v>
      </c>
      <c r="F34" s="2" t="s">
        <v>9236</v>
      </c>
      <c r="G34" s="2" t="s">
        <v>8656</v>
      </c>
      <c r="H34" s="2" t="s">
        <v>9237</v>
      </c>
      <c r="I34" s="2" t="s">
        <v>9238</v>
      </c>
      <c r="J34" s="65">
        <v>12</v>
      </c>
      <c r="K34" s="94" t="s">
        <v>537</v>
      </c>
      <c r="L34" s="2" t="s">
        <v>451</v>
      </c>
      <c r="M34" s="2" t="s">
        <v>1529</v>
      </c>
      <c r="N34" s="2" t="s">
        <v>237</v>
      </c>
      <c r="O34" s="2" t="s">
        <v>1174</v>
      </c>
      <c r="P34" s="2" t="s">
        <v>1060</v>
      </c>
      <c r="Q34" s="2" t="s">
        <v>9229</v>
      </c>
      <c r="R34" s="65">
        <v>7.2</v>
      </c>
      <c r="S34" s="2" t="s">
        <v>1176</v>
      </c>
      <c r="T34" s="2" t="s">
        <v>9230</v>
      </c>
      <c r="U34" s="2" t="s">
        <v>9231</v>
      </c>
      <c r="V34" s="2" t="s">
        <v>1513</v>
      </c>
      <c r="W34" s="2" t="s">
        <v>1179</v>
      </c>
      <c r="X34" s="2" t="s">
        <v>9224</v>
      </c>
      <c r="Y34" s="33"/>
      <c r="Z34" s="9"/>
      <c r="AA34" s="2" t="s">
        <v>827</v>
      </c>
      <c r="AB34" s="2" t="s">
        <v>829</v>
      </c>
      <c r="AC34" s="2" t="s">
        <v>836</v>
      </c>
      <c r="AD34" s="2" t="s">
        <v>8664</v>
      </c>
      <c r="AE34" s="2" t="s">
        <v>8696</v>
      </c>
      <c r="AF34" s="2" t="s">
        <v>830</v>
      </c>
      <c r="AG34" s="2" t="s">
        <v>1062</v>
      </c>
      <c r="AH34" s="2" t="s">
        <v>8665</v>
      </c>
      <c r="AI34" s="2" t="str">
        <f>IF(Y34="","",Y34)</f>
        <v/>
      </c>
      <c r="AJ34" s="2" t="s">
        <v>1522</v>
      </c>
      <c r="AK34" s="2" t="s">
        <v>8594</v>
      </c>
      <c r="AL34" s="2" t="s">
        <v>8666</v>
      </c>
      <c r="AM34" s="2">
        <f>IF(AND(ISNUMBER(J34),OR(AR34="INHERITED ESTIMATE",AR34="CONFIRMED ESTIMATE")),1,0)</f>
        <v>1</v>
      </c>
      <c r="AN34" s="2"/>
      <c r="AO34" s="32" t="s">
        <v>1429</v>
      </c>
      <c r="AP34" s="32" t="s">
        <v>1418</v>
      </c>
      <c r="AQ34" s="32"/>
      <c r="AR34" s="32" t="s">
        <v>1420</v>
      </c>
      <c r="AS34" s="65">
        <f>IF(AM34=1,J34,"")</f>
        <v>12</v>
      </c>
      <c r="AT34" s="65">
        <f>IF(AND(AM34=1,ISNUMBER(R34)),R34,"")</f>
        <v>7.2</v>
      </c>
      <c r="AU34" s="2" t="s">
        <v>8667</v>
      </c>
      <c r="AV34" s="5"/>
      <c r="AW34" s="5"/>
      <c r="AX34" s="5"/>
      <c r="AY34" s="2" t="s">
        <v>8668</v>
      </c>
      <c r="AZ34" s="2"/>
      <c r="BA34" s="2"/>
      <c r="BB34" s="2"/>
    </row>
    <row r="35" spans="1:54" ht="75.95" customHeight="1">
      <c r="A35" s="2" t="s">
        <v>172</v>
      </c>
      <c r="B35" s="2" t="s">
        <v>1058</v>
      </c>
      <c r="C35" s="2" t="s">
        <v>450</v>
      </c>
      <c r="D35" s="2" t="s">
        <v>9239</v>
      </c>
      <c r="E35" s="2" t="s">
        <v>8669</v>
      </c>
      <c r="F35" s="2" t="s">
        <v>9240</v>
      </c>
      <c r="G35" s="2" t="s">
        <v>8677</v>
      </c>
      <c r="H35" s="2" t="s">
        <v>9241</v>
      </c>
      <c r="I35" s="2" t="s">
        <v>9242</v>
      </c>
      <c r="J35" s="65">
        <v>12</v>
      </c>
      <c r="K35" s="94" t="s">
        <v>537</v>
      </c>
      <c r="L35" s="2" t="s">
        <v>451</v>
      </c>
      <c r="M35" s="2"/>
      <c r="N35" s="2"/>
      <c r="O35" s="2" t="s">
        <v>1174</v>
      </c>
      <c r="P35" s="2" t="s">
        <v>1060</v>
      </c>
      <c r="Q35" s="2" t="s">
        <v>9229</v>
      </c>
      <c r="R35" s="65">
        <v>7.2</v>
      </c>
      <c r="S35" s="2" t="s">
        <v>1176</v>
      </c>
      <c r="T35" s="2" t="s">
        <v>9230</v>
      </c>
      <c r="U35" s="2" t="s">
        <v>9231</v>
      </c>
      <c r="V35" s="2" t="s">
        <v>1513</v>
      </c>
      <c r="W35" s="2" t="s">
        <v>1179</v>
      </c>
      <c r="X35" s="2" t="s">
        <v>9224</v>
      </c>
      <c r="Y35" s="33"/>
      <c r="Z35" s="9"/>
      <c r="AA35" s="2" t="s">
        <v>958</v>
      </c>
      <c r="AB35" s="2" t="s">
        <v>959</v>
      </c>
      <c r="AC35" s="2"/>
      <c r="AD35" s="2" t="s">
        <v>8686</v>
      </c>
      <c r="AE35" s="2" t="s">
        <v>8676</v>
      </c>
      <c r="AF35" s="2" t="s">
        <v>830</v>
      </c>
      <c r="AG35" s="2" t="s">
        <v>1062</v>
      </c>
      <c r="AH35" s="2" t="s">
        <v>8665</v>
      </c>
      <c r="AI35" s="2" t="str">
        <f>IF(Y35="","",Y35)</f>
        <v/>
      </c>
      <c r="AJ35" s="2" t="s">
        <v>1522</v>
      </c>
      <c r="AK35" s="2" t="s">
        <v>8594</v>
      </c>
      <c r="AL35" s="2" t="s">
        <v>8666</v>
      </c>
      <c r="AM35" s="2">
        <f>IF(AND(ISNUMBER(J35),OR(AR35="INHERITED ESTIMATE",AR35="CONFIRMED ESTIMATE")),1,0)</f>
        <v>1</v>
      </c>
      <c r="AN35" s="2"/>
      <c r="AO35" s="32" t="s">
        <v>1429</v>
      </c>
      <c r="AP35" s="32" t="s">
        <v>1418</v>
      </c>
      <c r="AQ35" s="32"/>
      <c r="AR35" s="32" t="s">
        <v>1420</v>
      </c>
      <c r="AS35" s="65">
        <f>IF(AM35=1,J35,"")</f>
        <v>12</v>
      </c>
      <c r="AT35" s="65">
        <f>IF(AND(AM35=1,ISNUMBER(R35)),R35,"")</f>
        <v>7.2</v>
      </c>
      <c r="AU35" s="2" t="s">
        <v>8667</v>
      </c>
      <c r="AV35" s="5"/>
      <c r="AW35" s="5"/>
      <c r="AX35" s="5"/>
      <c r="AY35" s="2" t="s">
        <v>8668</v>
      </c>
      <c r="AZ35" s="2"/>
      <c r="BA35" s="2"/>
      <c r="BB35" s="2"/>
    </row>
    <row r="36" spans="1:54" ht="75.95" customHeight="1">
      <c r="A36" s="2" t="s">
        <v>173</v>
      </c>
      <c r="B36" s="2" t="s">
        <v>1058</v>
      </c>
      <c r="C36" s="2" t="s">
        <v>450</v>
      </c>
      <c r="D36" s="2" t="s">
        <v>9243</v>
      </c>
      <c r="E36" s="2" t="s">
        <v>9176</v>
      </c>
      <c r="F36" s="2" t="s">
        <v>9240</v>
      </c>
      <c r="G36" s="2" t="s">
        <v>8677</v>
      </c>
      <c r="H36" s="2" t="s">
        <v>1130</v>
      </c>
      <c r="I36" s="2" t="s">
        <v>1132</v>
      </c>
      <c r="J36" s="65">
        <v>12</v>
      </c>
      <c r="K36" s="94" t="s">
        <v>537</v>
      </c>
      <c r="L36" s="2" t="s">
        <v>504</v>
      </c>
      <c r="M36" s="2"/>
      <c r="N36" s="2"/>
      <c r="O36" s="2" t="s">
        <v>1174</v>
      </c>
      <c r="P36" s="2" t="s">
        <v>1060</v>
      </c>
      <c r="Q36" s="2" t="s">
        <v>9244</v>
      </c>
      <c r="R36" s="65">
        <v>4.32</v>
      </c>
      <c r="S36" s="2" t="s">
        <v>1176</v>
      </c>
      <c r="T36" s="2" t="s">
        <v>9245</v>
      </c>
      <c r="U36" s="2" t="s">
        <v>9246</v>
      </c>
      <c r="V36" s="2" t="s">
        <v>1513</v>
      </c>
      <c r="W36" s="2" t="s">
        <v>1179</v>
      </c>
      <c r="X36" s="2" t="s">
        <v>9224</v>
      </c>
      <c r="Y36" s="33"/>
      <c r="Z36" s="9"/>
      <c r="AA36" s="2" t="s">
        <v>958</v>
      </c>
      <c r="AB36" s="2" t="s">
        <v>959</v>
      </c>
      <c r="AC36" s="2" t="s">
        <v>956</v>
      </c>
      <c r="AD36" s="2" t="s">
        <v>8686</v>
      </c>
      <c r="AE36" s="2" t="s">
        <v>6137</v>
      </c>
      <c r="AF36" s="2" t="s">
        <v>830</v>
      </c>
      <c r="AG36" s="2" t="s">
        <v>1062</v>
      </c>
      <c r="AH36" s="2" t="s">
        <v>8665</v>
      </c>
      <c r="AI36" s="2" t="str">
        <f>IF(Y36="","",Y36)</f>
        <v/>
      </c>
      <c r="AJ36" s="2" t="s">
        <v>2348</v>
      </c>
      <c r="AK36" s="2" t="s">
        <v>8594</v>
      </c>
      <c r="AL36" s="2" t="s">
        <v>8666</v>
      </c>
      <c r="AM36" s="2">
        <f>IF(AND(ISNUMBER(J36),OR(AR36="INHERITED ESTIMATE",AR36="CONFIRMED ESTIMATE")),1,0)</f>
        <v>0</v>
      </c>
      <c r="AN36" s="2"/>
      <c r="AO36" s="32" t="s">
        <v>1429</v>
      </c>
      <c r="AP36" s="32" t="s">
        <v>1418</v>
      </c>
      <c r="AQ36" s="32"/>
      <c r="AR36" s="32" t="s">
        <v>1472</v>
      </c>
      <c r="AS36" s="65" t="str">
        <f>IF(AM36=1,J36,"")</f>
        <v/>
      </c>
      <c r="AT36" s="65" t="str">
        <f>IF(AND(AM36=1,ISNUMBER(R36)),R36,"")</f>
        <v/>
      </c>
      <c r="AU36" s="2" t="s">
        <v>8034</v>
      </c>
      <c r="AV36" s="5">
        <v>8</v>
      </c>
      <c r="AW36" s="5">
        <v>14</v>
      </c>
      <c r="AX36" s="5">
        <v>24</v>
      </c>
      <c r="AY36" s="2" t="s">
        <v>8832</v>
      </c>
      <c r="AZ36" s="2" t="s">
        <v>8038</v>
      </c>
      <c r="BA36" s="2" t="s">
        <v>8037</v>
      </c>
      <c r="BB36" s="2" t="s">
        <v>8833</v>
      </c>
    </row>
    <row r="37" spans="1:54" ht="75.95" customHeight="1">
      <c r="A37" s="2" t="s">
        <v>189</v>
      </c>
      <c r="B37" s="2" t="s">
        <v>1058</v>
      </c>
      <c r="C37" s="2" t="s">
        <v>622</v>
      </c>
      <c r="D37" s="2" t="s">
        <v>9304</v>
      </c>
      <c r="E37" s="2" t="s">
        <v>8728</v>
      </c>
      <c r="F37" s="2" t="s">
        <v>9305</v>
      </c>
      <c r="G37" s="2" t="s">
        <v>8677</v>
      </c>
      <c r="H37" s="2" t="s">
        <v>9306</v>
      </c>
      <c r="I37" s="2" t="s">
        <v>9307</v>
      </c>
      <c r="J37" s="65">
        <v>12</v>
      </c>
      <c r="K37" s="94" t="s">
        <v>537</v>
      </c>
      <c r="L37" s="2" t="s">
        <v>491</v>
      </c>
      <c r="M37" s="2"/>
      <c r="N37" s="2"/>
      <c r="O37" s="2" t="s">
        <v>1174</v>
      </c>
      <c r="P37" s="2" t="s">
        <v>1060</v>
      </c>
      <c r="Q37" s="2" t="s">
        <v>9229</v>
      </c>
      <c r="R37" s="65">
        <v>7.2</v>
      </c>
      <c r="S37" s="2" t="s">
        <v>9308</v>
      </c>
      <c r="T37" s="2" t="s">
        <v>9230</v>
      </c>
      <c r="U37" s="2" t="s">
        <v>9309</v>
      </c>
      <c r="V37" s="2" t="s">
        <v>1513</v>
      </c>
      <c r="W37" s="2" t="s">
        <v>1197</v>
      </c>
      <c r="X37" s="2" t="s">
        <v>9310</v>
      </c>
      <c r="Y37" s="33"/>
      <c r="Z37" s="9"/>
      <c r="AA37" s="2" t="s">
        <v>871</v>
      </c>
      <c r="AB37" s="2" t="s">
        <v>872</v>
      </c>
      <c r="AC37" s="2" t="s">
        <v>848</v>
      </c>
      <c r="AD37" s="2" t="s">
        <v>8686</v>
      </c>
      <c r="AE37" s="2" t="s">
        <v>8722</v>
      </c>
      <c r="AF37" s="2" t="s">
        <v>830</v>
      </c>
      <c r="AG37" s="2" t="s">
        <v>1062</v>
      </c>
      <c r="AH37" s="2" t="s">
        <v>8665</v>
      </c>
      <c r="AI37" s="2" t="str">
        <f>IF(Y37="","",Y37)</f>
        <v/>
      </c>
      <c r="AJ37" s="2" t="s">
        <v>1522</v>
      </c>
      <c r="AK37" s="2" t="s">
        <v>8594</v>
      </c>
      <c r="AL37" s="2" t="s">
        <v>8666</v>
      </c>
      <c r="AM37" s="2">
        <f>IF(AND(ISNUMBER(J37),OR(AR37="INHERITED ESTIMATE",AR37="CONFIRMED ESTIMATE")),1,0)</f>
        <v>1</v>
      </c>
      <c r="AN37" s="2"/>
      <c r="AO37" s="32" t="s">
        <v>1429</v>
      </c>
      <c r="AP37" s="32" t="s">
        <v>1418</v>
      </c>
      <c r="AQ37" s="32"/>
      <c r="AR37" s="32" t="s">
        <v>1420</v>
      </c>
      <c r="AS37" s="65">
        <f>IF(AM37=1,J37,"")</f>
        <v>12</v>
      </c>
      <c r="AT37" s="65">
        <f>IF(AND(AM37=1,ISNUMBER(R37)),R37,"")</f>
        <v>7.2</v>
      </c>
      <c r="AU37" s="2" t="s">
        <v>8667</v>
      </c>
      <c r="AV37" s="5"/>
      <c r="AW37" s="5"/>
      <c r="AX37" s="5"/>
      <c r="AY37" s="2" t="s">
        <v>8668</v>
      </c>
      <c r="AZ37" s="2"/>
      <c r="BA37" s="2"/>
      <c r="BB37" s="2"/>
    </row>
    <row r="38" spans="1:54" ht="75.95" customHeight="1">
      <c r="A38" s="2" t="s">
        <v>174</v>
      </c>
      <c r="B38" s="2" t="s">
        <v>1058</v>
      </c>
      <c r="C38" s="2" t="s">
        <v>450</v>
      </c>
      <c r="D38" s="2" t="s">
        <v>9247</v>
      </c>
      <c r="E38" s="2" t="s">
        <v>9176</v>
      </c>
      <c r="F38" s="2" t="s">
        <v>9248</v>
      </c>
      <c r="G38" s="2" t="s">
        <v>8656</v>
      </c>
      <c r="H38" s="2" t="s">
        <v>1134</v>
      </c>
      <c r="I38" s="2" t="s">
        <v>1136</v>
      </c>
      <c r="J38" s="65">
        <v>12</v>
      </c>
      <c r="K38" s="94" t="s">
        <v>537</v>
      </c>
      <c r="L38" s="2" t="s">
        <v>504</v>
      </c>
      <c r="M38" s="2"/>
      <c r="N38" s="2" t="s">
        <v>237</v>
      </c>
      <c r="O38" s="2" t="s">
        <v>1174</v>
      </c>
      <c r="P38" s="2" t="s">
        <v>1060</v>
      </c>
      <c r="Q38" s="2" t="s">
        <v>9244</v>
      </c>
      <c r="R38" s="65">
        <v>4.32</v>
      </c>
      <c r="S38" s="2" t="s">
        <v>1176</v>
      </c>
      <c r="T38" s="2" t="s">
        <v>9245</v>
      </c>
      <c r="U38" s="2" t="s">
        <v>9246</v>
      </c>
      <c r="V38" s="2" t="s">
        <v>1513</v>
      </c>
      <c r="W38" s="2" t="s">
        <v>1179</v>
      </c>
      <c r="X38" s="2" t="s">
        <v>9224</v>
      </c>
      <c r="Y38" s="33"/>
      <c r="Z38" s="9"/>
      <c r="AA38" s="2" t="s">
        <v>964</v>
      </c>
      <c r="AB38" s="2" t="s">
        <v>8663</v>
      </c>
      <c r="AC38" s="2" t="s">
        <v>958</v>
      </c>
      <c r="AD38" s="2" t="s">
        <v>9196</v>
      </c>
      <c r="AE38" s="2" t="s">
        <v>6137</v>
      </c>
      <c r="AF38" s="2" t="s">
        <v>830</v>
      </c>
      <c r="AG38" s="2" t="s">
        <v>1062</v>
      </c>
      <c r="AH38" s="2" t="s">
        <v>8665</v>
      </c>
      <c r="AI38" s="2" t="str">
        <f>IF(Y38="","",Y38)</f>
        <v/>
      </c>
      <c r="AJ38" s="2" t="s">
        <v>2348</v>
      </c>
      <c r="AK38" s="2" t="s">
        <v>8594</v>
      </c>
      <c r="AL38" s="2" t="s">
        <v>8666</v>
      </c>
      <c r="AM38" s="2">
        <f>IF(AND(ISNUMBER(J38),OR(AR38="INHERITED ESTIMATE",AR38="CONFIRMED ESTIMATE")),1,0)</f>
        <v>0</v>
      </c>
      <c r="AN38" s="2"/>
      <c r="AO38" s="32" t="s">
        <v>1429</v>
      </c>
      <c r="AP38" s="32" t="s">
        <v>1418</v>
      </c>
      <c r="AQ38" s="32"/>
      <c r="AR38" s="32" t="s">
        <v>1472</v>
      </c>
      <c r="AS38" s="65" t="str">
        <f>IF(AM38=1,J38,"")</f>
        <v/>
      </c>
      <c r="AT38" s="65" t="str">
        <f>IF(AND(AM38=1,ISNUMBER(R38)),R38,"")</f>
        <v/>
      </c>
      <c r="AU38" s="2" t="s">
        <v>8041</v>
      </c>
      <c r="AV38" s="5">
        <v>8</v>
      </c>
      <c r="AW38" s="5">
        <v>16</v>
      </c>
      <c r="AX38" s="5">
        <v>28</v>
      </c>
      <c r="AY38" s="2" t="s">
        <v>8832</v>
      </c>
      <c r="AZ38" s="2" t="s">
        <v>8045</v>
      </c>
      <c r="BA38" s="2" t="s">
        <v>8044</v>
      </c>
      <c r="BB38" s="2" t="s">
        <v>8833</v>
      </c>
    </row>
    <row r="39" spans="1:54" ht="75.95" customHeight="1">
      <c r="A39" s="2" t="s">
        <v>175</v>
      </c>
      <c r="B39" s="2" t="s">
        <v>1058</v>
      </c>
      <c r="C39" s="2" t="s">
        <v>450</v>
      </c>
      <c r="D39" s="2" t="s">
        <v>9249</v>
      </c>
      <c r="E39" s="2" t="s">
        <v>9176</v>
      </c>
      <c r="F39" s="2" t="s">
        <v>9250</v>
      </c>
      <c r="G39" s="2" t="s">
        <v>8656</v>
      </c>
      <c r="H39" s="2" t="s">
        <v>9251</v>
      </c>
      <c r="I39" s="2" t="s">
        <v>9252</v>
      </c>
      <c r="J39" s="65">
        <v>12</v>
      </c>
      <c r="K39" s="94" t="s">
        <v>537</v>
      </c>
      <c r="L39" s="2" t="s">
        <v>451</v>
      </c>
      <c r="M39" s="2"/>
      <c r="N39" s="2" t="s">
        <v>237</v>
      </c>
      <c r="O39" s="2" t="s">
        <v>1174</v>
      </c>
      <c r="P39" s="2" t="s">
        <v>1060</v>
      </c>
      <c r="Q39" s="2" t="s">
        <v>9229</v>
      </c>
      <c r="R39" s="65">
        <v>7.2</v>
      </c>
      <c r="S39" s="2" t="s">
        <v>1176</v>
      </c>
      <c r="T39" s="2" t="s">
        <v>9230</v>
      </c>
      <c r="U39" s="2" t="s">
        <v>9231</v>
      </c>
      <c r="V39" s="2" t="s">
        <v>1513</v>
      </c>
      <c r="W39" s="2" t="s">
        <v>1179</v>
      </c>
      <c r="X39" s="2" t="s">
        <v>9224</v>
      </c>
      <c r="Y39" s="33"/>
      <c r="Z39" s="9"/>
      <c r="AA39" s="2" t="s">
        <v>962</v>
      </c>
      <c r="AB39" s="2" t="s">
        <v>963</v>
      </c>
      <c r="AC39" s="2"/>
      <c r="AD39" s="2" t="s">
        <v>8686</v>
      </c>
      <c r="AE39" s="2" t="s">
        <v>8676</v>
      </c>
      <c r="AF39" s="2" t="s">
        <v>830</v>
      </c>
      <c r="AG39" s="2" t="s">
        <v>1062</v>
      </c>
      <c r="AH39" s="2" t="s">
        <v>8665</v>
      </c>
      <c r="AI39" s="2" t="str">
        <f>IF(Y39="","",Y39)</f>
        <v/>
      </c>
      <c r="AJ39" s="2" t="s">
        <v>1522</v>
      </c>
      <c r="AK39" s="2" t="s">
        <v>8594</v>
      </c>
      <c r="AL39" s="2" t="s">
        <v>8666</v>
      </c>
      <c r="AM39" s="2">
        <f>IF(AND(ISNUMBER(J39),OR(AR39="INHERITED ESTIMATE",AR39="CONFIRMED ESTIMATE")),1,0)</f>
        <v>1</v>
      </c>
      <c r="AN39" s="2"/>
      <c r="AO39" s="32" t="s">
        <v>1429</v>
      </c>
      <c r="AP39" s="32" t="s">
        <v>1418</v>
      </c>
      <c r="AQ39" s="32"/>
      <c r="AR39" s="32" t="s">
        <v>1420</v>
      </c>
      <c r="AS39" s="65">
        <f>IF(AM39=1,J39,"")</f>
        <v>12</v>
      </c>
      <c r="AT39" s="65">
        <f>IF(AND(AM39=1,ISNUMBER(R39)),R39,"")</f>
        <v>7.2</v>
      </c>
      <c r="AU39" s="2" t="s">
        <v>8667</v>
      </c>
      <c r="AV39" s="5"/>
      <c r="AW39" s="5"/>
      <c r="AX39" s="5"/>
      <c r="AY39" s="2" t="s">
        <v>8668</v>
      </c>
      <c r="AZ39" s="2"/>
      <c r="BA39" s="2"/>
      <c r="BB39" s="2"/>
    </row>
    <row r="40" spans="1:54" ht="75.95" customHeight="1">
      <c r="A40" s="2" t="s">
        <v>181</v>
      </c>
      <c r="B40" s="2" t="s">
        <v>1058</v>
      </c>
      <c r="C40" s="2" t="s">
        <v>524</v>
      </c>
      <c r="D40" s="2" t="s">
        <v>9272</v>
      </c>
      <c r="E40" s="2" t="s">
        <v>8687</v>
      </c>
      <c r="F40" s="2" t="s">
        <v>9160</v>
      </c>
      <c r="G40" s="2" t="s">
        <v>8677</v>
      </c>
      <c r="H40" s="2" t="s">
        <v>9273</v>
      </c>
      <c r="I40" s="2" t="s">
        <v>9274</v>
      </c>
      <c r="J40" s="65">
        <v>12</v>
      </c>
      <c r="K40" s="94" t="s">
        <v>537</v>
      </c>
      <c r="L40" s="2" t="s">
        <v>451</v>
      </c>
      <c r="M40" s="2"/>
      <c r="N40" s="2" t="s">
        <v>237</v>
      </c>
      <c r="O40" s="2" t="s">
        <v>1174</v>
      </c>
      <c r="P40" s="2" t="s">
        <v>1060</v>
      </c>
      <c r="Q40" s="2" t="s">
        <v>9229</v>
      </c>
      <c r="R40" s="65">
        <v>7.2</v>
      </c>
      <c r="S40" s="2" t="s">
        <v>9257</v>
      </c>
      <c r="T40" s="2" t="s">
        <v>9230</v>
      </c>
      <c r="U40" s="2" t="s">
        <v>9231</v>
      </c>
      <c r="V40" s="2" t="s">
        <v>1513</v>
      </c>
      <c r="W40" s="2" t="s">
        <v>9258</v>
      </c>
      <c r="X40" s="2" t="s">
        <v>9259</v>
      </c>
      <c r="Y40" s="33"/>
      <c r="Z40" s="9"/>
      <c r="AA40" s="2" t="s">
        <v>932</v>
      </c>
      <c r="AB40" s="2" t="s">
        <v>934</v>
      </c>
      <c r="AC40" s="2"/>
      <c r="AD40" s="2" t="s">
        <v>8802</v>
      </c>
      <c r="AE40" s="2" t="s">
        <v>8696</v>
      </c>
      <c r="AF40" s="2" t="s">
        <v>830</v>
      </c>
      <c r="AG40" s="2" t="s">
        <v>1062</v>
      </c>
      <c r="AH40" s="2" t="s">
        <v>8665</v>
      </c>
      <c r="AI40" s="2" t="str">
        <f>IF(Y40="","",Y40)</f>
        <v/>
      </c>
      <c r="AJ40" s="2" t="s">
        <v>1522</v>
      </c>
      <c r="AK40" s="2" t="s">
        <v>8594</v>
      </c>
      <c r="AL40" s="2" t="s">
        <v>8666</v>
      </c>
      <c r="AM40" s="2">
        <f>IF(AND(ISNUMBER(J40),OR(AR40="INHERITED ESTIMATE",AR40="CONFIRMED ESTIMATE")),1,0)</f>
        <v>1</v>
      </c>
      <c r="AN40" s="2"/>
      <c r="AO40" s="32" t="s">
        <v>1429</v>
      </c>
      <c r="AP40" s="32" t="s">
        <v>1418</v>
      </c>
      <c r="AQ40" s="32"/>
      <c r="AR40" s="32" t="s">
        <v>1420</v>
      </c>
      <c r="AS40" s="65">
        <f>IF(AM40=1,J40,"")</f>
        <v>12</v>
      </c>
      <c r="AT40" s="65">
        <f>IF(AND(AM40=1,ISNUMBER(R40)),R40,"")</f>
        <v>7.2</v>
      </c>
      <c r="AU40" s="2" t="s">
        <v>8667</v>
      </c>
      <c r="AV40" s="5"/>
      <c r="AW40" s="5"/>
      <c r="AX40" s="5"/>
      <c r="AY40" s="2" t="s">
        <v>8668</v>
      </c>
      <c r="AZ40" s="2"/>
      <c r="BA40" s="2"/>
      <c r="BB40" s="2"/>
    </row>
    <row r="41" spans="1:54" ht="75.95" customHeight="1">
      <c r="A41" s="2" t="s">
        <v>182</v>
      </c>
      <c r="B41" s="2" t="s">
        <v>1058</v>
      </c>
      <c r="C41" s="2" t="s">
        <v>524</v>
      </c>
      <c r="D41" s="2" t="s">
        <v>9275</v>
      </c>
      <c r="E41" s="2" t="s">
        <v>9176</v>
      </c>
      <c r="F41" s="2" t="s">
        <v>9160</v>
      </c>
      <c r="G41" s="2" t="s">
        <v>8656</v>
      </c>
      <c r="H41" s="2" t="s">
        <v>9276</v>
      </c>
      <c r="I41" s="2" t="s">
        <v>9277</v>
      </c>
      <c r="J41" s="65">
        <v>12</v>
      </c>
      <c r="K41" s="94" t="s">
        <v>537</v>
      </c>
      <c r="L41" s="2" t="s">
        <v>451</v>
      </c>
      <c r="M41" s="2"/>
      <c r="N41" s="2" t="s">
        <v>237</v>
      </c>
      <c r="O41" s="2" t="s">
        <v>1174</v>
      </c>
      <c r="P41" s="2" t="s">
        <v>1060</v>
      </c>
      <c r="Q41" s="2" t="s">
        <v>9229</v>
      </c>
      <c r="R41" s="65">
        <v>7.2</v>
      </c>
      <c r="S41" s="2" t="s">
        <v>9257</v>
      </c>
      <c r="T41" s="2" t="s">
        <v>9230</v>
      </c>
      <c r="U41" s="2" t="s">
        <v>9231</v>
      </c>
      <c r="V41" s="2" t="s">
        <v>1513</v>
      </c>
      <c r="W41" s="2" t="s">
        <v>9258</v>
      </c>
      <c r="X41" s="2" t="s">
        <v>9259</v>
      </c>
      <c r="Y41" s="33"/>
      <c r="Z41" s="9"/>
      <c r="AA41" s="2" t="s">
        <v>935</v>
      </c>
      <c r="AB41" s="2" t="s">
        <v>936</v>
      </c>
      <c r="AC41" s="2" t="s">
        <v>941</v>
      </c>
      <c r="AD41" s="2" t="s">
        <v>8802</v>
      </c>
      <c r="AE41" s="2" t="s">
        <v>6137</v>
      </c>
      <c r="AF41" s="2" t="s">
        <v>830</v>
      </c>
      <c r="AG41" s="2" t="s">
        <v>1062</v>
      </c>
      <c r="AH41" s="2" t="s">
        <v>8665</v>
      </c>
      <c r="AI41" s="2" t="str">
        <f>IF(Y41="","",Y41)</f>
        <v/>
      </c>
      <c r="AJ41" s="2" t="s">
        <v>1522</v>
      </c>
      <c r="AK41" s="2" t="s">
        <v>8594</v>
      </c>
      <c r="AL41" s="2" t="s">
        <v>8666</v>
      </c>
      <c r="AM41" s="2">
        <f>IF(AND(ISNUMBER(J41),OR(AR41="INHERITED ESTIMATE",AR41="CONFIRMED ESTIMATE")),1,0)</f>
        <v>1</v>
      </c>
      <c r="AN41" s="2"/>
      <c r="AO41" s="32" t="s">
        <v>1429</v>
      </c>
      <c r="AP41" s="32" t="s">
        <v>1418</v>
      </c>
      <c r="AQ41" s="32"/>
      <c r="AR41" s="32" t="s">
        <v>1420</v>
      </c>
      <c r="AS41" s="65">
        <f>IF(AM41=1,J41,"")</f>
        <v>12</v>
      </c>
      <c r="AT41" s="65">
        <f>IF(AND(AM41=1,ISNUMBER(R41)),R41,"")</f>
        <v>7.2</v>
      </c>
      <c r="AU41" s="2" t="s">
        <v>8667</v>
      </c>
      <c r="AV41" s="5"/>
      <c r="AW41" s="5"/>
      <c r="AX41" s="5"/>
      <c r="AY41" s="2" t="s">
        <v>8668</v>
      </c>
      <c r="AZ41" s="2"/>
      <c r="BA41" s="2"/>
      <c r="BB41" s="2"/>
    </row>
    <row r="42" spans="1:54" ht="75.95" customHeight="1">
      <c r="A42" s="2" t="s">
        <v>176</v>
      </c>
      <c r="B42" s="2" t="s">
        <v>1058</v>
      </c>
      <c r="C42" s="2" t="s">
        <v>450</v>
      </c>
      <c r="D42" s="2" t="s">
        <v>9253</v>
      </c>
      <c r="E42" s="2" t="s">
        <v>9176</v>
      </c>
      <c r="F42" s="2" t="s">
        <v>9182</v>
      </c>
      <c r="G42" s="2" t="s">
        <v>8677</v>
      </c>
      <c r="H42" s="2" t="s">
        <v>9254</v>
      </c>
      <c r="I42" s="2" t="s">
        <v>9255</v>
      </c>
      <c r="J42" s="65">
        <v>12</v>
      </c>
      <c r="K42" s="94" t="s">
        <v>537</v>
      </c>
      <c r="L42" s="2" t="s">
        <v>451</v>
      </c>
      <c r="M42" s="2"/>
      <c r="N42" s="2" t="s">
        <v>237</v>
      </c>
      <c r="O42" s="2" t="s">
        <v>1174</v>
      </c>
      <c r="P42" s="2" t="s">
        <v>1060</v>
      </c>
      <c r="Q42" s="2" t="s">
        <v>9229</v>
      </c>
      <c r="R42" s="65">
        <v>7.2</v>
      </c>
      <c r="S42" s="2" t="s">
        <v>1176</v>
      </c>
      <c r="T42" s="2" t="s">
        <v>9230</v>
      </c>
      <c r="U42" s="2" t="s">
        <v>9231</v>
      </c>
      <c r="V42" s="2" t="s">
        <v>1513</v>
      </c>
      <c r="W42" s="2" t="s">
        <v>1179</v>
      </c>
      <c r="X42" s="2" t="s">
        <v>9224</v>
      </c>
      <c r="Y42" s="33"/>
      <c r="Z42" s="9"/>
      <c r="AA42" s="2" t="s">
        <v>960</v>
      </c>
      <c r="AB42" s="2" t="s">
        <v>961</v>
      </c>
      <c r="AC42" s="2"/>
      <c r="AD42" s="2" t="s">
        <v>8686</v>
      </c>
      <c r="AE42" s="2" t="s">
        <v>6137</v>
      </c>
      <c r="AF42" s="2" t="s">
        <v>830</v>
      </c>
      <c r="AG42" s="2" t="s">
        <v>1062</v>
      </c>
      <c r="AH42" s="2" t="s">
        <v>8665</v>
      </c>
      <c r="AI42" s="2" t="str">
        <f>IF(Y42="","",Y42)</f>
        <v/>
      </c>
      <c r="AJ42" s="2" t="s">
        <v>1522</v>
      </c>
      <c r="AK42" s="2" t="s">
        <v>8594</v>
      </c>
      <c r="AL42" s="2" t="s">
        <v>8666</v>
      </c>
      <c r="AM42" s="2">
        <f>IF(AND(ISNUMBER(J42),OR(AR42="INHERITED ESTIMATE",AR42="CONFIRMED ESTIMATE")),1,0)</f>
        <v>1</v>
      </c>
      <c r="AN42" s="2"/>
      <c r="AO42" s="32" t="s">
        <v>1429</v>
      </c>
      <c r="AP42" s="32" t="s">
        <v>1418</v>
      </c>
      <c r="AQ42" s="32"/>
      <c r="AR42" s="32" t="s">
        <v>1420</v>
      </c>
      <c r="AS42" s="65">
        <f>IF(AM42=1,J42,"")</f>
        <v>12</v>
      </c>
      <c r="AT42" s="65">
        <f>IF(AND(AM42=1,ISNUMBER(R42)),R42,"")</f>
        <v>7.2</v>
      </c>
      <c r="AU42" s="2" t="s">
        <v>8667</v>
      </c>
      <c r="AV42" s="5"/>
      <c r="AW42" s="5"/>
      <c r="AX42" s="5"/>
      <c r="AY42" s="2" t="s">
        <v>8668</v>
      </c>
      <c r="AZ42" s="2"/>
      <c r="BA42" s="2"/>
      <c r="BB42" s="2"/>
    </row>
    <row r="43" spans="1:54" ht="75.95" customHeight="1">
      <c r="A43" s="2" t="s">
        <v>190</v>
      </c>
      <c r="B43" s="2" t="s">
        <v>1058</v>
      </c>
      <c r="C43" s="2" t="s">
        <v>622</v>
      </c>
      <c r="D43" s="2" t="s">
        <v>9311</v>
      </c>
      <c r="E43" s="2" t="s">
        <v>9312</v>
      </c>
      <c r="F43" s="2" t="s">
        <v>9313</v>
      </c>
      <c r="G43" s="2" t="s">
        <v>8943</v>
      </c>
      <c r="H43" s="2" t="s">
        <v>9314</v>
      </c>
      <c r="I43" s="2" t="s">
        <v>9315</v>
      </c>
      <c r="J43" s="65">
        <v>12</v>
      </c>
      <c r="K43" s="94" t="s">
        <v>537</v>
      </c>
      <c r="L43" s="2" t="s">
        <v>491</v>
      </c>
      <c r="M43" s="2"/>
      <c r="N43" s="2"/>
      <c r="O43" s="2" t="s">
        <v>1174</v>
      </c>
      <c r="P43" s="2" t="s">
        <v>1060</v>
      </c>
      <c r="Q43" s="2" t="s">
        <v>9229</v>
      </c>
      <c r="R43" s="65">
        <v>7.2</v>
      </c>
      <c r="S43" s="2" t="s">
        <v>9308</v>
      </c>
      <c r="T43" s="2" t="s">
        <v>9230</v>
      </c>
      <c r="U43" s="2" t="s">
        <v>9309</v>
      </c>
      <c r="V43" s="2" t="s">
        <v>1513</v>
      </c>
      <c r="W43" s="2" t="s">
        <v>1197</v>
      </c>
      <c r="X43" s="2" t="s">
        <v>9310</v>
      </c>
      <c r="Y43" s="33"/>
      <c r="Z43" s="9"/>
      <c r="AA43" s="2" t="s">
        <v>9316</v>
      </c>
      <c r="AB43" s="2" t="s">
        <v>9317</v>
      </c>
      <c r="AC43" s="2"/>
      <c r="AD43" s="2" t="s">
        <v>8686</v>
      </c>
      <c r="AE43" s="2" t="s">
        <v>6137</v>
      </c>
      <c r="AF43" s="2" t="s">
        <v>9318</v>
      </c>
      <c r="AG43" s="2" t="s">
        <v>1062</v>
      </c>
      <c r="AH43" s="2" t="s">
        <v>9214</v>
      </c>
      <c r="AI43" s="2" t="str">
        <f>IF(Y43="","",Y43)</f>
        <v/>
      </c>
      <c r="AJ43" s="2" t="s">
        <v>1522</v>
      </c>
      <c r="AK43" s="2" t="s">
        <v>8594</v>
      </c>
      <c r="AL43" s="2" t="s">
        <v>8666</v>
      </c>
      <c r="AM43" s="2">
        <f>IF(AND(ISNUMBER(J43),OR(AR43="INHERITED ESTIMATE",AR43="CONFIRMED ESTIMATE")),1,0)</f>
        <v>1</v>
      </c>
      <c r="AN43" s="2"/>
      <c r="AO43" s="32" t="s">
        <v>1429</v>
      </c>
      <c r="AP43" s="32" t="s">
        <v>1418</v>
      </c>
      <c r="AQ43" s="32"/>
      <c r="AR43" s="32" t="s">
        <v>1420</v>
      </c>
      <c r="AS43" s="65">
        <f>IF(AM43=1,J43,"")</f>
        <v>12</v>
      </c>
      <c r="AT43" s="65">
        <f>IF(AND(AM43=1,ISNUMBER(R43)),R43,"")</f>
        <v>7.2</v>
      </c>
      <c r="AU43" s="2" t="s">
        <v>8667</v>
      </c>
      <c r="AV43" s="5"/>
      <c r="AW43" s="5"/>
      <c r="AX43" s="5"/>
      <c r="AY43" s="2" t="s">
        <v>8668</v>
      </c>
      <c r="AZ43" s="2"/>
      <c r="BA43" s="2"/>
      <c r="BB43" s="2"/>
    </row>
    <row r="44" spans="1:54" ht="75.95" customHeight="1">
      <c r="A44" s="2" t="s">
        <v>183</v>
      </c>
      <c r="B44" s="2" t="s">
        <v>1058</v>
      </c>
      <c r="C44" s="2" t="s">
        <v>524</v>
      </c>
      <c r="D44" s="2" t="s">
        <v>9278</v>
      </c>
      <c r="E44" s="2" t="s">
        <v>8687</v>
      </c>
      <c r="F44" s="2" t="s">
        <v>9279</v>
      </c>
      <c r="G44" s="2" t="s">
        <v>8677</v>
      </c>
      <c r="H44" s="2" t="s">
        <v>9280</v>
      </c>
      <c r="I44" s="2" t="s">
        <v>9281</v>
      </c>
      <c r="J44" s="65">
        <v>6</v>
      </c>
      <c r="K44" s="94" t="s">
        <v>537</v>
      </c>
      <c r="L44" s="2" t="s">
        <v>451</v>
      </c>
      <c r="M44" s="2" t="s">
        <v>1532</v>
      </c>
      <c r="N44" s="2"/>
      <c r="O44" s="2" t="s">
        <v>1174</v>
      </c>
      <c r="P44" s="2" t="s">
        <v>1060</v>
      </c>
      <c r="Q44" s="2" t="s">
        <v>8691</v>
      </c>
      <c r="R44" s="65">
        <v>0.89999999999999991</v>
      </c>
      <c r="S44" s="2" t="s">
        <v>9257</v>
      </c>
      <c r="T44" s="2" t="s">
        <v>3149</v>
      </c>
      <c r="U44" s="2" t="s">
        <v>8661</v>
      </c>
      <c r="V44" s="2" t="s">
        <v>1513</v>
      </c>
      <c r="W44" s="2" t="s">
        <v>9258</v>
      </c>
      <c r="X44" s="2" t="s">
        <v>9259</v>
      </c>
      <c r="Y44" s="33"/>
      <c r="Z44" s="9"/>
      <c r="AA44" s="2" t="s">
        <v>964</v>
      </c>
      <c r="AB44" s="2" t="s">
        <v>8663</v>
      </c>
      <c r="AC44" s="2"/>
      <c r="AD44" s="2" t="s">
        <v>8675</v>
      </c>
      <c r="AE44" s="2" t="s">
        <v>8696</v>
      </c>
      <c r="AF44" s="2" t="s">
        <v>830</v>
      </c>
      <c r="AG44" s="2" t="s">
        <v>1062</v>
      </c>
      <c r="AH44" s="2" t="s">
        <v>8665</v>
      </c>
      <c r="AI44" s="2" t="str">
        <f>IF(Y44="","",Y44)</f>
        <v/>
      </c>
      <c r="AJ44" s="2" t="s">
        <v>1522</v>
      </c>
      <c r="AK44" s="2" t="s">
        <v>8594</v>
      </c>
      <c r="AL44" s="2" t="s">
        <v>8666</v>
      </c>
      <c r="AM44" s="2">
        <f>IF(AND(ISNUMBER(J44),OR(AR44="INHERITED ESTIMATE",AR44="CONFIRMED ESTIMATE")),1,0)</f>
        <v>1</v>
      </c>
      <c r="AN44" s="2"/>
      <c r="AO44" s="32" t="s">
        <v>1429</v>
      </c>
      <c r="AP44" s="32" t="s">
        <v>1418</v>
      </c>
      <c r="AQ44" s="32"/>
      <c r="AR44" s="32" t="s">
        <v>1420</v>
      </c>
      <c r="AS44" s="65">
        <f>IF(AM44=1,J44,"")</f>
        <v>6</v>
      </c>
      <c r="AT44" s="65">
        <f>IF(AND(AM44=1,ISNUMBER(R44)),R44,"")</f>
        <v>0.89999999999999991</v>
      </c>
      <c r="AU44" s="2" t="s">
        <v>8667</v>
      </c>
      <c r="AV44" s="5"/>
      <c r="AW44" s="5"/>
      <c r="AX44" s="5"/>
      <c r="AY44" s="2" t="s">
        <v>8668</v>
      </c>
      <c r="AZ44" s="2"/>
      <c r="BA44" s="2"/>
      <c r="BB44" s="2"/>
    </row>
    <row r="45" spans="1:54" ht="75.95" customHeight="1">
      <c r="A45" s="2" t="s">
        <v>184</v>
      </c>
      <c r="B45" s="2" t="s">
        <v>1058</v>
      </c>
      <c r="C45" s="2" t="s">
        <v>524</v>
      </c>
      <c r="D45" s="2" t="s">
        <v>9282</v>
      </c>
      <c r="E45" s="2" t="s">
        <v>8728</v>
      </c>
      <c r="F45" s="2" t="s">
        <v>9283</v>
      </c>
      <c r="G45" s="2" t="s">
        <v>8677</v>
      </c>
      <c r="H45" s="2" t="s">
        <v>9284</v>
      </c>
      <c r="I45" s="2" t="s">
        <v>9285</v>
      </c>
      <c r="J45" s="65">
        <v>8</v>
      </c>
      <c r="K45" s="94" t="s">
        <v>537</v>
      </c>
      <c r="L45" s="2" t="s">
        <v>491</v>
      </c>
      <c r="M45" s="2" t="s">
        <v>1533</v>
      </c>
      <c r="N45" s="2" t="s">
        <v>179</v>
      </c>
      <c r="O45" s="2" t="s">
        <v>1174</v>
      </c>
      <c r="P45" s="2" t="s">
        <v>1060</v>
      </c>
      <c r="Q45" s="2" t="s">
        <v>8840</v>
      </c>
      <c r="R45" s="65">
        <v>1.3333333333333333</v>
      </c>
      <c r="S45" s="2" t="s">
        <v>9257</v>
      </c>
      <c r="T45" s="2" t="s">
        <v>3159</v>
      </c>
      <c r="U45" s="2" t="s">
        <v>8841</v>
      </c>
      <c r="V45" s="2" t="s">
        <v>1513</v>
      </c>
      <c r="W45" s="2" t="s">
        <v>9258</v>
      </c>
      <c r="X45" s="2" t="s">
        <v>9259</v>
      </c>
      <c r="Y45" s="33"/>
      <c r="Z45" s="9"/>
      <c r="AA45" s="2" t="s">
        <v>901</v>
      </c>
      <c r="AB45" s="2" t="s">
        <v>902</v>
      </c>
      <c r="AC45" s="2"/>
      <c r="AD45" s="2" t="s">
        <v>8686</v>
      </c>
      <c r="AE45" s="2" t="s">
        <v>8722</v>
      </c>
      <c r="AF45" s="2" t="s">
        <v>830</v>
      </c>
      <c r="AG45" s="2" t="s">
        <v>1062</v>
      </c>
      <c r="AH45" s="2" t="s">
        <v>8665</v>
      </c>
      <c r="AI45" s="2" t="str">
        <f>IF(Y45="","",Y45)</f>
        <v/>
      </c>
      <c r="AJ45" s="2" t="s">
        <v>1522</v>
      </c>
      <c r="AK45" s="2" t="s">
        <v>8594</v>
      </c>
      <c r="AL45" s="2" t="s">
        <v>8666</v>
      </c>
      <c r="AM45" s="2">
        <f>IF(AND(ISNUMBER(J45),OR(AR45="INHERITED ESTIMATE",AR45="CONFIRMED ESTIMATE")),1,0)</f>
        <v>1</v>
      </c>
      <c r="AN45" s="2"/>
      <c r="AO45" s="32" t="s">
        <v>1429</v>
      </c>
      <c r="AP45" s="32" t="s">
        <v>1418</v>
      </c>
      <c r="AQ45" s="32"/>
      <c r="AR45" s="32" t="s">
        <v>1420</v>
      </c>
      <c r="AS45" s="65">
        <f>IF(AM45=1,J45,"")</f>
        <v>8</v>
      </c>
      <c r="AT45" s="65">
        <f>IF(AND(AM45=1,ISNUMBER(R45)),R45,"")</f>
        <v>1.3333333333333333</v>
      </c>
      <c r="AU45" s="2" t="s">
        <v>8667</v>
      </c>
      <c r="AV45" s="5"/>
      <c r="AW45" s="5"/>
      <c r="AX45" s="5"/>
      <c r="AY45" s="2" t="s">
        <v>8668</v>
      </c>
      <c r="AZ45" s="2"/>
      <c r="BA45" s="2"/>
      <c r="BB45" s="2"/>
    </row>
    <row r="46" spans="1:54" ht="75.95" customHeight="1">
      <c r="A46" s="2" t="s">
        <v>185</v>
      </c>
      <c r="B46" s="2" t="s">
        <v>1058</v>
      </c>
      <c r="C46" s="2" t="s">
        <v>524</v>
      </c>
      <c r="D46" s="2" t="s">
        <v>9286</v>
      </c>
      <c r="E46" s="2" t="s">
        <v>9287</v>
      </c>
      <c r="F46" s="2" t="s">
        <v>9288</v>
      </c>
      <c r="G46" s="2" t="s">
        <v>8677</v>
      </c>
      <c r="H46" s="2" t="s">
        <v>9289</v>
      </c>
      <c r="I46" s="2" t="s">
        <v>9290</v>
      </c>
      <c r="J46" s="65">
        <v>10</v>
      </c>
      <c r="K46" s="94" t="s">
        <v>537</v>
      </c>
      <c r="L46" s="2" t="s">
        <v>491</v>
      </c>
      <c r="M46" s="2" t="s">
        <v>1534</v>
      </c>
      <c r="N46" s="2" t="s">
        <v>179</v>
      </c>
      <c r="O46" s="2" t="s">
        <v>1174</v>
      </c>
      <c r="P46" s="2" t="s">
        <v>1060</v>
      </c>
      <c r="Q46" s="2" t="s">
        <v>9291</v>
      </c>
      <c r="R46" s="65">
        <v>2.285714285714286</v>
      </c>
      <c r="S46" s="2" t="s">
        <v>9257</v>
      </c>
      <c r="T46" s="2" t="s">
        <v>3169</v>
      </c>
      <c r="U46" s="2" t="s">
        <v>8841</v>
      </c>
      <c r="V46" s="2" t="s">
        <v>1513</v>
      </c>
      <c r="W46" s="2" t="s">
        <v>9258</v>
      </c>
      <c r="X46" s="2" t="s">
        <v>9259</v>
      </c>
      <c r="Y46" s="33"/>
      <c r="Z46" s="9"/>
      <c r="AA46" s="2" t="s">
        <v>922</v>
      </c>
      <c r="AB46" s="2" t="s">
        <v>923</v>
      </c>
      <c r="AC46" s="2"/>
      <c r="AD46" s="2" t="s">
        <v>8686</v>
      </c>
      <c r="AE46" s="2" t="s">
        <v>8971</v>
      </c>
      <c r="AF46" s="2" t="s">
        <v>830</v>
      </c>
      <c r="AG46" s="2" t="s">
        <v>1062</v>
      </c>
      <c r="AH46" s="2" t="s">
        <v>8665</v>
      </c>
      <c r="AI46" s="2" t="str">
        <f>IF(Y46="","",Y46)</f>
        <v/>
      </c>
      <c r="AJ46" s="2" t="s">
        <v>1522</v>
      </c>
      <c r="AK46" s="2" t="s">
        <v>8594</v>
      </c>
      <c r="AL46" s="2" t="s">
        <v>8666</v>
      </c>
      <c r="AM46" s="2">
        <f>IF(AND(ISNUMBER(J46),OR(AR46="INHERITED ESTIMATE",AR46="CONFIRMED ESTIMATE")),1,0)</f>
        <v>1</v>
      </c>
      <c r="AN46" s="2"/>
      <c r="AO46" s="32" t="s">
        <v>1429</v>
      </c>
      <c r="AP46" s="32" t="s">
        <v>1418</v>
      </c>
      <c r="AQ46" s="32"/>
      <c r="AR46" s="32" t="s">
        <v>1420</v>
      </c>
      <c r="AS46" s="65">
        <f>IF(AM46=1,J46,"")</f>
        <v>10</v>
      </c>
      <c r="AT46" s="65">
        <f>IF(AND(AM46=1,ISNUMBER(R46)),R46,"")</f>
        <v>2.285714285714286</v>
      </c>
      <c r="AU46" s="2" t="s">
        <v>8667</v>
      </c>
      <c r="AV46" s="5"/>
      <c r="AW46" s="5"/>
      <c r="AX46" s="5"/>
      <c r="AY46" s="2" t="s">
        <v>8668</v>
      </c>
      <c r="AZ46" s="2"/>
      <c r="BA46" s="2"/>
      <c r="BB46" s="2"/>
    </row>
    <row r="47" spans="1:54" ht="75.95" customHeight="1">
      <c r="A47" s="2" t="s">
        <v>186</v>
      </c>
      <c r="B47" s="2" t="s">
        <v>1058</v>
      </c>
      <c r="C47" s="2" t="s">
        <v>524</v>
      </c>
      <c r="D47" s="2" t="s">
        <v>9292</v>
      </c>
      <c r="E47" s="2" t="s">
        <v>9287</v>
      </c>
      <c r="F47" s="2" t="s">
        <v>9293</v>
      </c>
      <c r="G47" s="2" t="s">
        <v>8656</v>
      </c>
      <c r="H47" s="2" t="s">
        <v>9294</v>
      </c>
      <c r="I47" s="2" t="s">
        <v>9295</v>
      </c>
      <c r="J47" s="65">
        <v>12</v>
      </c>
      <c r="K47" s="94" t="s">
        <v>537</v>
      </c>
      <c r="L47" s="2" t="s">
        <v>491</v>
      </c>
      <c r="M47" s="2" t="s">
        <v>1535</v>
      </c>
      <c r="N47" s="2" t="s">
        <v>1536</v>
      </c>
      <c r="O47" s="2" t="s">
        <v>1174</v>
      </c>
      <c r="P47" s="2" t="s">
        <v>1060</v>
      </c>
      <c r="Q47" s="2" t="s">
        <v>9291</v>
      </c>
      <c r="R47" s="65">
        <v>2.7428571428571429</v>
      </c>
      <c r="S47" s="2" t="s">
        <v>9257</v>
      </c>
      <c r="T47" s="2" t="s">
        <v>3179</v>
      </c>
      <c r="U47" s="2" t="s">
        <v>8841</v>
      </c>
      <c r="V47" s="2" t="s">
        <v>1513</v>
      </c>
      <c r="W47" s="2" t="s">
        <v>9258</v>
      </c>
      <c r="X47" s="2" t="s">
        <v>9259</v>
      </c>
      <c r="Y47" s="33"/>
      <c r="Z47" s="9"/>
      <c r="AA47" s="2" t="s">
        <v>926</v>
      </c>
      <c r="AB47" s="2" t="s">
        <v>927</v>
      </c>
      <c r="AC47" s="2"/>
      <c r="AD47" s="2" t="s">
        <v>8686</v>
      </c>
      <c r="AE47" s="2" t="s">
        <v>8971</v>
      </c>
      <c r="AF47" s="2" t="s">
        <v>830</v>
      </c>
      <c r="AG47" s="2" t="s">
        <v>1062</v>
      </c>
      <c r="AH47" s="2" t="s">
        <v>8665</v>
      </c>
      <c r="AI47" s="2" t="str">
        <f>IF(Y47="","",Y47)</f>
        <v/>
      </c>
      <c r="AJ47" s="2" t="s">
        <v>1522</v>
      </c>
      <c r="AK47" s="2" t="s">
        <v>8594</v>
      </c>
      <c r="AL47" s="2" t="s">
        <v>8666</v>
      </c>
      <c r="AM47" s="2">
        <f>IF(AND(ISNUMBER(J47),OR(AR47="INHERITED ESTIMATE",AR47="CONFIRMED ESTIMATE")),1,0)</f>
        <v>1</v>
      </c>
      <c r="AN47" s="2"/>
      <c r="AO47" s="32" t="s">
        <v>1429</v>
      </c>
      <c r="AP47" s="32" t="s">
        <v>1418</v>
      </c>
      <c r="AQ47" s="32"/>
      <c r="AR47" s="32" t="s">
        <v>1420</v>
      </c>
      <c r="AS47" s="65">
        <f>IF(AM47=1,J47,"")</f>
        <v>12</v>
      </c>
      <c r="AT47" s="65">
        <f>IF(AND(AM47=1,ISNUMBER(R47)),R47,"")</f>
        <v>2.7428571428571429</v>
      </c>
      <c r="AU47" s="2" t="s">
        <v>8667</v>
      </c>
      <c r="AV47" s="5"/>
      <c r="AW47" s="5"/>
      <c r="AX47" s="5"/>
      <c r="AY47" s="2" t="s">
        <v>8668</v>
      </c>
      <c r="AZ47" s="2"/>
      <c r="BA47" s="2"/>
      <c r="BB47" s="2"/>
    </row>
    <row r="48" spans="1:54" ht="75.95" customHeight="1">
      <c r="A48" s="2" t="s">
        <v>187</v>
      </c>
      <c r="B48" s="2" t="s">
        <v>1058</v>
      </c>
      <c r="C48" s="2" t="s">
        <v>524</v>
      </c>
      <c r="D48" s="2" t="s">
        <v>9296</v>
      </c>
      <c r="E48" s="2" t="s">
        <v>9287</v>
      </c>
      <c r="F48" s="2" t="s">
        <v>9297</v>
      </c>
      <c r="G48" s="2" t="s">
        <v>8656</v>
      </c>
      <c r="H48" s="2" t="s">
        <v>9298</v>
      </c>
      <c r="I48" s="2" t="s">
        <v>9299</v>
      </c>
      <c r="J48" s="65">
        <v>12</v>
      </c>
      <c r="K48" s="94" t="s">
        <v>537</v>
      </c>
      <c r="L48" s="2" t="s">
        <v>491</v>
      </c>
      <c r="M48" s="2" t="s">
        <v>1537</v>
      </c>
      <c r="N48" s="2" t="s">
        <v>179</v>
      </c>
      <c r="O48" s="2" t="s">
        <v>1174</v>
      </c>
      <c r="P48" s="2" t="s">
        <v>1060</v>
      </c>
      <c r="Q48" s="2" t="s">
        <v>9291</v>
      </c>
      <c r="R48" s="65">
        <v>2.7428571428571429</v>
      </c>
      <c r="S48" s="2" t="s">
        <v>9257</v>
      </c>
      <c r="T48" s="2" t="s">
        <v>3189</v>
      </c>
      <c r="U48" s="2" t="s">
        <v>8841</v>
      </c>
      <c r="V48" s="2" t="s">
        <v>1513</v>
      </c>
      <c r="W48" s="2" t="s">
        <v>9258</v>
      </c>
      <c r="X48" s="2" t="s">
        <v>9259</v>
      </c>
      <c r="Y48" s="33"/>
      <c r="Z48" s="9"/>
      <c r="AA48" s="2" t="s">
        <v>926</v>
      </c>
      <c r="AB48" s="2" t="s">
        <v>927</v>
      </c>
      <c r="AC48" s="2"/>
      <c r="AD48" s="2" t="s">
        <v>8686</v>
      </c>
      <c r="AE48" s="2" t="s">
        <v>8971</v>
      </c>
      <c r="AF48" s="2" t="s">
        <v>830</v>
      </c>
      <c r="AG48" s="2" t="s">
        <v>1062</v>
      </c>
      <c r="AH48" s="2" t="s">
        <v>8665</v>
      </c>
      <c r="AI48" s="2" t="str">
        <f>IF(Y48="","",Y48)</f>
        <v/>
      </c>
      <c r="AJ48" s="2" t="s">
        <v>1522</v>
      </c>
      <c r="AK48" s="2" t="s">
        <v>8594</v>
      </c>
      <c r="AL48" s="2" t="s">
        <v>8666</v>
      </c>
      <c r="AM48" s="2">
        <f>IF(AND(ISNUMBER(J48),OR(AR48="INHERITED ESTIMATE",AR48="CONFIRMED ESTIMATE")),1,0)</f>
        <v>1</v>
      </c>
      <c r="AN48" s="2"/>
      <c r="AO48" s="32" t="s">
        <v>1429</v>
      </c>
      <c r="AP48" s="32" t="s">
        <v>1418</v>
      </c>
      <c r="AQ48" s="32"/>
      <c r="AR48" s="32" t="s">
        <v>1420</v>
      </c>
      <c r="AS48" s="65">
        <f>IF(AM48=1,J48,"")</f>
        <v>12</v>
      </c>
      <c r="AT48" s="65">
        <f>IF(AND(AM48=1,ISNUMBER(R48)),R48,"")</f>
        <v>2.7428571428571429</v>
      </c>
      <c r="AU48" s="2" t="s">
        <v>8667</v>
      </c>
      <c r="AV48" s="5"/>
      <c r="AW48" s="5"/>
      <c r="AX48" s="5"/>
      <c r="AY48" s="2" t="s">
        <v>8668</v>
      </c>
      <c r="AZ48" s="2"/>
      <c r="BA48" s="2"/>
      <c r="BB48" s="2"/>
    </row>
    <row r="49" spans="1:54" ht="75.95" customHeight="1">
      <c r="A49" s="2" t="s">
        <v>188</v>
      </c>
      <c r="B49" s="2" t="s">
        <v>1058</v>
      </c>
      <c r="C49" s="2" t="s">
        <v>524</v>
      </c>
      <c r="D49" s="2" t="s">
        <v>9300</v>
      </c>
      <c r="E49" s="2" t="s">
        <v>9287</v>
      </c>
      <c r="F49" s="2" t="s">
        <v>9301</v>
      </c>
      <c r="G49" s="2" t="s">
        <v>8677</v>
      </c>
      <c r="H49" s="2" t="s">
        <v>9302</v>
      </c>
      <c r="I49" s="2" t="s">
        <v>9303</v>
      </c>
      <c r="J49" s="65">
        <v>10</v>
      </c>
      <c r="K49" s="94" t="s">
        <v>537</v>
      </c>
      <c r="L49" s="2" t="s">
        <v>491</v>
      </c>
      <c r="M49" s="2" t="s">
        <v>1538</v>
      </c>
      <c r="N49" s="2" t="s">
        <v>179</v>
      </c>
      <c r="O49" s="2" t="s">
        <v>1174</v>
      </c>
      <c r="P49" s="2" t="s">
        <v>1060</v>
      </c>
      <c r="Q49" s="2" t="s">
        <v>9291</v>
      </c>
      <c r="R49" s="65">
        <v>2.285714285714286</v>
      </c>
      <c r="S49" s="2" t="s">
        <v>9257</v>
      </c>
      <c r="T49" s="2" t="s">
        <v>3199</v>
      </c>
      <c r="U49" s="2" t="s">
        <v>8841</v>
      </c>
      <c r="V49" s="2" t="s">
        <v>1513</v>
      </c>
      <c r="W49" s="2" t="s">
        <v>9258</v>
      </c>
      <c r="X49" s="2" t="s">
        <v>9259</v>
      </c>
      <c r="Y49" s="33"/>
      <c r="Z49" s="9"/>
      <c r="AA49" s="2" t="s">
        <v>930</v>
      </c>
      <c r="AB49" s="2" t="s">
        <v>931</v>
      </c>
      <c r="AC49" s="2"/>
      <c r="AD49" s="2" t="s">
        <v>8686</v>
      </c>
      <c r="AE49" s="2" t="s">
        <v>8971</v>
      </c>
      <c r="AF49" s="2" t="s">
        <v>830</v>
      </c>
      <c r="AG49" s="2" t="s">
        <v>1062</v>
      </c>
      <c r="AH49" s="2" t="s">
        <v>8665</v>
      </c>
      <c r="AI49" s="2" t="str">
        <f>IF(Y49="","",Y49)</f>
        <v/>
      </c>
      <c r="AJ49" s="2" t="s">
        <v>1522</v>
      </c>
      <c r="AK49" s="2" t="s">
        <v>8594</v>
      </c>
      <c r="AL49" s="2" t="s">
        <v>8666</v>
      </c>
      <c r="AM49" s="2">
        <f>IF(AND(ISNUMBER(J49),OR(AR49="INHERITED ESTIMATE",AR49="CONFIRMED ESTIMATE")),1,0)</f>
        <v>1</v>
      </c>
      <c r="AN49" s="2"/>
      <c r="AO49" s="32" t="s">
        <v>1429</v>
      </c>
      <c r="AP49" s="32" t="s">
        <v>1418</v>
      </c>
      <c r="AQ49" s="32"/>
      <c r="AR49" s="32" t="s">
        <v>1420</v>
      </c>
      <c r="AS49" s="65">
        <f>IF(AM49=1,J49,"")</f>
        <v>10</v>
      </c>
      <c r="AT49" s="65">
        <f>IF(AND(AM49=1,ISNUMBER(R49)),R49,"")</f>
        <v>2.285714285714286</v>
      </c>
      <c r="AU49" s="2" t="s">
        <v>8667</v>
      </c>
      <c r="AV49" s="5"/>
      <c r="AW49" s="5"/>
      <c r="AX49" s="5"/>
      <c r="AY49" s="2" t="s">
        <v>8668</v>
      </c>
      <c r="AZ49" s="2"/>
      <c r="BA49" s="2"/>
      <c r="BB49" s="2"/>
    </row>
    <row r="50" spans="1:54" ht="75.95" customHeight="1">
      <c r="A50" s="4" t="s">
        <v>71</v>
      </c>
      <c r="B50" s="4" t="s">
        <v>449</v>
      </c>
      <c r="C50" s="4" t="s">
        <v>450</v>
      </c>
      <c r="D50" s="4" t="s">
        <v>488</v>
      </c>
      <c r="E50" s="4" t="s">
        <v>8706</v>
      </c>
      <c r="F50" s="4" t="s">
        <v>8707</v>
      </c>
      <c r="G50" s="4" t="s">
        <v>8656</v>
      </c>
      <c r="H50" s="4" t="s">
        <v>8708</v>
      </c>
      <c r="I50" s="4" t="s">
        <v>8709</v>
      </c>
      <c r="J50" s="64">
        <v>4</v>
      </c>
      <c r="K50" s="94" t="s">
        <v>249</v>
      </c>
      <c r="L50" s="4" t="s">
        <v>451</v>
      </c>
      <c r="M50" s="2"/>
      <c r="N50" s="2" t="s">
        <v>490</v>
      </c>
      <c r="O50" s="2" t="s">
        <v>1165</v>
      </c>
      <c r="P50" s="2" t="s">
        <v>455</v>
      </c>
      <c r="Q50" s="2" t="s">
        <v>8710</v>
      </c>
      <c r="R50" s="65">
        <v>1.5</v>
      </c>
      <c r="S50" s="2" t="s">
        <v>8660</v>
      </c>
      <c r="T50" s="2" t="s">
        <v>2026</v>
      </c>
      <c r="U50" s="2" t="s">
        <v>8711</v>
      </c>
      <c r="V50" s="2" t="s">
        <v>8712</v>
      </c>
      <c r="W50" s="2" t="s">
        <v>8662</v>
      </c>
      <c r="X50" s="2" t="s">
        <v>456</v>
      </c>
      <c r="Y50" s="33" t="s">
        <v>489</v>
      </c>
      <c r="Z50" s="9">
        <v>46258</v>
      </c>
      <c r="AA50" s="2" t="s">
        <v>964</v>
      </c>
      <c r="AB50" s="2" t="s">
        <v>8663</v>
      </c>
      <c r="AC50" s="2"/>
      <c r="AD50" s="2" t="s">
        <v>8664</v>
      </c>
      <c r="AE50" s="2" t="s">
        <v>8713</v>
      </c>
      <c r="AF50" s="2" t="s">
        <v>830</v>
      </c>
      <c r="AG50" s="2" t="s">
        <v>1061</v>
      </c>
      <c r="AH50" s="2" t="s">
        <v>8665</v>
      </c>
      <c r="AI50" s="2" t="str">
        <f>IF(Y50="","",Y50)</f>
        <v>BASELINE HEAD 7da9d46ed29545f1c4f4686fa82c117c08b9fc86; TAG m1-presentation-baseline-2026-08-21 — no task commit; tag is closure artifact</v>
      </c>
      <c r="AJ50" s="2" t="s">
        <v>1522</v>
      </c>
      <c r="AK50" s="2" t="s">
        <v>8594</v>
      </c>
      <c r="AL50" s="2" t="s">
        <v>8666</v>
      </c>
      <c r="AM50" s="2">
        <f>IF(AND(ISNUMBER(J50),OR(AR50="INHERITED ESTIMATE",AR50="CONFIRMED ESTIMATE")),1,0)</f>
        <v>1</v>
      </c>
      <c r="AN50" s="2"/>
      <c r="AO50" s="32" t="s">
        <v>1415</v>
      </c>
      <c r="AP50" s="32" t="s">
        <v>1418</v>
      </c>
      <c r="AQ50" s="32"/>
      <c r="AR50" s="32" t="s">
        <v>1420</v>
      </c>
      <c r="AS50" s="65">
        <f>IF(AM50=1,J50,"")</f>
        <v>4</v>
      </c>
      <c r="AT50" s="65">
        <f>IF(AND(AM50=1,ISNUMBER(R50)),R50,"")</f>
        <v>1.5</v>
      </c>
      <c r="AU50" s="2" t="s">
        <v>8667</v>
      </c>
      <c r="AV50" s="5"/>
      <c r="AW50" s="5"/>
      <c r="AX50" s="5"/>
      <c r="AY50" s="2" t="s">
        <v>8668</v>
      </c>
      <c r="AZ50" s="2"/>
      <c r="BA50" s="2"/>
      <c r="BB50" s="2"/>
    </row>
    <row r="51" spans="1:54" ht="75.95" customHeight="1">
      <c r="A51" s="4" t="s">
        <v>72</v>
      </c>
      <c r="B51" s="4" t="s">
        <v>449</v>
      </c>
      <c r="C51" s="4" t="s">
        <v>450</v>
      </c>
      <c r="D51" s="4" t="s">
        <v>492</v>
      </c>
      <c r="E51" s="4" t="s">
        <v>8714</v>
      </c>
      <c r="F51" s="4" t="s">
        <v>8715</v>
      </c>
      <c r="G51" s="4" t="s">
        <v>8656</v>
      </c>
      <c r="H51" s="4" t="s">
        <v>8716</v>
      </c>
      <c r="I51" s="4" t="s">
        <v>8717</v>
      </c>
      <c r="J51" s="64">
        <v>10</v>
      </c>
      <c r="K51" s="94" t="s">
        <v>249</v>
      </c>
      <c r="L51" s="4" t="s">
        <v>491</v>
      </c>
      <c r="M51" s="2" t="s">
        <v>71</v>
      </c>
      <c r="N51" s="2" t="s">
        <v>1208</v>
      </c>
      <c r="O51" s="2" t="s">
        <v>1165</v>
      </c>
      <c r="P51" s="2" t="s">
        <v>455</v>
      </c>
      <c r="Q51" s="2" t="s">
        <v>8718</v>
      </c>
      <c r="R51" s="65">
        <v>4</v>
      </c>
      <c r="S51" s="2" t="s">
        <v>8660</v>
      </c>
      <c r="T51" s="2" t="s">
        <v>2026</v>
      </c>
      <c r="U51" s="2" t="s">
        <v>8719</v>
      </c>
      <c r="V51" s="2" t="s">
        <v>8720</v>
      </c>
      <c r="W51" s="2" t="s">
        <v>8662</v>
      </c>
      <c r="X51" s="2" t="s">
        <v>456</v>
      </c>
      <c r="Y51" s="33" t="s">
        <v>493</v>
      </c>
      <c r="Z51" s="9">
        <v>46259</v>
      </c>
      <c r="AA51" s="2" t="s">
        <v>964</v>
      </c>
      <c r="AB51" s="2" t="s">
        <v>8663</v>
      </c>
      <c r="AC51" s="2" t="s">
        <v>8721</v>
      </c>
      <c r="AD51" s="2" t="s">
        <v>8664</v>
      </c>
      <c r="AE51" s="2" t="s">
        <v>8722</v>
      </c>
      <c r="AF51" s="2" t="s">
        <v>830</v>
      </c>
      <c r="AG51" s="2" t="s">
        <v>1061</v>
      </c>
      <c r="AH51" s="2" t="s">
        <v>8665</v>
      </c>
      <c r="AI51" s="2" t="str">
        <f>IF(Y51="","",Y51)</f>
        <v>ad37c324 — Add persisted definition replay gate for release truth</v>
      </c>
      <c r="AJ51" s="2" t="s">
        <v>1522</v>
      </c>
      <c r="AK51" s="2" t="s">
        <v>8594</v>
      </c>
      <c r="AL51" s="2" t="s">
        <v>8666</v>
      </c>
      <c r="AM51" s="2">
        <f>IF(AND(ISNUMBER(J51),OR(AR51="INHERITED ESTIMATE",AR51="CONFIRMED ESTIMATE")),1,0)</f>
        <v>1</v>
      </c>
      <c r="AN51" s="2"/>
      <c r="AO51" s="32" t="s">
        <v>1415</v>
      </c>
      <c r="AP51" s="32" t="s">
        <v>1418</v>
      </c>
      <c r="AQ51" s="32"/>
      <c r="AR51" s="32" t="s">
        <v>1420</v>
      </c>
      <c r="AS51" s="65">
        <f>IF(AM51=1,J51,"")</f>
        <v>10</v>
      </c>
      <c r="AT51" s="65">
        <f>IF(AND(AM51=1,ISNUMBER(R51)),R51,"")</f>
        <v>4</v>
      </c>
      <c r="AU51" s="2" t="s">
        <v>8667</v>
      </c>
      <c r="AV51" s="5"/>
      <c r="AW51" s="5"/>
      <c r="AX51" s="5"/>
      <c r="AY51" s="2" t="s">
        <v>8668</v>
      </c>
      <c r="AZ51" s="2"/>
      <c r="BA51" s="2"/>
      <c r="BB51" s="2"/>
    </row>
    <row r="52" spans="1:54" ht="75.95" customHeight="1">
      <c r="A52" s="4" t="s">
        <v>73</v>
      </c>
      <c r="B52" s="4" t="s">
        <v>449</v>
      </c>
      <c r="C52" s="4" t="s">
        <v>450</v>
      </c>
      <c r="D52" s="4" t="s">
        <v>495</v>
      </c>
      <c r="E52" s="4" t="s">
        <v>8714</v>
      </c>
      <c r="F52" s="4" t="s">
        <v>8715</v>
      </c>
      <c r="G52" s="4" t="s">
        <v>8656</v>
      </c>
      <c r="H52" s="4" t="s">
        <v>8723</v>
      </c>
      <c r="I52" s="4" t="s">
        <v>8724</v>
      </c>
      <c r="J52" s="64">
        <v>10</v>
      </c>
      <c r="K52" s="94" t="s">
        <v>249</v>
      </c>
      <c r="L52" s="4" t="s">
        <v>491</v>
      </c>
      <c r="M52" s="2" t="s">
        <v>71</v>
      </c>
      <c r="N52" s="2" t="s">
        <v>1209</v>
      </c>
      <c r="O52" s="2" t="s">
        <v>1165</v>
      </c>
      <c r="P52" s="2" t="s">
        <v>455</v>
      </c>
      <c r="Q52" s="2" t="s">
        <v>8725</v>
      </c>
      <c r="R52" s="65">
        <v>4</v>
      </c>
      <c r="S52" s="2" t="s">
        <v>8660</v>
      </c>
      <c r="T52" s="2" t="s">
        <v>2026</v>
      </c>
      <c r="U52" s="2" t="s">
        <v>8726</v>
      </c>
      <c r="V52" s="2" t="s">
        <v>8727</v>
      </c>
      <c r="W52" s="2" t="s">
        <v>8662</v>
      </c>
      <c r="X52" s="2" t="s">
        <v>456</v>
      </c>
      <c r="Y52" s="33" t="s">
        <v>496</v>
      </c>
      <c r="Z52" s="9">
        <v>46259</v>
      </c>
      <c r="AA52" s="2" t="s">
        <v>964</v>
      </c>
      <c r="AB52" s="2" t="s">
        <v>8663</v>
      </c>
      <c r="AC52" s="2" t="s">
        <v>928</v>
      </c>
      <c r="AD52" s="2" t="s">
        <v>8664</v>
      </c>
      <c r="AE52" s="2" t="s">
        <v>8722</v>
      </c>
      <c r="AF52" s="2" t="s">
        <v>830</v>
      </c>
      <c r="AG52" s="2" t="s">
        <v>1061</v>
      </c>
      <c r="AH52" s="2" t="s">
        <v>8665</v>
      </c>
      <c r="AI52" s="2" t="str">
        <f>IF(Y52="","",Y52)</f>
        <v>cd1a450e — Add customer route invariant gate with durable evidence</v>
      </c>
      <c r="AJ52" s="2" t="s">
        <v>1522</v>
      </c>
      <c r="AK52" s="2" t="s">
        <v>8594</v>
      </c>
      <c r="AL52" s="2" t="s">
        <v>8666</v>
      </c>
      <c r="AM52" s="2">
        <f>IF(AND(ISNUMBER(J52),OR(AR52="INHERITED ESTIMATE",AR52="CONFIRMED ESTIMATE")),1,0)</f>
        <v>1</v>
      </c>
      <c r="AN52" s="2"/>
      <c r="AO52" s="32" t="s">
        <v>1415</v>
      </c>
      <c r="AP52" s="32" t="s">
        <v>1418</v>
      </c>
      <c r="AQ52" s="32"/>
      <c r="AR52" s="32" t="s">
        <v>1420</v>
      </c>
      <c r="AS52" s="65">
        <f>IF(AM52=1,J52,"")</f>
        <v>10</v>
      </c>
      <c r="AT52" s="65">
        <f>IF(AND(AM52=1,ISNUMBER(R52)),R52,"")</f>
        <v>4</v>
      </c>
      <c r="AU52" s="2" t="s">
        <v>8667</v>
      </c>
      <c r="AV52" s="5"/>
      <c r="AW52" s="5"/>
      <c r="AX52" s="5"/>
      <c r="AY52" s="2" t="s">
        <v>8668</v>
      </c>
      <c r="AZ52" s="2"/>
      <c r="BA52" s="2"/>
      <c r="BB52" s="2"/>
    </row>
    <row r="53" spans="1:54" ht="75.95" customHeight="1">
      <c r="A53" s="4" t="s">
        <v>74</v>
      </c>
      <c r="B53" s="4" t="s">
        <v>449</v>
      </c>
      <c r="C53" s="4" t="s">
        <v>450</v>
      </c>
      <c r="D53" s="4" t="s">
        <v>498</v>
      </c>
      <c r="E53" s="4" t="s">
        <v>8728</v>
      </c>
      <c r="F53" s="4" t="s">
        <v>8729</v>
      </c>
      <c r="G53" s="4" t="s">
        <v>8656</v>
      </c>
      <c r="H53" s="4" t="s">
        <v>8730</v>
      </c>
      <c r="I53" s="4" t="s">
        <v>8731</v>
      </c>
      <c r="J53" s="64">
        <v>10</v>
      </c>
      <c r="K53" s="94" t="s">
        <v>249</v>
      </c>
      <c r="L53" s="4" t="s">
        <v>491</v>
      </c>
      <c r="M53" s="2" t="s">
        <v>71</v>
      </c>
      <c r="N53" s="2" t="s">
        <v>1209</v>
      </c>
      <c r="O53" s="2" t="s">
        <v>1165</v>
      </c>
      <c r="P53" s="2" t="s">
        <v>455</v>
      </c>
      <c r="Q53" s="2" t="s">
        <v>8732</v>
      </c>
      <c r="R53" s="65">
        <v>4.25</v>
      </c>
      <c r="S53" s="2" t="s">
        <v>8660</v>
      </c>
      <c r="T53" s="2" t="s">
        <v>2026</v>
      </c>
      <c r="U53" s="2" t="s">
        <v>8733</v>
      </c>
      <c r="V53" s="2" t="s">
        <v>8734</v>
      </c>
      <c r="W53" s="2" t="s">
        <v>8662</v>
      </c>
      <c r="X53" s="2" t="s">
        <v>456</v>
      </c>
      <c r="Y53" s="33" t="s">
        <v>499</v>
      </c>
      <c r="Z53" s="9">
        <v>46265</v>
      </c>
      <c r="AA53" s="2" t="s">
        <v>865</v>
      </c>
      <c r="AB53" s="2" t="s">
        <v>866</v>
      </c>
      <c r="AC53" s="2"/>
      <c r="AD53" s="2" t="s">
        <v>8664</v>
      </c>
      <c r="AE53" s="2" t="s">
        <v>8722</v>
      </c>
      <c r="AF53" s="2" t="s">
        <v>830</v>
      </c>
      <c r="AG53" s="2" t="s">
        <v>1061</v>
      </c>
      <c r="AH53" s="2" t="s">
        <v>8665</v>
      </c>
      <c r="AI53" s="2" t="str">
        <f>IF(Y53="","",Y53)</f>
        <v>c6491e2d — closure-state HEAD; exact task commit subject not independently recovered</v>
      </c>
      <c r="AJ53" s="2" t="s">
        <v>1522</v>
      </c>
      <c r="AK53" s="2" t="s">
        <v>8594</v>
      </c>
      <c r="AL53" s="2" t="s">
        <v>8666</v>
      </c>
      <c r="AM53" s="2">
        <f>IF(AND(ISNUMBER(J53),OR(AR53="INHERITED ESTIMATE",AR53="CONFIRMED ESTIMATE")),1,0)</f>
        <v>1</v>
      </c>
      <c r="AN53" s="2"/>
      <c r="AO53" s="32" t="s">
        <v>1415</v>
      </c>
      <c r="AP53" s="32" t="s">
        <v>1418</v>
      </c>
      <c r="AQ53" s="32"/>
      <c r="AR53" s="32" t="s">
        <v>1420</v>
      </c>
      <c r="AS53" s="65">
        <f>IF(AM53=1,J53,"")</f>
        <v>10</v>
      </c>
      <c r="AT53" s="65">
        <f>IF(AND(AM53=1,ISNUMBER(R53)),R53,"")</f>
        <v>4.25</v>
      </c>
      <c r="AU53" s="2" t="s">
        <v>8667</v>
      </c>
      <c r="AV53" s="5"/>
      <c r="AW53" s="5"/>
      <c r="AX53" s="5"/>
      <c r="AY53" s="2" t="s">
        <v>8668</v>
      </c>
      <c r="AZ53" s="2"/>
      <c r="BA53" s="2"/>
      <c r="BB53" s="2"/>
    </row>
    <row r="54" spans="1:54" ht="75.95" customHeight="1">
      <c r="A54" s="4" t="s">
        <v>75</v>
      </c>
      <c r="B54" s="4" t="s">
        <v>449</v>
      </c>
      <c r="C54" s="4" t="s">
        <v>450</v>
      </c>
      <c r="D54" s="4" t="s">
        <v>500</v>
      </c>
      <c r="E54" s="4" t="s">
        <v>8728</v>
      </c>
      <c r="F54" s="4" t="s">
        <v>8735</v>
      </c>
      <c r="G54" s="4" t="s">
        <v>8677</v>
      </c>
      <c r="H54" s="4" t="s">
        <v>8736</v>
      </c>
      <c r="I54" s="4" t="s">
        <v>8737</v>
      </c>
      <c r="J54" s="64">
        <v>8</v>
      </c>
      <c r="K54" s="94" t="s">
        <v>249</v>
      </c>
      <c r="L54" s="4" t="s">
        <v>491</v>
      </c>
      <c r="M54" s="2" t="s">
        <v>71</v>
      </c>
      <c r="N54" s="2" t="s">
        <v>1210</v>
      </c>
      <c r="O54" s="2" t="s">
        <v>1165</v>
      </c>
      <c r="P54" s="2" t="s">
        <v>455</v>
      </c>
      <c r="Q54" s="2" t="s">
        <v>8738</v>
      </c>
      <c r="R54" s="65">
        <v>3.2</v>
      </c>
      <c r="S54" s="2" t="s">
        <v>8660</v>
      </c>
      <c r="T54" s="2" t="s">
        <v>2026</v>
      </c>
      <c r="U54" s="2" t="s">
        <v>8739</v>
      </c>
      <c r="V54" s="2" t="s">
        <v>8740</v>
      </c>
      <c r="W54" s="2" t="s">
        <v>8662</v>
      </c>
      <c r="X54" s="2" t="s">
        <v>503</v>
      </c>
      <c r="Y54" s="33" t="s">
        <v>501</v>
      </c>
      <c r="Z54" s="9">
        <v>46264</v>
      </c>
      <c r="AA54" s="2" t="s">
        <v>952</v>
      </c>
      <c r="AB54" s="2" t="s">
        <v>953</v>
      </c>
      <c r="AC54" s="2"/>
      <c r="AD54" s="2" t="s">
        <v>8664</v>
      </c>
      <c r="AE54" s="2" t="s">
        <v>8722</v>
      </c>
      <c r="AF54" s="2" t="s">
        <v>830</v>
      </c>
      <c r="AG54" s="2" t="s">
        <v>1061</v>
      </c>
      <c r="AH54" s="2" t="s">
        <v>8665</v>
      </c>
      <c r="AI54" s="2" t="str">
        <f>IF(Y54="","",Y54)</f>
        <v>b7fcc890 — Gate the frontend suite on deterministic termination and machine-readable evidence</v>
      </c>
      <c r="AJ54" s="2" t="s">
        <v>1522</v>
      </c>
      <c r="AK54" s="2" t="s">
        <v>8594</v>
      </c>
      <c r="AL54" s="2" t="s">
        <v>8666</v>
      </c>
      <c r="AM54" s="2">
        <f>IF(AND(ISNUMBER(J54),OR(AR54="INHERITED ESTIMATE",AR54="CONFIRMED ESTIMATE")),1,0)</f>
        <v>1</v>
      </c>
      <c r="AN54" s="2"/>
      <c r="AO54" s="32" t="s">
        <v>1415</v>
      </c>
      <c r="AP54" s="32" t="s">
        <v>1418</v>
      </c>
      <c r="AQ54" s="32"/>
      <c r="AR54" s="32" t="s">
        <v>1420</v>
      </c>
      <c r="AS54" s="65">
        <f>IF(AM54=1,J54,"")</f>
        <v>8</v>
      </c>
      <c r="AT54" s="65">
        <f>IF(AND(AM54=1,ISNUMBER(R54)),R54,"")</f>
        <v>3.2</v>
      </c>
      <c r="AU54" s="2" t="s">
        <v>8667</v>
      </c>
      <c r="AV54" s="5"/>
      <c r="AW54" s="5"/>
      <c r="AX54" s="5"/>
      <c r="AY54" s="2" t="s">
        <v>8668</v>
      </c>
      <c r="AZ54" s="2"/>
      <c r="BA54" s="2"/>
      <c r="BB54" s="2"/>
    </row>
    <row r="55" spans="1:54" ht="75.95" customHeight="1">
      <c r="A55" s="4" t="s">
        <v>76</v>
      </c>
      <c r="B55" s="4" t="s">
        <v>449</v>
      </c>
      <c r="C55" s="4" t="s">
        <v>450</v>
      </c>
      <c r="D55" s="4" t="s">
        <v>505</v>
      </c>
      <c r="E55" s="4" t="s">
        <v>8741</v>
      </c>
      <c r="F55" s="4" t="s">
        <v>8742</v>
      </c>
      <c r="G55" s="4" t="s">
        <v>8656</v>
      </c>
      <c r="H55" s="4" t="s">
        <v>8743</v>
      </c>
      <c r="I55" s="4" t="s">
        <v>8744</v>
      </c>
      <c r="J55" s="64">
        <v>8</v>
      </c>
      <c r="K55" s="94" t="s">
        <v>249</v>
      </c>
      <c r="L55" s="4" t="s">
        <v>504</v>
      </c>
      <c r="M55" s="2" t="s">
        <v>71</v>
      </c>
      <c r="N55" s="2" t="s">
        <v>1211</v>
      </c>
      <c r="O55" s="2" t="s">
        <v>1165</v>
      </c>
      <c r="P55" s="2" t="s">
        <v>455</v>
      </c>
      <c r="Q55" s="2" t="s">
        <v>8745</v>
      </c>
      <c r="R55" s="65">
        <v>2</v>
      </c>
      <c r="S55" s="2" t="s">
        <v>8660</v>
      </c>
      <c r="T55" s="2" t="s">
        <v>2026</v>
      </c>
      <c r="U55" s="2" t="s">
        <v>8746</v>
      </c>
      <c r="V55" s="2" t="s">
        <v>8747</v>
      </c>
      <c r="W55" s="2" t="s">
        <v>8662</v>
      </c>
      <c r="X55" s="2" t="s">
        <v>456</v>
      </c>
      <c r="Y55" s="33" t="s">
        <v>506</v>
      </c>
      <c r="Z55" s="9"/>
      <c r="AA55" s="2" t="s">
        <v>898</v>
      </c>
      <c r="AB55" s="2" t="s">
        <v>900</v>
      </c>
      <c r="AC55" s="2"/>
      <c r="AD55" s="2" t="s">
        <v>8664</v>
      </c>
      <c r="AE55" s="2" t="s">
        <v>8713</v>
      </c>
      <c r="AF55" s="2" t="s">
        <v>830</v>
      </c>
      <c r="AG55" s="2" t="s">
        <v>1061</v>
      </c>
      <c r="AH55" s="2" t="s">
        <v>8665</v>
      </c>
      <c r="AI55" s="2" t="str">
        <f>IF(Y55="","",Y55)</f>
        <v>Not recovered from reviewed sessions</v>
      </c>
      <c r="AJ55" s="2" t="s">
        <v>1522</v>
      </c>
      <c r="AK55" s="2" t="s">
        <v>8594</v>
      </c>
      <c r="AL55" s="2" t="s">
        <v>8666</v>
      </c>
      <c r="AM55" s="2">
        <f>IF(AND(ISNUMBER(J55),OR(AR55="INHERITED ESTIMATE",AR55="CONFIRMED ESTIMATE")),1,0)</f>
        <v>1</v>
      </c>
      <c r="AN55" s="2"/>
      <c r="AO55" s="32" t="s">
        <v>1415</v>
      </c>
      <c r="AP55" s="32" t="s">
        <v>1418</v>
      </c>
      <c r="AQ55" s="32"/>
      <c r="AR55" s="32" t="s">
        <v>1420</v>
      </c>
      <c r="AS55" s="65">
        <f>IF(AM55=1,J55,"")</f>
        <v>8</v>
      </c>
      <c r="AT55" s="65">
        <f>IF(AND(AM55=1,ISNUMBER(R55)),R55,"")</f>
        <v>2</v>
      </c>
      <c r="AU55" s="2" t="s">
        <v>8667</v>
      </c>
      <c r="AV55" s="5"/>
      <c r="AW55" s="5"/>
      <c r="AX55" s="5"/>
      <c r="AY55" s="2" t="s">
        <v>8668</v>
      </c>
      <c r="AZ55" s="2"/>
      <c r="BA55" s="2"/>
      <c r="BB55" s="2"/>
    </row>
    <row r="56" spans="1:54" ht="75.95" customHeight="1">
      <c r="A56" s="2" t="s">
        <v>102</v>
      </c>
      <c r="B56" s="2" t="s">
        <v>449</v>
      </c>
      <c r="C56" s="2" t="s">
        <v>524</v>
      </c>
      <c r="D56" s="2" t="s">
        <v>570</v>
      </c>
      <c r="E56" s="2" t="s">
        <v>8868</v>
      </c>
      <c r="F56" s="2" t="s">
        <v>8869</v>
      </c>
      <c r="G56" s="2" t="s">
        <v>8656</v>
      </c>
      <c r="H56" s="2" t="s">
        <v>8870</v>
      </c>
      <c r="I56" s="2" t="s">
        <v>8871</v>
      </c>
      <c r="J56" s="65">
        <v>6</v>
      </c>
      <c r="K56" s="94" t="s">
        <v>249</v>
      </c>
      <c r="L56" s="2" t="s">
        <v>451</v>
      </c>
      <c r="M56" s="2" t="s">
        <v>71</v>
      </c>
      <c r="N56" s="2" t="s">
        <v>8872</v>
      </c>
      <c r="O56" s="2" t="s">
        <v>1165</v>
      </c>
      <c r="P56" s="2" t="s">
        <v>455</v>
      </c>
      <c r="Q56" s="2" t="s">
        <v>8873</v>
      </c>
      <c r="R56" s="65">
        <v>2.25</v>
      </c>
      <c r="S56" s="2" t="s">
        <v>1175</v>
      </c>
      <c r="T56" s="2" t="s">
        <v>2026</v>
      </c>
      <c r="U56" s="2" t="s">
        <v>8874</v>
      </c>
      <c r="V56" s="2" t="s">
        <v>8875</v>
      </c>
      <c r="W56" s="2" t="s">
        <v>1178</v>
      </c>
      <c r="X56" s="2" t="s">
        <v>529</v>
      </c>
      <c r="Y56" s="33" t="s">
        <v>506</v>
      </c>
      <c r="Z56" s="9"/>
      <c r="AA56" s="2" t="s">
        <v>836</v>
      </c>
      <c r="AB56" s="2" t="s">
        <v>837</v>
      </c>
      <c r="AC56" s="2"/>
      <c r="AD56" s="2" t="s">
        <v>8686</v>
      </c>
      <c r="AE56" s="2" t="s">
        <v>8700</v>
      </c>
      <c r="AF56" s="2" t="s">
        <v>830</v>
      </c>
      <c r="AG56" s="2" t="s">
        <v>1061</v>
      </c>
      <c r="AH56" s="2" t="s">
        <v>8665</v>
      </c>
      <c r="AI56" s="2" t="str">
        <f>IF(Y56="","",Y56)</f>
        <v>Not recovered from reviewed sessions</v>
      </c>
      <c r="AJ56" s="2" t="s">
        <v>1522</v>
      </c>
      <c r="AK56" s="2" t="s">
        <v>8594</v>
      </c>
      <c r="AL56" s="2" t="s">
        <v>8666</v>
      </c>
      <c r="AM56" s="2">
        <f>IF(AND(ISNUMBER(J56),OR(AR56="INHERITED ESTIMATE",AR56="CONFIRMED ESTIMATE")),1,0)</f>
        <v>1</v>
      </c>
      <c r="AN56" s="2"/>
      <c r="AO56" s="32" t="s">
        <v>1415</v>
      </c>
      <c r="AP56" s="32" t="s">
        <v>1418</v>
      </c>
      <c r="AQ56" s="32"/>
      <c r="AR56" s="32" t="s">
        <v>1420</v>
      </c>
      <c r="AS56" s="65">
        <f>IF(AM56=1,J56,"")</f>
        <v>6</v>
      </c>
      <c r="AT56" s="65">
        <f>IF(AND(AM56=1,ISNUMBER(R56)),R56,"")</f>
        <v>2.25</v>
      </c>
      <c r="AU56" s="2" t="s">
        <v>7967</v>
      </c>
      <c r="AV56" s="5">
        <v>0</v>
      </c>
      <c r="AW56" s="5">
        <v>0</v>
      </c>
      <c r="AX56" s="5">
        <v>0</v>
      </c>
      <c r="AY56" s="2" t="s">
        <v>8832</v>
      </c>
      <c r="AZ56" s="2" t="s">
        <v>7968</v>
      </c>
      <c r="BA56" s="2" t="s">
        <v>1714</v>
      </c>
      <c r="BB56" s="2" t="s">
        <v>8833</v>
      </c>
    </row>
    <row r="57" spans="1:54" ht="75.95" customHeight="1">
      <c r="A57" s="4" t="s">
        <v>77</v>
      </c>
      <c r="B57" s="4" t="s">
        <v>449</v>
      </c>
      <c r="C57" s="4" t="s">
        <v>450</v>
      </c>
      <c r="D57" s="4" t="s">
        <v>508</v>
      </c>
      <c r="E57" s="4" t="s">
        <v>8714</v>
      </c>
      <c r="F57" s="4" t="s">
        <v>8748</v>
      </c>
      <c r="G57" s="4" t="s">
        <v>8656</v>
      </c>
      <c r="H57" s="4" t="s">
        <v>8749</v>
      </c>
      <c r="I57" s="4" t="s">
        <v>8750</v>
      </c>
      <c r="J57" s="64">
        <v>10</v>
      </c>
      <c r="K57" s="94" t="s">
        <v>249</v>
      </c>
      <c r="L57" s="4" t="s">
        <v>504</v>
      </c>
      <c r="M57" s="2" t="s">
        <v>71</v>
      </c>
      <c r="N57" s="2" t="s">
        <v>8751</v>
      </c>
      <c r="O57" s="2" t="s">
        <v>1165</v>
      </c>
      <c r="P57" s="2" t="s">
        <v>455</v>
      </c>
      <c r="Q57" s="2" t="s">
        <v>8752</v>
      </c>
      <c r="R57" s="65">
        <v>2.5</v>
      </c>
      <c r="S57" s="2" t="s">
        <v>8660</v>
      </c>
      <c r="T57" s="2" t="s">
        <v>2026</v>
      </c>
      <c r="U57" s="2" t="s">
        <v>8753</v>
      </c>
      <c r="V57" s="2" t="s">
        <v>8754</v>
      </c>
      <c r="W57" s="2" t="s">
        <v>8662</v>
      </c>
      <c r="X57" s="2" t="s">
        <v>456</v>
      </c>
      <c r="Y57" s="33" t="s">
        <v>509</v>
      </c>
      <c r="Z57" s="9"/>
      <c r="AA57" s="2" t="s">
        <v>952</v>
      </c>
      <c r="AB57" s="2" t="s">
        <v>953</v>
      </c>
      <c r="AC57" s="2"/>
      <c r="AD57" s="2" t="s">
        <v>8686</v>
      </c>
      <c r="AE57" s="2" t="s">
        <v>8713</v>
      </c>
      <c r="AF57" s="2" t="s">
        <v>830</v>
      </c>
      <c r="AG57" s="2" t="s">
        <v>1061</v>
      </c>
      <c r="AH57" s="2" t="s">
        <v>8665</v>
      </c>
      <c r="AI57" s="2" t="str">
        <f>IF(Y57="","",Y57)</f>
        <v>969c767c — T-208: generic controlled validation fixture and continuous-process known answers</v>
      </c>
      <c r="AJ57" s="2" t="s">
        <v>1522</v>
      </c>
      <c r="AK57" s="2" t="s">
        <v>8594</v>
      </c>
      <c r="AL57" s="2" t="s">
        <v>8666</v>
      </c>
      <c r="AM57" s="2">
        <f>IF(AND(ISNUMBER(J57),OR(AR57="INHERITED ESTIMATE",AR57="CONFIRMED ESTIMATE")),1,0)</f>
        <v>1</v>
      </c>
      <c r="AN57" s="2"/>
      <c r="AO57" s="32" t="s">
        <v>1415</v>
      </c>
      <c r="AP57" s="32" t="s">
        <v>1418</v>
      </c>
      <c r="AQ57" s="32"/>
      <c r="AR57" s="32" t="s">
        <v>1420</v>
      </c>
      <c r="AS57" s="65">
        <f>IF(AM57=1,J57,"")</f>
        <v>10</v>
      </c>
      <c r="AT57" s="65">
        <f>IF(AND(AM57=1,ISNUMBER(R57)),R57,"")</f>
        <v>2.5</v>
      </c>
      <c r="AU57" s="2" t="s">
        <v>8667</v>
      </c>
      <c r="AV57" s="5"/>
      <c r="AW57" s="5"/>
      <c r="AX57" s="5"/>
      <c r="AY57" s="2" t="s">
        <v>8668</v>
      </c>
      <c r="AZ57" s="2"/>
      <c r="BA57" s="2"/>
      <c r="BB57" s="2"/>
    </row>
    <row r="58" spans="1:54" ht="75.95" customHeight="1">
      <c r="A58" s="4" t="s">
        <v>78</v>
      </c>
      <c r="B58" s="4" t="s">
        <v>449</v>
      </c>
      <c r="C58" s="4" t="s">
        <v>450</v>
      </c>
      <c r="D58" s="4" t="s">
        <v>511</v>
      </c>
      <c r="E58" s="4" t="s">
        <v>8755</v>
      </c>
      <c r="F58" s="4" t="s">
        <v>8756</v>
      </c>
      <c r="G58" s="4" t="s">
        <v>8656</v>
      </c>
      <c r="H58" s="4" t="s">
        <v>8757</v>
      </c>
      <c r="I58" s="4" t="s">
        <v>8758</v>
      </c>
      <c r="J58" s="64">
        <v>6</v>
      </c>
      <c r="K58" s="94" t="s">
        <v>249</v>
      </c>
      <c r="L58" s="4" t="s">
        <v>504</v>
      </c>
      <c r="M58" s="2" t="s">
        <v>77</v>
      </c>
      <c r="N58" s="2" t="s">
        <v>8759</v>
      </c>
      <c r="O58" s="2" t="s">
        <v>1165</v>
      </c>
      <c r="P58" s="2" t="s">
        <v>455</v>
      </c>
      <c r="Q58" s="2" t="s">
        <v>8760</v>
      </c>
      <c r="R58" s="65">
        <v>1.5</v>
      </c>
      <c r="S58" s="2" t="s">
        <v>8660</v>
      </c>
      <c r="T58" s="2" t="s">
        <v>2026</v>
      </c>
      <c r="U58" s="2" t="s">
        <v>8761</v>
      </c>
      <c r="V58" s="2" t="s">
        <v>8762</v>
      </c>
      <c r="W58" s="2" t="s">
        <v>8662</v>
      </c>
      <c r="X58" s="2" t="s">
        <v>456</v>
      </c>
      <c r="Y58" s="33" t="s">
        <v>512</v>
      </c>
      <c r="Z58" s="9">
        <v>46259</v>
      </c>
      <c r="AA58" s="2" t="s">
        <v>903</v>
      </c>
      <c r="AB58" s="2" t="s">
        <v>904</v>
      </c>
      <c r="AC58" s="2"/>
      <c r="AD58" s="2" t="s">
        <v>8686</v>
      </c>
      <c r="AE58" s="2" t="s">
        <v>8763</v>
      </c>
      <c r="AF58" s="2" t="s">
        <v>830</v>
      </c>
      <c r="AG58" s="2" t="s">
        <v>1061</v>
      </c>
      <c r="AH58" s="2" t="s">
        <v>8665</v>
      </c>
      <c r="AI58" s="2" t="str">
        <f>IF(Y58="","",Y58)</f>
        <v>f2bafdb4 — subject not recovered</v>
      </c>
      <c r="AJ58" s="2" t="s">
        <v>1522</v>
      </c>
      <c r="AK58" s="2" t="s">
        <v>8594</v>
      </c>
      <c r="AL58" s="2" t="s">
        <v>8666</v>
      </c>
      <c r="AM58" s="2">
        <f>IF(AND(ISNUMBER(J58),OR(AR58="INHERITED ESTIMATE",AR58="CONFIRMED ESTIMATE")),1,0)</f>
        <v>1</v>
      </c>
      <c r="AN58" s="2"/>
      <c r="AO58" s="32" t="s">
        <v>1415</v>
      </c>
      <c r="AP58" s="32" t="s">
        <v>1418</v>
      </c>
      <c r="AQ58" s="32"/>
      <c r="AR58" s="32" t="s">
        <v>1420</v>
      </c>
      <c r="AS58" s="65">
        <f>IF(AM58=1,J58,"")</f>
        <v>6</v>
      </c>
      <c r="AT58" s="65">
        <f>IF(AND(AM58=1,ISNUMBER(R58)),R58,"")</f>
        <v>1.5</v>
      </c>
      <c r="AU58" s="2" t="s">
        <v>8667</v>
      </c>
      <c r="AV58" s="5"/>
      <c r="AW58" s="5"/>
      <c r="AX58" s="5"/>
      <c r="AY58" s="2" t="s">
        <v>8668</v>
      </c>
      <c r="AZ58" s="2"/>
      <c r="BA58" s="2"/>
      <c r="BB58" s="2"/>
    </row>
    <row r="59" spans="1:54" ht="75.95" customHeight="1">
      <c r="A59" s="4" t="s">
        <v>79</v>
      </c>
      <c r="B59" s="4" t="s">
        <v>449</v>
      </c>
      <c r="C59" s="4" t="s">
        <v>450</v>
      </c>
      <c r="D59" s="4" t="s">
        <v>514</v>
      </c>
      <c r="E59" s="4" t="s">
        <v>8687</v>
      </c>
      <c r="F59" s="4" t="s">
        <v>8764</v>
      </c>
      <c r="G59" s="4" t="s">
        <v>8656</v>
      </c>
      <c r="H59" s="4" t="s">
        <v>8765</v>
      </c>
      <c r="I59" s="4" t="s">
        <v>8766</v>
      </c>
      <c r="J59" s="64">
        <v>12</v>
      </c>
      <c r="K59" s="94" t="s">
        <v>249</v>
      </c>
      <c r="L59" s="4" t="s">
        <v>451</v>
      </c>
      <c r="M59" s="2" t="s">
        <v>516</v>
      </c>
      <c r="N59" s="2" t="s">
        <v>517</v>
      </c>
      <c r="O59" s="2" t="s">
        <v>1165</v>
      </c>
      <c r="P59" s="2" t="s">
        <v>455</v>
      </c>
      <c r="Q59" s="2" t="s">
        <v>8767</v>
      </c>
      <c r="R59" s="65">
        <v>5.0999999999999996</v>
      </c>
      <c r="S59" s="2" t="s">
        <v>8660</v>
      </c>
      <c r="T59" s="2" t="s">
        <v>2026</v>
      </c>
      <c r="U59" s="2" t="s">
        <v>8768</v>
      </c>
      <c r="V59" s="2" t="s">
        <v>8769</v>
      </c>
      <c r="W59" s="2" t="s">
        <v>8662</v>
      </c>
      <c r="X59" s="2" t="s">
        <v>456</v>
      </c>
      <c r="Y59" s="33" t="s">
        <v>515</v>
      </c>
      <c r="Z59" s="9">
        <v>46266</v>
      </c>
      <c r="AA59" s="2" t="s">
        <v>903</v>
      </c>
      <c r="AB59" s="2" t="s">
        <v>904</v>
      </c>
      <c r="AC59" s="2" t="s">
        <v>884</v>
      </c>
      <c r="AD59" s="2" t="s">
        <v>8686</v>
      </c>
      <c r="AE59" s="2" t="s">
        <v>8700</v>
      </c>
      <c r="AF59" s="2" t="s">
        <v>830</v>
      </c>
      <c r="AG59" s="2" t="s">
        <v>1061</v>
      </c>
      <c r="AH59" s="2" t="s">
        <v>8665</v>
      </c>
      <c r="AI59" s="2" t="str">
        <f>IF(Y59="","",Y59)</f>
        <v>92a655e1ddc4becedbaf89a3db96dc0d0f1eaf94 — subject not recovered</v>
      </c>
      <c r="AJ59" s="2" t="s">
        <v>1522</v>
      </c>
      <c r="AK59" s="2" t="s">
        <v>8594</v>
      </c>
      <c r="AL59" s="2" t="s">
        <v>8666</v>
      </c>
      <c r="AM59" s="2">
        <f>IF(AND(ISNUMBER(J59),OR(AR59="INHERITED ESTIMATE",AR59="CONFIRMED ESTIMATE")),1,0)</f>
        <v>1</v>
      </c>
      <c r="AN59" s="2"/>
      <c r="AO59" s="32" t="s">
        <v>1415</v>
      </c>
      <c r="AP59" s="32" t="s">
        <v>1418</v>
      </c>
      <c r="AQ59" s="32"/>
      <c r="AR59" s="32" t="s">
        <v>1420</v>
      </c>
      <c r="AS59" s="65">
        <f>IF(AM59=1,J59,"")</f>
        <v>12</v>
      </c>
      <c r="AT59" s="65">
        <f>IF(AND(AM59=1,ISNUMBER(R59)),R59,"")</f>
        <v>5.0999999999999996</v>
      </c>
      <c r="AU59" s="2" t="s">
        <v>8667</v>
      </c>
      <c r="AV59" s="5"/>
      <c r="AW59" s="5"/>
      <c r="AX59" s="5"/>
      <c r="AY59" s="2" t="s">
        <v>8668</v>
      </c>
      <c r="AZ59" s="2"/>
      <c r="BA59" s="2"/>
      <c r="BB59" s="2"/>
    </row>
    <row r="60" spans="1:54" ht="75.95" customHeight="1">
      <c r="A60" s="2" t="s">
        <v>103</v>
      </c>
      <c r="B60" s="2" t="s">
        <v>449</v>
      </c>
      <c r="C60" s="2" t="s">
        <v>524</v>
      </c>
      <c r="D60" s="2" t="s">
        <v>572</v>
      </c>
      <c r="E60" s="2" t="s">
        <v>8876</v>
      </c>
      <c r="F60" s="2" t="s">
        <v>8877</v>
      </c>
      <c r="G60" s="2" t="s">
        <v>8656</v>
      </c>
      <c r="H60" s="2" t="s">
        <v>8878</v>
      </c>
      <c r="I60" s="2" t="s">
        <v>8879</v>
      </c>
      <c r="J60" s="65">
        <v>10</v>
      </c>
      <c r="K60" s="94" t="s">
        <v>537</v>
      </c>
      <c r="L60" s="2" t="s">
        <v>491</v>
      </c>
      <c r="M60" s="2" t="s">
        <v>573</v>
      </c>
      <c r="N60" s="2" t="s">
        <v>1464</v>
      </c>
      <c r="O60" s="2" t="s">
        <v>1165</v>
      </c>
      <c r="P60" s="2" t="s">
        <v>455</v>
      </c>
      <c r="Q60" s="2" t="s">
        <v>8880</v>
      </c>
      <c r="R60" s="65">
        <v>5.1428571428571432</v>
      </c>
      <c r="S60" s="2" t="s">
        <v>1175</v>
      </c>
      <c r="T60" s="2" t="s">
        <v>8881</v>
      </c>
      <c r="U60" s="2" t="s">
        <v>8882</v>
      </c>
      <c r="V60" s="2" t="s">
        <v>8883</v>
      </c>
      <c r="W60" s="2" t="s">
        <v>1178</v>
      </c>
      <c r="X60" s="2" t="s">
        <v>529</v>
      </c>
      <c r="Y60" s="33"/>
      <c r="Z60" s="9"/>
      <c r="AA60" s="2" t="s">
        <v>869</v>
      </c>
      <c r="AB60" s="2" t="s">
        <v>870</v>
      </c>
      <c r="AC60" s="2" t="s">
        <v>8884</v>
      </c>
      <c r="AD60" s="2" t="s">
        <v>8686</v>
      </c>
      <c r="AE60" s="2" t="s">
        <v>8885</v>
      </c>
      <c r="AF60" s="2" t="s">
        <v>830</v>
      </c>
      <c r="AG60" s="2" t="s">
        <v>1061</v>
      </c>
      <c r="AH60" s="2" t="s">
        <v>8665</v>
      </c>
      <c r="AI60" s="2" t="str">
        <f>IF(Y60="","",Y60)</f>
        <v/>
      </c>
      <c r="AJ60" s="2" t="s">
        <v>1522</v>
      </c>
      <c r="AK60" s="2" t="s">
        <v>8594</v>
      </c>
      <c r="AL60" s="2" t="s">
        <v>8666</v>
      </c>
      <c r="AM60" s="2">
        <f>IF(AND(ISNUMBER(J60),OR(AR60="INHERITED ESTIMATE",AR60="CONFIRMED ESTIMATE")),1,0)</f>
        <v>1</v>
      </c>
      <c r="AN60" s="2"/>
      <c r="AO60" s="32" t="s">
        <v>1429</v>
      </c>
      <c r="AP60" s="32" t="s">
        <v>1418</v>
      </c>
      <c r="AQ60" s="32"/>
      <c r="AR60" s="32" t="s">
        <v>1420</v>
      </c>
      <c r="AS60" s="65">
        <f>IF(AM60=1,J60,"")</f>
        <v>10</v>
      </c>
      <c r="AT60" s="65">
        <f>IF(AND(AM60=1,ISNUMBER(R60)),R60,"")</f>
        <v>5.1428571428571432</v>
      </c>
      <c r="AU60" s="2" t="s">
        <v>7969</v>
      </c>
      <c r="AV60" s="5">
        <v>6</v>
      </c>
      <c r="AW60" s="5">
        <v>9</v>
      </c>
      <c r="AX60" s="5">
        <v>14</v>
      </c>
      <c r="AY60" s="2" t="s">
        <v>8832</v>
      </c>
      <c r="AZ60" s="2" t="s">
        <v>7970</v>
      </c>
      <c r="BA60" s="2" t="s">
        <v>1717</v>
      </c>
      <c r="BB60" s="2" t="s">
        <v>8833</v>
      </c>
    </row>
    <row r="61" spans="1:54" ht="75.95" customHeight="1">
      <c r="A61" s="2" t="s">
        <v>104</v>
      </c>
      <c r="B61" s="2" t="s">
        <v>449</v>
      </c>
      <c r="C61" s="2" t="s">
        <v>524</v>
      </c>
      <c r="D61" s="2" t="s">
        <v>574</v>
      </c>
      <c r="E61" s="2" t="s">
        <v>8886</v>
      </c>
      <c r="F61" s="2" t="s">
        <v>8887</v>
      </c>
      <c r="G61" s="2" t="s">
        <v>8656</v>
      </c>
      <c r="H61" s="2" t="s">
        <v>8888</v>
      </c>
      <c r="I61" s="2" t="s">
        <v>8889</v>
      </c>
      <c r="J61" s="65">
        <v>8</v>
      </c>
      <c r="K61" s="94" t="s">
        <v>249</v>
      </c>
      <c r="L61" s="2" t="s">
        <v>491</v>
      </c>
      <c r="M61" s="2" t="s">
        <v>576</v>
      </c>
      <c r="N61" s="2" t="s">
        <v>577</v>
      </c>
      <c r="O61" s="2" t="s">
        <v>1165</v>
      </c>
      <c r="P61" s="2" t="s">
        <v>455</v>
      </c>
      <c r="Q61" s="2" t="s">
        <v>8890</v>
      </c>
      <c r="R61" s="65">
        <v>3.2</v>
      </c>
      <c r="S61" s="2" t="s">
        <v>1175</v>
      </c>
      <c r="T61" s="2" t="s">
        <v>2026</v>
      </c>
      <c r="U61" s="2" t="s">
        <v>8891</v>
      </c>
      <c r="V61" s="2" t="s">
        <v>8892</v>
      </c>
      <c r="W61" s="2" t="s">
        <v>1178</v>
      </c>
      <c r="X61" s="2" t="s">
        <v>529</v>
      </c>
      <c r="Y61" s="33" t="s">
        <v>575</v>
      </c>
      <c r="Z61" s="9">
        <v>46265</v>
      </c>
      <c r="AA61" s="2" t="s">
        <v>832</v>
      </c>
      <c r="AB61" s="2" t="s">
        <v>833</v>
      </c>
      <c r="AC61" s="2" t="s">
        <v>8893</v>
      </c>
      <c r="AD61" s="2" t="s">
        <v>8686</v>
      </c>
      <c r="AE61" s="2" t="s">
        <v>8713</v>
      </c>
      <c r="AF61" s="2" t="s">
        <v>830</v>
      </c>
      <c r="AG61" s="2" t="s">
        <v>1061</v>
      </c>
      <c r="AH61" s="2" t="s">
        <v>8665</v>
      </c>
      <c r="AI61" s="2" t="str">
        <f>IF(Y61="","",Y61)</f>
        <v>2748c7fba8a5c4763bc19112ce57e484cea5b9bb — subject not recovered</v>
      </c>
      <c r="AJ61" s="2" t="s">
        <v>1522</v>
      </c>
      <c r="AK61" s="2" t="s">
        <v>8594</v>
      </c>
      <c r="AL61" s="2" t="s">
        <v>8666</v>
      </c>
      <c r="AM61" s="2">
        <f>IF(AND(ISNUMBER(J61),OR(AR61="INHERITED ESTIMATE",AR61="CONFIRMED ESTIMATE")),1,0)</f>
        <v>1</v>
      </c>
      <c r="AN61" s="2"/>
      <c r="AO61" s="32" t="s">
        <v>1415</v>
      </c>
      <c r="AP61" s="32" t="s">
        <v>1418</v>
      </c>
      <c r="AQ61" s="32"/>
      <c r="AR61" s="32" t="s">
        <v>1420</v>
      </c>
      <c r="AS61" s="65">
        <f>IF(AM61=1,J61,"")</f>
        <v>8</v>
      </c>
      <c r="AT61" s="65">
        <f>IF(AND(AM61=1,ISNUMBER(R61)),R61,"")</f>
        <v>3.2</v>
      </c>
      <c r="AU61" s="2" t="s">
        <v>7971</v>
      </c>
      <c r="AV61" s="5">
        <v>0</v>
      </c>
      <c r="AW61" s="5">
        <v>0</v>
      </c>
      <c r="AX61" s="5">
        <v>0</v>
      </c>
      <c r="AY61" s="2" t="s">
        <v>8832</v>
      </c>
      <c r="AZ61" s="2" t="s">
        <v>7972</v>
      </c>
      <c r="BA61" s="2" t="s">
        <v>1721</v>
      </c>
      <c r="BB61" s="2" t="s">
        <v>8833</v>
      </c>
    </row>
    <row r="62" spans="1:54" ht="75.95" customHeight="1">
      <c r="A62" s="2" t="s">
        <v>122</v>
      </c>
      <c r="B62" s="2" t="s">
        <v>449</v>
      </c>
      <c r="C62" s="2" t="s">
        <v>622</v>
      </c>
      <c r="D62" s="2" t="s">
        <v>630</v>
      </c>
      <c r="E62" s="2" t="s">
        <v>9014</v>
      </c>
      <c r="F62" s="2" t="s">
        <v>9015</v>
      </c>
      <c r="G62" s="2" t="s">
        <v>8677</v>
      </c>
      <c r="H62" s="2" t="s">
        <v>9016</v>
      </c>
      <c r="I62" s="2" t="s">
        <v>9017</v>
      </c>
      <c r="J62" s="65">
        <v>10</v>
      </c>
      <c r="K62" s="94" t="s">
        <v>537</v>
      </c>
      <c r="L62" s="2" t="s">
        <v>491</v>
      </c>
      <c r="M62" s="2" t="s">
        <v>631</v>
      </c>
      <c r="N62" s="2" t="s">
        <v>497</v>
      </c>
      <c r="O62" s="2" t="s">
        <v>1165</v>
      </c>
      <c r="P62" s="2" t="s">
        <v>455</v>
      </c>
      <c r="Q62" s="2" t="s">
        <v>8982</v>
      </c>
      <c r="R62" s="65">
        <v>4</v>
      </c>
      <c r="S62" s="2" t="s">
        <v>9011</v>
      </c>
      <c r="T62" s="2" t="s">
        <v>9018</v>
      </c>
      <c r="U62" s="2" t="s">
        <v>9019</v>
      </c>
      <c r="V62" s="2" t="s">
        <v>9020</v>
      </c>
      <c r="W62" s="2" t="s">
        <v>9013</v>
      </c>
      <c r="X62" s="2" t="s">
        <v>629</v>
      </c>
      <c r="Y62" s="33"/>
      <c r="Z62" s="9"/>
      <c r="AA62" s="2" t="s">
        <v>966</v>
      </c>
      <c r="AB62" s="2" t="s">
        <v>968</v>
      </c>
      <c r="AC62" s="2" t="s">
        <v>869</v>
      </c>
      <c r="AD62" s="2" t="s">
        <v>8686</v>
      </c>
      <c r="AE62" s="2" t="s">
        <v>8971</v>
      </c>
      <c r="AF62" s="2" t="s">
        <v>830</v>
      </c>
      <c r="AG62" s="2" t="s">
        <v>1061</v>
      </c>
      <c r="AH62" s="2" t="s">
        <v>8665</v>
      </c>
      <c r="AI62" s="2" t="str">
        <f>IF(Y62="","",Y62)</f>
        <v/>
      </c>
      <c r="AJ62" s="2" t="s">
        <v>1522</v>
      </c>
      <c r="AK62" s="2" t="s">
        <v>8594</v>
      </c>
      <c r="AL62" s="2" t="s">
        <v>9021</v>
      </c>
      <c r="AM62" s="2">
        <f>IF(AND(ISNUMBER(J62),OR(AR62="INHERITED ESTIMATE",AR62="CONFIRMED ESTIMATE")),1,0)</f>
        <v>1</v>
      </c>
      <c r="AN62" s="2"/>
      <c r="AO62" s="32" t="s">
        <v>1429</v>
      </c>
      <c r="AP62" s="32" t="s">
        <v>1418</v>
      </c>
      <c r="AQ62" s="32"/>
      <c r="AR62" s="32" t="s">
        <v>1420</v>
      </c>
      <c r="AS62" s="65">
        <f>IF(AM62=1,J62,"")</f>
        <v>10</v>
      </c>
      <c r="AT62" s="65">
        <f>IF(AND(AM62=1,ISNUMBER(R62)),R62,"")</f>
        <v>4</v>
      </c>
      <c r="AU62" s="2" t="s">
        <v>8667</v>
      </c>
      <c r="AV62" s="5"/>
      <c r="AW62" s="5"/>
      <c r="AX62" s="5"/>
      <c r="AY62" s="2" t="s">
        <v>8668</v>
      </c>
      <c r="AZ62" s="2"/>
      <c r="BA62" s="2"/>
      <c r="BB62" s="2"/>
    </row>
    <row r="63" spans="1:54" ht="75.95" customHeight="1">
      <c r="A63" s="4" t="s">
        <v>80</v>
      </c>
      <c r="B63" s="4" t="s">
        <v>449</v>
      </c>
      <c r="C63" s="4" t="s">
        <v>450</v>
      </c>
      <c r="D63" s="4" t="s">
        <v>518</v>
      </c>
      <c r="E63" s="4" t="s">
        <v>8755</v>
      </c>
      <c r="F63" s="4" t="s">
        <v>8770</v>
      </c>
      <c r="G63" s="4" t="s">
        <v>8656</v>
      </c>
      <c r="H63" s="4" t="s">
        <v>8771</v>
      </c>
      <c r="I63" s="4" t="s">
        <v>8772</v>
      </c>
      <c r="J63" s="64">
        <v>5</v>
      </c>
      <c r="K63" s="94" t="s">
        <v>249</v>
      </c>
      <c r="L63" s="4" t="s">
        <v>504</v>
      </c>
      <c r="M63" s="2" t="s">
        <v>77</v>
      </c>
      <c r="N63" s="2" t="s">
        <v>520</v>
      </c>
      <c r="O63" s="2" t="s">
        <v>1165</v>
      </c>
      <c r="P63" s="2" t="s">
        <v>455</v>
      </c>
      <c r="Q63" s="2" t="s">
        <v>8760</v>
      </c>
      <c r="R63" s="65">
        <v>1.25</v>
      </c>
      <c r="S63" s="2" t="s">
        <v>8660</v>
      </c>
      <c r="T63" s="2" t="s">
        <v>2026</v>
      </c>
      <c r="U63" s="2" t="s">
        <v>8773</v>
      </c>
      <c r="V63" s="2" t="s">
        <v>8774</v>
      </c>
      <c r="W63" s="2" t="s">
        <v>8662</v>
      </c>
      <c r="X63" s="2" t="s">
        <v>456</v>
      </c>
      <c r="Y63" s="33" t="s">
        <v>519</v>
      </c>
      <c r="Z63" s="9">
        <v>46259</v>
      </c>
      <c r="AA63" s="2" t="s">
        <v>838</v>
      </c>
      <c r="AB63" s="2" t="s">
        <v>839</v>
      </c>
      <c r="AC63" s="2" t="s">
        <v>907</v>
      </c>
      <c r="AD63" s="2" t="s">
        <v>8686</v>
      </c>
      <c r="AE63" s="2" t="s">
        <v>8700</v>
      </c>
      <c r="AF63" s="2" t="s">
        <v>830</v>
      </c>
      <c r="AG63" s="2" t="s">
        <v>1061</v>
      </c>
      <c r="AH63" s="2" t="s">
        <v>8665</v>
      </c>
      <c r="AI63" s="2" t="str">
        <f>IF(Y63="","",Y63)</f>
        <v>ea9103fd — Establish source time authority for plant timestamps</v>
      </c>
      <c r="AJ63" s="2" t="s">
        <v>1522</v>
      </c>
      <c r="AK63" s="2" t="s">
        <v>8594</v>
      </c>
      <c r="AL63" s="2" t="s">
        <v>8666</v>
      </c>
      <c r="AM63" s="2">
        <f>IF(AND(ISNUMBER(J63),OR(AR63="INHERITED ESTIMATE",AR63="CONFIRMED ESTIMATE")),1,0)</f>
        <v>1</v>
      </c>
      <c r="AN63" s="2"/>
      <c r="AO63" s="32" t="s">
        <v>1415</v>
      </c>
      <c r="AP63" s="32" t="s">
        <v>1418</v>
      </c>
      <c r="AQ63" s="32"/>
      <c r="AR63" s="32" t="s">
        <v>1420</v>
      </c>
      <c r="AS63" s="65">
        <f>IF(AM63=1,J63,"")</f>
        <v>5</v>
      </c>
      <c r="AT63" s="65">
        <f>IF(AND(AM63=1,ISNUMBER(R63)),R63,"")</f>
        <v>1.25</v>
      </c>
      <c r="AU63" s="2" t="s">
        <v>8667</v>
      </c>
      <c r="AV63" s="5"/>
      <c r="AW63" s="5"/>
      <c r="AX63" s="5"/>
      <c r="AY63" s="2" t="s">
        <v>8668</v>
      </c>
      <c r="AZ63" s="2"/>
      <c r="BA63" s="2"/>
      <c r="BB63" s="2"/>
    </row>
    <row r="64" spans="1:54" ht="75.95" customHeight="1">
      <c r="A64" s="2" t="s">
        <v>123</v>
      </c>
      <c r="B64" s="2" t="s">
        <v>449</v>
      </c>
      <c r="C64" s="2" t="s">
        <v>622</v>
      </c>
      <c r="D64" s="2" t="s">
        <v>632</v>
      </c>
      <c r="E64" s="2" t="s">
        <v>8728</v>
      </c>
      <c r="F64" s="2" t="s">
        <v>9022</v>
      </c>
      <c r="G64" s="2" t="s">
        <v>8677</v>
      </c>
      <c r="H64" s="2" t="s">
        <v>9023</v>
      </c>
      <c r="I64" s="2" t="s">
        <v>9024</v>
      </c>
      <c r="J64" s="65">
        <v>10</v>
      </c>
      <c r="K64" s="94" t="s">
        <v>537</v>
      </c>
      <c r="L64" s="2" t="s">
        <v>491</v>
      </c>
      <c r="M64" s="2" t="s">
        <v>633</v>
      </c>
      <c r="N64" s="2" t="s">
        <v>163</v>
      </c>
      <c r="O64" s="2" t="s">
        <v>1165</v>
      </c>
      <c r="P64" s="2" t="s">
        <v>455</v>
      </c>
      <c r="Q64" s="2" t="s">
        <v>9025</v>
      </c>
      <c r="R64" s="65">
        <v>4.25</v>
      </c>
      <c r="S64" s="2" t="s">
        <v>9011</v>
      </c>
      <c r="T64" s="2" t="s">
        <v>9026</v>
      </c>
      <c r="U64" s="2" t="s">
        <v>9027</v>
      </c>
      <c r="V64" s="2" t="s">
        <v>9028</v>
      </c>
      <c r="W64" s="2" t="s">
        <v>9013</v>
      </c>
      <c r="X64" s="2" t="s">
        <v>629</v>
      </c>
      <c r="Y64" s="33"/>
      <c r="Z64" s="9"/>
      <c r="AA64" s="2" t="s">
        <v>988</v>
      </c>
      <c r="AB64" s="2" t="s">
        <v>989</v>
      </c>
      <c r="AC64" s="2"/>
      <c r="AD64" s="2" t="s">
        <v>8686</v>
      </c>
      <c r="AE64" s="2" t="s">
        <v>8722</v>
      </c>
      <c r="AF64" s="2" t="s">
        <v>990</v>
      </c>
      <c r="AG64" s="2" t="s">
        <v>1061</v>
      </c>
      <c r="AH64" s="2" t="s">
        <v>8665</v>
      </c>
      <c r="AI64" s="2" t="str">
        <f>IF(Y64="","",Y64)</f>
        <v/>
      </c>
      <c r="AJ64" s="2" t="s">
        <v>1522</v>
      </c>
      <c r="AK64" s="2" t="s">
        <v>8594</v>
      </c>
      <c r="AL64" s="2" t="s">
        <v>9029</v>
      </c>
      <c r="AM64" s="2">
        <f>IF(AND(ISNUMBER(J64),OR(AR64="INHERITED ESTIMATE",AR64="CONFIRMED ESTIMATE")),1,0)</f>
        <v>1</v>
      </c>
      <c r="AN64" s="2"/>
      <c r="AO64" s="32" t="s">
        <v>1429</v>
      </c>
      <c r="AP64" s="32" t="s">
        <v>1418</v>
      </c>
      <c r="AQ64" s="32"/>
      <c r="AR64" s="32" t="s">
        <v>1420</v>
      </c>
      <c r="AS64" s="65">
        <f>IF(AM64=1,J64,"")</f>
        <v>10</v>
      </c>
      <c r="AT64" s="65">
        <f>IF(AND(AM64=1,ISNUMBER(R64)),R64,"")</f>
        <v>4.25</v>
      </c>
      <c r="AU64" s="2" t="s">
        <v>8667</v>
      </c>
      <c r="AV64" s="5"/>
      <c r="AW64" s="5"/>
      <c r="AX64" s="5"/>
      <c r="AY64" s="2" t="s">
        <v>8668</v>
      </c>
      <c r="AZ64" s="2"/>
      <c r="BA64" s="2"/>
      <c r="BB64" s="2"/>
    </row>
    <row r="65" spans="1:54" ht="75.95" hidden="1" customHeight="1">
      <c r="A65" s="2" t="s">
        <v>125</v>
      </c>
      <c r="B65" s="2" t="s">
        <v>449</v>
      </c>
      <c r="C65" s="2" t="s">
        <v>634</v>
      </c>
      <c r="D65" s="2" t="s">
        <v>636</v>
      </c>
      <c r="E65" s="2" t="s">
        <v>9036</v>
      </c>
      <c r="F65" s="2" t="s">
        <v>9037</v>
      </c>
      <c r="G65" s="2" t="s">
        <v>8677</v>
      </c>
      <c r="H65" s="2" t="s">
        <v>9038</v>
      </c>
      <c r="I65" s="2" t="s">
        <v>9039</v>
      </c>
      <c r="J65" s="65">
        <v>10</v>
      </c>
      <c r="K65" s="94" t="s">
        <v>249</v>
      </c>
      <c r="L65" s="2" t="s">
        <v>504</v>
      </c>
      <c r="M65" s="2"/>
      <c r="N65" s="2" t="s">
        <v>637</v>
      </c>
      <c r="O65" s="2" t="s">
        <v>1165</v>
      </c>
      <c r="P65" s="2" t="s">
        <v>455</v>
      </c>
      <c r="Q65" s="2" t="s">
        <v>9040</v>
      </c>
      <c r="R65" s="65">
        <v>0</v>
      </c>
      <c r="S65" s="2" t="s">
        <v>9041</v>
      </c>
      <c r="T65" s="2" t="s">
        <v>2026</v>
      </c>
      <c r="U65" s="2" t="s">
        <v>9042</v>
      </c>
      <c r="V65" s="2" t="s">
        <v>9043</v>
      </c>
      <c r="W65" s="2" t="s">
        <v>1190</v>
      </c>
      <c r="X65" s="2" t="s">
        <v>638</v>
      </c>
      <c r="Y65" s="33" t="s">
        <v>506</v>
      </c>
      <c r="Z65" s="9"/>
      <c r="AA65" s="2" t="s">
        <v>896</v>
      </c>
      <c r="AB65" s="2" t="s">
        <v>897</v>
      </c>
      <c r="AC65" s="2"/>
      <c r="AD65" s="2" t="s">
        <v>8686</v>
      </c>
      <c r="AE65" s="2" t="s">
        <v>8696</v>
      </c>
      <c r="AF65" s="2" t="s">
        <v>830</v>
      </c>
      <c r="AG65" s="2" t="s">
        <v>1061</v>
      </c>
      <c r="AH65" s="2" t="s">
        <v>8665</v>
      </c>
      <c r="AI65" s="2" t="str">
        <f>IF(Y65="","",Y65)</f>
        <v>Not recovered from reviewed sessions</v>
      </c>
      <c r="AJ65" s="2" t="s">
        <v>1522</v>
      </c>
      <c r="AK65" s="2" t="s">
        <v>8594</v>
      </c>
      <c r="AL65" s="2" t="s">
        <v>8666</v>
      </c>
      <c r="AM65" s="2">
        <f>IF(AND(ISNUMBER(J65),OR(AR65="INHERITED ESTIMATE",AR65="CONFIRMED ESTIMATE")),1,0)</f>
        <v>1</v>
      </c>
      <c r="AN65" s="2"/>
      <c r="AO65" s="32" t="s">
        <v>1415</v>
      </c>
      <c r="AP65" s="32" t="s">
        <v>1418</v>
      </c>
      <c r="AQ65" s="32"/>
      <c r="AR65" s="32" t="s">
        <v>1420</v>
      </c>
      <c r="AS65" s="65">
        <f>IF(AM65=1,J65,"")</f>
        <v>10</v>
      </c>
      <c r="AT65" s="65">
        <f>IF(AND(AM65=1,ISNUMBER(R65)),R65,"")</f>
        <v>0</v>
      </c>
      <c r="AU65" s="2" t="s">
        <v>8667</v>
      </c>
      <c r="AV65" s="5"/>
      <c r="AW65" s="5"/>
      <c r="AX65" s="5"/>
      <c r="AY65" s="2" t="s">
        <v>8668</v>
      </c>
      <c r="AZ65" s="2"/>
      <c r="BA65" s="2"/>
      <c r="BB65" s="2"/>
    </row>
    <row r="66" spans="1:54" ht="75.95" hidden="1" customHeight="1">
      <c r="A66" s="2" t="s">
        <v>126</v>
      </c>
      <c r="B66" s="2" t="s">
        <v>449</v>
      </c>
      <c r="C66" s="2" t="s">
        <v>634</v>
      </c>
      <c r="D66" s="2" t="s">
        <v>639</v>
      </c>
      <c r="E66" s="2" t="s">
        <v>9036</v>
      </c>
      <c r="F66" s="2" t="s">
        <v>9044</v>
      </c>
      <c r="G66" s="2" t="s">
        <v>8656</v>
      </c>
      <c r="H66" s="2" t="s">
        <v>9045</v>
      </c>
      <c r="I66" s="2" t="s">
        <v>9046</v>
      </c>
      <c r="J66" s="65">
        <v>12</v>
      </c>
      <c r="K66" s="94" t="s">
        <v>249</v>
      </c>
      <c r="L66" s="2" t="s">
        <v>504</v>
      </c>
      <c r="M66" s="2"/>
      <c r="N66" s="2" t="s">
        <v>641</v>
      </c>
      <c r="O66" s="2" t="s">
        <v>1165</v>
      </c>
      <c r="P66" s="2" t="s">
        <v>455</v>
      </c>
      <c r="Q66" s="2" t="s">
        <v>9040</v>
      </c>
      <c r="R66" s="65">
        <v>0</v>
      </c>
      <c r="S66" s="2" t="s">
        <v>9041</v>
      </c>
      <c r="T66" s="2" t="s">
        <v>2026</v>
      </c>
      <c r="U66" s="2" t="s">
        <v>9042</v>
      </c>
      <c r="V66" s="2" t="s">
        <v>9043</v>
      </c>
      <c r="W66" s="2" t="s">
        <v>1190</v>
      </c>
      <c r="X66" s="2" t="s">
        <v>638</v>
      </c>
      <c r="Y66" s="33" t="s">
        <v>640</v>
      </c>
      <c r="Z66" s="9"/>
      <c r="AA66" s="2" t="s">
        <v>888</v>
      </c>
      <c r="AB66" s="2" t="s">
        <v>889</v>
      </c>
      <c r="AC66" s="2" t="s">
        <v>956</v>
      </c>
      <c r="AD66" s="2" t="s">
        <v>8686</v>
      </c>
      <c r="AE66" s="2" t="s">
        <v>8696</v>
      </c>
      <c r="AF66" s="2" t="s">
        <v>830</v>
      </c>
      <c r="AG66" s="2" t="s">
        <v>1061</v>
      </c>
      <c r="AH66" s="2" t="s">
        <v>8665</v>
      </c>
      <c r="AI66" s="2" t="str">
        <f>IF(Y66="","",Y66)</f>
        <v>16ea041a; 94ab4e40; 723b9434; 6aef283f; ef588f0c — multi-commit runtime/protocol/CI closure</v>
      </c>
      <c r="AJ66" s="2" t="s">
        <v>1522</v>
      </c>
      <c r="AK66" s="2" t="s">
        <v>8594</v>
      </c>
      <c r="AL66" s="2" t="s">
        <v>8666</v>
      </c>
      <c r="AM66" s="2">
        <f>IF(AND(ISNUMBER(J66),OR(AR66="INHERITED ESTIMATE",AR66="CONFIRMED ESTIMATE")),1,0)</f>
        <v>1</v>
      </c>
      <c r="AN66" s="2"/>
      <c r="AO66" s="32" t="s">
        <v>1415</v>
      </c>
      <c r="AP66" s="32" t="s">
        <v>1418</v>
      </c>
      <c r="AQ66" s="32"/>
      <c r="AR66" s="32" t="s">
        <v>1420</v>
      </c>
      <c r="AS66" s="65">
        <f>IF(AM66=1,J66,"")</f>
        <v>12</v>
      </c>
      <c r="AT66" s="65">
        <f>IF(AND(AM66=1,ISNUMBER(R66)),R66,"")</f>
        <v>0</v>
      </c>
      <c r="AU66" s="2" t="s">
        <v>8667</v>
      </c>
      <c r="AV66" s="5"/>
      <c r="AW66" s="5"/>
      <c r="AX66" s="5"/>
      <c r="AY66" s="2" t="s">
        <v>8668</v>
      </c>
      <c r="AZ66" s="2"/>
      <c r="BA66" s="2"/>
      <c r="BB66" s="2"/>
    </row>
    <row r="67" spans="1:54" ht="75.95" hidden="1" customHeight="1">
      <c r="A67" s="2" t="s">
        <v>127</v>
      </c>
      <c r="B67" s="2" t="s">
        <v>449</v>
      </c>
      <c r="C67" s="2" t="s">
        <v>634</v>
      </c>
      <c r="D67" s="2" t="s">
        <v>642</v>
      </c>
      <c r="E67" s="2" t="s">
        <v>9036</v>
      </c>
      <c r="F67" s="2" t="s">
        <v>9047</v>
      </c>
      <c r="G67" s="2" t="s">
        <v>8656</v>
      </c>
      <c r="H67" s="2" t="s">
        <v>9048</v>
      </c>
      <c r="I67" s="2" t="s">
        <v>9049</v>
      </c>
      <c r="J67" s="65">
        <v>10</v>
      </c>
      <c r="K67" s="94" t="s">
        <v>249</v>
      </c>
      <c r="L67" s="2" t="s">
        <v>504</v>
      </c>
      <c r="M67" s="2"/>
      <c r="N67" s="2" t="s">
        <v>644</v>
      </c>
      <c r="O67" s="2" t="s">
        <v>1165</v>
      </c>
      <c r="P67" s="2" t="s">
        <v>455</v>
      </c>
      <c r="Q67" s="2" t="s">
        <v>9040</v>
      </c>
      <c r="R67" s="65">
        <v>0</v>
      </c>
      <c r="S67" s="2" t="s">
        <v>9041</v>
      </c>
      <c r="T67" s="2" t="s">
        <v>2026</v>
      </c>
      <c r="U67" s="2" t="s">
        <v>9042</v>
      </c>
      <c r="V67" s="2" t="s">
        <v>9043</v>
      </c>
      <c r="W67" s="2" t="s">
        <v>1190</v>
      </c>
      <c r="X67" s="2" t="s">
        <v>638</v>
      </c>
      <c r="Y67" s="33" t="s">
        <v>643</v>
      </c>
      <c r="Z67" s="9">
        <v>46247</v>
      </c>
      <c r="AA67" s="2" t="s">
        <v>886</v>
      </c>
      <c r="AB67" s="2" t="s">
        <v>887</v>
      </c>
      <c r="AC67" s="2"/>
      <c r="AD67" s="2" t="s">
        <v>8686</v>
      </c>
      <c r="AE67" s="2" t="s">
        <v>8696</v>
      </c>
      <c r="AF67" s="2" t="s">
        <v>830</v>
      </c>
      <c r="AG67" s="2" t="s">
        <v>1061</v>
      </c>
      <c r="AH67" s="2" t="s">
        <v>8665</v>
      </c>
      <c r="AI67" s="2" t="str">
        <f>IF(Y67="","",Y67)</f>
        <v>a887c554 — T-169 Pack 1: typed columnar artifact contract, Parquet and Arrow IPC adapters, two hashes, B-03 hook</v>
      </c>
      <c r="AJ67" s="2" t="s">
        <v>1522</v>
      </c>
      <c r="AK67" s="2" t="s">
        <v>8594</v>
      </c>
      <c r="AL67" s="2" t="s">
        <v>8666</v>
      </c>
      <c r="AM67" s="2">
        <f>IF(AND(ISNUMBER(J67),OR(AR67="INHERITED ESTIMATE",AR67="CONFIRMED ESTIMATE")),1,0)</f>
        <v>1</v>
      </c>
      <c r="AN67" s="2"/>
      <c r="AO67" s="32" t="s">
        <v>1415</v>
      </c>
      <c r="AP67" s="32" t="s">
        <v>1418</v>
      </c>
      <c r="AQ67" s="32"/>
      <c r="AR67" s="32" t="s">
        <v>1420</v>
      </c>
      <c r="AS67" s="65">
        <f>IF(AM67=1,J67,"")</f>
        <v>10</v>
      </c>
      <c r="AT67" s="65">
        <f>IF(AND(AM67=1,ISNUMBER(R67)),R67,"")</f>
        <v>0</v>
      </c>
      <c r="AU67" s="2" t="s">
        <v>8667</v>
      </c>
      <c r="AV67" s="5"/>
      <c r="AW67" s="5"/>
      <c r="AX67" s="5"/>
      <c r="AY67" s="2" t="s">
        <v>8668</v>
      </c>
      <c r="AZ67" s="2"/>
      <c r="BA67" s="2"/>
      <c r="BB67" s="2"/>
    </row>
    <row r="68" spans="1:54" ht="75.95" hidden="1" customHeight="1">
      <c r="A68" s="2" t="s">
        <v>128</v>
      </c>
      <c r="B68" s="2" t="s">
        <v>449</v>
      </c>
      <c r="C68" s="2" t="s">
        <v>634</v>
      </c>
      <c r="D68" s="2" t="s">
        <v>645</v>
      </c>
      <c r="E68" s="2" t="s">
        <v>9036</v>
      </c>
      <c r="F68" s="2" t="s">
        <v>9047</v>
      </c>
      <c r="G68" s="2" t="s">
        <v>8656</v>
      </c>
      <c r="H68" s="2" t="s">
        <v>9050</v>
      </c>
      <c r="I68" s="2" t="s">
        <v>9051</v>
      </c>
      <c r="J68" s="65">
        <v>10</v>
      </c>
      <c r="K68" s="94" t="s">
        <v>249</v>
      </c>
      <c r="L68" s="2" t="s">
        <v>504</v>
      </c>
      <c r="M68" s="2"/>
      <c r="N68" s="2" t="s">
        <v>647</v>
      </c>
      <c r="O68" s="2" t="s">
        <v>1165</v>
      </c>
      <c r="P68" s="2" t="s">
        <v>455</v>
      </c>
      <c r="Q68" s="2" t="s">
        <v>9040</v>
      </c>
      <c r="R68" s="65">
        <v>0</v>
      </c>
      <c r="S68" s="2" t="s">
        <v>9041</v>
      </c>
      <c r="T68" s="2" t="s">
        <v>2026</v>
      </c>
      <c r="U68" s="2" t="s">
        <v>9042</v>
      </c>
      <c r="V68" s="2" t="s">
        <v>9043</v>
      </c>
      <c r="W68" s="2" t="s">
        <v>1190</v>
      </c>
      <c r="X68" s="2" t="s">
        <v>638</v>
      </c>
      <c r="Y68" s="33" t="s">
        <v>646</v>
      </c>
      <c r="Z68" s="9">
        <v>46249</v>
      </c>
      <c r="AA68" s="2" t="s">
        <v>886</v>
      </c>
      <c r="AB68" s="2" t="s">
        <v>887</v>
      </c>
      <c r="AC68" s="2"/>
      <c r="AD68" s="2" t="s">
        <v>8686</v>
      </c>
      <c r="AE68" s="2" t="s">
        <v>8696</v>
      </c>
      <c r="AF68" s="2" t="s">
        <v>830</v>
      </c>
      <c r="AG68" s="2" t="s">
        <v>1061</v>
      </c>
      <c r="AH68" s="2" t="s">
        <v>8665</v>
      </c>
      <c r="AI68" s="2" t="str">
        <f>IF(Y68="","",Y68)</f>
        <v>5a216483 — T-170 Chunked sequence-artifact library and bounded loader</v>
      </c>
      <c r="AJ68" s="2" t="s">
        <v>1522</v>
      </c>
      <c r="AK68" s="2" t="s">
        <v>8594</v>
      </c>
      <c r="AL68" s="2" t="s">
        <v>8666</v>
      </c>
      <c r="AM68" s="2">
        <f>IF(AND(ISNUMBER(J68),OR(AR68="INHERITED ESTIMATE",AR68="CONFIRMED ESTIMATE")),1,0)</f>
        <v>1</v>
      </c>
      <c r="AN68" s="2"/>
      <c r="AO68" s="32" t="s">
        <v>1415</v>
      </c>
      <c r="AP68" s="32" t="s">
        <v>1418</v>
      </c>
      <c r="AQ68" s="32"/>
      <c r="AR68" s="32" t="s">
        <v>1420</v>
      </c>
      <c r="AS68" s="65">
        <f>IF(AM68=1,J68,"")</f>
        <v>10</v>
      </c>
      <c r="AT68" s="65">
        <f>IF(AND(AM68=1,ISNUMBER(R68)),R68,"")</f>
        <v>0</v>
      </c>
      <c r="AU68" s="2" t="s">
        <v>8667</v>
      </c>
      <c r="AV68" s="5"/>
      <c r="AW68" s="5"/>
      <c r="AX68" s="5"/>
      <c r="AY68" s="2" t="s">
        <v>8668</v>
      </c>
      <c r="AZ68" s="2"/>
      <c r="BA68" s="2"/>
      <c r="BB68" s="2"/>
    </row>
    <row r="69" spans="1:54" ht="75.95" hidden="1" customHeight="1">
      <c r="A69" s="2" t="s">
        <v>129</v>
      </c>
      <c r="B69" s="2" t="s">
        <v>449</v>
      </c>
      <c r="C69" s="2" t="s">
        <v>634</v>
      </c>
      <c r="D69" s="2" t="s">
        <v>648</v>
      </c>
      <c r="E69" s="2" t="s">
        <v>9052</v>
      </c>
      <c r="F69" s="2" t="s">
        <v>9053</v>
      </c>
      <c r="G69" s="2" t="s">
        <v>8656</v>
      </c>
      <c r="H69" s="2" t="s">
        <v>9054</v>
      </c>
      <c r="I69" s="2" t="s">
        <v>9055</v>
      </c>
      <c r="J69" s="65">
        <v>10</v>
      </c>
      <c r="K69" s="94" t="s">
        <v>249</v>
      </c>
      <c r="L69" s="2" t="s">
        <v>504</v>
      </c>
      <c r="M69" s="2"/>
      <c r="N69" s="2" t="s">
        <v>650</v>
      </c>
      <c r="O69" s="2" t="s">
        <v>1165</v>
      </c>
      <c r="P69" s="2" t="s">
        <v>455</v>
      </c>
      <c r="Q69" s="2" t="s">
        <v>9040</v>
      </c>
      <c r="R69" s="65">
        <v>0</v>
      </c>
      <c r="S69" s="2" t="s">
        <v>9041</v>
      </c>
      <c r="T69" s="2" t="s">
        <v>2026</v>
      </c>
      <c r="U69" s="2" t="s">
        <v>9042</v>
      </c>
      <c r="V69" s="2" t="s">
        <v>9043</v>
      </c>
      <c r="W69" s="2" t="s">
        <v>1190</v>
      </c>
      <c r="X69" s="2" t="s">
        <v>638</v>
      </c>
      <c r="Y69" s="33" t="s">
        <v>649</v>
      </c>
      <c r="Z69" s="9"/>
      <c r="AA69" s="2" t="s">
        <v>881</v>
      </c>
      <c r="AB69" s="2" t="s">
        <v>883</v>
      </c>
      <c r="AC69" s="2"/>
      <c r="AD69" s="2" t="s">
        <v>8686</v>
      </c>
      <c r="AE69" s="2" t="s">
        <v>8696</v>
      </c>
      <c r="AF69" s="2" t="s">
        <v>830</v>
      </c>
      <c r="AG69" s="2" t="s">
        <v>1061</v>
      </c>
      <c r="AH69" s="2" t="s">
        <v>8665</v>
      </c>
      <c r="AI69" s="2" t="str">
        <f>IF(Y69="","",Y69)</f>
        <v>95cc019c — Capability Profiler Pack 2</v>
      </c>
      <c r="AJ69" s="2" t="s">
        <v>1522</v>
      </c>
      <c r="AK69" s="2" t="s">
        <v>8594</v>
      </c>
      <c r="AL69" s="2" t="s">
        <v>8666</v>
      </c>
      <c r="AM69" s="2">
        <f>IF(AND(ISNUMBER(J69),OR(AR69="INHERITED ESTIMATE",AR69="CONFIRMED ESTIMATE")),1,0)</f>
        <v>1</v>
      </c>
      <c r="AN69" s="2"/>
      <c r="AO69" s="32" t="s">
        <v>1415</v>
      </c>
      <c r="AP69" s="32" t="s">
        <v>1418</v>
      </c>
      <c r="AQ69" s="32"/>
      <c r="AR69" s="32" t="s">
        <v>1420</v>
      </c>
      <c r="AS69" s="65">
        <f>IF(AM69=1,J69,"")</f>
        <v>10</v>
      </c>
      <c r="AT69" s="65">
        <f>IF(AND(AM69=1,ISNUMBER(R69)),R69,"")</f>
        <v>0</v>
      </c>
      <c r="AU69" s="2" t="s">
        <v>8667</v>
      </c>
      <c r="AV69" s="5"/>
      <c r="AW69" s="5"/>
      <c r="AX69" s="5"/>
      <c r="AY69" s="2" t="s">
        <v>8668</v>
      </c>
      <c r="AZ69" s="2"/>
      <c r="BA69" s="2"/>
      <c r="BB69" s="2"/>
    </row>
    <row r="70" spans="1:54" ht="75.95" hidden="1" customHeight="1">
      <c r="A70" s="2" t="s">
        <v>130</v>
      </c>
      <c r="B70" s="2" t="s">
        <v>449</v>
      </c>
      <c r="C70" s="2" t="s">
        <v>634</v>
      </c>
      <c r="D70" s="2" t="s">
        <v>651</v>
      </c>
      <c r="E70" s="2" t="s">
        <v>9036</v>
      </c>
      <c r="F70" s="2" t="s">
        <v>9056</v>
      </c>
      <c r="G70" s="2" t="s">
        <v>8677</v>
      </c>
      <c r="H70" s="2" t="s">
        <v>9057</v>
      </c>
      <c r="I70" s="2" t="s">
        <v>9058</v>
      </c>
      <c r="J70" s="65">
        <v>12</v>
      </c>
      <c r="K70" s="94" t="s">
        <v>249</v>
      </c>
      <c r="L70" s="2" t="s">
        <v>504</v>
      </c>
      <c r="M70" s="2"/>
      <c r="N70" s="2" t="s">
        <v>223</v>
      </c>
      <c r="O70" s="2" t="s">
        <v>1165</v>
      </c>
      <c r="P70" s="2" t="s">
        <v>455</v>
      </c>
      <c r="Q70" s="2" t="s">
        <v>9040</v>
      </c>
      <c r="R70" s="65">
        <v>0</v>
      </c>
      <c r="S70" s="2" t="s">
        <v>9041</v>
      </c>
      <c r="T70" s="2" t="s">
        <v>2026</v>
      </c>
      <c r="U70" s="2" t="s">
        <v>9042</v>
      </c>
      <c r="V70" s="2" t="s">
        <v>9043</v>
      </c>
      <c r="W70" s="2" t="s">
        <v>1190</v>
      </c>
      <c r="X70" s="2" t="s">
        <v>638</v>
      </c>
      <c r="Y70" s="33" t="s">
        <v>652</v>
      </c>
      <c r="Z70" s="9">
        <v>46249</v>
      </c>
      <c r="AA70" s="2" t="s">
        <v>888</v>
      </c>
      <c r="AB70" s="2" t="s">
        <v>889</v>
      </c>
      <c r="AC70" s="2"/>
      <c r="AD70" s="2" t="s">
        <v>8686</v>
      </c>
      <c r="AE70" s="2" t="s">
        <v>8700</v>
      </c>
      <c r="AF70" s="2" t="s">
        <v>830</v>
      </c>
      <c r="AG70" s="2" t="s">
        <v>1061</v>
      </c>
      <c r="AH70" s="2" t="s">
        <v>8665</v>
      </c>
      <c r="AI70" s="2" t="str">
        <f>IF(Y70="","",Y70)</f>
        <v>d4321856 — T-172 MF-01 Process Encoder runtime behind a replaceable contract</v>
      </c>
      <c r="AJ70" s="2" t="s">
        <v>1522</v>
      </c>
      <c r="AK70" s="2" t="s">
        <v>8594</v>
      </c>
      <c r="AL70" s="2" t="s">
        <v>8666</v>
      </c>
      <c r="AM70" s="2">
        <f>IF(AND(ISNUMBER(J70),OR(AR70="INHERITED ESTIMATE",AR70="CONFIRMED ESTIMATE")),1,0)</f>
        <v>1</v>
      </c>
      <c r="AN70" s="2"/>
      <c r="AO70" s="32" t="s">
        <v>1415</v>
      </c>
      <c r="AP70" s="32" t="s">
        <v>1418</v>
      </c>
      <c r="AQ70" s="32"/>
      <c r="AR70" s="32" t="s">
        <v>1420</v>
      </c>
      <c r="AS70" s="65">
        <f>IF(AM70=1,J70,"")</f>
        <v>12</v>
      </c>
      <c r="AT70" s="65">
        <f>IF(AND(AM70=1,ISNUMBER(R70)),R70,"")</f>
        <v>0</v>
      </c>
      <c r="AU70" s="2" t="s">
        <v>8667</v>
      </c>
      <c r="AV70" s="5"/>
      <c r="AW70" s="5"/>
      <c r="AX70" s="5"/>
      <c r="AY70" s="2" t="s">
        <v>8668</v>
      </c>
      <c r="AZ70" s="2"/>
      <c r="BA70" s="2"/>
      <c r="BB70" s="2"/>
    </row>
    <row r="71" spans="1:54" ht="75.95" hidden="1" customHeight="1">
      <c r="A71" s="2" t="s">
        <v>131</v>
      </c>
      <c r="B71" s="2" t="s">
        <v>449</v>
      </c>
      <c r="C71" s="2" t="s">
        <v>634</v>
      </c>
      <c r="D71" s="2" t="s">
        <v>653</v>
      </c>
      <c r="E71" s="2" t="s">
        <v>9036</v>
      </c>
      <c r="F71" s="2" t="s">
        <v>9059</v>
      </c>
      <c r="G71" s="2" t="s">
        <v>8656</v>
      </c>
      <c r="H71" s="2" t="s">
        <v>9060</v>
      </c>
      <c r="I71" s="2" t="s">
        <v>9061</v>
      </c>
      <c r="J71" s="65">
        <v>12</v>
      </c>
      <c r="K71" s="94" t="s">
        <v>249</v>
      </c>
      <c r="L71" s="2" t="s">
        <v>504</v>
      </c>
      <c r="M71" s="2"/>
      <c r="N71" s="2" t="s">
        <v>655</v>
      </c>
      <c r="O71" s="2" t="s">
        <v>1165</v>
      </c>
      <c r="P71" s="2" t="s">
        <v>455</v>
      </c>
      <c r="Q71" s="2" t="s">
        <v>9040</v>
      </c>
      <c r="R71" s="65">
        <v>0</v>
      </c>
      <c r="S71" s="2" t="s">
        <v>9041</v>
      </c>
      <c r="T71" s="2" t="s">
        <v>2026</v>
      </c>
      <c r="U71" s="2" t="s">
        <v>9042</v>
      </c>
      <c r="V71" s="2" t="s">
        <v>9043</v>
      </c>
      <c r="W71" s="2" t="s">
        <v>1190</v>
      </c>
      <c r="X71" s="2" t="s">
        <v>638</v>
      </c>
      <c r="Y71" s="33" t="s">
        <v>654</v>
      </c>
      <c r="Z71" s="9">
        <v>46249</v>
      </c>
      <c r="AA71" s="2" t="s">
        <v>890</v>
      </c>
      <c r="AB71" s="2" t="s">
        <v>891</v>
      </c>
      <c r="AC71" s="2"/>
      <c r="AD71" s="2" t="s">
        <v>8686</v>
      </c>
      <c r="AE71" s="2" t="s">
        <v>8696</v>
      </c>
      <c r="AF71" s="2" t="s">
        <v>830</v>
      </c>
      <c r="AG71" s="2" t="s">
        <v>1061</v>
      </c>
      <c r="AH71" s="2" t="s">
        <v>8665</v>
      </c>
      <c r="AI71" s="2" t="str">
        <f>IF(Y71="","",Y71)</f>
        <v>00a14286 — T-173 MF-02 VectorSimilarityIndex with exact-Flat recall baseline</v>
      </c>
      <c r="AJ71" s="2" t="s">
        <v>1522</v>
      </c>
      <c r="AK71" s="2" t="s">
        <v>8594</v>
      </c>
      <c r="AL71" s="2" t="s">
        <v>8666</v>
      </c>
      <c r="AM71" s="2">
        <f>IF(AND(ISNUMBER(J71),OR(AR71="INHERITED ESTIMATE",AR71="CONFIRMED ESTIMATE")),1,0)</f>
        <v>1</v>
      </c>
      <c r="AN71" s="2"/>
      <c r="AO71" s="32" t="s">
        <v>1415</v>
      </c>
      <c r="AP71" s="32" t="s">
        <v>1418</v>
      </c>
      <c r="AQ71" s="32"/>
      <c r="AR71" s="32" t="s">
        <v>1420</v>
      </c>
      <c r="AS71" s="65">
        <f>IF(AM71=1,J71,"")</f>
        <v>12</v>
      </c>
      <c r="AT71" s="65">
        <f>IF(AND(AM71=1,ISNUMBER(R71)),R71,"")</f>
        <v>0</v>
      </c>
      <c r="AU71" s="2" t="s">
        <v>8667</v>
      </c>
      <c r="AV71" s="5"/>
      <c r="AW71" s="5"/>
      <c r="AX71" s="5"/>
      <c r="AY71" s="2" t="s">
        <v>8668</v>
      </c>
      <c r="AZ71" s="2"/>
      <c r="BA71" s="2"/>
      <c r="BB71" s="2"/>
    </row>
    <row r="72" spans="1:54" ht="75.95" hidden="1" customHeight="1">
      <c r="A72" s="2" t="s">
        <v>132</v>
      </c>
      <c r="B72" s="2" t="s">
        <v>449</v>
      </c>
      <c r="C72" s="2" t="s">
        <v>634</v>
      </c>
      <c r="D72" s="2" t="s">
        <v>656</v>
      </c>
      <c r="E72" s="2" t="s">
        <v>9036</v>
      </c>
      <c r="F72" s="2" t="s">
        <v>9062</v>
      </c>
      <c r="G72" s="2" t="s">
        <v>8677</v>
      </c>
      <c r="H72" s="2" t="s">
        <v>9063</v>
      </c>
      <c r="I72" s="2" t="s">
        <v>9064</v>
      </c>
      <c r="J72" s="65">
        <v>10</v>
      </c>
      <c r="K72" s="94" t="s">
        <v>249</v>
      </c>
      <c r="L72" s="2" t="s">
        <v>504</v>
      </c>
      <c r="M72" s="2"/>
      <c r="N72" s="2" t="s">
        <v>223</v>
      </c>
      <c r="O72" s="2" t="s">
        <v>1165</v>
      </c>
      <c r="P72" s="2" t="s">
        <v>455</v>
      </c>
      <c r="Q72" s="2" t="s">
        <v>9040</v>
      </c>
      <c r="R72" s="65">
        <v>0</v>
      </c>
      <c r="S72" s="2" t="s">
        <v>9041</v>
      </c>
      <c r="T72" s="2" t="s">
        <v>2026</v>
      </c>
      <c r="U72" s="2" t="s">
        <v>9042</v>
      </c>
      <c r="V72" s="2" t="s">
        <v>9043</v>
      </c>
      <c r="W72" s="2" t="s">
        <v>1190</v>
      </c>
      <c r="X72" s="2" t="s">
        <v>638</v>
      </c>
      <c r="Y72" s="33" t="s">
        <v>657</v>
      </c>
      <c r="Z72" s="9">
        <v>46249</v>
      </c>
      <c r="AA72" s="2" t="s">
        <v>888</v>
      </c>
      <c r="AB72" s="2" t="s">
        <v>889</v>
      </c>
      <c r="AC72" s="2"/>
      <c r="AD72" s="2" t="s">
        <v>8686</v>
      </c>
      <c r="AE72" s="2" t="s">
        <v>8700</v>
      </c>
      <c r="AF72" s="2" t="s">
        <v>830</v>
      </c>
      <c r="AG72" s="2" t="s">
        <v>1061</v>
      </c>
      <c r="AH72" s="2" t="s">
        <v>8665</v>
      </c>
      <c r="AI72" s="2" t="str">
        <f>IF(Y72="","",Y72)</f>
        <v>db033796 — T-174 MF-03 novelty runtime and honest refusal semantics</v>
      </c>
      <c r="AJ72" s="2" t="s">
        <v>1522</v>
      </c>
      <c r="AK72" s="2" t="s">
        <v>8594</v>
      </c>
      <c r="AL72" s="2" t="s">
        <v>8666</v>
      </c>
      <c r="AM72" s="2">
        <f>IF(AND(ISNUMBER(J72),OR(AR72="INHERITED ESTIMATE",AR72="CONFIRMED ESTIMATE")),1,0)</f>
        <v>1</v>
      </c>
      <c r="AN72" s="2"/>
      <c r="AO72" s="32" t="s">
        <v>1415</v>
      </c>
      <c r="AP72" s="32" t="s">
        <v>1418</v>
      </c>
      <c r="AQ72" s="32"/>
      <c r="AR72" s="32" t="s">
        <v>1420</v>
      </c>
      <c r="AS72" s="65">
        <f>IF(AM72=1,J72,"")</f>
        <v>10</v>
      </c>
      <c r="AT72" s="65">
        <f>IF(AND(AM72=1,ISNUMBER(R72)),R72,"")</f>
        <v>0</v>
      </c>
      <c r="AU72" s="2" t="s">
        <v>8667</v>
      </c>
      <c r="AV72" s="5"/>
      <c r="AW72" s="5"/>
      <c r="AX72" s="5"/>
      <c r="AY72" s="2" t="s">
        <v>8668</v>
      </c>
      <c r="AZ72" s="2"/>
      <c r="BA72" s="2"/>
      <c r="BB72" s="2"/>
    </row>
    <row r="73" spans="1:54" ht="75.95" hidden="1" customHeight="1">
      <c r="A73" s="2" t="s">
        <v>133</v>
      </c>
      <c r="B73" s="2" t="s">
        <v>449</v>
      </c>
      <c r="C73" s="2" t="s">
        <v>634</v>
      </c>
      <c r="D73" s="2" t="s">
        <v>658</v>
      </c>
      <c r="E73" s="2" t="s">
        <v>9036</v>
      </c>
      <c r="F73" s="2" t="s">
        <v>9065</v>
      </c>
      <c r="G73" s="2" t="s">
        <v>8656</v>
      </c>
      <c r="H73" s="2" t="s">
        <v>9066</v>
      </c>
      <c r="I73" s="2" t="s">
        <v>9067</v>
      </c>
      <c r="J73" s="65">
        <v>12</v>
      </c>
      <c r="K73" s="94" t="s">
        <v>249</v>
      </c>
      <c r="L73" s="2" t="s">
        <v>504</v>
      </c>
      <c r="M73" s="2" t="s">
        <v>660</v>
      </c>
      <c r="N73" s="2" t="s">
        <v>223</v>
      </c>
      <c r="O73" s="2" t="s">
        <v>1165</v>
      </c>
      <c r="P73" s="2" t="s">
        <v>455</v>
      </c>
      <c r="Q73" s="2" t="s">
        <v>9040</v>
      </c>
      <c r="R73" s="65">
        <v>0</v>
      </c>
      <c r="S73" s="2" t="s">
        <v>9041</v>
      </c>
      <c r="T73" s="2" t="s">
        <v>2026</v>
      </c>
      <c r="U73" s="2" t="s">
        <v>9042</v>
      </c>
      <c r="V73" s="2" t="s">
        <v>9043</v>
      </c>
      <c r="W73" s="2" t="s">
        <v>1190</v>
      </c>
      <c r="X73" s="2" t="s">
        <v>638</v>
      </c>
      <c r="Y73" s="33" t="s">
        <v>659</v>
      </c>
      <c r="Z73" s="9">
        <v>46249</v>
      </c>
      <c r="AA73" s="2" t="s">
        <v>888</v>
      </c>
      <c r="AB73" s="2" t="s">
        <v>889</v>
      </c>
      <c r="AC73" s="2"/>
      <c r="AD73" s="2" t="s">
        <v>8686</v>
      </c>
      <c r="AE73" s="2" t="s">
        <v>8696</v>
      </c>
      <c r="AF73" s="2" t="s">
        <v>830</v>
      </c>
      <c r="AG73" s="2" t="s">
        <v>1061</v>
      </c>
      <c r="AH73" s="2" t="s">
        <v>8665</v>
      </c>
      <c r="AI73" s="2" t="str">
        <f>IF(Y73="","",Y73)</f>
        <v>2413c6e1 — T-175 MF-04 supervised training runtime and mandatory simple baseline</v>
      </c>
      <c r="AJ73" s="2" t="s">
        <v>1522</v>
      </c>
      <c r="AK73" s="2" t="s">
        <v>8594</v>
      </c>
      <c r="AL73" s="2" t="s">
        <v>8666</v>
      </c>
      <c r="AM73" s="2">
        <f>IF(AND(ISNUMBER(J73),OR(AR73="INHERITED ESTIMATE",AR73="CONFIRMED ESTIMATE")),1,0)</f>
        <v>1</v>
      </c>
      <c r="AN73" s="2"/>
      <c r="AO73" s="32" t="s">
        <v>1415</v>
      </c>
      <c r="AP73" s="32" t="s">
        <v>1418</v>
      </c>
      <c r="AQ73" s="32"/>
      <c r="AR73" s="32" t="s">
        <v>1420</v>
      </c>
      <c r="AS73" s="65">
        <f>IF(AM73=1,J73,"")</f>
        <v>12</v>
      </c>
      <c r="AT73" s="65">
        <f>IF(AND(AM73=1,ISNUMBER(R73)),R73,"")</f>
        <v>0</v>
      </c>
      <c r="AU73" s="2" t="s">
        <v>8667</v>
      </c>
      <c r="AV73" s="5"/>
      <c r="AW73" s="5"/>
      <c r="AX73" s="5"/>
      <c r="AY73" s="2" t="s">
        <v>8668</v>
      </c>
      <c r="AZ73" s="2"/>
      <c r="BA73" s="2"/>
      <c r="BB73" s="2"/>
    </row>
    <row r="74" spans="1:54" ht="75.95" hidden="1" customHeight="1">
      <c r="A74" s="2" t="s">
        <v>134</v>
      </c>
      <c r="B74" s="2" t="s">
        <v>449</v>
      </c>
      <c r="C74" s="2" t="s">
        <v>634</v>
      </c>
      <c r="D74" s="2" t="s">
        <v>661</v>
      </c>
      <c r="E74" s="2" t="s">
        <v>9036</v>
      </c>
      <c r="F74" s="2" t="s">
        <v>9068</v>
      </c>
      <c r="G74" s="2" t="s">
        <v>8656</v>
      </c>
      <c r="H74" s="2" t="s">
        <v>9069</v>
      </c>
      <c r="I74" s="2" t="s">
        <v>9070</v>
      </c>
      <c r="J74" s="65">
        <v>12</v>
      </c>
      <c r="K74" s="94" t="s">
        <v>249</v>
      </c>
      <c r="L74" s="2" t="s">
        <v>504</v>
      </c>
      <c r="M74" s="2"/>
      <c r="N74" s="2" t="s">
        <v>663</v>
      </c>
      <c r="O74" s="2" t="s">
        <v>1165</v>
      </c>
      <c r="P74" s="2" t="s">
        <v>455</v>
      </c>
      <c r="Q74" s="2" t="s">
        <v>9040</v>
      </c>
      <c r="R74" s="65">
        <v>0</v>
      </c>
      <c r="S74" s="2" t="s">
        <v>9041</v>
      </c>
      <c r="T74" s="2" t="s">
        <v>2026</v>
      </c>
      <c r="U74" s="2" t="s">
        <v>9042</v>
      </c>
      <c r="V74" s="2" t="s">
        <v>9043</v>
      </c>
      <c r="W74" s="2" t="s">
        <v>1190</v>
      </c>
      <c r="X74" s="2" t="s">
        <v>638</v>
      </c>
      <c r="Y74" s="33" t="s">
        <v>662</v>
      </c>
      <c r="Z74" s="9">
        <v>46249</v>
      </c>
      <c r="AA74" s="2" t="s">
        <v>896</v>
      </c>
      <c r="AB74" s="2" t="s">
        <v>897</v>
      </c>
      <c r="AC74" s="2"/>
      <c r="AD74" s="2" t="s">
        <v>8686</v>
      </c>
      <c r="AE74" s="2" t="s">
        <v>8696</v>
      </c>
      <c r="AF74" s="2" t="s">
        <v>830</v>
      </c>
      <c r="AG74" s="2" t="s">
        <v>1061</v>
      </c>
      <c r="AH74" s="2" t="s">
        <v>8665</v>
      </c>
      <c r="AI74" s="2" t="str">
        <f>IF(Y74="","",Y74)</f>
        <v>08b54b61; 0a61ccfb — Calibration/explanation stability/promotion kernel + real TreeSHAP Pack 2</v>
      </c>
      <c r="AJ74" s="2" t="s">
        <v>1522</v>
      </c>
      <c r="AK74" s="2" t="s">
        <v>8594</v>
      </c>
      <c r="AL74" s="2" t="s">
        <v>8666</v>
      </c>
      <c r="AM74" s="2">
        <f>IF(AND(ISNUMBER(J74),OR(AR74="INHERITED ESTIMATE",AR74="CONFIRMED ESTIMATE")),1,0)</f>
        <v>1</v>
      </c>
      <c r="AN74" s="2"/>
      <c r="AO74" s="32" t="s">
        <v>1415</v>
      </c>
      <c r="AP74" s="32" t="s">
        <v>1418</v>
      </c>
      <c r="AQ74" s="32"/>
      <c r="AR74" s="32" t="s">
        <v>1420</v>
      </c>
      <c r="AS74" s="65">
        <f>IF(AM74=1,J74,"")</f>
        <v>12</v>
      </c>
      <c r="AT74" s="65">
        <f>IF(AND(AM74=1,ISNUMBER(R74)),R74,"")</f>
        <v>0</v>
      </c>
      <c r="AU74" s="2" t="s">
        <v>8667</v>
      </c>
      <c r="AV74" s="5"/>
      <c r="AW74" s="5"/>
      <c r="AX74" s="5"/>
      <c r="AY74" s="2" t="s">
        <v>8668</v>
      </c>
      <c r="AZ74" s="2"/>
      <c r="BA74" s="2"/>
      <c r="BB74" s="2"/>
    </row>
    <row r="75" spans="1:54" ht="75.95" hidden="1" customHeight="1">
      <c r="A75" s="2" t="s">
        <v>135</v>
      </c>
      <c r="B75" s="2" t="s">
        <v>449</v>
      </c>
      <c r="C75" s="2" t="s">
        <v>634</v>
      </c>
      <c r="D75" s="2" t="s">
        <v>664</v>
      </c>
      <c r="E75" s="2" t="s">
        <v>9052</v>
      </c>
      <c r="F75" s="2" t="s">
        <v>9071</v>
      </c>
      <c r="G75" s="2" t="s">
        <v>8656</v>
      </c>
      <c r="H75" s="2" t="s">
        <v>9072</v>
      </c>
      <c r="I75" s="2" t="s">
        <v>9073</v>
      </c>
      <c r="J75" s="65">
        <v>10</v>
      </c>
      <c r="K75" s="94" t="s">
        <v>249</v>
      </c>
      <c r="L75" s="2" t="s">
        <v>504</v>
      </c>
      <c r="M75" s="2"/>
      <c r="N75" s="2" t="s">
        <v>666</v>
      </c>
      <c r="O75" s="2" t="s">
        <v>1165</v>
      </c>
      <c r="P75" s="2" t="s">
        <v>455</v>
      </c>
      <c r="Q75" s="2" t="s">
        <v>9040</v>
      </c>
      <c r="R75" s="65">
        <v>0</v>
      </c>
      <c r="S75" s="2" t="s">
        <v>9041</v>
      </c>
      <c r="T75" s="2" t="s">
        <v>2026</v>
      </c>
      <c r="U75" s="2" t="s">
        <v>9042</v>
      </c>
      <c r="V75" s="2" t="s">
        <v>9043</v>
      </c>
      <c r="W75" s="2" t="s">
        <v>1190</v>
      </c>
      <c r="X75" s="2" t="s">
        <v>638</v>
      </c>
      <c r="Y75" s="33" t="s">
        <v>665</v>
      </c>
      <c r="Z75" s="9"/>
      <c r="AA75" s="2" t="s">
        <v>884</v>
      </c>
      <c r="AB75" s="2" t="s">
        <v>885</v>
      </c>
      <c r="AC75" s="2"/>
      <c r="AD75" s="2" t="s">
        <v>8686</v>
      </c>
      <c r="AE75" s="2" t="s">
        <v>8696</v>
      </c>
      <c r="AF75" s="2" t="s">
        <v>830</v>
      </c>
      <c r="AG75" s="2" t="s">
        <v>1061</v>
      </c>
      <c r="AH75" s="2" t="s">
        <v>8665</v>
      </c>
      <c r="AI75" s="2" t="str">
        <f>IF(Y75="","",Y75)</f>
        <v>502f8ca3; 502e0da9; bb4c5686 — T-177 multi-commit statistical-kernel closure</v>
      </c>
      <c r="AJ75" s="2" t="s">
        <v>1522</v>
      </c>
      <c r="AK75" s="2" t="s">
        <v>8594</v>
      </c>
      <c r="AL75" s="2" t="s">
        <v>8666</v>
      </c>
      <c r="AM75" s="2">
        <f>IF(AND(ISNUMBER(J75),OR(AR75="INHERITED ESTIMATE",AR75="CONFIRMED ESTIMATE")),1,0)</f>
        <v>1</v>
      </c>
      <c r="AN75" s="2"/>
      <c r="AO75" s="32" t="s">
        <v>1415</v>
      </c>
      <c r="AP75" s="32" t="s">
        <v>1418</v>
      </c>
      <c r="AQ75" s="32"/>
      <c r="AR75" s="32" t="s">
        <v>1420</v>
      </c>
      <c r="AS75" s="65">
        <f>IF(AM75=1,J75,"")</f>
        <v>10</v>
      </c>
      <c r="AT75" s="65">
        <f>IF(AND(AM75=1,ISNUMBER(R75)),R75,"")</f>
        <v>0</v>
      </c>
      <c r="AU75" s="2" t="s">
        <v>8667</v>
      </c>
      <c r="AV75" s="5"/>
      <c r="AW75" s="5"/>
      <c r="AX75" s="5"/>
      <c r="AY75" s="2" t="s">
        <v>8668</v>
      </c>
      <c r="AZ75" s="2"/>
      <c r="BA75" s="2"/>
      <c r="BB75" s="2"/>
    </row>
    <row r="76" spans="1:54" ht="75.95" hidden="1" customHeight="1">
      <c r="A76" s="4" t="s">
        <v>136</v>
      </c>
      <c r="B76" s="4" t="s">
        <v>449</v>
      </c>
      <c r="C76" s="4" t="s">
        <v>634</v>
      </c>
      <c r="D76" s="4" t="s">
        <v>667</v>
      </c>
      <c r="E76" s="4" t="s">
        <v>9036</v>
      </c>
      <c r="F76" s="4" t="s">
        <v>9074</v>
      </c>
      <c r="G76" s="4" t="s">
        <v>8656</v>
      </c>
      <c r="H76" s="4" t="s">
        <v>9075</v>
      </c>
      <c r="I76" s="4" t="s">
        <v>9076</v>
      </c>
      <c r="J76" s="64">
        <v>8</v>
      </c>
      <c r="K76" s="94" t="s">
        <v>249</v>
      </c>
      <c r="L76" s="4" t="s">
        <v>504</v>
      </c>
      <c r="M76" s="2"/>
      <c r="N76" s="2" t="s">
        <v>210</v>
      </c>
      <c r="O76" s="2" t="s">
        <v>1165</v>
      </c>
      <c r="P76" s="2" t="s">
        <v>455</v>
      </c>
      <c r="Q76" s="2" t="s">
        <v>9040</v>
      </c>
      <c r="R76" s="65">
        <v>0</v>
      </c>
      <c r="S76" s="2" t="s">
        <v>9041</v>
      </c>
      <c r="T76" s="2" t="s">
        <v>2026</v>
      </c>
      <c r="U76" s="2" t="s">
        <v>9042</v>
      </c>
      <c r="V76" s="2" t="s">
        <v>9043</v>
      </c>
      <c r="W76" s="2" t="s">
        <v>1190</v>
      </c>
      <c r="X76" s="2" t="s">
        <v>638</v>
      </c>
      <c r="Y76" s="33" t="s">
        <v>668</v>
      </c>
      <c r="Z76" s="9">
        <v>46250</v>
      </c>
      <c r="AA76" s="2" t="s">
        <v>894</v>
      </c>
      <c r="AB76" s="2" t="s">
        <v>895</v>
      </c>
      <c r="AC76" s="2"/>
      <c r="AD76" s="2" t="s">
        <v>8686</v>
      </c>
      <c r="AE76" s="2" t="s">
        <v>8696</v>
      </c>
      <c r="AF76" s="2" t="s">
        <v>830</v>
      </c>
      <c r="AG76" s="2" t="s">
        <v>1061</v>
      </c>
      <c r="AH76" s="2" t="s">
        <v>8665</v>
      </c>
      <c r="AI76" s="2" t="str">
        <f>IF(Y76="","",Y76)</f>
        <v>b8792516; b5dbf232 — remediation eligibility/can_accept kernel + corrective canonical precedence</v>
      </c>
      <c r="AJ76" s="2" t="s">
        <v>1522</v>
      </c>
      <c r="AK76" s="2" t="s">
        <v>8594</v>
      </c>
      <c r="AL76" s="2" t="s">
        <v>8666</v>
      </c>
      <c r="AM76" s="2">
        <f>IF(AND(ISNUMBER(J76),OR(AR76="INHERITED ESTIMATE",AR76="CONFIRMED ESTIMATE")),1,0)</f>
        <v>1</v>
      </c>
      <c r="AN76" s="2"/>
      <c r="AO76" s="32" t="s">
        <v>1415</v>
      </c>
      <c r="AP76" s="32" t="s">
        <v>1418</v>
      </c>
      <c r="AQ76" s="32"/>
      <c r="AR76" s="32" t="s">
        <v>1420</v>
      </c>
      <c r="AS76" s="65">
        <f>IF(AM76=1,J76,"")</f>
        <v>8</v>
      </c>
      <c r="AT76" s="65">
        <f>IF(AND(AM76=1,ISNUMBER(R76)),R76,"")</f>
        <v>0</v>
      </c>
      <c r="AU76" s="2" t="s">
        <v>8667</v>
      </c>
      <c r="AV76" s="5"/>
      <c r="AW76" s="5"/>
      <c r="AX76" s="5"/>
      <c r="AY76" s="2" t="s">
        <v>8668</v>
      </c>
      <c r="AZ76" s="2"/>
      <c r="BA76" s="2"/>
      <c r="BB76" s="2"/>
    </row>
    <row r="77" spans="1:54" ht="75.95" hidden="1" customHeight="1">
      <c r="A77" s="4" t="s">
        <v>137</v>
      </c>
      <c r="B77" s="4" t="s">
        <v>449</v>
      </c>
      <c r="C77" s="4" t="s">
        <v>634</v>
      </c>
      <c r="D77" s="4" t="s">
        <v>669</v>
      </c>
      <c r="E77" s="4" t="s">
        <v>9036</v>
      </c>
      <c r="F77" s="4" t="s">
        <v>9077</v>
      </c>
      <c r="G77" s="4" t="s">
        <v>8656</v>
      </c>
      <c r="H77" s="4" t="s">
        <v>9078</v>
      </c>
      <c r="I77" s="4" t="s">
        <v>9079</v>
      </c>
      <c r="J77" s="64">
        <v>10</v>
      </c>
      <c r="K77" s="94" t="s">
        <v>249</v>
      </c>
      <c r="L77" s="4" t="s">
        <v>504</v>
      </c>
      <c r="M77" s="2"/>
      <c r="N77" s="2" t="s">
        <v>671</v>
      </c>
      <c r="O77" s="2" t="s">
        <v>1165</v>
      </c>
      <c r="P77" s="2" t="s">
        <v>455</v>
      </c>
      <c r="Q77" s="2" t="s">
        <v>9040</v>
      </c>
      <c r="R77" s="65">
        <v>0</v>
      </c>
      <c r="S77" s="2" t="s">
        <v>9041</v>
      </c>
      <c r="T77" s="2" t="s">
        <v>2026</v>
      </c>
      <c r="U77" s="2" t="s">
        <v>9042</v>
      </c>
      <c r="V77" s="2" t="s">
        <v>9043</v>
      </c>
      <c r="W77" s="2" t="s">
        <v>1190</v>
      </c>
      <c r="X77" s="2" t="s">
        <v>638</v>
      </c>
      <c r="Y77" s="33" t="s">
        <v>670</v>
      </c>
      <c r="Z77" s="9">
        <v>46250</v>
      </c>
      <c r="AA77" s="2" t="s">
        <v>918</v>
      </c>
      <c r="AB77" s="2" t="s">
        <v>919</v>
      </c>
      <c r="AC77" s="2"/>
      <c r="AD77" s="2" t="s">
        <v>8686</v>
      </c>
      <c r="AE77" s="2" t="s">
        <v>8696</v>
      </c>
      <c r="AF77" s="2" t="s">
        <v>830</v>
      </c>
      <c r="AG77" s="2" t="s">
        <v>1061</v>
      </c>
      <c r="AH77" s="2" t="s">
        <v>8665</v>
      </c>
      <c r="AI77" s="2" t="str">
        <f>IF(Y77="","",Y77)</f>
        <v>d2bf1834 — T-179: deterministic Assistant tool planner</v>
      </c>
      <c r="AJ77" s="2" t="s">
        <v>1522</v>
      </c>
      <c r="AK77" s="2" t="s">
        <v>8594</v>
      </c>
      <c r="AL77" s="2" t="s">
        <v>8666</v>
      </c>
      <c r="AM77" s="2">
        <f>IF(AND(ISNUMBER(J77),OR(AR77="INHERITED ESTIMATE",AR77="CONFIRMED ESTIMATE")),1,0)</f>
        <v>1</v>
      </c>
      <c r="AN77" s="2"/>
      <c r="AO77" s="32" t="s">
        <v>1415</v>
      </c>
      <c r="AP77" s="32" t="s">
        <v>1418</v>
      </c>
      <c r="AQ77" s="32"/>
      <c r="AR77" s="32" t="s">
        <v>1420</v>
      </c>
      <c r="AS77" s="65">
        <f>IF(AM77=1,J77,"")</f>
        <v>10</v>
      </c>
      <c r="AT77" s="65">
        <f>IF(AND(AM77=1,ISNUMBER(R77)),R77,"")</f>
        <v>0</v>
      </c>
      <c r="AU77" s="2" t="s">
        <v>8667</v>
      </c>
      <c r="AV77" s="5"/>
      <c r="AW77" s="5"/>
      <c r="AX77" s="5"/>
      <c r="AY77" s="2" t="s">
        <v>8668</v>
      </c>
      <c r="AZ77" s="2"/>
      <c r="BA77" s="2"/>
      <c r="BB77" s="2"/>
    </row>
    <row r="78" spans="1:54" ht="75.95" hidden="1" customHeight="1">
      <c r="A78" s="4" t="s">
        <v>138</v>
      </c>
      <c r="B78" s="4" t="s">
        <v>449</v>
      </c>
      <c r="C78" s="4" t="s">
        <v>634</v>
      </c>
      <c r="D78" s="4" t="s">
        <v>672</v>
      </c>
      <c r="E78" s="4" t="s">
        <v>9036</v>
      </c>
      <c r="F78" s="4" t="s">
        <v>9080</v>
      </c>
      <c r="G78" s="4" t="s">
        <v>8656</v>
      </c>
      <c r="H78" s="4" t="s">
        <v>9081</v>
      </c>
      <c r="I78" s="4" t="s">
        <v>9082</v>
      </c>
      <c r="J78" s="64">
        <v>12</v>
      </c>
      <c r="K78" s="94" t="s">
        <v>249</v>
      </c>
      <c r="L78" s="4" t="s">
        <v>504</v>
      </c>
      <c r="M78" s="2"/>
      <c r="N78" s="2" t="s">
        <v>671</v>
      </c>
      <c r="O78" s="2" t="s">
        <v>1165</v>
      </c>
      <c r="P78" s="2" t="s">
        <v>455</v>
      </c>
      <c r="Q78" s="2" t="s">
        <v>9040</v>
      </c>
      <c r="R78" s="65">
        <v>0</v>
      </c>
      <c r="S78" s="2" t="s">
        <v>9041</v>
      </c>
      <c r="T78" s="2" t="s">
        <v>2026</v>
      </c>
      <c r="U78" s="2" t="s">
        <v>9042</v>
      </c>
      <c r="V78" s="2" t="s">
        <v>9043</v>
      </c>
      <c r="W78" s="2" t="s">
        <v>1190</v>
      </c>
      <c r="X78" s="2" t="s">
        <v>638</v>
      </c>
      <c r="Y78" s="33" t="s">
        <v>673</v>
      </c>
      <c r="Z78" s="9">
        <v>46250</v>
      </c>
      <c r="AA78" s="2" t="s">
        <v>918</v>
      </c>
      <c r="AB78" s="2" t="s">
        <v>919</v>
      </c>
      <c r="AC78" s="2" t="s">
        <v>890</v>
      </c>
      <c r="AD78" s="2" t="s">
        <v>8686</v>
      </c>
      <c r="AE78" s="2" t="s">
        <v>8696</v>
      </c>
      <c r="AF78" s="2" t="s">
        <v>830</v>
      </c>
      <c r="AG78" s="2" t="s">
        <v>1061</v>
      </c>
      <c r="AH78" s="2" t="s">
        <v>8665</v>
      </c>
      <c r="AI78" s="2" t="str">
        <f>IF(Y78="","",Y78)</f>
        <v>87428c512c6d6d1ca2bf70a6a8b04aadc7a4cc3b — T-180: permission-first hybrid retrieval and deterministic evidence packer</v>
      </c>
      <c r="AJ78" s="2" t="s">
        <v>1522</v>
      </c>
      <c r="AK78" s="2" t="s">
        <v>8594</v>
      </c>
      <c r="AL78" s="2" t="s">
        <v>8666</v>
      </c>
      <c r="AM78" s="2">
        <f>IF(AND(ISNUMBER(J78),OR(AR78="INHERITED ESTIMATE",AR78="CONFIRMED ESTIMATE")),1,0)</f>
        <v>1</v>
      </c>
      <c r="AN78" s="2"/>
      <c r="AO78" s="32" t="s">
        <v>1415</v>
      </c>
      <c r="AP78" s="32" t="s">
        <v>1418</v>
      </c>
      <c r="AQ78" s="32"/>
      <c r="AR78" s="32" t="s">
        <v>1420</v>
      </c>
      <c r="AS78" s="65">
        <f>IF(AM78=1,J78,"")</f>
        <v>12</v>
      </c>
      <c r="AT78" s="65">
        <f>IF(AND(AM78=1,ISNUMBER(R78)),R78,"")</f>
        <v>0</v>
      </c>
      <c r="AU78" s="2" t="s">
        <v>8667</v>
      </c>
      <c r="AV78" s="5"/>
      <c r="AW78" s="5"/>
      <c r="AX78" s="5"/>
      <c r="AY78" s="2" t="s">
        <v>8668</v>
      </c>
      <c r="AZ78" s="2"/>
      <c r="BA78" s="2"/>
      <c r="BB78" s="2"/>
    </row>
    <row r="79" spans="1:54" ht="75.95" hidden="1" customHeight="1">
      <c r="A79" s="4" t="s">
        <v>139</v>
      </c>
      <c r="B79" s="4" t="s">
        <v>449</v>
      </c>
      <c r="C79" s="4" t="s">
        <v>634</v>
      </c>
      <c r="D79" s="4" t="s">
        <v>674</v>
      </c>
      <c r="E79" s="4" t="s">
        <v>9036</v>
      </c>
      <c r="F79" s="4" t="s">
        <v>9083</v>
      </c>
      <c r="G79" s="4" t="s">
        <v>8656</v>
      </c>
      <c r="H79" s="4" t="s">
        <v>9084</v>
      </c>
      <c r="I79" s="4" t="s">
        <v>9085</v>
      </c>
      <c r="J79" s="64">
        <v>12</v>
      </c>
      <c r="K79" s="94" t="s">
        <v>249</v>
      </c>
      <c r="L79" s="4" t="s">
        <v>504</v>
      </c>
      <c r="M79" s="2"/>
      <c r="N79" s="2" t="s">
        <v>671</v>
      </c>
      <c r="O79" s="2" t="s">
        <v>1165</v>
      </c>
      <c r="P79" s="2" t="s">
        <v>455</v>
      </c>
      <c r="Q79" s="2" t="s">
        <v>9040</v>
      </c>
      <c r="R79" s="65">
        <v>0</v>
      </c>
      <c r="S79" s="2" t="s">
        <v>9041</v>
      </c>
      <c r="T79" s="2" t="s">
        <v>2026</v>
      </c>
      <c r="U79" s="2" t="s">
        <v>9042</v>
      </c>
      <c r="V79" s="2" t="s">
        <v>9043</v>
      </c>
      <c r="W79" s="2" t="s">
        <v>1190</v>
      </c>
      <c r="X79" s="2" t="s">
        <v>638</v>
      </c>
      <c r="Y79" s="33" t="s">
        <v>675</v>
      </c>
      <c r="Z79" s="9">
        <v>46250</v>
      </c>
      <c r="AA79" s="2" t="s">
        <v>918</v>
      </c>
      <c r="AB79" s="2" t="s">
        <v>919</v>
      </c>
      <c r="AC79" s="2" t="s">
        <v>913</v>
      </c>
      <c r="AD79" s="2" t="s">
        <v>8686</v>
      </c>
      <c r="AE79" s="2" t="s">
        <v>8696</v>
      </c>
      <c r="AF79" s="2" t="s">
        <v>830</v>
      </c>
      <c r="AG79" s="2" t="s">
        <v>1061</v>
      </c>
      <c r="AH79" s="2" t="s">
        <v>8665</v>
      </c>
      <c r="AI79" s="2" t="str">
        <f>IF(Y79="","",Y79)</f>
        <v>eaa82b8b45fb1fdb4b406abfbe2809c5f6fc9cd5 — T-181: deterministic answer verifier and Q-01..Q-11 evaluation harness</v>
      </c>
      <c r="AJ79" s="2" t="s">
        <v>1522</v>
      </c>
      <c r="AK79" s="2" t="s">
        <v>8594</v>
      </c>
      <c r="AL79" s="2" t="s">
        <v>8666</v>
      </c>
      <c r="AM79" s="2">
        <f>IF(AND(ISNUMBER(J79),OR(AR79="INHERITED ESTIMATE",AR79="CONFIRMED ESTIMATE")),1,0)</f>
        <v>1</v>
      </c>
      <c r="AN79" s="2"/>
      <c r="AO79" s="32" t="s">
        <v>1415</v>
      </c>
      <c r="AP79" s="32" t="s">
        <v>1418</v>
      </c>
      <c r="AQ79" s="32"/>
      <c r="AR79" s="32" t="s">
        <v>1420</v>
      </c>
      <c r="AS79" s="65">
        <f>IF(AM79=1,J79,"")</f>
        <v>12</v>
      </c>
      <c r="AT79" s="65">
        <f>IF(AND(AM79=1,ISNUMBER(R79)),R79,"")</f>
        <v>0</v>
      </c>
      <c r="AU79" s="2" t="s">
        <v>8667</v>
      </c>
      <c r="AV79" s="5"/>
      <c r="AW79" s="5"/>
      <c r="AX79" s="5"/>
      <c r="AY79" s="2" t="s">
        <v>8668</v>
      </c>
      <c r="AZ79" s="2"/>
      <c r="BA79" s="2"/>
      <c r="BB79" s="2"/>
    </row>
    <row r="80" spans="1:54" ht="75.95" hidden="1" customHeight="1">
      <c r="A80" s="2" t="s">
        <v>140</v>
      </c>
      <c r="B80" s="2" t="s">
        <v>449</v>
      </c>
      <c r="C80" s="2" t="s">
        <v>634</v>
      </c>
      <c r="D80" s="2" t="s">
        <v>676</v>
      </c>
      <c r="E80" s="2" t="s">
        <v>8654</v>
      </c>
      <c r="F80" s="2" t="s">
        <v>9086</v>
      </c>
      <c r="G80" s="2" t="s">
        <v>8677</v>
      </c>
      <c r="H80" s="2" t="s">
        <v>9087</v>
      </c>
      <c r="I80" s="2" t="s">
        <v>9088</v>
      </c>
      <c r="J80" s="65">
        <v>10</v>
      </c>
      <c r="K80" s="94" t="s">
        <v>249</v>
      </c>
      <c r="L80" s="2" t="s">
        <v>504</v>
      </c>
      <c r="M80" s="2"/>
      <c r="N80" s="2"/>
      <c r="O80" s="2" t="s">
        <v>1165</v>
      </c>
      <c r="P80" s="2" t="s">
        <v>455</v>
      </c>
      <c r="Q80" s="2" t="s">
        <v>9040</v>
      </c>
      <c r="R80" s="65">
        <v>0</v>
      </c>
      <c r="S80" s="2" t="s">
        <v>9041</v>
      </c>
      <c r="T80" s="2" t="s">
        <v>2026</v>
      </c>
      <c r="U80" s="2" t="s">
        <v>9042</v>
      </c>
      <c r="V80" s="2" t="s">
        <v>9043</v>
      </c>
      <c r="W80" s="2" t="s">
        <v>1190</v>
      </c>
      <c r="X80" s="2" t="s">
        <v>638</v>
      </c>
      <c r="Y80" s="33" t="s">
        <v>506</v>
      </c>
      <c r="Z80" s="9"/>
      <c r="AA80" s="2" t="s">
        <v>958</v>
      </c>
      <c r="AB80" s="2" t="s">
        <v>959</v>
      </c>
      <c r="AC80" s="2" t="s">
        <v>9089</v>
      </c>
      <c r="AD80" s="2" t="s">
        <v>8664</v>
      </c>
      <c r="AE80" s="2" t="s">
        <v>8696</v>
      </c>
      <c r="AF80" s="2" t="s">
        <v>830</v>
      </c>
      <c r="AG80" s="2" t="s">
        <v>1061</v>
      </c>
      <c r="AH80" s="2" t="s">
        <v>8665</v>
      </c>
      <c r="AI80" s="2" t="str">
        <f>IF(Y80="","",Y80)</f>
        <v>Not recovered from reviewed sessions</v>
      </c>
      <c r="AJ80" s="2" t="s">
        <v>1522</v>
      </c>
      <c r="AK80" s="2" t="s">
        <v>8594</v>
      </c>
      <c r="AL80" s="2" t="s">
        <v>8666</v>
      </c>
      <c r="AM80" s="2">
        <f>IF(AND(ISNUMBER(J80),OR(AR80="INHERITED ESTIMATE",AR80="CONFIRMED ESTIMATE")),1,0)</f>
        <v>1</v>
      </c>
      <c r="AN80" s="2"/>
      <c r="AO80" s="32" t="s">
        <v>1415</v>
      </c>
      <c r="AP80" s="32" t="s">
        <v>1418</v>
      </c>
      <c r="AQ80" s="32"/>
      <c r="AR80" s="32" t="s">
        <v>1420</v>
      </c>
      <c r="AS80" s="65">
        <f>IF(AM80=1,J80,"")</f>
        <v>10</v>
      </c>
      <c r="AT80" s="65">
        <f>IF(AND(AM80=1,ISNUMBER(R80)),R80,"")</f>
        <v>0</v>
      </c>
      <c r="AU80" s="2" t="s">
        <v>8667</v>
      </c>
      <c r="AV80" s="5"/>
      <c r="AW80" s="5"/>
      <c r="AX80" s="5"/>
      <c r="AY80" s="2" t="s">
        <v>8668</v>
      </c>
      <c r="AZ80" s="2"/>
      <c r="BA80" s="2"/>
      <c r="BB80" s="2"/>
    </row>
    <row r="81" spans="1:54" ht="75.95" hidden="1" customHeight="1">
      <c r="A81" s="2" t="s">
        <v>141</v>
      </c>
      <c r="B81" s="2" t="s">
        <v>449</v>
      </c>
      <c r="C81" s="2" t="s">
        <v>634</v>
      </c>
      <c r="D81" s="2" t="s">
        <v>677</v>
      </c>
      <c r="E81" s="2" t="s">
        <v>9090</v>
      </c>
      <c r="F81" s="2" t="s">
        <v>9091</v>
      </c>
      <c r="G81" s="2" t="s">
        <v>8656</v>
      </c>
      <c r="H81" s="2" t="s">
        <v>9092</v>
      </c>
      <c r="I81" s="2" t="s">
        <v>9093</v>
      </c>
      <c r="J81" s="65">
        <v>10</v>
      </c>
      <c r="K81" s="94" t="s">
        <v>537</v>
      </c>
      <c r="L81" s="2" t="s">
        <v>504</v>
      </c>
      <c r="M81" s="2" t="s">
        <v>678</v>
      </c>
      <c r="N81" s="2" t="s">
        <v>1246</v>
      </c>
      <c r="O81" s="2" t="s">
        <v>1165</v>
      </c>
      <c r="P81" s="2" t="s">
        <v>455</v>
      </c>
      <c r="Q81" s="2" t="s">
        <v>9094</v>
      </c>
      <c r="R81" s="65">
        <v>2.5</v>
      </c>
      <c r="S81" s="2" t="s">
        <v>9041</v>
      </c>
      <c r="T81" s="2" t="s">
        <v>9095</v>
      </c>
      <c r="U81" s="2" t="s">
        <v>9096</v>
      </c>
      <c r="V81" s="2" t="s">
        <v>9097</v>
      </c>
      <c r="W81" s="2" t="s">
        <v>1190</v>
      </c>
      <c r="X81" s="2" t="s">
        <v>638</v>
      </c>
      <c r="Y81" s="33"/>
      <c r="Z81" s="9"/>
      <c r="AA81" s="2" t="s">
        <v>884</v>
      </c>
      <c r="AB81" s="2" t="s">
        <v>885</v>
      </c>
      <c r="AC81" s="2" t="s">
        <v>903</v>
      </c>
      <c r="AD81" s="2" t="s">
        <v>8686</v>
      </c>
      <c r="AE81" s="2" t="s">
        <v>8700</v>
      </c>
      <c r="AF81" s="2" t="s">
        <v>830</v>
      </c>
      <c r="AG81" s="2" t="s">
        <v>1061</v>
      </c>
      <c r="AH81" s="2" t="s">
        <v>8665</v>
      </c>
      <c r="AI81" s="2" t="str">
        <f>IF(Y81="","",Y81)</f>
        <v/>
      </c>
      <c r="AJ81" s="2" t="s">
        <v>1522</v>
      </c>
      <c r="AK81" s="2" t="s">
        <v>8594</v>
      </c>
      <c r="AL81" s="2" t="s">
        <v>8666</v>
      </c>
      <c r="AM81" s="2">
        <f>IF(AND(ISNUMBER(J81),OR(AR81="INHERITED ESTIMATE",AR81="CONFIRMED ESTIMATE")),1,0)</f>
        <v>1</v>
      </c>
      <c r="AN81" s="2"/>
      <c r="AO81" s="32" t="s">
        <v>1429</v>
      </c>
      <c r="AP81" s="32" t="s">
        <v>1418</v>
      </c>
      <c r="AQ81" s="32"/>
      <c r="AR81" s="32" t="s">
        <v>1420</v>
      </c>
      <c r="AS81" s="65">
        <f>IF(AM81=1,J81,"")</f>
        <v>10</v>
      </c>
      <c r="AT81" s="65">
        <f>IF(AND(AM81=1,ISNUMBER(R81)),R81,"")</f>
        <v>2.5</v>
      </c>
      <c r="AU81" s="2" t="s">
        <v>8667</v>
      </c>
      <c r="AV81" s="5"/>
      <c r="AW81" s="5"/>
      <c r="AX81" s="5"/>
      <c r="AY81" s="2" t="s">
        <v>8668</v>
      </c>
      <c r="AZ81" s="2"/>
      <c r="BA81" s="2"/>
      <c r="BB81" s="2"/>
    </row>
    <row r="82" spans="1:54" ht="75.95" hidden="1" customHeight="1">
      <c r="A82" s="4" t="s">
        <v>142</v>
      </c>
      <c r="B82" s="4" t="s">
        <v>449</v>
      </c>
      <c r="C82" s="4" t="s">
        <v>634</v>
      </c>
      <c r="D82" s="4" t="s">
        <v>679</v>
      </c>
      <c r="E82" s="4" t="s">
        <v>8755</v>
      </c>
      <c r="F82" s="4" t="s">
        <v>9098</v>
      </c>
      <c r="G82" s="4" t="s">
        <v>8656</v>
      </c>
      <c r="H82" s="4" t="s">
        <v>9099</v>
      </c>
      <c r="I82" s="4" t="s">
        <v>9100</v>
      </c>
      <c r="J82" s="64">
        <v>6</v>
      </c>
      <c r="K82" s="94" t="s">
        <v>537</v>
      </c>
      <c r="L82" s="4" t="s">
        <v>504</v>
      </c>
      <c r="M82" s="2" t="s">
        <v>78</v>
      </c>
      <c r="N82" s="2" t="s">
        <v>1514</v>
      </c>
      <c r="O82" s="2" t="s">
        <v>1165</v>
      </c>
      <c r="P82" s="2" t="s">
        <v>455</v>
      </c>
      <c r="Q82" s="2" t="s">
        <v>8760</v>
      </c>
      <c r="R82" s="65">
        <v>1.5</v>
      </c>
      <c r="S82" s="2" t="s">
        <v>9041</v>
      </c>
      <c r="T82" s="2" t="s">
        <v>9101</v>
      </c>
      <c r="U82" s="2" t="s">
        <v>9102</v>
      </c>
      <c r="V82" s="2" t="s">
        <v>9103</v>
      </c>
      <c r="W82" s="2" t="s">
        <v>1190</v>
      </c>
      <c r="X82" s="2" t="s">
        <v>638</v>
      </c>
      <c r="Y82" s="33"/>
      <c r="Z82" s="9"/>
      <c r="AA82" s="2" t="s">
        <v>966</v>
      </c>
      <c r="AB82" s="2" t="s">
        <v>968</v>
      </c>
      <c r="AC82" s="2"/>
      <c r="AD82" s="2" t="s">
        <v>8686</v>
      </c>
      <c r="AE82" s="2" t="s">
        <v>8700</v>
      </c>
      <c r="AF82" s="2" t="s">
        <v>830</v>
      </c>
      <c r="AG82" s="2" t="s">
        <v>1061</v>
      </c>
      <c r="AH82" s="2" t="s">
        <v>8665</v>
      </c>
      <c r="AI82" s="2" t="str">
        <f>IF(Y82="","",Y82)</f>
        <v/>
      </c>
      <c r="AJ82" s="2" t="s">
        <v>1522</v>
      </c>
      <c r="AK82" s="2" t="s">
        <v>8594</v>
      </c>
      <c r="AL82" s="2" t="s">
        <v>8666</v>
      </c>
      <c r="AM82" s="2">
        <f>IF(AND(ISNUMBER(J82),OR(AR82="INHERITED ESTIMATE",AR82="CONFIRMED ESTIMATE")),1,0)</f>
        <v>1</v>
      </c>
      <c r="AN82" s="2"/>
      <c r="AO82" s="32" t="s">
        <v>1429</v>
      </c>
      <c r="AP82" s="32" t="s">
        <v>1418</v>
      </c>
      <c r="AQ82" s="32"/>
      <c r="AR82" s="32" t="s">
        <v>1420</v>
      </c>
      <c r="AS82" s="65">
        <f>IF(AM82=1,J82,"")</f>
        <v>6</v>
      </c>
      <c r="AT82" s="65">
        <f>IF(AND(AM82=1,ISNUMBER(R82)),R82,"")</f>
        <v>1.5</v>
      </c>
      <c r="AU82" s="2" t="s">
        <v>8667</v>
      </c>
      <c r="AV82" s="5"/>
      <c r="AW82" s="5"/>
      <c r="AX82" s="5"/>
      <c r="AY82" s="2" t="s">
        <v>8668</v>
      </c>
      <c r="AZ82" s="2"/>
      <c r="BA82" s="2"/>
      <c r="BB82" s="2"/>
    </row>
    <row r="83" spans="1:54" ht="75.95" hidden="1" customHeight="1">
      <c r="A83" s="4" t="s">
        <v>143</v>
      </c>
      <c r="B83" s="4" t="s">
        <v>449</v>
      </c>
      <c r="C83" s="4" t="s">
        <v>634</v>
      </c>
      <c r="D83" s="4" t="s">
        <v>681</v>
      </c>
      <c r="E83" s="4" t="s">
        <v>9090</v>
      </c>
      <c r="F83" s="4" t="s">
        <v>9104</v>
      </c>
      <c r="G83" s="4" t="s">
        <v>8656</v>
      </c>
      <c r="H83" s="4" t="s">
        <v>9105</v>
      </c>
      <c r="I83" s="4" t="s">
        <v>9106</v>
      </c>
      <c r="J83" s="64">
        <v>10</v>
      </c>
      <c r="K83" s="94" t="s">
        <v>249</v>
      </c>
      <c r="L83" s="4" t="s">
        <v>504</v>
      </c>
      <c r="M83" s="2" t="s">
        <v>682</v>
      </c>
      <c r="N83" s="2" t="s">
        <v>683</v>
      </c>
      <c r="O83" s="2" t="s">
        <v>1165</v>
      </c>
      <c r="P83" s="2" t="s">
        <v>455</v>
      </c>
      <c r="Q83" s="2" t="s">
        <v>9094</v>
      </c>
      <c r="R83" s="65">
        <v>2.5</v>
      </c>
      <c r="S83" s="2" t="s">
        <v>9041</v>
      </c>
      <c r="T83" s="2" t="s">
        <v>2026</v>
      </c>
      <c r="U83" s="2" t="s">
        <v>9107</v>
      </c>
      <c r="V83" s="2" t="s">
        <v>9108</v>
      </c>
      <c r="W83" s="2" t="s">
        <v>1190</v>
      </c>
      <c r="X83" s="2" t="s">
        <v>638</v>
      </c>
      <c r="Y83" s="33" t="s">
        <v>506</v>
      </c>
      <c r="Z83" s="9"/>
      <c r="AA83" s="2" t="s">
        <v>907</v>
      </c>
      <c r="AB83" s="2" t="s">
        <v>908</v>
      </c>
      <c r="AC83" s="2"/>
      <c r="AD83" s="2" t="s">
        <v>8686</v>
      </c>
      <c r="AE83" s="2" t="s">
        <v>8696</v>
      </c>
      <c r="AF83" s="2" t="s">
        <v>830</v>
      </c>
      <c r="AG83" s="2" t="s">
        <v>1061</v>
      </c>
      <c r="AH83" s="2" t="s">
        <v>8665</v>
      </c>
      <c r="AI83" s="2" t="str">
        <f>IF(Y83="","",Y83)</f>
        <v>Not recovered from reviewed sessions</v>
      </c>
      <c r="AJ83" s="2" t="s">
        <v>1522</v>
      </c>
      <c r="AK83" s="2" t="s">
        <v>8594</v>
      </c>
      <c r="AL83" s="2" t="s">
        <v>8666</v>
      </c>
      <c r="AM83" s="2">
        <f>IF(AND(ISNUMBER(J83),OR(AR83="INHERITED ESTIMATE",AR83="CONFIRMED ESTIMATE")),1,0)</f>
        <v>1</v>
      </c>
      <c r="AN83" s="2"/>
      <c r="AO83" s="32" t="s">
        <v>1415</v>
      </c>
      <c r="AP83" s="32" t="s">
        <v>1418</v>
      </c>
      <c r="AQ83" s="32"/>
      <c r="AR83" s="32" t="s">
        <v>1420</v>
      </c>
      <c r="AS83" s="65">
        <f>IF(AM83=1,J83,"")</f>
        <v>10</v>
      </c>
      <c r="AT83" s="65">
        <f>IF(AND(AM83=1,ISNUMBER(R83)),R83,"")</f>
        <v>2.5</v>
      </c>
      <c r="AU83" s="2" t="s">
        <v>8667</v>
      </c>
      <c r="AV83" s="5"/>
      <c r="AW83" s="5"/>
      <c r="AX83" s="5"/>
      <c r="AY83" s="2" t="s">
        <v>8668</v>
      </c>
      <c r="AZ83" s="2"/>
      <c r="BA83" s="2"/>
      <c r="BB83" s="2"/>
    </row>
    <row r="84" spans="1:54" ht="75.95" hidden="1" customHeight="1">
      <c r="A84" s="2" t="s">
        <v>144</v>
      </c>
      <c r="B84" s="2" t="s">
        <v>449</v>
      </c>
      <c r="C84" s="2" t="s">
        <v>634</v>
      </c>
      <c r="D84" s="2" t="s">
        <v>684</v>
      </c>
      <c r="E84" s="2" t="s">
        <v>9090</v>
      </c>
      <c r="F84" s="2" t="s">
        <v>9109</v>
      </c>
      <c r="G84" s="2" t="s">
        <v>8656</v>
      </c>
      <c r="H84" s="2" t="s">
        <v>9110</v>
      </c>
      <c r="I84" s="2" t="s">
        <v>9111</v>
      </c>
      <c r="J84" s="65">
        <v>8</v>
      </c>
      <c r="K84" s="94" t="s">
        <v>249</v>
      </c>
      <c r="L84" s="2" t="s">
        <v>504</v>
      </c>
      <c r="M84" s="2" t="s">
        <v>77</v>
      </c>
      <c r="N84" s="2" t="s">
        <v>145</v>
      </c>
      <c r="O84" s="2" t="s">
        <v>1165</v>
      </c>
      <c r="P84" s="2" t="s">
        <v>455</v>
      </c>
      <c r="Q84" s="2" t="s">
        <v>9094</v>
      </c>
      <c r="R84" s="65">
        <v>2</v>
      </c>
      <c r="S84" s="2" t="s">
        <v>9041</v>
      </c>
      <c r="T84" s="2" t="s">
        <v>2026</v>
      </c>
      <c r="U84" s="2" t="s">
        <v>9112</v>
      </c>
      <c r="V84" s="2" t="s">
        <v>9113</v>
      </c>
      <c r="W84" s="2" t="s">
        <v>1190</v>
      </c>
      <c r="X84" s="2" t="s">
        <v>638</v>
      </c>
      <c r="Y84" s="33" t="s">
        <v>506</v>
      </c>
      <c r="Z84" s="9"/>
      <c r="AA84" s="2" t="s">
        <v>907</v>
      </c>
      <c r="AB84" s="2" t="s">
        <v>908</v>
      </c>
      <c r="AC84" s="2"/>
      <c r="AD84" s="2" t="s">
        <v>8686</v>
      </c>
      <c r="AE84" s="2" t="s">
        <v>8700</v>
      </c>
      <c r="AF84" s="2" t="s">
        <v>830</v>
      </c>
      <c r="AG84" s="2" t="s">
        <v>1061</v>
      </c>
      <c r="AH84" s="2" t="s">
        <v>8665</v>
      </c>
      <c r="AI84" s="2" t="str">
        <f>IF(Y84="","",Y84)</f>
        <v>Not recovered from reviewed sessions</v>
      </c>
      <c r="AJ84" s="2" t="s">
        <v>1522</v>
      </c>
      <c r="AK84" s="2" t="s">
        <v>8594</v>
      </c>
      <c r="AL84" s="2" t="s">
        <v>8666</v>
      </c>
      <c r="AM84" s="2">
        <f>IF(AND(ISNUMBER(J84),OR(AR84="INHERITED ESTIMATE",AR84="CONFIRMED ESTIMATE")),1,0)</f>
        <v>1</v>
      </c>
      <c r="AN84" s="2"/>
      <c r="AO84" s="32" t="s">
        <v>1415</v>
      </c>
      <c r="AP84" s="32" t="s">
        <v>1418</v>
      </c>
      <c r="AQ84" s="32"/>
      <c r="AR84" s="32" t="s">
        <v>1420</v>
      </c>
      <c r="AS84" s="65">
        <f>IF(AM84=1,J84,"")</f>
        <v>8</v>
      </c>
      <c r="AT84" s="65">
        <f>IF(AND(AM84=1,ISNUMBER(R84)),R84,"")</f>
        <v>2</v>
      </c>
      <c r="AU84" s="2" t="s">
        <v>8667</v>
      </c>
      <c r="AV84" s="5"/>
      <c r="AW84" s="5"/>
      <c r="AX84" s="5"/>
      <c r="AY84" s="2" t="s">
        <v>8668</v>
      </c>
      <c r="AZ84" s="2"/>
      <c r="BA84" s="2"/>
      <c r="BB84" s="2"/>
    </row>
    <row r="85" spans="1:54" ht="75.95" hidden="1" customHeight="1">
      <c r="A85" s="2" t="s">
        <v>145</v>
      </c>
      <c r="B85" s="2" t="s">
        <v>449</v>
      </c>
      <c r="C85" s="2" t="s">
        <v>634</v>
      </c>
      <c r="D85" s="2" t="s">
        <v>685</v>
      </c>
      <c r="E85" s="2" t="s">
        <v>9090</v>
      </c>
      <c r="F85" s="2" t="s">
        <v>9114</v>
      </c>
      <c r="G85" s="2" t="s">
        <v>8656</v>
      </c>
      <c r="H85" s="2" t="s">
        <v>9115</v>
      </c>
      <c r="I85" s="2" t="s">
        <v>9116</v>
      </c>
      <c r="J85" s="65">
        <v>12</v>
      </c>
      <c r="K85" s="94" t="s">
        <v>249</v>
      </c>
      <c r="L85" s="2" t="s">
        <v>504</v>
      </c>
      <c r="M85" s="2" t="s">
        <v>686</v>
      </c>
      <c r="N85" s="2" t="s">
        <v>687</v>
      </c>
      <c r="O85" s="2" t="s">
        <v>1165</v>
      </c>
      <c r="P85" s="2" t="s">
        <v>455</v>
      </c>
      <c r="Q85" s="2" t="s">
        <v>9094</v>
      </c>
      <c r="R85" s="65">
        <v>3.2</v>
      </c>
      <c r="S85" s="2" t="s">
        <v>9041</v>
      </c>
      <c r="T85" s="2" t="s">
        <v>2026</v>
      </c>
      <c r="U85" s="2" t="s">
        <v>9117</v>
      </c>
      <c r="V85" s="2" t="s">
        <v>9118</v>
      </c>
      <c r="W85" s="2" t="s">
        <v>1190</v>
      </c>
      <c r="X85" s="2" t="s">
        <v>638</v>
      </c>
      <c r="Y85" s="33" t="s">
        <v>506</v>
      </c>
      <c r="Z85" s="9"/>
      <c r="AA85" s="2" t="s">
        <v>988</v>
      </c>
      <c r="AB85" s="2" t="s">
        <v>989</v>
      </c>
      <c r="AC85" s="2"/>
      <c r="AD85" s="2" t="s">
        <v>8686</v>
      </c>
      <c r="AE85" s="2" t="s">
        <v>8696</v>
      </c>
      <c r="AF85" s="2" t="s">
        <v>990</v>
      </c>
      <c r="AG85" s="2" t="s">
        <v>1061</v>
      </c>
      <c r="AH85" s="2" t="s">
        <v>8665</v>
      </c>
      <c r="AI85" s="2" t="str">
        <f>IF(Y85="","",Y85)</f>
        <v>Not recovered from reviewed sessions</v>
      </c>
      <c r="AJ85" s="2" t="s">
        <v>1522</v>
      </c>
      <c r="AK85" s="2" t="s">
        <v>8594</v>
      </c>
      <c r="AL85" s="2" t="s">
        <v>8666</v>
      </c>
      <c r="AM85" s="2">
        <f>IF(AND(ISNUMBER(J85),OR(AR85="INHERITED ESTIMATE",AR85="CONFIRMED ESTIMATE")),1,0)</f>
        <v>1</v>
      </c>
      <c r="AN85" s="2"/>
      <c r="AO85" s="32" t="s">
        <v>1415</v>
      </c>
      <c r="AP85" s="32" t="s">
        <v>1418</v>
      </c>
      <c r="AQ85" s="32"/>
      <c r="AR85" s="32" t="s">
        <v>1420</v>
      </c>
      <c r="AS85" s="65">
        <f>IF(AM85=1,J85,"")</f>
        <v>12</v>
      </c>
      <c r="AT85" s="65">
        <f>IF(AND(AM85=1,ISNUMBER(R85)),R85,"")</f>
        <v>3.2</v>
      </c>
      <c r="AU85" s="2" t="s">
        <v>8667</v>
      </c>
      <c r="AV85" s="5"/>
      <c r="AW85" s="5"/>
      <c r="AX85" s="5"/>
      <c r="AY85" s="2" t="s">
        <v>8668</v>
      </c>
      <c r="AZ85" s="2"/>
      <c r="BA85" s="2"/>
      <c r="BB85" s="2"/>
    </row>
    <row r="86" spans="1:54" ht="75.95" hidden="1" customHeight="1">
      <c r="A86" s="2" t="s">
        <v>146</v>
      </c>
      <c r="B86" s="2" t="s">
        <v>449</v>
      </c>
      <c r="C86" s="2" t="s">
        <v>634</v>
      </c>
      <c r="D86" s="2" t="s">
        <v>688</v>
      </c>
      <c r="E86" s="2" t="s">
        <v>9090</v>
      </c>
      <c r="F86" s="2" t="s">
        <v>9119</v>
      </c>
      <c r="G86" s="2" t="s">
        <v>8656</v>
      </c>
      <c r="H86" s="2" t="s">
        <v>9120</v>
      </c>
      <c r="I86" s="2" t="s">
        <v>9121</v>
      </c>
      <c r="J86" s="65">
        <v>8</v>
      </c>
      <c r="K86" s="94" t="s">
        <v>249</v>
      </c>
      <c r="L86" s="2" t="s">
        <v>504</v>
      </c>
      <c r="M86" s="2" t="s">
        <v>145</v>
      </c>
      <c r="N86" s="2" t="s">
        <v>689</v>
      </c>
      <c r="O86" s="2" t="s">
        <v>1165</v>
      </c>
      <c r="P86" s="2" t="s">
        <v>455</v>
      </c>
      <c r="Q86" s="2" t="s">
        <v>9094</v>
      </c>
      <c r="R86" s="65">
        <v>2</v>
      </c>
      <c r="S86" s="2" t="s">
        <v>9041</v>
      </c>
      <c r="T86" s="2" t="s">
        <v>2026</v>
      </c>
      <c r="U86" s="2" t="s">
        <v>9122</v>
      </c>
      <c r="V86" s="2" t="s">
        <v>9123</v>
      </c>
      <c r="W86" s="2" t="s">
        <v>1190</v>
      </c>
      <c r="X86" s="2" t="s">
        <v>638</v>
      </c>
      <c r="Y86" s="33" t="s">
        <v>506</v>
      </c>
      <c r="Z86" s="9"/>
      <c r="AA86" s="2" t="s">
        <v>913</v>
      </c>
      <c r="AB86" s="2" t="s">
        <v>914</v>
      </c>
      <c r="AC86" s="2"/>
      <c r="AD86" s="2" t="s">
        <v>8686</v>
      </c>
      <c r="AE86" s="2" t="s">
        <v>8696</v>
      </c>
      <c r="AF86" s="2" t="s">
        <v>830</v>
      </c>
      <c r="AG86" s="2" t="s">
        <v>1061</v>
      </c>
      <c r="AH86" s="2" t="s">
        <v>8665</v>
      </c>
      <c r="AI86" s="2" t="str">
        <f>IF(Y86="","",Y86)</f>
        <v>Not recovered from reviewed sessions</v>
      </c>
      <c r="AJ86" s="2" t="s">
        <v>1522</v>
      </c>
      <c r="AK86" s="2" t="s">
        <v>8594</v>
      </c>
      <c r="AL86" s="2" t="s">
        <v>8666</v>
      </c>
      <c r="AM86" s="2">
        <f>IF(AND(ISNUMBER(J86),OR(AR86="INHERITED ESTIMATE",AR86="CONFIRMED ESTIMATE")),1,0)</f>
        <v>1</v>
      </c>
      <c r="AN86" s="2"/>
      <c r="AO86" s="32" t="s">
        <v>1415</v>
      </c>
      <c r="AP86" s="32" t="s">
        <v>1418</v>
      </c>
      <c r="AQ86" s="32"/>
      <c r="AR86" s="32" t="s">
        <v>1420</v>
      </c>
      <c r="AS86" s="65">
        <f>IF(AM86=1,J86,"")</f>
        <v>8</v>
      </c>
      <c r="AT86" s="65">
        <f>IF(AND(AM86=1,ISNUMBER(R86)),R86,"")</f>
        <v>2</v>
      </c>
      <c r="AU86" s="2" t="s">
        <v>8667</v>
      </c>
      <c r="AV86" s="5"/>
      <c r="AW86" s="5"/>
      <c r="AX86" s="5"/>
      <c r="AY86" s="2" t="s">
        <v>8668</v>
      </c>
      <c r="AZ86" s="2"/>
      <c r="BA86" s="2"/>
      <c r="BB86" s="2"/>
    </row>
    <row r="87" spans="1:54" ht="75.95" hidden="1" customHeight="1">
      <c r="A87" s="2" t="s">
        <v>147</v>
      </c>
      <c r="B87" s="2" t="s">
        <v>449</v>
      </c>
      <c r="C87" s="2" t="s">
        <v>634</v>
      </c>
      <c r="D87" s="2" t="s">
        <v>690</v>
      </c>
      <c r="E87" s="2" t="s">
        <v>8687</v>
      </c>
      <c r="F87" s="2" t="s">
        <v>9124</v>
      </c>
      <c r="G87" s="2" t="s">
        <v>8656</v>
      </c>
      <c r="H87" s="2" t="s">
        <v>9125</v>
      </c>
      <c r="I87" s="2" t="s">
        <v>9126</v>
      </c>
      <c r="J87" s="65">
        <v>12</v>
      </c>
      <c r="K87" s="94" t="s">
        <v>537</v>
      </c>
      <c r="L87" s="2" t="s">
        <v>504</v>
      </c>
      <c r="M87" s="2" t="s">
        <v>691</v>
      </c>
      <c r="N87" s="2"/>
      <c r="O87" s="2" t="s">
        <v>1165</v>
      </c>
      <c r="P87" s="2" t="s">
        <v>455</v>
      </c>
      <c r="Q87" s="2" t="s">
        <v>9127</v>
      </c>
      <c r="R87" s="65">
        <v>5.4</v>
      </c>
      <c r="S87" s="2" t="s">
        <v>9041</v>
      </c>
      <c r="T87" s="2" t="s">
        <v>9128</v>
      </c>
      <c r="U87" s="2" t="s">
        <v>9129</v>
      </c>
      <c r="V87" s="2" t="s">
        <v>9130</v>
      </c>
      <c r="W87" s="2" t="s">
        <v>1190</v>
      </c>
      <c r="X87" s="2" t="s">
        <v>638</v>
      </c>
      <c r="Y87" s="33"/>
      <c r="Z87" s="9"/>
      <c r="AA87" s="2" t="s">
        <v>988</v>
      </c>
      <c r="AB87" s="2" t="s">
        <v>989</v>
      </c>
      <c r="AC87" s="2" t="s">
        <v>907</v>
      </c>
      <c r="AD87" s="2" t="s">
        <v>8686</v>
      </c>
      <c r="AE87" s="2" t="s">
        <v>8693</v>
      </c>
      <c r="AF87" s="2" t="s">
        <v>990</v>
      </c>
      <c r="AG87" s="2" t="s">
        <v>1061</v>
      </c>
      <c r="AH87" s="2" t="s">
        <v>8665</v>
      </c>
      <c r="AI87" s="2" t="str">
        <f>IF(Y87="","",Y87)</f>
        <v/>
      </c>
      <c r="AJ87" s="2" t="s">
        <v>1522</v>
      </c>
      <c r="AK87" s="2" t="s">
        <v>8594</v>
      </c>
      <c r="AL87" s="2" t="s">
        <v>8666</v>
      </c>
      <c r="AM87" s="2">
        <f>IF(AND(ISNUMBER(J87),OR(AR87="INHERITED ESTIMATE",AR87="CONFIRMED ESTIMATE")),1,0)</f>
        <v>1</v>
      </c>
      <c r="AN87" s="2"/>
      <c r="AO87" s="32" t="s">
        <v>1429</v>
      </c>
      <c r="AP87" s="32" t="s">
        <v>1418</v>
      </c>
      <c r="AQ87" s="32"/>
      <c r="AR87" s="32" t="s">
        <v>1420</v>
      </c>
      <c r="AS87" s="65">
        <f>IF(AM87=1,J87,"")</f>
        <v>12</v>
      </c>
      <c r="AT87" s="65">
        <f>IF(AND(AM87=1,ISNUMBER(R87)),R87,"")</f>
        <v>5.4</v>
      </c>
      <c r="AU87" s="2" t="s">
        <v>8667</v>
      </c>
      <c r="AV87" s="5"/>
      <c r="AW87" s="5"/>
      <c r="AX87" s="5"/>
      <c r="AY87" s="2" t="s">
        <v>8668</v>
      </c>
      <c r="AZ87" s="2"/>
      <c r="BA87" s="2"/>
      <c r="BB87" s="2"/>
    </row>
    <row r="88" spans="1:54" ht="75.95" hidden="1" customHeight="1">
      <c r="A88" s="2" t="s">
        <v>148</v>
      </c>
      <c r="B88" s="2" t="s">
        <v>449</v>
      </c>
      <c r="C88" s="2" t="s">
        <v>634</v>
      </c>
      <c r="D88" s="2" t="s">
        <v>692</v>
      </c>
      <c r="E88" s="2" t="s">
        <v>9131</v>
      </c>
      <c r="F88" s="2" t="s">
        <v>9132</v>
      </c>
      <c r="G88" s="2" t="s">
        <v>8677</v>
      </c>
      <c r="H88" s="2" t="s">
        <v>9133</v>
      </c>
      <c r="I88" s="2" t="s">
        <v>9134</v>
      </c>
      <c r="J88" s="65">
        <v>10</v>
      </c>
      <c r="K88" s="94" t="s">
        <v>537</v>
      </c>
      <c r="L88" s="2" t="s">
        <v>504</v>
      </c>
      <c r="M88" s="2" t="s">
        <v>693</v>
      </c>
      <c r="N88" s="2" t="s">
        <v>163</v>
      </c>
      <c r="O88" s="2" t="s">
        <v>1165</v>
      </c>
      <c r="P88" s="2" t="s">
        <v>455</v>
      </c>
      <c r="Q88" s="2" t="s">
        <v>9135</v>
      </c>
      <c r="R88" s="65">
        <v>4.25</v>
      </c>
      <c r="S88" s="2" t="s">
        <v>9041</v>
      </c>
      <c r="T88" s="2" t="s">
        <v>9136</v>
      </c>
      <c r="U88" s="2" t="s">
        <v>9137</v>
      </c>
      <c r="V88" s="2" t="s">
        <v>9138</v>
      </c>
      <c r="W88" s="2" t="s">
        <v>1190</v>
      </c>
      <c r="X88" s="2" t="s">
        <v>638</v>
      </c>
      <c r="Y88" s="33"/>
      <c r="Z88" s="9"/>
      <c r="AA88" s="2" t="s">
        <v>918</v>
      </c>
      <c r="AB88" s="2" t="s">
        <v>919</v>
      </c>
      <c r="AC88" s="2" t="s">
        <v>9139</v>
      </c>
      <c r="AD88" s="2" t="s">
        <v>8686</v>
      </c>
      <c r="AE88" s="2" t="s">
        <v>8696</v>
      </c>
      <c r="AF88" s="2" t="s">
        <v>830</v>
      </c>
      <c r="AG88" s="2" t="s">
        <v>1061</v>
      </c>
      <c r="AH88" s="2" t="s">
        <v>8665</v>
      </c>
      <c r="AI88" s="2" t="str">
        <f>IF(Y88="","",Y88)</f>
        <v/>
      </c>
      <c r="AJ88" s="2" t="s">
        <v>1522</v>
      </c>
      <c r="AK88" s="2" t="s">
        <v>8594</v>
      </c>
      <c r="AL88" s="2" t="s">
        <v>8666</v>
      </c>
      <c r="AM88" s="2">
        <f>IF(AND(ISNUMBER(J88),OR(AR88="INHERITED ESTIMATE",AR88="CONFIRMED ESTIMATE")),1,0)</f>
        <v>1</v>
      </c>
      <c r="AN88" s="2"/>
      <c r="AO88" s="32" t="s">
        <v>1429</v>
      </c>
      <c r="AP88" s="32" t="s">
        <v>1418</v>
      </c>
      <c r="AQ88" s="32"/>
      <c r="AR88" s="32" t="s">
        <v>1420</v>
      </c>
      <c r="AS88" s="65">
        <f>IF(AM88=1,J88,"")</f>
        <v>10</v>
      </c>
      <c r="AT88" s="65">
        <f>IF(AND(AM88=1,ISNUMBER(R88)),R88,"")</f>
        <v>4.25</v>
      </c>
      <c r="AU88" s="2" t="s">
        <v>8667</v>
      </c>
      <c r="AV88" s="5"/>
      <c r="AW88" s="5"/>
      <c r="AX88" s="5"/>
      <c r="AY88" s="2" t="s">
        <v>8668</v>
      </c>
      <c r="AZ88" s="2"/>
      <c r="BA88" s="2"/>
      <c r="BB88" s="2"/>
    </row>
    <row r="89" spans="1:54" ht="75.95" hidden="1" customHeight="1">
      <c r="A89" s="2" t="s">
        <v>149</v>
      </c>
      <c r="B89" s="2" t="s">
        <v>449</v>
      </c>
      <c r="C89" s="2" t="s">
        <v>634</v>
      </c>
      <c r="D89" s="2" t="s">
        <v>694</v>
      </c>
      <c r="E89" s="2" t="s">
        <v>9140</v>
      </c>
      <c r="F89" s="2" t="s">
        <v>9141</v>
      </c>
      <c r="G89" s="2" t="s">
        <v>8656</v>
      </c>
      <c r="H89" s="2" t="s">
        <v>9142</v>
      </c>
      <c r="I89" s="2" t="s">
        <v>9143</v>
      </c>
      <c r="J89" s="65">
        <v>8</v>
      </c>
      <c r="K89" s="94" t="s">
        <v>249</v>
      </c>
      <c r="L89" s="2" t="s">
        <v>504</v>
      </c>
      <c r="M89" s="2" t="s">
        <v>695</v>
      </c>
      <c r="N89" s="2" t="s">
        <v>696</v>
      </c>
      <c r="O89" s="2" t="s">
        <v>1165</v>
      </c>
      <c r="P89" s="2" t="s">
        <v>455</v>
      </c>
      <c r="Q89" s="2" t="s">
        <v>8760</v>
      </c>
      <c r="R89" s="65">
        <v>2</v>
      </c>
      <c r="S89" s="2" t="s">
        <v>9041</v>
      </c>
      <c r="T89" s="2" t="s">
        <v>2026</v>
      </c>
      <c r="U89" s="2" t="s">
        <v>9144</v>
      </c>
      <c r="V89" s="2" t="s">
        <v>9145</v>
      </c>
      <c r="W89" s="2" t="s">
        <v>1190</v>
      </c>
      <c r="X89" s="2" t="s">
        <v>638</v>
      </c>
      <c r="Y89" s="33" t="s">
        <v>506</v>
      </c>
      <c r="Z89" s="9"/>
      <c r="AA89" s="2" t="s">
        <v>905</v>
      </c>
      <c r="AB89" s="2" t="s">
        <v>906</v>
      </c>
      <c r="AC89" s="2"/>
      <c r="AD89" s="2" t="s">
        <v>8686</v>
      </c>
      <c r="AE89" s="2" t="s">
        <v>8713</v>
      </c>
      <c r="AF89" s="2" t="s">
        <v>830</v>
      </c>
      <c r="AG89" s="2" t="s">
        <v>1061</v>
      </c>
      <c r="AH89" s="2" t="s">
        <v>8665</v>
      </c>
      <c r="AI89" s="2" t="str">
        <f>IF(Y89="","",Y89)</f>
        <v>Not recovered from reviewed sessions</v>
      </c>
      <c r="AJ89" s="2" t="s">
        <v>1522</v>
      </c>
      <c r="AK89" s="2" t="s">
        <v>8594</v>
      </c>
      <c r="AL89" s="2" t="s">
        <v>8666</v>
      </c>
      <c r="AM89" s="2">
        <f>IF(AND(ISNUMBER(J89),OR(AR89="INHERITED ESTIMATE",AR89="CONFIRMED ESTIMATE")),1,0)</f>
        <v>1</v>
      </c>
      <c r="AN89" s="2"/>
      <c r="AO89" s="32" t="s">
        <v>1415</v>
      </c>
      <c r="AP89" s="32" t="s">
        <v>1418</v>
      </c>
      <c r="AQ89" s="32"/>
      <c r="AR89" s="32" t="s">
        <v>1420</v>
      </c>
      <c r="AS89" s="65">
        <f>IF(AM89=1,J89,"")</f>
        <v>8</v>
      </c>
      <c r="AT89" s="65">
        <f>IF(AND(AM89=1,ISNUMBER(R89)),R89,"")</f>
        <v>2</v>
      </c>
      <c r="AU89" s="2" t="s">
        <v>8667</v>
      </c>
      <c r="AV89" s="5"/>
      <c r="AW89" s="5"/>
      <c r="AX89" s="5"/>
      <c r="AY89" s="2" t="s">
        <v>8668</v>
      </c>
      <c r="AZ89" s="2"/>
      <c r="BA89" s="2"/>
      <c r="BB89" s="2"/>
    </row>
    <row r="90" spans="1:54" ht="75.95" hidden="1" customHeight="1">
      <c r="A90" s="2" t="s">
        <v>150</v>
      </c>
      <c r="B90" s="2" t="s">
        <v>449</v>
      </c>
      <c r="C90" s="2" t="s">
        <v>634</v>
      </c>
      <c r="D90" s="2" t="s">
        <v>697</v>
      </c>
      <c r="E90" s="2" t="s">
        <v>9090</v>
      </c>
      <c r="F90" s="2" t="s">
        <v>906</v>
      </c>
      <c r="G90" s="2" t="s">
        <v>8656</v>
      </c>
      <c r="H90" s="2" t="s">
        <v>9146</v>
      </c>
      <c r="I90" s="2" t="s">
        <v>9147</v>
      </c>
      <c r="J90" s="65">
        <v>10</v>
      </c>
      <c r="K90" s="94" t="s">
        <v>249</v>
      </c>
      <c r="L90" s="2" t="s">
        <v>504</v>
      </c>
      <c r="M90" s="2" t="s">
        <v>698</v>
      </c>
      <c r="N90" s="2" t="s">
        <v>699</v>
      </c>
      <c r="O90" s="2" t="s">
        <v>1165</v>
      </c>
      <c r="P90" s="2" t="s">
        <v>455</v>
      </c>
      <c r="Q90" s="2" t="s">
        <v>9148</v>
      </c>
      <c r="R90" s="65">
        <v>2.666666666666667</v>
      </c>
      <c r="S90" s="2" t="s">
        <v>9041</v>
      </c>
      <c r="T90" s="2" t="s">
        <v>2026</v>
      </c>
      <c r="U90" s="2" t="s">
        <v>9149</v>
      </c>
      <c r="V90" s="2" t="s">
        <v>9150</v>
      </c>
      <c r="W90" s="2" t="s">
        <v>1190</v>
      </c>
      <c r="X90" s="2" t="s">
        <v>638</v>
      </c>
      <c r="Y90" s="33" t="s">
        <v>506</v>
      </c>
      <c r="Z90" s="9"/>
      <c r="AA90" s="2" t="s">
        <v>905</v>
      </c>
      <c r="AB90" s="2" t="s">
        <v>906</v>
      </c>
      <c r="AC90" s="2" t="s">
        <v>9151</v>
      </c>
      <c r="AD90" s="2" t="s">
        <v>8686</v>
      </c>
      <c r="AE90" s="2" t="s">
        <v>8696</v>
      </c>
      <c r="AF90" s="2" t="s">
        <v>830</v>
      </c>
      <c r="AG90" s="2" t="s">
        <v>1061</v>
      </c>
      <c r="AH90" s="2" t="s">
        <v>8665</v>
      </c>
      <c r="AI90" s="2" t="str">
        <f>IF(Y90="","",Y90)</f>
        <v>Not recovered from reviewed sessions</v>
      </c>
      <c r="AJ90" s="2" t="s">
        <v>1522</v>
      </c>
      <c r="AK90" s="2" t="s">
        <v>8594</v>
      </c>
      <c r="AL90" s="2" t="s">
        <v>8666</v>
      </c>
      <c r="AM90" s="2">
        <f>IF(AND(ISNUMBER(J90),OR(AR90="INHERITED ESTIMATE",AR90="CONFIRMED ESTIMATE")),1,0)</f>
        <v>1</v>
      </c>
      <c r="AN90" s="2"/>
      <c r="AO90" s="32" t="s">
        <v>1415</v>
      </c>
      <c r="AP90" s="32" t="s">
        <v>1418</v>
      </c>
      <c r="AQ90" s="32"/>
      <c r="AR90" s="32" t="s">
        <v>1420</v>
      </c>
      <c r="AS90" s="65">
        <f>IF(AM90=1,J90,"")</f>
        <v>10</v>
      </c>
      <c r="AT90" s="65">
        <f>IF(AND(AM90=1,ISNUMBER(R90)),R90,"")</f>
        <v>2.666666666666667</v>
      </c>
      <c r="AU90" s="2" t="s">
        <v>8667</v>
      </c>
      <c r="AV90" s="5"/>
      <c r="AW90" s="5"/>
      <c r="AX90" s="5"/>
      <c r="AY90" s="2" t="s">
        <v>8668</v>
      </c>
      <c r="AZ90" s="2"/>
      <c r="BA90" s="2"/>
      <c r="BB90" s="2"/>
    </row>
    <row r="91" spans="1:54" ht="75.95" hidden="1" customHeight="1">
      <c r="A91" s="2" t="s">
        <v>151</v>
      </c>
      <c r="B91" s="2" t="s">
        <v>449</v>
      </c>
      <c r="C91" s="2" t="s">
        <v>634</v>
      </c>
      <c r="D91" s="2" t="s">
        <v>700</v>
      </c>
      <c r="E91" s="2" t="s">
        <v>9152</v>
      </c>
      <c r="F91" s="2" t="s">
        <v>9153</v>
      </c>
      <c r="G91" s="2" t="s">
        <v>8677</v>
      </c>
      <c r="H91" s="2" t="s">
        <v>9154</v>
      </c>
      <c r="I91" s="2" t="s">
        <v>9155</v>
      </c>
      <c r="J91" s="65">
        <v>10</v>
      </c>
      <c r="K91" s="94" t="s">
        <v>537</v>
      </c>
      <c r="L91" s="2" t="s">
        <v>491</v>
      </c>
      <c r="M91" s="2" t="s">
        <v>701</v>
      </c>
      <c r="N91" s="2" t="s">
        <v>217</v>
      </c>
      <c r="O91" s="2" t="s">
        <v>1165</v>
      </c>
      <c r="P91" s="2" t="s">
        <v>455</v>
      </c>
      <c r="Q91" s="2" t="s">
        <v>9156</v>
      </c>
      <c r="R91" s="65">
        <v>4.25</v>
      </c>
      <c r="S91" s="2" t="s">
        <v>9041</v>
      </c>
      <c r="T91" s="2" t="s">
        <v>9157</v>
      </c>
      <c r="U91" s="2" t="s">
        <v>9158</v>
      </c>
      <c r="V91" s="2" t="s">
        <v>9159</v>
      </c>
      <c r="W91" s="2" t="s">
        <v>1190</v>
      </c>
      <c r="X91" s="2" t="s">
        <v>638</v>
      </c>
      <c r="Y91" s="33"/>
      <c r="Z91" s="9"/>
      <c r="AA91" s="2" t="s">
        <v>986</v>
      </c>
      <c r="AB91" s="2" t="s">
        <v>987</v>
      </c>
      <c r="AC91" s="2"/>
      <c r="AD91" s="2" t="s">
        <v>8686</v>
      </c>
      <c r="AE91" s="2" t="s">
        <v>8696</v>
      </c>
      <c r="AF91" s="2" t="s">
        <v>830</v>
      </c>
      <c r="AG91" s="2" t="s">
        <v>1061</v>
      </c>
      <c r="AH91" s="2" t="s">
        <v>8665</v>
      </c>
      <c r="AI91" s="2" t="str">
        <f>IF(Y91="","",Y91)</f>
        <v/>
      </c>
      <c r="AJ91" s="2" t="s">
        <v>1522</v>
      </c>
      <c r="AK91" s="2" t="s">
        <v>8594</v>
      </c>
      <c r="AL91" s="2" t="s">
        <v>8666</v>
      </c>
      <c r="AM91" s="2">
        <f>IF(AND(ISNUMBER(J91),OR(AR91="INHERITED ESTIMATE",AR91="CONFIRMED ESTIMATE")),1,0)</f>
        <v>1</v>
      </c>
      <c r="AN91" s="2"/>
      <c r="AO91" s="32" t="s">
        <v>1429</v>
      </c>
      <c r="AP91" s="32" t="s">
        <v>1418</v>
      </c>
      <c r="AQ91" s="32"/>
      <c r="AR91" s="32" t="s">
        <v>1420</v>
      </c>
      <c r="AS91" s="65">
        <f>IF(AM91=1,J91,"")</f>
        <v>10</v>
      </c>
      <c r="AT91" s="65">
        <f>IF(AND(AM91=1,ISNUMBER(R91)),R91,"")</f>
        <v>4.25</v>
      </c>
      <c r="AU91" s="2" t="s">
        <v>8667</v>
      </c>
      <c r="AV91" s="5"/>
      <c r="AW91" s="5"/>
      <c r="AX91" s="5"/>
      <c r="AY91" s="2" t="s">
        <v>8668</v>
      </c>
      <c r="AZ91" s="2"/>
      <c r="BA91" s="2"/>
      <c r="BB91" s="2"/>
    </row>
    <row r="92" spans="1:54" ht="75.95" hidden="1" customHeight="1">
      <c r="A92" s="2" t="s">
        <v>152</v>
      </c>
      <c r="B92" s="2" t="s">
        <v>449</v>
      </c>
      <c r="C92" s="2" t="s">
        <v>702</v>
      </c>
      <c r="D92" s="2" t="s">
        <v>703</v>
      </c>
      <c r="E92" s="2" t="s">
        <v>8669</v>
      </c>
      <c r="F92" s="2" t="s">
        <v>9160</v>
      </c>
      <c r="G92" s="2" t="s">
        <v>8656</v>
      </c>
      <c r="H92" s="2" t="s">
        <v>9161</v>
      </c>
      <c r="I92" s="2" t="s">
        <v>9162</v>
      </c>
      <c r="J92" s="65">
        <v>12</v>
      </c>
      <c r="K92" s="94" t="s">
        <v>537</v>
      </c>
      <c r="L92" s="2" t="s">
        <v>451</v>
      </c>
      <c r="M92" s="2" t="s">
        <v>704</v>
      </c>
      <c r="N92" s="2" t="s">
        <v>705</v>
      </c>
      <c r="O92" s="2" t="s">
        <v>1165</v>
      </c>
      <c r="P92" s="2" t="s">
        <v>455</v>
      </c>
      <c r="Q92" s="2" t="s">
        <v>8674</v>
      </c>
      <c r="R92" s="65">
        <v>2.3250000000000002</v>
      </c>
      <c r="S92" s="2" t="s">
        <v>9163</v>
      </c>
      <c r="T92" s="2" t="s">
        <v>2882</v>
      </c>
      <c r="U92" s="2" t="s">
        <v>8661</v>
      </c>
      <c r="V92" s="2" t="s">
        <v>9164</v>
      </c>
      <c r="W92" s="2" t="s">
        <v>9165</v>
      </c>
      <c r="X92" s="2" t="s">
        <v>706</v>
      </c>
      <c r="Y92" s="33"/>
      <c r="Z92" s="9"/>
      <c r="AA92" s="2" t="s">
        <v>935</v>
      </c>
      <c r="AB92" s="2" t="s">
        <v>936</v>
      </c>
      <c r="AC92" s="2"/>
      <c r="AD92" s="2" t="s">
        <v>8802</v>
      </c>
      <c r="AE92" s="2" t="s">
        <v>8676</v>
      </c>
      <c r="AF92" s="2" t="s">
        <v>830</v>
      </c>
      <c r="AG92" s="2" t="s">
        <v>1061</v>
      </c>
      <c r="AH92" s="2" t="s">
        <v>8665</v>
      </c>
      <c r="AI92" s="2" t="str">
        <f>IF(Y92="","",Y92)</f>
        <v/>
      </c>
      <c r="AJ92" s="2" t="s">
        <v>1522</v>
      </c>
      <c r="AK92" s="2" t="s">
        <v>8594</v>
      </c>
      <c r="AL92" s="2" t="s">
        <v>8666</v>
      </c>
      <c r="AM92" s="2">
        <f>IF(AND(ISNUMBER(J92),OR(AR92="INHERITED ESTIMATE",AR92="CONFIRMED ESTIMATE")),1,0)</f>
        <v>1</v>
      </c>
      <c r="AN92" s="2"/>
      <c r="AO92" s="32" t="s">
        <v>1429</v>
      </c>
      <c r="AP92" s="32" t="s">
        <v>1418</v>
      </c>
      <c r="AQ92" s="32"/>
      <c r="AR92" s="32" t="s">
        <v>1420</v>
      </c>
      <c r="AS92" s="65">
        <f>IF(AM92=1,J92,"")</f>
        <v>12</v>
      </c>
      <c r="AT92" s="65">
        <f>IF(AND(AM92=1,ISNUMBER(R92)),R92,"")</f>
        <v>2.3250000000000002</v>
      </c>
      <c r="AU92" s="2" t="s">
        <v>8667</v>
      </c>
      <c r="AV92" s="5"/>
      <c r="AW92" s="5"/>
      <c r="AX92" s="5"/>
      <c r="AY92" s="2" t="s">
        <v>8668</v>
      </c>
      <c r="AZ92" s="2"/>
      <c r="BA92" s="2"/>
      <c r="BB92" s="2"/>
    </row>
    <row r="93" spans="1:54" ht="75.95" hidden="1" customHeight="1">
      <c r="A93" s="2" t="s">
        <v>153</v>
      </c>
      <c r="B93" s="2" t="s">
        <v>449</v>
      </c>
      <c r="C93" s="2" t="s">
        <v>702</v>
      </c>
      <c r="D93" s="2" t="s">
        <v>707</v>
      </c>
      <c r="E93" s="2" t="s">
        <v>8687</v>
      </c>
      <c r="F93" s="2" t="s">
        <v>9160</v>
      </c>
      <c r="G93" s="2" t="s">
        <v>8677</v>
      </c>
      <c r="H93" s="2" t="s">
        <v>1086</v>
      </c>
      <c r="I93" s="2" t="s">
        <v>1088</v>
      </c>
      <c r="J93" s="65">
        <v>8</v>
      </c>
      <c r="K93" s="94" t="s">
        <v>537</v>
      </c>
      <c r="L93" s="2" t="s">
        <v>451</v>
      </c>
      <c r="M93" s="2"/>
      <c r="N93" s="2" t="s">
        <v>708</v>
      </c>
      <c r="O93" s="2" t="s">
        <v>1165</v>
      </c>
      <c r="P93" s="2" t="s">
        <v>455</v>
      </c>
      <c r="Q93" s="2" t="s">
        <v>8691</v>
      </c>
      <c r="R93" s="65">
        <v>1.2000000000000002</v>
      </c>
      <c r="S93" s="2" t="s">
        <v>9163</v>
      </c>
      <c r="T93" s="2" t="s">
        <v>2891</v>
      </c>
      <c r="U93" s="2" t="s">
        <v>8661</v>
      </c>
      <c r="V93" s="2" t="s">
        <v>1513</v>
      </c>
      <c r="W93" s="2" t="s">
        <v>9165</v>
      </c>
      <c r="X93" s="2" t="s">
        <v>706</v>
      </c>
      <c r="Y93" s="33"/>
      <c r="Z93" s="9"/>
      <c r="AA93" s="2" t="s">
        <v>941</v>
      </c>
      <c r="AB93" s="2" t="s">
        <v>942</v>
      </c>
      <c r="AC93" s="2"/>
      <c r="AD93" s="2" t="s">
        <v>8802</v>
      </c>
      <c r="AE93" s="2" t="s">
        <v>8696</v>
      </c>
      <c r="AF93" s="2" t="s">
        <v>830</v>
      </c>
      <c r="AG93" s="2" t="s">
        <v>1061</v>
      </c>
      <c r="AH93" s="2" t="s">
        <v>8665</v>
      </c>
      <c r="AI93" s="2" t="str">
        <f>IF(Y93="","",Y93)</f>
        <v/>
      </c>
      <c r="AJ93" s="2" t="s">
        <v>2348</v>
      </c>
      <c r="AK93" s="2" t="s">
        <v>8594</v>
      </c>
      <c r="AL93" s="2" t="s">
        <v>8666</v>
      </c>
      <c r="AM93" s="2">
        <f>IF(AND(ISNUMBER(J93),OR(AR93="INHERITED ESTIMATE",AR93="CONFIRMED ESTIMATE")),1,0)</f>
        <v>0</v>
      </c>
      <c r="AN93" s="2"/>
      <c r="AO93" s="32" t="s">
        <v>1429</v>
      </c>
      <c r="AP93" s="32" t="s">
        <v>1418</v>
      </c>
      <c r="AQ93" s="32"/>
      <c r="AR93" s="32" t="s">
        <v>1472</v>
      </c>
      <c r="AS93" s="65" t="str">
        <f>IF(AM93=1,J93,"")</f>
        <v/>
      </c>
      <c r="AT93" s="65" t="str">
        <f>IF(AND(AM93=1,ISNUMBER(R93)),R93,"")</f>
        <v/>
      </c>
      <c r="AU93" s="2" t="s">
        <v>8006</v>
      </c>
      <c r="AV93" s="5">
        <v>12</v>
      </c>
      <c r="AW93" s="5">
        <v>20</v>
      </c>
      <c r="AX93" s="5">
        <v>32</v>
      </c>
      <c r="AY93" s="2" t="s">
        <v>8832</v>
      </c>
      <c r="AZ93" s="2" t="s">
        <v>8010</v>
      </c>
      <c r="BA93" s="2" t="s">
        <v>8009</v>
      </c>
      <c r="BB93" s="2" t="s">
        <v>8833</v>
      </c>
    </row>
    <row r="94" spans="1:54" ht="75.95" hidden="1" customHeight="1">
      <c r="A94" s="2" t="s">
        <v>154</v>
      </c>
      <c r="B94" s="2" t="s">
        <v>449</v>
      </c>
      <c r="C94" s="2" t="s">
        <v>702</v>
      </c>
      <c r="D94" s="2" t="s">
        <v>709</v>
      </c>
      <c r="E94" s="2" t="s">
        <v>8687</v>
      </c>
      <c r="F94" s="2" t="s">
        <v>9160</v>
      </c>
      <c r="G94" s="2" t="s">
        <v>8677</v>
      </c>
      <c r="H94" s="2" t="s">
        <v>9166</v>
      </c>
      <c r="I94" s="2" t="s">
        <v>9167</v>
      </c>
      <c r="J94" s="65">
        <v>6</v>
      </c>
      <c r="K94" s="94" t="s">
        <v>537</v>
      </c>
      <c r="L94" s="2" t="s">
        <v>451</v>
      </c>
      <c r="M94" s="2" t="s">
        <v>710</v>
      </c>
      <c r="N94" s="2" t="s">
        <v>705</v>
      </c>
      <c r="O94" s="2" t="s">
        <v>1165</v>
      </c>
      <c r="P94" s="2" t="s">
        <v>455</v>
      </c>
      <c r="Q94" s="2" t="s">
        <v>8691</v>
      </c>
      <c r="R94" s="65">
        <v>0.89999999999999991</v>
      </c>
      <c r="S94" s="2" t="s">
        <v>9163</v>
      </c>
      <c r="T94" s="2" t="s">
        <v>2904</v>
      </c>
      <c r="U94" s="2" t="s">
        <v>8661</v>
      </c>
      <c r="V94" s="2" t="s">
        <v>9164</v>
      </c>
      <c r="W94" s="2" t="s">
        <v>9165</v>
      </c>
      <c r="X94" s="2" t="s">
        <v>706</v>
      </c>
      <c r="Y94" s="33"/>
      <c r="Z94" s="9"/>
      <c r="AA94" s="2" t="s">
        <v>935</v>
      </c>
      <c r="AB94" s="2" t="s">
        <v>936</v>
      </c>
      <c r="AC94" s="2"/>
      <c r="AD94" s="2" t="s">
        <v>8802</v>
      </c>
      <c r="AE94" s="2" t="s">
        <v>8696</v>
      </c>
      <c r="AF94" s="2" t="s">
        <v>830</v>
      </c>
      <c r="AG94" s="2" t="s">
        <v>1061</v>
      </c>
      <c r="AH94" s="2" t="s">
        <v>8665</v>
      </c>
      <c r="AI94" s="2" t="str">
        <f>IF(Y94="","",Y94)</f>
        <v/>
      </c>
      <c r="AJ94" s="2" t="s">
        <v>1522</v>
      </c>
      <c r="AK94" s="2" t="s">
        <v>8594</v>
      </c>
      <c r="AL94" s="2" t="s">
        <v>8666</v>
      </c>
      <c r="AM94" s="2">
        <f>IF(AND(ISNUMBER(J94),OR(AR94="INHERITED ESTIMATE",AR94="CONFIRMED ESTIMATE")),1,0)</f>
        <v>1</v>
      </c>
      <c r="AN94" s="2"/>
      <c r="AO94" s="32" t="s">
        <v>1429</v>
      </c>
      <c r="AP94" s="32" t="s">
        <v>1418</v>
      </c>
      <c r="AQ94" s="32"/>
      <c r="AR94" s="32" t="s">
        <v>1420</v>
      </c>
      <c r="AS94" s="65">
        <f>IF(AM94=1,J94,"")</f>
        <v>6</v>
      </c>
      <c r="AT94" s="65">
        <f>IF(AND(AM94=1,ISNUMBER(R94)),R94,"")</f>
        <v>0.89999999999999991</v>
      </c>
      <c r="AU94" s="2" t="s">
        <v>8667</v>
      </c>
      <c r="AV94" s="5"/>
      <c r="AW94" s="5"/>
      <c r="AX94" s="5"/>
      <c r="AY94" s="2" t="s">
        <v>8668</v>
      </c>
      <c r="AZ94" s="2"/>
      <c r="BA94" s="2"/>
      <c r="BB94" s="2"/>
    </row>
    <row r="95" spans="1:54" ht="75.95" hidden="1" customHeight="1">
      <c r="A95" s="2" t="s">
        <v>155</v>
      </c>
      <c r="B95" s="2" t="s">
        <v>449</v>
      </c>
      <c r="C95" s="2" t="s">
        <v>702</v>
      </c>
      <c r="D95" s="2" t="s">
        <v>711</v>
      </c>
      <c r="E95" s="2" t="s">
        <v>8669</v>
      </c>
      <c r="F95" s="2" t="s">
        <v>8670</v>
      </c>
      <c r="G95" s="2" t="s">
        <v>8677</v>
      </c>
      <c r="H95" s="2" t="s">
        <v>1517</v>
      </c>
      <c r="I95" s="2" t="s">
        <v>1520</v>
      </c>
      <c r="J95" s="65">
        <v>4</v>
      </c>
      <c r="K95" s="94" t="s">
        <v>537</v>
      </c>
      <c r="L95" s="2" t="s">
        <v>451</v>
      </c>
      <c r="M95" s="2"/>
      <c r="N95" s="2" t="s">
        <v>163</v>
      </c>
      <c r="O95" s="2" t="s">
        <v>1165</v>
      </c>
      <c r="P95" s="2" t="s">
        <v>455</v>
      </c>
      <c r="Q95" s="2" t="s">
        <v>8674</v>
      </c>
      <c r="R95" s="65">
        <v>0.77500000000000002</v>
      </c>
      <c r="S95" s="2" t="s">
        <v>9163</v>
      </c>
      <c r="T95" s="2" t="s">
        <v>2891</v>
      </c>
      <c r="U95" s="2" t="s">
        <v>8661</v>
      </c>
      <c r="V95" s="2" t="s">
        <v>1513</v>
      </c>
      <c r="W95" s="2" t="s">
        <v>9165</v>
      </c>
      <c r="X95" s="2" t="s">
        <v>706</v>
      </c>
      <c r="Y95" s="33"/>
      <c r="Z95" s="9"/>
      <c r="AA95" s="2" t="s">
        <v>949</v>
      </c>
      <c r="AB95" s="2" t="s">
        <v>951</v>
      </c>
      <c r="AC95" s="2" t="s">
        <v>952</v>
      </c>
      <c r="AD95" s="2" t="s">
        <v>8664</v>
      </c>
      <c r="AE95" s="2" t="s">
        <v>8676</v>
      </c>
      <c r="AF95" s="2" t="s">
        <v>830</v>
      </c>
      <c r="AG95" s="2" t="s">
        <v>1061</v>
      </c>
      <c r="AH95" s="2" t="s">
        <v>8665</v>
      </c>
      <c r="AI95" s="2" t="str">
        <f>IF(Y95="","",Y95)</f>
        <v/>
      </c>
      <c r="AJ95" s="2" t="s">
        <v>1523</v>
      </c>
      <c r="AK95" s="2" t="s">
        <v>8594</v>
      </c>
      <c r="AL95" s="2" t="s">
        <v>8666</v>
      </c>
      <c r="AM95" s="2">
        <f>IF(AND(ISNUMBER(J95),OR(AR95="INHERITED ESTIMATE",AR95="CONFIRMED ESTIMATE")),1,0)</f>
        <v>1</v>
      </c>
      <c r="AN95" s="2"/>
      <c r="AO95" s="32" t="s">
        <v>1429</v>
      </c>
      <c r="AP95" s="32" t="s">
        <v>1418</v>
      </c>
      <c r="AQ95" s="32"/>
      <c r="AR95" s="32" t="s">
        <v>1420</v>
      </c>
      <c r="AS95" s="65">
        <f>IF(AM95=1,J95,"")</f>
        <v>4</v>
      </c>
      <c r="AT95" s="65">
        <f>IF(AND(AM95=1,ISNUMBER(R95)),R95,"")</f>
        <v>0.77500000000000002</v>
      </c>
      <c r="AU95" s="2" t="s">
        <v>8667</v>
      </c>
      <c r="AV95" s="5"/>
      <c r="AW95" s="5"/>
      <c r="AX95" s="5"/>
      <c r="AY95" s="2" t="s">
        <v>8668</v>
      </c>
      <c r="AZ95" s="2"/>
      <c r="BA95" s="2"/>
      <c r="BB95" s="2"/>
    </row>
    <row r="96" spans="1:54" ht="75.95" hidden="1" customHeight="1">
      <c r="A96" s="2" t="s">
        <v>156</v>
      </c>
      <c r="B96" s="2" t="s">
        <v>449</v>
      </c>
      <c r="C96" s="2" t="s">
        <v>702</v>
      </c>
      <c r="D96" s="2" t="s">
        <v>712</v>
      </c>
      <c r="E96" s="2" t="s">
        <v>8687</v>
      </c>
      <c r="F96" s="2" t="s">
        <v>9168</v>
      </c>
      <c r="G96" s="2" t="s">
        <v>8656</v>
      </c>
      <c r="H96" s="2" t="s">
        <v>9169</v>
      </c>
      <c r="I96" s="2" t="s">
        <v>9170</v>
      </c>
      <c r="J96" s="65">
        <v>12</v>
      </c>
      <c r="K96" s="94" t="s">
        <v>537</v>
      </c>
      <c r="L96" s="2" t="s">
        <v>451</v>
      </c>
      <c r="M96" s="2"/>
      <c r="N96" s="2" t="s">
        <v>713</v>
      </c>
      <c r="O96" s="2" t="s">
        <v>1165</v>
      </c>
      <c r="P96" s="2" t="s">
        <v>455</v>
      </c>
      <c r="Q96" s="2" t="s">
        <v>8691</v>
      </c>
      <c r="R96" s="65">
        <v>1.7999999999999998</v>
      </c>
      <c r="S96" s="2" t="s">
        <v>9163</v>
      </c>
      <c r="T96" s="2" t="s">
        <v>2891</v>
      </c>
      <c r="U96" s="2" t="s">
        <v>8661</v>
      </c>
      <c r="V96" s="2" t="s">
        <v>1513</v>
      </c>
      <c r="W96" s="2" t="s">
        <v>9165</v>
      </c>
      <c r="X96" s="2" t="s">
        <v>706</v>
      </c>
      <c r="Y96" s="33"/>
      <c r="Z96" s="9"/>
      <c r="AA96" s="2" t="s">
        <v>932</v>
      </c>
      <c r="AB96" s="2" t="s">
        <v>934</v>
      </c>
      <c r="AC96" s="2"/>
      <c r="AD96" s="2" t="s">
        <v>8675</v>
      </c>
      <c r="AE96" s="2" t="s">
        <v>8693</v>
      </c>
      <c r="AF96" s="2" t="s">
        <v>830</v>
      </c>
      <c r="AG96" s="2" t="s">
        <v>1061</v>
      </c>
      <c r="AH96" s="2" t="s">
        <v>8665</v>
      </c>
      <c r="AI96" s="2" t="str">
        <f>IF(Y96="","",Y96)</f>
        <v/>
      </c>
      <c r="AJ96" s="2" t="s">
        <v>1522</v>
      </c>
      <c r="AK96" s="2" t="s">
        <v>8594</v>
      </c>
      <c r="AL96" s="2" t="s">
        <v>8666</v>
      </c>
      <c r="AM96" s="2">
        <f>IF(AND(ISNUMBER(J96),OR(AR96="INHERITED ESTIMATE",AR96="CONFIRMED ESTIMATE")),1,0)</f>
        <v>1</v>
      </c>
      <c r="AN96" s="2"/>
      <c r="AO96" s="32" t="s">
        <v>1429</v>
      </c>
      <c r="AP96" s="32" t="s">
        <v>1418</v>
      </c>
      <c r="AQ96" s="32"/>
      <c r="AR96" s="32" t="s">
        <v>1420</v>
      </c>
      <c r="AS96" s="65">
        <f>IF(AM96=1,J96,"")</f>
        <v>12</v>
      </c>
      <c r="AT96" s="65">
        <f>IF(AND(AM96=1,ISNUMBER(R96)),R96,"")</f>
        <v>1.7999999999999998</v>
      </c>
      <c r="AU96" s="2" t="s">
        <v>8667</v>
      </c>
      <c r="AV96" s="5"/>
      <c r="AW96" s="5"/>
      <c r="AX96" s="5"/>
      <c r="AY96" s="2" t="s">
        <v>8668</v>
      </c>
      <c r="AZ96" s="2"/>
      <c r="BA96" s="2"/>
      <c r="BB96" s="2"/>
    </row>
    <row r="97" spans="1:54" ht="75.95" hidden="1" customHeight="1">
      <c r="A97" s="2" t="s">
        <v>157</v>
      </c>
      <c r="B97" s="2" t="s">
        <v>449</v>
      </c>
      <c r="C97" s="2" t="s">
        <v>702</v>
      </c>
      <c r="D97" s="2" t="s">
        <v>714</v>
      </c>
      <c r="E97" s="2" t="s">
        <v>8728</v>
      </c>
      <c r="F97" s="2" t="s">
        <v>9168</v>
      </c>
      <c r="G97" s="2" t="s">
        <v>8677</v>
      </c>
      <c r="H97" s="2" t="s">
        <v>9171</v>
      </c>
      <c r="I97" s="2" t="s">
        <v>9172</v>
      </c>
      <c r="J97" s="65">
        <v>12</v>
      </c>
      <c r="K97" s="94" t="s">
        <v>537</v>
      </c>
      <c r="L97" s="2" t="s">
        <v>491</v>
      </c>
      <c r="M97" s="2"/>
      <c r="N97" s="2"/>
      <c r="O97" s="2" t="s">
        <v>1165</v>
      </c>
      <c r="P97" s="2" t="s">
        <v>455</v>
      </c>
      <c r="Q97" s="2" t="s">
        <v>8840</v>
      </c>
      <c r="R97" s="65">
        <v>2</v>
      </c>
      <c r="S97" s="2" t="s">
        <v>9163</v>
      </c>
      <c r="T97" s="2" t="s">
        <v>2891</v>
      </c>
      <c r="U97" s="2" t="s">
        <v>8841</v>
      </c>
      <c r="V97" s="2" t="s">
        <v>1513</v>
      </c>
      <c r="W97" s="2" t="s">
        <v>9165</v>
      </c>
      <c r="X97" s="2" t="s">
        <v>706</v>
      </c>
      <c r="Y97" s="33"/>
      <c r="Z97" s="9"/>
      <c r="AA97" s="2" t="s">
        <v>932</v>
      </c>
      <c r="AB97" s="2" t="s">
        <v>934</v>
      </c>
      <c r="AC97" s="2"/>
      <c r="AD97" s="2" t="s">
        <v>8686</v>
      </c>
      <c r="AE97" s="2" t="s">
        <v>8722</v>
      </c>
      <c r="AF97" s="2" t="s">
        <v>830</v>
      </c>
      <c r="AG97" s="2" t="s">
        <v>1061</v>
      </c>
      <c r="AH97" s="2" t="s">
        <v>8665</v>
      </c>
      <c r="AI97" s="2" t="str">
        <f>IF(Y97="","",Y97)</f>
        <v/>
      </c>
      <c r="AJ97" s="2" t="s">
        <v>1522</v>
      </c>
      <c r="AK97" s="2" t="s">
        <v>8594</v>
      </c>
      <c r="AL97" s="2" t="s">
        <v>9173</v>
      </c>
      <c r="AM97" s="2">
        <f>IF(AND(ISNUMBER(J97),OR(AR97="INHERITED ESTIMATE",AR97="CONFIRMED ESTIMATE")),1,0)</f>
        <v>1</v>
      </c>
      <c r="AN97" s="2"/>
      <c r="AO97" s="32" t="s">
        <v>1429</v>
      </c>
      <c r="AP97" s="32" t="s">
        <v>1418</v>
      </c>
      <c r="AQ97" s="32"/>
      <c r="AR97" s="32" t="s">
        <v>1420</v>
      </c>
      <c r="AS97" s="65">
        <f>IF(AM97=1,J97,"")</f>
        <v>12</v>
      </c>
      <c r="AT97" s="65">
        <f>IF(AND(AM97=1,ISNUMBER(R97)),R97,"")</f>
        <v>2</v>
      </c>
      <c r="AU97" s="2" t="s">
        <v>8667</v>
      </c>
      <c r="AV97" s="5"/>
      <c r="AW97" s="5"/>
      <c r="AX97" s="5"/>
      <c r="AY97" s="2" t="s">
        <v>8668</v>
      </c>
      <c r="AZ97" s="2"/>
      <c r="BA97" s="2"/>
      <c r="BB97" s="2"/>
    </row>
    <row r="98" spans="1:54" ht="75.95" hidden="1" customHeight="1">
      <c r="A98" s="2" t="s">
        <v>158</v>
      </c>
      <c r="B98" s="2" t="s">
        <v>449</v>
      </c>
      <c r="C98" s="2" t="s">
        <v>702</v>
      </c>
      <c r="D98" s="2" t="s">
        <v>715</v>
      </c>
      <c r="E98" s="2" t="s">
        <v>8687</v>
      </c>
      <c r="F98" s="2" t="s">
        <v>9174</v>
      </c>
      <c r="G98" s="2" t="s">
        <v>8656</v>
      </c>
      <c r="H98" s="2" t="s">
        <v>1090</v>
      </c>
      <c r="I98" s="2" t="s">
        <v>1092</v>
      </c>
      <c r="J98" s="65">
        <v>16</v>
      </c>
      <c r="K98" s="94" t="s">
        <v>537</v>
      </c>
      <c r="L98" s="2" t="s">
        <v>451</v>
      </c>
      <c r="M98" s="2" t="s">
        <v>156</v>
      </c>
      <c r="N98" s="2" t="s">
        <v>179</v>
      </c>
      <c r="O98" s="2" t="s">
        <v>1165</v>
      </c>
      <c r="P98" s="2" t="s">
        <v>455</v>
      </c>
      <c r="Q98" s="2" t="s">
        <v>8691</v>
      </c>
      <c r="R98" s="65">
        <v>1.7999999999999998</v>
      </c>
      <c r="S98" s="2" t="s">
        <v>9163</v>
      </c>
      <c r="T98" s="2" t="s">
        <v>2938</v>
      </c>
      <c r="U98" s="2" t="s">
        <v>8661</v>
      </c>
      <c r="V98" s="2" t="s">
        <v>1513</v>
      </c>
      <c r="W98" s="2" t="s">
        <v>9165</v>
      </c>
      <c r="X98" s="2" t="s">
        <v>706</v>
      </c>
      <c r="Y98" s="33"/>
      <c r="Z98" s="9"/>
      <c r="AA98" s="2" t="s">
        <v>937</v>
      </c>
      <c r="AB98" s="2" t="s">
        <v>938</v>
      </c>
      <c r="AC98" s="2" t="s">
        <v>939</v>
      </c>
      <c r="AD98" s="2" t="s">
        <v>8686</v>
      </c>
      <c r="AE98" s="2" t="s">
        <v>8696</v>
      </c>
      <c r="AF98" s="2" t="s">
        <v>830</v>
      </c>
      <c r="AG98" s="2" t="s">
        <v>1061</v>
      </c>
      <c r="AH98" s="2" t="s">
        <v>8665</v>
      </c>
      <c r="AI98" s="2" t="str">
        <f>IF(Y98="","",Y98)</f>
        <v/>
      </c>
      <c r="AJ98" s="2" t="s">
        <v>2348</v>
      </c>
      <c r="AK98" s="2" t="s">
        <v>8594</v>
      </c>
      <c r="AL98" s="2" t="s">
        <v>9175</v>
      </c>
      <c r="AM98" s="2">
        <f>IF(AND(ISNUMBER(J98),OR(AR98="INHERITED ESTIMATE",AR98="CONFIRMED ESTIMATE")),1,0)</f>
        <v>0</v>
      </c>
      <c r="AN98" s="2"/>
      <c r="AO98" s="32" t="s">
        <v>1429</v>
      </c>
      <c r="AP98" s="32" t="s">
        <v>1418</v>
      </c>
      <c r="AQ98" s="32"/>
      <c r="AR98" s="32" t="s">
        <v>1472</v>
      </c>
      <c r="AS98" s="65" t="str">
        <f>IF(AM98=1,J98,"")</f>
        <v/>
      </c>
      <c r="AT98" s="65" t="str">
        <f>IF(AND(AM98=1,ISNUMBER(R98)),R98,"")</f>
        <v/>
      </c>
      <c r="AU98" s="2" t="s">
        <v>8013</v>
      </c>
      <c r="AV98" s="5">
        <v>10</v>
      </c>
      <c r="AW98" s="5">
        <v>18</v>
      </c>
      <c r="AX98" s="5">
        <v>30</v>
      </c>
      <c r="AY98" s="2" t="s">
        <v>8832</v>
      </c>
      <c r="AZ98" s="2" t="s">
        <v>8017</v>
      </c>
      <c r="BA98" s="2" t="s">
        <v>8016</v>
      </c>
      <c r="BB98" s="2" t="s">
        <v>8833</v>
      </c>
    </row>
    <row r="99" spans="1:54" ht="75.95" hidden="1" customHeight="1">
      <c r="A99" s="2" t="s">
        <v>159</v>
      </c>
      <c r="B99" s="2" t="s">
        <v>449</v>
      </c>
      <c r="C99" s="2" t="s">
        <v>702</v>
      </c>
      <c r="D99" s="2" t="s">
        <v>716</v>
      </c>
      <c r="E99" s="2" t="s">
        <v>9176</v>
      </c>
      <c r="F99" s="2" t="s">
        <v>9177</v>
      </c>
      <c r="G99" s="2" t="s">
        <v>8656</v>
      </c>
      <c r="H99" s="2" t="s">
        <v>1094</v>
      </c>
      <c r="I99" s="2" t="s">
        <v>1096</v>
      </c>
      <c r="J99" s="65">
        <v>14</v>
      </c>
      <c r="K99" s="94" t="s">
        <v>537</v>
      </c>
      <c r="L99" s="2" t="s">
        <v>451</v>
      </c>
      <c r="M99" s="2"/>
      <c r="N99" s="2" t="s">
        <v>1515</v>
      </c>
      <c r="O99" s="2" t="s">
        <v>1165</v>
      </c>
      <c r="P99" s="2" t="s">
        <v>455</v>
      </c>
      <c r="Q99" s="2" t="s">
        <v>9178</v>
      </c>
      <c r="R99" s="65">
        <v>3.2</v>
      </c>
      <c r="S99" s="2" t="s">
        <v>9163</v>
      </c>
      <c r="T99" s="2" t="s">
        <v>2891</v>
      </c>
      <c r="U99" s="2" t="s">
        <v>8661</v>
      </c>
      <c r="V99" s="2" t="s">
        <v>1513</v>
      </c>
      <c r="W99" s="2" t="s">
        <v>9165</v>
      </c>
      <c r="X99" s="2" t="s">
        <v>706</v>
      </c>
      <c r="Y99" s="33"/>
      <c r="Z99" s="9"/>
      <c r="AA99" s="2" t="s">
        <v>949</v>
      </c>
      <c r="AB99" s="2" t="s">
        <v>951</v>
      </c>
      <c r="AC99" s="2" t="s">
        <v>954</v>
      </c>
      <c r="AD99" s="2" t="s">
        <v>8675</v>
      </c>
      <c r="AE99" s="2" t="s">
        <v>8676</v>
      </c>
      <c r="AF99" s="2" t="s">
        <v>830</v>
      </c>
      <c r="AG99" s="2" t="s">
        <v>1061</v>
      </c>
      <c r="AH99" s="2" t="s">
        <v>8665</v>
      </c>
      <c r="AI99" s="2" t="str">
        <f>IF(Y99="","",Y99)</f>
        <v/>
      </c>
      <c r="AJ99" s="2" t="s">
        <v>2348</v>
      </c>
      <c r="AK99" s="2" t="s">
        <v>8594</v>
      </c>
      <c r="AL99" s="2" t="s">
        <v>8666</v>
      </c>
      <c r="AM99" s="2">
        <f>IF(AND(ISNUMBER(J99),OR(AR99="INHERITED ESTIMATE",AR99="CONFIRMED ESTIMATE")),1,0)</f>
        <v>0</v>
      </c>
      <c r="AN99" s="2"/>
      <c r="AO99" s="32" t="s">
        <v>1429</v>
      </c>
      <c r="AP99" s="32" t="s">
        <v>1418</v>
      </c>
      <c r="AQ99" s="32"/>
      <c r="AR99" s="32" t="s">
        <v>1472</v>
      </c>
      <c r="AS99" s="65" t="str">
        <f>IF(AM99=1,J99,"")</f>
        <v/>
      </c>
      <c r="AT99" s="65" t="str">
        <f>IF(AND(AM99=1,ISNUMBER(R99)),R99,"")</f>
        <v/>
      </c>
      <c r="AU99" s="2" t="s">
        <v>8020</v>
      </c>
      <c r="AV99" s="5">
        <v>12</v>
      </c>
      <c r="AW99" s="5">
        <v>20</v>
      </c>
      <c r="AX99" s="5">
        <v>36</v>
      </c>
      <c r="AY99" s="2" t="s">
        <v>8832</v>
      </c>
      <c r="AZ99" s="2" t="s">
        <v>8024</v>
      </c>
      <c r="BA99" s="2" t="s">
        <v>8023</v>
      </c>
      <c r="BB99" s="2" t="s">
        <v>8833</v>
      </c>
    </row>
    <row r="100" spans="1:54" ht="75.95" hidden="1" customHeight="1">
      <c r="A100" s="2" t="s">
        <v>160</v>
      </c>
      <c r="B100" s="2" t="s">
        <v>449</v>
      </c>
      <c r="C100" s="2" t="s">
        <v>702</v>
      </c>
      <c r="D100" s="2" t="s">
        <v>717</v>
      </c>
      <c r="E100" s="2" t="s">
        <v>9176</v>
      </c>
      <c r="F100" s="2" t="s">
        <v>9179</v>
      </c>
      <c r="G100" s="2" t="s">
        <v>8656</v>
      </c>
      <c r="H100" s="2" t="s">
        <v>9180</v>
      </c>
      <c r="I100" s="2" t="s">
        <v>9181</v>
      </c>
      <c r="J100" s="65">
        <v>12</v>
      </c>
      <c r="K100" s="94" t="s">
        <v>537</v>
      </c>
      <c r="L100" s="2" t="s">
        <v>451</v>
      </c>
      <c r="M100" s="2"/>
      <c r="N100" s="2" t="s">
        <v>1252</v>
      </c>
      <c r="O100" s="2" t="s">
        <v>1165</v>
      </c>
      <c r="P100" s="2" t="s">
        <v>455</v>
      </c>
      <c r="Q100" s="2" t="s">
        <v>9178</v>
      </c>
      <c r="R100" s="65">
        <v>3.2</v>
      </c>
      <c r="S100" s="2" t="s">
        <v>9163</v>
      </c>
      <c r="T100" s="2" t="s">
        <v>2891</v>
      </c>
      <c r="U100" s="2" t="s">
        <v>8661</v>
      </c>
      <c r="V100" s="2" t="s">
        <v>1513</v>
      </c>
      <c r="W100" s="2" t="s">
        <v>9165</v>
      </c>
      <c r="X100" s="2" t="s">
        <v>706</v>
      </c>
      <c r="Y100" s="33"/>
      <c r="Z100" s="9"/>
      <c r="AA100" s="2" t="s">
        <v>962</v>
      </c>
      <c r="AB100" s="2" t="s">
        <v>963</v>
      </c>
      <c r="AC100" s="2"/>
      <c r="AD100" s="2" t="s">
        <v>8686</v>
      </c>
      <c r="AE100" s="2" t="s">
        <v>8676</v>
      </c>
      <c r="AF100" s="2" t="s">
        <v>830</v>
      </c>
      <c r="AG100" s="2" t="s">
        <v>1061</v>
      </c>
      <c r="AH100" s="2" t="s">
        <v>8665</v>
      </c>
      <c r="AI100" s="2" t="str">
        <f>IF(Y100="","",Y100)</f>
        <v/>
      </c>
      <c r="AJ100" s="2" t="s">
        <v>1522</v>
      </c>
      <c r="AK100" s="2" t="s">
        <v>8594</v>
      </c>
      <c r="AL100" s="2" t="s">
        <v>8666</v>
      </c>
      <c r="AM100" s="2">
        <f>IF(AND(ISNUMBER(J100),OR(AR100="INHERITED ESTIMATE",AR100="CONFIRMED ESTIMATE")),1,0)</f>
        <v>1</v>
      </c>
      <c r="AN100" s="2"/>
      <c r="AO100" s="32" t="s">
        <v>1429</v>
      </c>
      <c r="AP100" s="32" t="s">
        <v>1418</v>
      </c>
      <c r="AQ100" s="32"/>
      <c r="AR100" s="32" t="s">
        <v>1420</v>
      </c>
      <c r="AS100" s="65">
        <f>IF(AM100=1,J100,"")</f>
        <v>12</v>
      </c>
      <c r="AT100" s="65">
        <f>IF(AND(AM100=1,ISNUMBER(R100)),R100,"")</f>
        <v>3.2</v>
      </c>
      <c r="AU100" s="2" t="s">
        <v>8667</v>
      </c>
      <c r="AV100" s="5"/>
      <c r="AW100" s="5"/>
      <c r="AX100" s="5"/>
      <c r="AY100" s="2" t="s">
        <v>8668</v>
      </c>
      <c r="AZ100" s="2"/>
      <c r="BA100" s="2"/>
      <c r="BB100" s="2"/>
    </row>
    <row r="101" spans="1:54" ht="75.95" hidden="1" customHeight="1">
      <c r="A101" s="2" t="s">
        <v>161</v>
      </c>
      <c r="B101" s="2" t="s">
        <v>449</v>
      </c>
      <c r="C101" s="2" t="s">
        <v>702</v>
      </c>
      <c r="D101" s="2" t="s">
        <v>718</v>
      </c>
      <c r="E101" s="2" t="s">
        <v>9176</v>
      </c>
      <c r="F101" s="2" t="s">
        <v>9182</v>
      </c>
      <c r="G101" s="2" t="s">
        <v>8677</v>
      </c>
      <c r="H101" s="2" t="s">
        <v>9183</v>
      </c>
      <c r="I101" s="2" t="s">
        <v>1527</v>
      </c>
      <c r="J101" s="65">
        <v>14</v>
      </c>
      <c r="K101" s="94" t="s">
        <v>537</v>
      </c>
      <c r="L101" s="2" t="s">
        <v>451</v>
      </c>
      <c r="M101" s="2" t="s">
        <v>719</v>
      </c>
      <c r="N101" s="2" t="s">
        <v>1464</v>
      </c>
      <c r="O101" s="2" t="s">
        <v>1165</v>
      </c>
      <c r="P101" s="2" t="s">
        <v>455</v>
      </c>
      <c r="Q101" s="2" t="s">
        <v>9178</v>
      </c>
      <c r="R101" s="65">
        <v>3.2</v>
      </c>
      <c r="S101" s="2" t="s">
        <v>9163</v>
      </c>
      <c r="T101" s="2" t="s">
        <v>2891</v>
      </c>
      <c r="U101" s="2" t="s">
        <v>8661</v>
      </c>
      <c r="V101" s="2" t="s">
        <v>1513</v>
      </c>
      <c r="W101" s="2" t="s">
        <v>9165</v>
      </c>
      <c r="X101" s="2" t="s">
        <v>706</v>
      </c>
      <c r="Y101" s="33"/>
      <c r="Z101" s="9"/>
      <c r="AA101" s="2" t="s">
        <v>960</v>
      </c>
      <c r="AB101" s="2" t="s">
        <v>961</v>
      </c>
      <c r="AC101" s="2" t="s">
        <v>842</v>
      </c>
      <c r="AD101" s="2" t="s">
        <v>8686</v>
      </c>
      <c r="AE101" s="2" t="s">
        <v>6137</v>
      </c>
      <c r="AF101" s="2" t="s">
        <v>830</v>
      </c>
      <c r="AG101" s="2" t="s">
        <v>1061</v>
      </c>
      <c r="AH101" s="2" t="s">
        <v>8665</v>
      </c>
      <c r="AI101" s="2" t="str">
        <f>IF(Y101="","",Y101)</f>
        <v/>
      </c>
      <c r="AJ101" s="2" t="s">
        <v>1523</v>
      </c>
      <c r="AK101" s="2" t="s">
        <v>8594</v>
      </c>
      <c r="AL101" s="2" t="s">
        <v>9184</v>
      </c>
      <c r="AM101" s="2">
        <f>IF(AND(ISNUMBER(J101),OR(AR101="INHERITED ESTIMATE",AR101="CONFIRMED ESTIMATE")),1,0)</f>
        <v>1</v>
      </c>
      <c r="AN101" s="2"/>
      <c r="AO101" s="32" t="s">
        <v>1429</v>
      </c>
      <c r="AP101" s="32" t="s">
        <v>1418</v>
      </c>
      <c r="AQ101" s="32"/>
      <c r="AR101" s="32" t="s">
        <v>1420</v>
      </c>
      <c r="AS101" s="65">
        <f>IF(AM101=1,J101,"")</f>
        <v>14</v>
      </c>
      <c r="AT101" s="65">
        <f>IF(AND(AM101=1,ISNUMBER(R101)),R101,"")</f>
        <v>3.2</v>
      </c>
      <c r="AU101" s="2" t="s">
        <v>8667</v>
      </c>
      <c r="AV101" s="5"/>
      <c r="AW101" s="5"/>
      <c r="AX101" s="5"/>
      <c r="AY101" s="2" t="s">
        <v>8668</v>
      </c>
      <c r="AZ101" s="2"/>
      <c r="BA101" s="2"/>
      <c r="BB101" s="2"/>
    </row>
    <row r="102" spans="1:54" ht="75.95" hidden="1" customHeight="1">
      <c r="A102" s="2" t="s">
        <v>162</v>
      </c>
      <c r="B102" s="2" t="s">
        <v>449</v>
      </c>
      <c r="C102" s="2" t="s">
        <v>702</v>
      </c>
      <c r="D102" s="2" t="s">
        <v>720</v>
      </c>
      <c r="E102" s="2" t="s">
        <v>9185</v>
      </c>
      <c r="F102" s="2" t="s">
        <v>9186</v>
      </c>
      <c r="G102" s="2" t="s">
        <v>8677</v>
      </c>
      <c r="H102" s="2" t="s">
        <v>9187</v>
      </c>
      <c r="I102" s="2" t="s">
        <v>9188</v>
      </c>
      <c r="J102" s="65">
        <v>12</v>
      </c>
      <c r="K102" s="94" t="s">
        <v>537</v>
      </c>
      <c r="L102" s="2" t="s">
        <v>451</v>
      </c>
      <c r="M102" s="2"/>
      <c r="N102" s="2" t="s">
        <v>163</v>
      </c>
      <c r="O102" s="2" t="s">
        <v>1165</v>
      </c>
      <c r="P102" s="2" t="s">
        <v>455</v>
      </c>
      <c r="Q102" s="2" t="s">
        <v>9189</v>
      </c>
      <c r="R102" s="65">
        <v>0.9</v>
      </c>
      <c r="S102" s="2" t="s">
        <v>9163</v>
      </c>
      <c r="T102" s="2" t="s">
        <v>2891</v>
      </c>
      <c r="U102" s="2" t="s">
        <v>8661</v>
      </c>
      <c r="V102" s="2" t="s">
        <v>1513</v>
      </c>
      <c r="W102" s="2" t="s">
        <v>9165</v>
      </c>
      <c r="X102" s="2" t="s">
        <v>706</v>
      </c>
      <c r="Y102" s="33"/>
      <c r="Z102" s="9"/>
      <c r="AA102" s="2" t="s">
        <v>947</v>
      </c>
      <c r="AB102" s="2" t="s">
        <v>948</v>
      </c>
      <c r="AC102" s="2" t="s">
        <v>964</v>
      </c>
      <c r="AD102" s="2" t="s">
        <v>8686</v>
      </c>
      <c r="AE102" s="2" t="s">
        <v>6137</v>
      </c>
      <c r="AF102" s="2" t="s">
        <v>830</v>
      </c>
      <c r="AG102" s="2" t="s">
        <v>1061</v>
      </c>
      <c r="AH102" s="2" t="s">
        <v>8665</v>
      </c>
      <c r="AI102" s="2" t="str">
        <f>IF(Y102="","",Y102)</f>
        <v/>
      </c>
      <c r="AJ102" s="2" t="s">
        <v>1522</v>
      </c>
      <c r="AK102" s="2" t="s">
        <v>8594</v>
      </c>
      <c r="AL102" s="2" t="s">
        <v>8666</v>
      </c>
      <c r="AM102" s="2">
        <f>IF(AND(ISNUMBER(J102),OR(AR102="INHERITED ESTIMATE",AR102="CONFIRMED ESTIMATE")),1,0)</f>
        <v>1</v>
      </c>
      <c r="AN102" s="2"/>
      <c r="AO102" s="32" t="s">
        <v>1429</v>
      </c>
      <c r="AP102" s="32" t="s">
        <v>1418</v>
      </c>
      <c r="AQ102" s="32"/>
      <c r="AR102" s="32" t="s">
        <v>1420</v>
      </c>
      <c r="AS102" s="65">
        <f>IF(AM102=1,J102,"")</f>
        <v>12</v>
      </c>
      <c r="AT102" s="65">
        <f>IF(AND(AM102=1,ISNUMBER(R102)),R102,"")</f>
        <v>0.9</v>
      </c>
      <c r="AU102" s="2" t="s">
        <v>8667</v>
      </c>
      <c r="AV102" s="5"/>
      <c r="AW102" s="5"/>
      <c r="AX102" s="5"/>
      <c r="AY102" s="2" t="s">
        <v>8668</v>
      </c>
      <c r="AZ102" s="2"/>
      <c r="BA102" s="2"/>
      <c r="BB102" s="2"/>
    </row>
    <row r="103" spans="1:54" ht="75.95" hidden="1" customHeight="1">
      <c r="A103" s="2" t="s">
        <v>163</v>
      </c>
      <c r="B103" s="2" t="s">
        <v>449</v>
      </c>
      <c r="C103" s="2" t="s">
        <v>702</v>
      </c>
      <c r="D103" s="2" t="s">
        <v>721</v>
      </c>
      <c r="E103" s="2" t="s">
        <v>8654</v>
      </c>
      <c r="F103" s="2" t="s">
        <v>9190</v>
      </c>
      <c r="G103" s="2" t="s">
        <v>8656</v>
      </c>
      <c r="H103" s="2" t="s">
        <v>9191</v>
      </c>
      <c r="I103" s="2" t="s">
        <v>9192</v>
      </c>
      <c r="J103" s="65">
        <v>12</v>
      </c>
      <c r="K103" s="94" t="s">
        <v>537</v>
      </c>
      <c r="L103" s="2" t="s">
        <v>451</v>
      </c>
      <c r="M103" s="2" t="s">
        <v>9193</v>
      </c>
      <c r="N103" s="2"/>
      <c r="O103" s="2" t="s">
        <v>1165</v>
      </c>
      <c r="P103" s="2" t="s">
        <v>455</v>
      </c>
      <c r="Q103" s="2" t="s">
        <v>8659</v>
      </c>
      <c r="R103" s="65">
        <v>4.08</v>
      </c>
      <c r="S103" s="2" t="s">
        <v>9163</v>
      </c>
      <c r="T103" s="2" t="s">
        <v>2986</v>
      </c>
      <c r="U103" s="2" t="s">
        <v>9194</v>
      </c>
      <c r="V103" s="2" t="s">
        <v>9195</v>
      </c>
      <c r="W103" s="2" t="s">
        <v>9165</v>
      </c>
      <c r="X103" s="2" t="s">
        <v>723</v>
      </c>
      <c r="Y103" s="33"/>
      <c r="Z103" s="9"/>
      <c r="AA103" s="2" t="s">
        <v>964</v>
      </c>
      <c r="AB103" s="2" t="s">
        <v>8663</v>
      </c>
      <c r="AC103" s="2"/>
      <c r="AD103" s="2" t="s">
        <v>9196</v>
      </c>
      <c r="AE103" s="2" t="s">
        <v>6137</v>
      </c>
      <c r="AF103" s="2" t="s">
        <v>830</v>
      </c>
      <c r="AG103" s="2" t="s">
        <v>1061</v>
      </c>
      <c r="AH103" s="2" t="s">
        <v>8665</v>
      </c>
      <c r="AI103" s="2" t="str">
        <f>IF(Y103="","",Y103)</f>
        <v/>
      </c>
      <c r="AJ103" s="2" t="s">
        <v>1522</v>
      </c>
      <c r="AK103" s="2" t="s">
        <v>8594</v>
      </c>
      <c r="AL103" s="2" t="s">
        <v>8666</v>
      </c>
      <c r="AM103" s="2">
        <f>IF(AND(ISNUMBER(J103),OR(AR103="INHERITED ESTIMATE",AR103="CONFIRMED ESTIMATE")),1,0)</f>
        <v>1</v>
      </c>
      <c r="AN103" s="2"/>
      <c r="AO103" s="32" t="s">
        <v>1429</v>
      </c>
      <c r="AP103" s="32" t="s">
        <v>1418</v>
      </c>
      <c r="AQ103" s="32"/>
      <c r="AR103" s="32" t="s">
        <v>1420</v>
      </c>
      <c r="AS103" s="65">
        <f>IF(AM103=1,J103,"")</f>
        <v>12</v>
      </c>
      <c r="AT103" s="65">
        <f>IF(AND(AM103=1,ISNUMBER(R103)),R103,"")</f>
        <v>4.08</v>
      </c>
      <c r="AU103" s="2" t="s">
        <v>8667</v>
      </c>
      <c r="AV103" s="5"/>
      <c r="AW103" s="5"/>
      <c r="AX103" s="5"/>
      <c r="AY103" s="2" t="s">
        <v>8668</v>
      </c>
      <c r="AZ103" s="2"/>
      <c r="BA103" s="2"/>
      <c r="BB103" s="2"/>
    </row>
    <row r="104" spans="1:54" ht="75.95" hidden="1" customHeight="1">
      <c r="A104" s="2" t="s">
        <v>164</v>
      </c>
      <c r="B104" s="2" t="s">
        <v>449</v>
      </c>
      <c r="C104" s="2" t="s">
        <v>702</v>
      </c>
      <c r="D104" s="2" t="s">
        <v>724</v>
      </c>
      <c r="E104" s="2" t="s">
        <v>9185</v>
      </c>
      <c r="F104" s="2" t="s">
        <v>9197</v>
      </c>
      <c r="G104" s="2" t="s">
        <v>8677</v>
      </c>
      <c r="H104" s="2" t="s">
        <v>9198</v>
      </c>
      <c r="I104" s="2" t="s">
        <v>9199</v>
      </c>
      <c r="J104" s="65">
        <v>6</v>
      </c>
      <c r="K104" s="94" t="s">
        <v>537</v>
      </c>
      <c r="L104" s="2" t="s">
        <v>451</v>
      </c>
      <c r="M104" s="2" t="s">
        <v>725</v>
      </c>
      <c r="N104" s="2" t="s">
        <v>163</v>
      </c>
      <c r="O104" s="2" t="s">
        <v>1165</v>
      </c>
      <c r="P104" s="2" t="s">
        <v>455</v>
      </c>
      <c r="Q104" s="2" t="s">
        <v>9200</v>
      </c>
      <c r="R104" s="65">
        <v>2.25</v>
      </c>
      <c r="S104" s="2" t="s">
        <v>9163</v>
      </c>
      <c r="T104" s="2" t="s">
        <v>9201</v>
      </c>
      <c r="U104" s="2" t="s">
        <v>9202</v>
      </c>
      <c r="V104" s="2" t="s">
        <v>9203</v>
      </c>
      <c r="W104" s="2" t="s">
        <v>9165</v>
      </c>
      <c r="X104" s="2" t="s">
        <v>706</v>
      </c>
      <c r="Y104" s="33"/>
      <c r="Z104" s="9"/>
      <c r="AA104" s="2" t="s">
        <v>964</v>
      </c>
      <c r="AB104" s="2" t="s">
        <v>8663</v>
      </c>
      <c r="AC104" s="2"/>
      <c r="AD104" s="2" t="s">
        <v>8664</v>
      </c>
      <c r="AE104" s="2" t="s">
        <v>6137</v>
      </c>
      <c r="AF104" s="2" t="s">
        <v>830</v>
      </c>
      <c r="AG104" s="2" t="s">
        <v>1061</v>
      </c>
      <c r="AH104" s="2" t="s">
        <v>8665</v>
      </c>
      <c r="AI104" s="2" t="str">
        <f>IF(Y104="","",Y104)</f>
        <v/>
      </c>
      <c r="AJ104" s="2" t="s">
        <v>1522</v>
      </c>
      <c r="AK104" s="2" t="s">
        <v>8594</v>
      </c>
      <c r="AL104" s="2" t="s">
        <v>8666</v>
      </c>
      <c r="AM104" s="2">
        <f>IF(AND(ISNUMBER(J104),OR(AR104="INHERITED ESTIMATE",AR104="CONFIRMED ESTIMATE")),1,0)</f>
        <v>1</v>
      </c>
      <c r="AN104" s="2"/>
      <c r="AO104" s="32" t="s">
        <v>1429</v>
      </c>
      <c r="AP104" s="32" t="s">
        <v>1418</v>
      </c>
      <c r="AQ104" s="32"/>
      <c r="AR104" s="32" t="s">
        <v>1420</v>
      </c>
      <c r="AS104" s="65">
        <f>IF(AM104=1,J104,"")</f>
        <v>6</v>
      </c>
      <c r="AT104" s="65">
        <f>IF(AND(AM104=1,ISNUMBER(R104)),R104,"")</f>
        <v>2.25</v>
      </c>
      <c r="AU104" s="2" t="s">
        <v>8667</v>
      </c>
      <c r="AV104" s="5"/>
      <c r="AW104" s="5"/>
      <c r="AX104" s="5"/>
      <c r="AY104" s="2" t="s">
        <v>8668</v>
      </c>
      <c r="AZ104" s="2"/>
      <c r="BA104" s="2"/>
      <c r="BB104" s="2"/>
    </row>
    <row r="105" spans="1:54" ht="75.95" hidden="1" customHeight="1">
      <c r="A105" s="2" t="s">
        <v>165</v>
      </c>
      <c r="B105" s="2" t="s">
        <v>449</v>
      </c>
      <c r="C105" s="2" t="s">
        <v>702</v>
      </c>
      <c r="D105" s="2" t="s">
        <v>743</v>
      </c>
      <c r="E105" s="2" t="s">
        <v>9204</v>
      </c>
      <c r="F105" s="2" t="s">
        <v>9205</v>
      </c>
      <c r="G105" s="2" t="s">
        <v>8943</v>
      </c>
      <c r="H105" s="2" t="s">
        <v>9206</v>
      </c>
      <c r="I105" s="2" t="s">
        <v>9207</v>
      </c>
      <c r="J105" s="65">
        <v>8</v>
      </c>
      <c r="K105" s="94" t="s">
        <v>537</v>
      </c>
      <c r="L105" s="2" t="s">
        <v>504</v>
      </c>
      <c r="M105" s="2" t="s">
        <v>744</v>
      </c>
      <c r="N105" s="2" t="s">
        <v>163</v>
      </c>
      <c r="O105" s="2" t="s">
        <v>1165</v>
      </c>
      <c r="P105" s="2" t="s">
        <v>455</v>
      </c>
      <c r="Q105" s="2" t="s">
        <v>8745</v>
      </c>
      <c r="R105" s="65">
        <v>1.2</v>
      </c>
      <c r="S105" s="2" t="s">
        <v>9163</v>
      </c>
      <c r="T105" s="2" t="s">
        <v>9208</v>
      </c>
      <c r="U105" s="2" t="s">
        <v>9209</v>
      </c>
      <c r="V105" s="2" t="s">
        <v>9210</v>
      </c>
      <c r="W105" s="2" t="s">
        <v>9165</v>
      </c>
      <c r="X105" s="2" t="s">
        <v>746</v>
      </c>
      <c r="Y105" s="33"/>
      <c r="Z105" s="9"/>
      <c r="AA105" s="2" t="s">
        <v>9211</v>
      </c>
      <c r="AB105" s="2" t="s">
        <v>9212</v>
      </c>
      <c r="AC105" s="2"/>
      <c r="AD105" s="2" t="s">
        <v>8686</v>
      </c>
      <c r="AE105" s="2" t="s">
        <v>8713</v>
      </c>
      <c r="AF105" s="2" t="s">
        <v>9213</v>
      </c>
      <c r="AG105" s="2" t="s">
        <v>1061</v>
      </c>
      <c r="AH105" s="2" t="s">
        <v>9214</v>
      </c>
      <c r="AI105" s="2" t="str">
        <f>IF(Y105="","",Y105)</f>
        <v/>
      </c>
      <c r="AJ105" s="2" t="s">
        <v>1522</v>
      </c>
      <c r="AK105" s="2" t="s">
        <v>8594</v>
      </c>
      <c r="AL105" s="2" t="s">
        <v>8666</v>
      </c>
      <c r="AM105" s="2">
        <f>IF(AND(ISNUMBER(J105),OR(AR105="INHERITED ESTIMATE",AR105="CONFIRMED ESTIMATE")),1,0)</f>
        <v>1</v>
      </c>
      <c r="AN105" s="2"/>
      <c r="AO105" s="32" t="s">
        <v>1429</v>
      </c>
      <c r="AP105" s="32" t="s">
        <v>1418</v>
      </c>
      <c r="AQ105" s="32"/>
      <c r="AR105" s="32" t="s">
        <v>1420</v>
      </c>
      <c r="AS105" s="65">
        <f>IF(AM105=1,J105,"")</f>
        <v>8</v>
      </c>
      <c r="AT105" s="65">
        <f>IF(AND(AM105=1,ISNUMBER(R105)),R105,"")</f>
        <v>1.2</v>
      </c>
      <c r="AU105" s="2" t="s">
        <v>8667</v>
      </c>
      <c r="AV105" s="5"/>
      <c r="AW105" s="5"/>
      <c r="AX105" s="5"/>
      <c r="AY105" s="2" t="s">
        <v>8668</v>
      </c>
      <c r="AZ105" s="2"/>
      <c r="BA105" s="2"/>
      <c r="BB105" s="2"/>
    </row>
    <row r="106" spans="1:54" ht="75.95" hidden="1" customHeight="1">
      <c r="A106" s="2" t="s">
        <v>166</v>
      </c>
      <c r="B106" s="2" t="s">
        <v>449</v>
      </c>
      <c r="C106" s="2" t="s">
        <v>702</v>
      </c>
      <c r="D106" s="2" t="s">
        <v>747</v>
      </c>
      <c r="E106" s="2" t="s">
        <v>8728</v>
      </c>
      <c r="F106" s="2" t="s">
        <v>9215</v>
      </c>
      <c r="G106" s="2" t="s">
        <v>8656</v>
      </c>
      <c r="H106" s="2" t="s">
        <v>9216</v>
      </c>
      <c r="I106" s="2" t="s">
        <v>9217</v>
      </c>
      <c r="J106" s="65">
        <v>6</v>
      </c>
      <c r="K106" s="94" t="s">
        <v>537</v>
      </c>
      <c r="L106" s="2" t="s">
        <v>491</v>
      </c>
      <c r="M106" s="2" t="s">
        <v>748</v>
      </c>
      <c r="N106" s="2" t="s">
        <v>749</v>
      </c>
      <c r="O106" s="2" t="s">
        <v>1165</v>
      </c>
      <c r="P106" s="2" t="s">
        <v>455</v>
      </c>
      <c r="Q106" s="2" t="s">
        <v>8738</v>
      </c>
      <c r="R106" s="65">
        <v>2.5499999999999998</v>
      </c>
      <c r="S106" s="2" t="s">
        <v>9163</v>
      </c>
      <c r="T106" s="2" t="s">
        <v>9218</v>
      </c>
      <c r="U106" s="2" t="s">
        <v>9219</v>
      </c>
      <c r="V106" s="2" t="s">
        <v>9220</v>
      </c>
      <c r="W106" s="2" t="s">
        <v>9165</v>
      </c>
      <c r="X106" s="2" t="s">
        <v>750</v>
      </c>
      <c r="Y106" s="33"/>
      <c r="Z106" s="9"/>
      <c r="AA106" s="2" t="s">
        <v>964</v>
      </c>
      <c r="AB106" s="2" t="s">
        <v>8663</v>
      </c>
      <c r="AC106" s="2" t="s">
        <v>952</v>
      </c>
      <c r="AD106" s="2" t="s">
        <v>8664</v>
      </c>
      <c r="AE106" s="2" t="s">
        <v>8971</v>
      </c>
      <c r="AF106" s="2" t="s">
        <v>830</v>
      </c>
      <c r="AG106" s="2" t="s">
        <v>1061</v>
      </c>
      <c r="AH106" s="2" t="s">
        <v>8665</v>
      </c>
      <c r="AI106" s="2" t="str">
        <f>IF(Y106="","",Y106)</f>
        <v/>
      </c>
      <c r="AJ106" s="2" t="s">
        <v>1522</v>
      </c>
      <c r="AK106" s="2" t="s">
        <v>8594</v>
      </c>
      <c r="AL106" s="2" t="s">
        <v>8666</v>
      </c>
      <c r="AM106" s="2">
        <f>IF(AND(ISNUMBER(J106),OR(AR106="INHERITED ESTIMATE",AR106="CONFIRMED ESTIMATE")),1,0)</f>
        <v>1</v>
      </c>
      <c r="AN106" s="2"/>
      <c r="AO106" s="32" t="s">
        <v>1429</v>
      </c>
      <c r="AP106" s="32" t="s">
        <v>1418</v>
      </c>
      <c r="AQ106" s="32"/>
      <c r="AR106" s="32" t="s">
        <v>1420</v>
      </c>
      <c r="AS106" s="65">
        <f>IF(AM106=1,J106,"")</f>
        <v>6</v>
      </c>
      <c r="AT106" s="65">
        <f>IF(AND(AM106=1,ISNUMBER(R106)),R106,"")</f>
        <v>2.5499999999999998</v>
      </c>
      <c r="AU106" s="2" t="s">
        <v>8667</v>
      </c>
      <c r="AV106" s="5"/>
      <c r="AW106" s="5"/>
      <c r="AX106" s="5"/>
      <c r="AY106" s="2" t="s">
        <v>8668</v>
      </c>
      <c r="AZ106" s="2"/>
      <c r="BA106" s="2"/>
      <c r="BB106" s="2"/>
    </row>
    <row r="107" spans="1:54" ht="75.95" customHeight="1">
      <c r="A107" s="2" t="s">
        <v>105</v>
      </c>
      <c r="B107" s="2" t="s">
        <v>449</v>
      </c>
      <c r="C107" s="2" t="s">
        <v>524</v>
      </c>
      <c r="D107" s="2" t="s">
        <v>578</v>
      </c>
      <c r="E107" s="2" t="s">
        <v>8868</v>
      </c>
      <c r="F107" s="2" t="s">
        <v>8894</v>
      </c>
      <c r="G107" s="2" t="s">
        <v>8656</v>
      </c>
      <c r="H107" s="2" t="s">
        <v>8895</v>
      </c>
      <c r="I107" s="2" t="s">
        <v>8896</v>
      </c>
      <c r="J107" s="65">
        <v>12</v>
      </c>
      <c r="K107" s="94" t="s">
        <v>249</v>
      </c>
      <c r="L107" s="2" t="s">
        <v>504</v>
      </c>
      <c r="M107" s="2" t="s">
        <v>102</v>
      </c>
      <c r="N107" s="2" t="s">
        <v>579</v>
      </c>
      <c r="O107" s="2" t="s">
        <v>1165</v>
      </c>
      <c r="P107" s="2" t="s">
        <v>455</v>
      </c>
      <c r="Q107" s="2" t="s">
        <v>8897</v>
      </c>
      <c r="R107" s="65">
        <v>7.2</v>
      </c>
      <c r="S107" s="2" t="s">
        <v>1175</v>
      </c>
      <c r="T107" s="2" t="s">
        <v>8898</v>
      </c>
      <c r="U107" s="2" t="s">
        <v>8899</v>
      </c>
      <c r="V107" s="2" t="s">
        <v>8900</v>
      </c>
      <c r="W107" s="2" t="s">
        <v>1178</v>
      </c>
      <c r="X107" s="2" t="s">
        <v>580</v>
      </c>
      <c r="Y107" s="33"/>
      <c r="Z107" s="9"/>
      <c r="AA107" s="2" t="s">
        <v>844</v>
      </c>
      <c r="AB107" s="2" t="s">
        <v>8901</v>
      </c>
      <c r="AC107" s="2"/>
      <c r="AD107" s="2" t="s">
        <v>8802</v>
      </c>
      <c r="AE107" s="2" t="s">
        <v>8696</v>
      </c>
      <c r="AF107" s="2" t="s">
        <v>830</v>
      </c>
      <c r="AG107" s="2" t="s">
        <v>1061</v>
      </c>
      <c r="AH107" s="2" t="s">
        <v>8665</v>
      </c>
      <c r="AI107" s="2" t="str">
        <f>IF(Y107="","",Y107)</f>
        <v/>
      </c>
      <c r="AJ107" s="2" t="s">
        <v>1522</v>
      </c>
      <c r="AK107" s="2" t="s">
        <v>8594</v>
      </c>
      <c r="AL107" s="2" t="s">
        <v>8902</v>
      </c>
      <c r="AM107" s="2">
        <f>IF(AND(ISNUMBER(J107),OR(AR107="INHERITED ESTIMATE",AR107="CONFIRMED ESTIMATE")),1,0)</f>
        <v>0</v>
      </c>
      <c r="AN107" s="2"/>
      <c r="AO107" s="32" t="s">
        <v>1429</v>
      </c>
      <c r="AP107" s="32" t="s">
        <v>1418</v>
      </c>
      <c r="AQ107" s="32"/>
      <c r="AR107" s="32" t="s">
        <v>8903</v>
      </c>
      <c r="AS107" s="65" t="str">
        <f>IF(AM107=1,J107,"")</f>
        <v/>
      </c>
      <c r="AT107" s="65" t="str">
        <f>IF(AND(AM107=1,ISNUMBER(R107)),R107,"")</f>
        <v/>
      </c>
      <c r="AU107" s="2" t="s">
        <v>8904</v>
      </c>
      <c r="AV107" s="5"/>
      <c r="AW107" s="5"/>
      <c r="AX107" s="5"/>
      <c r="AY107" s="2" t="s">
        <v>8905</v>
      </c>
      <c r="AZ107" s="2" t="s">
        <v>8906</v>
      </c>
      <c r="BA107" s="2" t="s">
        <v>8907</v>
      </c>
      <c r="BB107" s="2" t="s">
        <v>8908</v>
      </c>
    </row>
    <row r="108" spans="1:54" ht="75.95" customHeight="1">
      <c r="A108" s="2" t="s">
        <v>106</v>
      </c>
      <c r="B108" s="2" t="s">
        <v>449</v>
      </c>
      <c r="C108" s="2" t="s">
        <v>524</v>
      </c>
      <c r="D108" s="2" t="s">
        <v>581</v>
      </c>
      <c r="E108" s="2" t="s">
        <v>8868</v>
      </c>
      <c r="F108" s="2" t="s">
        <v>8894</v>
      </c>
      <c r="G108" s="2" t="s">
        <v>8656</v>
      </c>
      <c r="H108" s="2" t="s">
        <v>8909</v>
      </c>
      <c r="I108" s="2" t="s">
        <v>8910</v>
      </c>
      <c r="J108" s="65">
        <v>12</v>
      </c>
      <c r="K108" s="94" t="s">
        <v>249</v>
      </c>
      <c r="L108" s="2" t="s">
        <v>504</v>
      </c>
      <c r="M108" s="2" t="s">
        <v>105</v>
      </c>
      <c r="N108" s="2" t="s">
        <v>8911</v>
      </c>
      <c r="O108" s="2" t="s">
        <v>1165</v>
      </c>
      <c r="P108" s="2" t="s">
        <v>455</v>
      </c>
      <c r="Q108" s="2" t="s">
        <v>8897</v>
      </c>
      <c r="R108" s="65">
        <v>7.2</v>
      </c>
      <c r="S108" s="2" t="s">
        <v>1175</v>
      </c>
      <c r="T108" s="2" t="s">
        <v>8912</v>
      </c>
      <c r="U108" s="2" t="s">
        <v>8913</v>
      </c>
      <c r="V108" s="2" t="s">
        <v>8914</v>
      </c>
      <c r="W108" s="2" t="s">
        <v>1178</v>
      </c>
      <c r="X108" s="2" t="s">
        <v>529</v>
      </c>
      <c r="Y108" s="33"/>
      <c r="Z108" s="9"/>
      <c r="AA108" s="2" t="s">
        <v>844</v>
      </c>
      <c r="AB108" s="2" t="s">
        <v>8901</v>
      </c>
      <c r="AC108" s="2"/>
      <c r="AD108" s="2" t="s">
        <v>8686</v>
      </c>
      <c r="AE108" s="2" t="s">
        <v>8696</v>
      </c>
      <c r="AF108" s="2" t="s">
        <v>830</v>
      </c>
      <c r="AG108" s="2" t="s">
        <v>1061</v>
      </c>
      <c r="AH108" s="2" t="s">
        <v>8665</v>
      </c>
      <c r="AI108" s="2" t="str">
        <f>IF(Y108="","",Y108)</f>
        <v/>
      </c>
      <c r="AJ108" s="2" t="s">
        <v>1522</v>
      </c>
      <c r="AK108" s="2" t="s">
        <v>8594</v>
      </c>
      <c r="AL108" s="2" t="s">
        <v>8915</v>
      </c>
      <c r="AM108" s="2">
        <f>IF(AND(ISNUMBER(J108),OR(AR108="INHERITED ESTIMATE",AR108="CONFIRMED ESTIMATE")),1,0)</f>
        <v>0</v>
      </c>
      <c r="AN108" s="2"/>
      <c r="AO108" s="32" t="s">
        <v>1429</v>
      </c>
      <c r="AP108" s="32" t="s">
        <v>1418</v>
      </c>
      <c r="AQ108" s="32"/>
      <c r="AR108" s="32" t="s">
        <v>8903</v>
      </c>
      <c r="AS108" s="65" t="str">
        <f>IF(AM108=1,J108,"")</f>
        <v/>
      </c>
      <c r="AT108" s="65" t="str">
        <f>IF(AND(AM108=1,ISNUMBER(R108)),R108,"")</f>
        <v/>
      </c>
      <c r="AU108" s="2" t="s">
        <v>8904</v>
      </c>
      <c r="AV108" s="5"/>
      <c r="AW108" s="5"/>
      <c r="AX108" s="5"/>
      <c r="AY108" s="2" t="s">
        <v>8905</v>
      </c>
      <c r="AZ108" s="2" t="s">
        <v>8906</v>
      </c>
      <c r="BA108" s="2" t="s">
        <v>8907</v>
      </c>
      <c r="BB108" s="2" t="s">
        <v>8908</v>
      </c>
    </row>
    <row r="109" spans="1:54" ht="75.95" customHeight="1">
      <c r="A109" s="2" t="s">
        <v>107</v>
      </c>
      <c r="B109" s="2" t="s">
        <v>449</v>
      </c>
      <c r="C109" s="2" t="s">
        <v>524</v>
      </c>
      <c r="D109" s="2" t="s">
        <v>583</v>
      </c>
      <c r="E109" s="2" t="s">
        <v>8868</v>
      </c>
      <c r="F109" s="2" t="s">
        <v>8894</v>
      </c>
      <c r="G109" s="2" t="s">
        <v>8656</v>
      </c>
      <c r="H109" s="2" t="s">
        <v>8916</v>
      </c>
      <c r="I109" s="2" t="s">
        <v>8917</v>
      </c>
      <c r="J109" s="65">
        <v>12</v>
      </c>
      <c r="K109" s="94" t="s">
        <v>537</v>
      </c>
      <c r="L109" s="2" t="s">
        <v>504</v>
      </c>
      <c r="M109" s="2" t="s">
        <v>8918</v>
      </c>
      <c r="N109" s="2" t="s">
        <v>1230</v>
      </c>
      <c r="O109" s="2" t="s">
        <v>1165</v>
      </c>
      <c r="P109" s="2" t="s">
        <v>455</v>
      </c>
      <c r="Q109" s="2" t="s">
        <v>8897</v>
      </c>
      <c r="R109" s="65">
        <v>7.2</v>
      </c>
      <c r="S109" s="2" t="s">
        <v>1175</v>
      </c>
      <c r="T109" s="2" t="s">
        <v>8919</v>
      </c>
      <c r="U109" s="2" t="s">
        <v>8920</v>
      </c>
      <c r="V109" s="2" t="s">
        <v>8921</v>
      </c>
      <c r="W109" s="2" t="s">
        <v>1178</v>
      </c>
      <c r="X109" s="2" t="s">
        <v>529</v>
      </c>
      <c r="Y109" s="33"/>
      <c r="Z109" s="9"/>
      <c r="AA109" s="2" t="s">
        <v>844</v>
      </c>
      <c r="AB109" s="2" t="s">
        <v>8901</v>
      </c>
      <c r="AC109" s="2"/>
      <c r="AD109" s="2" t="s">
        <v>8686</v>
      </c>
      <c r="AE109" s="2" t="s">
        <v>8696</v>
      </c>
      <c r="AF109" s="2" t="s">
        <v>830</v>
      </c>
      <c r="AG109" s="2" t="s">
        <v>1061</v>
      </c>
      <c r="AH109" s="2" t="s">
        <v>8665</v>
      </c>
      <c r="AI109" s="2" t="str">
        <f>IF(Y109="","",Y109)</f>
        <v/>
      </c>
      <c r="AJ109" s="2" t="s">
        <v>1522</v>
      </c>
      <c r="AK109" s="2" t="s">
        <v>8594</v>
      </c>
      <c r="AL109" s="2" t="s">
        <v>8922</v>
      </c>
      <c r="AM109" s="2">
        <f>IF(AND(ISNUMBER(J109),OR(AR109="INHERITED ESTIMATE",AR109="CONFIRMED ESTIMATE")),1,0)</f>
        <v>0</v>
      </c>
      <c r="AN109" s="2"/>
      <c r="AO109" s="32" t="s">
        <v>1429</v>
      </c>
      <c r="AP109" s="32" t="s">
        <v>1418</v>
      </c>
      <c r="AQ109" s="32"/>
      <c r="AR109" s="32" t="s">
        <v>8903</v>
      </c>
      <c r="AS109" s="65" t="str">
        <f>IF(AM109=1,J109,"")</f>
        <v/>
      </c>
      <c r="AT109" s="65" t="str">
        <f>IF(AND(AM109=1,ISNUMBER(R109)),R109,"")</f>
        <v/>
      </c>
      <c r="AU109" s="2" t="s">
        <v>8904</v>
      </c>
      <c r="AV109" s="5"/>
      <c r="AW109" s="5"/>
      <c r="AX109" s="5"/>
      <c r="AY109" s="2" t="s">
        <v>8905</v>
      </c>
      <c r="AZ109" s="2" t="s">
        <v>8906</v>
      </c>
      <c r="BA109" s="2" t="s">
        <v>8907</v>
      </c>
      <c r="BB109" s="2" t="s">
        <v>8908</v>
      </c>
    </row>
    <row r="110" spans="1:54" ht="75.95" customHeight="1">
      <c r="A110" s="2" t="s">
        <v>191</v>
      </c>
      <c r="B110" s="2" t="s">
        <v>1058</v>
      </c>
      <c r="C110" s="2" t="s">
        <v>622</v>
      </c>
      <c r="D110" s="2" t="s">
        <v>9319</v>
      </c>
      <c r="E110" s="2" t="s">
        <v>9131</v>
      </c>
      <c r="F110" s="2" t="s">
        <v>9320</v>
      </c>
      <c r="G110" s="2" t="s">
        <v>8677</v>
      </c>
      <c r="H110" s="2" t="s">
        <v>9321</v>
      </c>
      <c r="I110" s="2" t="s">
        <v>9322</v>
      </c>
      <c r="J110" s="65">
        <v>10</v>
      </c>
      <c r="K110" s="94" t="s">
        <v>537</v>
      </c>
      <c r="L110" s="2" t="s">
        <v>504</v>
      </c>
      <c r="M110" s="2" t="s">
        <v>1539</v>
      </c>
      <c r="N110" s="2" t="s">
        <v>1257</v>
      </c>
      <c r="O110" s="2" t="s">
        <v>1174</v>
      </c>
      <c r="P110" s="2" t="s">
        <v>1060</v>
      </c>
      <c r="Q110" s="2" t="s">
        <v>8760</v>
      </c>
      <c r="R110" s="65">
        <v>3.2</v>
      </c>
      <c r="S110" s="2" t="s">
        <v>9308</v>
      </c>
      <c r="T110" s="2" t="s">
        <v>9323</v>
      </c>
      <c r="U110" s="2" t="s">
        <v>9324</v>
      </c>
      <c r="V110" s="2" t="s">
        <v>9325</v>
      </c>
      <c r="W110" s="2" t="s">
        <v>1197</v>
      </c>
      <c r="X110" s="2" t="s">
        <v>9310</v>
      </c>
      <c r="Y110" s="33"/>
      <c r="Z110" s="9"/>
      <c r="AA110" s="2" t="s">
        <v>993</v>
      </c>
      <c r="AB110" s="2" t="s">
        <v>994</v>
      </c>
      <c r="AC110" s="2"/>
      <c r="AD110" s="2" t="s">
        <v>8686</v>
      </c>
      <c r="AE110" s="2" t="s">
        <v>8713</v>
      </c>
      <c r="AF110" s="2" t="s">
        <v>990</v>
      </c>
      <c r="AG110" s="2" t="s">
        <v>1062</v>
      </c>
      <c r="AH110" s="2" t="s">
        <v>8665</v>
      </c>
      <c r="AI110" s="2" t="str">
        <f>IF(Y110="","",Y110)</f>
        <v/>
      </c>
      <c r="AJ110" s="2" t="s">
        <v>1522</v>
      </c>
      <c r="AK110" s="2" t="s">
        <v>8594</v>
      </c>
      <c r="AL110" s="2" t="s">
        <v>8666</v>
      </c>
      <c r="AM110" s="2">
        <f>IF(AND(ISNUMBER(J110),OR(AR110="INHERITED ESTIMATE",AR110="CONFIRMED ESTIMATE")),1,0)</f>
        <v>1</v>
      </c>
      <c r="AN110" s="2"/>
      <c r="AO110" s="32" t="s">
        <v>1429</v>
      </c>
      <c r="AP110" s="32" t="s">
        <v>1418</v>
      </c>
      <c r="AQ110" s="32"/>
      <c r="AR110" s="32" t="s">
        <v>1420</v>
      </c>
      <c r="AS110" s="65">
        <f>IF(AM110=1,J110,"")</f>
        <v>10</v>
      </c>
      <c r="AT110" s="65">
        <f>IF(AND(AM110=1,ISNUMBER(R110)),R110,"")</f>
        <v>3.2</v>
      </c>
      <c r="AU110" s="2" t="s">
        <v>8667</v>
      </c>
      <c r="AV110" s="5"/>
      <c r="AW110" s="5"/>
      <c r="AX110" s="5"/>
      <c r="AY110" s="2" t="s">
        <v>8668</v>
      </c>
      <c r="AZ110" s="2"/>
      <c r="BA110" s="2"/>
      <c r="BB110" s="2"/>
    </row>
    <row r="111" spans="1:54" ht="75.95" customHeight="1">
      <c r="A111" s="2" t="s">
        <v>192</v>
      </c>
      <c r="B111" s="2" t="s">
        <v>1058</v>
      </c>
      <c r="C111" s="2" t="s">
        <v>622</v>
      </c>
      <c r="D111" s="2" t="s">
        <v>9326</v>
      </c>
      <c r="E111" s="2" t="s">
        <v>9327</v>
      </c>
      <c r="F111" s="2" t="s">
        <v>9320</v>
      </c>
      <c r="G111" s="2" t="s">
        <v>8677</v>
      </c>
      <c r="H111" s="2" t="s">
        <v>9328</v>
      </c>
      <c r="I111" s="2" t="s">
        <v>9329</v>
      </c>
      <c r="J111" s="65">
        <v>12</v>
      </c>
      <c r="K111" s="94" t="s">
        <v>537</v>
      </c>
      <c r="L111" s="2" t="s">
        <v>504</v>
      </c>
      <c r="M111" s="2" t="s">
        <v>1540</v>
      </c>
      <c r="N111" s="2" t="s">
        <v>193</v>
      </c>
      <c r="O111" s="2" t="s">
        <v>1174</v>
      </c>
      <c r="P111" s="2" t="s">
        <v>1060</v>
      </c>
      <c r="Q111" s="2" t="s">
        <v>8880</v>
      </c>
      <c r="R111" s="65">
        <v>6.1714285714285708</v>
      </c>
      <c r="S111" s="2" t="s">
        <v>9308</v>
      </c>
      <c r="T111" s="2" t="s">
        <v>9330</v>
      </c>
      <c r="U111" s="2" t="s">
        <v>9331</v>
      </c>
      <c r="V111" s="2" t="s">
        <v>9332</v>
      </c>
      <c r="W111" s="2" t="s">
        <v>1197</v>
      </c>
      <c r="X111" s="2" t="s">
        <v>9310</v>
      </c>
      <c r="Y111" s="33"/>
      <c r="Z111" s="9"/>
      <c r="AA111" s="2" t="s">
        <v>993</v>
      </c>
      <c r="AB111" s="2" t="s">
        <v>994</v>
      </c>
      <c r="AC111" s="2"/>
      <c r="AD111" s="2" t="s">
        <v>8686</v>
      </c>
      <c r="AE111" s="2" t="s">
        <v>8971</v>
      </c>
      <c r="AF111" s="2" t="s">
        <v>990</v>
      </c>
      <c r="AG111" s="2" t="s">
        <v>1062</v>
      </c>
      <c r="AH111" s="2" t="s">
        <v>8665</v>
      </c>
      <c r="AI111" s="2" t="str">
        <f>IF(Y111="","",Y111)</f>
        <v/>
      </c>
      <c r="AJ111" s="2" t="s">
        <v>1522</v>
      </c>
      <c r="AK111" s="2" t="s">
        <v>8594</v>
      </c>
      <c r="AL111" s="2" t="s">
        <v>8666</v>
      </c>
      <c r="AM111" s="2">
        <f>IF(AND(ISNUMBER(J111),OR(AR111="INHERITED ESTIMATE",AR111="CONFIRMED ESTIMATE")),1,0)</f>
        <v>1</v>
      </c>
      <c r="AN111" s="2"/>
      <c r="AO111" s="32" t="s">
        <v>1429</v>
      </c>
      <c r="AP111" s="32" t="s">
        <v>1418</v>
      </c>
      <c r="AQ111" s="32"/>
      <c r="AR111" s="32" t="s">
        <v>1420</v>
      </c>
      <c r="AS111" s="65">
        <f>IF(AM111=1,J111,"")</f>
        <v>12</v>
      </c>
      <c r="AT111" s="65">
        <f>IF(AND(AM111=1,ISNUMBER(R111)),R111,"")</f>
        <v>6.1714285714285708</v>
      </c>
      <c r="AU111" s="2" t="s">
        <v>8667</v>
      </c>
      <c r="AV111" s="5"/>
      <c r="AW111" s="5"/>
      <c r="AX111" s="5"/>
      <c r="AY111" s="2" t="s">
        <v>8668</v>
      </c>
      <c r="AZ111" s="2"/>
      <c r="BA111" s="2"/>
      <c r="BB111" s="2"/>
    </row>
    <row r="112" spans="1:54" ht="75.95" customHeight="1">
      <c r="A112" s="2" t="s">
        <v>193</v>
      </c>
      <c r="B112" s="2" t="s">
        <v>1058</v>
      </c>
      <c r="C112" s="2" t="s">
        <v>622</v>
      </c>
      <c r="D112" s="2" t="s">
        <v>9333</v>
      </c>
      <c r="E112" s="2" t="s">
        <v>9131</v>
      </c>
      <c r="F112" s="2" t="s">
        <v>9334</v>
      </c>
      <c r="G112" s="2" t="s">
        <v>8943</v>
      </c>
      <c r="H112" s="2" t="s">
        <v>9335</v>
      </c>
      <c r="I112" s="2" t="s">
        <v>9336</v>
      </c>
      <c r="J112" s="65">
        <v>12</v>
      </c>
      <c r="K112" s="94" t="s">
        <v>537</v>
      </c>
      <c r="L112" s="2" t="s">
        <v>504</v>
      </c>
      <c r="M112" s="2" t="s">
        <v>1541</v>
      </c>
      <c r="N112" s="2" t="s">
        <v>237</v>
      </c>
      <c r="O112" s="2" t="s">
        <v>1174</v>
      </c>
      <c r="P112" s="2" t="s">
        <v>1060</v>
      </c>
      <c r="Q112" s="2" t="s">
        <v>9337</v>
      </c>
      <c r="R112" s="65">
        <v>5.0999999999999996</v>
      </c>
      <c r="S112" s="2" t="s">
        <v>9308</v>
      </c>
      <c r="T112" s="2" t="s">
        <v>9338</v>
      </c>
      <c r="U112" s="2" t="s">
        <v>9339</v>
      </c>
      <c r="V112" s="2" t="s">
        <v>9340</v>
      </c>
      <c r="W112" s="2" t="s">
        <v>1197</v>
      </c>
      <c r="X112" s="2" t="s">
        <v>9310</v>
      </c>
      <c r="Y112" s="33"/>
      <c r="Z112" s="9"/>
      <c r="AA112" s="2" t="s">
        <v>993</v>
      </c>
      <c r="AB112" s="2" t="s">
        <v>994</v>
      </c>
      <c r="AC112" s="2"/>
      <c r="AD112" s="2" t="s">
        <v>8686</v>
      </c>
      <c r="AE112" s="2" t="s">
        <v>8722</v>
      </c>
      <c r="AF112" s="2" t="s">
        <v>990</v>
      </c>
      <c r="AG112" s="2" t="s">
        <v>1062</v>
      </c>
      <c r="AH112" s="2" t="s">
        <v>8665</v>
      </c>
      <c r="AI112" s="2" t="str">
        <f>IF(Y112="","",Y112)</f>
        <v/>
      </c>
      <c r="AJ112" s="2" t="s">
        <v>1522</v>
      </c>
      <c r="AK112" s="2" t="s">
        <v>8594</v>
      </c>
      <c r="AL112" s="2" t="s">
        <v>8666</v>
      </c>
      <c r="AM112" s="2">
        <f>IF(AND(ISNUMBER(J112),OR(AR112="INHERITED ESTIMATE",AR112="CONFIRMED ESTIMATE")),1,0)</f>
        <v>1</v>
      </c>
      <c r="AN112" s="2"/>
      <c r="AO112" s="32" t="s">
        <v>1429</v>
      </c>
      <c r="AP112" s="32" t="s">
        <v>1418</v>
      </c>
      <c r="AQ112" s="32"/>
      <c r="AR112" s="32" t="s">
        <v>1420</v>
      </c>
      <c r="AS112" s="65">
        <f>IF(AM112=1,J112,"")</f>
        <v>12</v>
      </c>
      <c r="AT112" s="65">
        <f>IF(AND(AM112=1,ISNUMBER(R112)),R112,"")</f>
        <v>5.0999999999999996</v>
      </c>
      <c r="AU112" s="2" t="s">
        <v>8667</v>
      </c>
      <c r="AV112" s="5"/>
      <c r="AW112" s="5"/>
      <c r="AX112" s="5"/>
      <c r="AY112" s="2" t="s">
        <v>8668</v>
      </c>
      <c r="AZ112" s="2"/>
      <c r="BA112" s="2"/>
      <c r="BB112" s="2"/>
    </row>
    <row r="113" spans="1:54" ht="75.95" customHeight="1">
      <c r="A113" s="4" t="s">
        <v>81</v>
      </c>
      <c r="B113" s="4" t="s">
        <v>449</v>
      </c>
      <c r="C113" s="4" t="s">
        <v>450</v>
      </c>
      <c r="D113" s="4" t="s">
        <v>521</v>
      </c>
      <c r="E113" s="4" t="s">
        <v>8775</v>
      </c>
      <c r="F113" s="4" t="s">
        <v>8776</v>
      </c>
      <c r="G113" s="4" t="s">
        <v>8656</v>
      </c>
      <c r="H113" s="4" t="s">
        <v>8777</v>
      </c>
      <c r="I113" s="4" t="s">
        <v>8778</v>
      </c>
      <c r="J113" s="64">
        <v>6</v>
      </c>
      <c r="K113" s="94" t="s">
        <v>249</v>
      </c>
      <c r="L113" s="4" t="s">
        <v>451</v>
      </c>
      <c r="M113" s="2" t="s">
        <v>516</v>
      </c>
      <c r="N113" s="2" t="s">
        <v>523</v>
      </c>
      <c r="O113" s="2" t="s">
        <v>1165</v>
      </c>
      <c r="P113" s="2" t="s">
        <v>455</v>
      </c>
      <c r="Q113" s="2" t="s">
        <v>8767</v>
      </c>
      <c r="R113" s="65">
        <v>2.5499999999999998</v>
      </c>
      <c r="S113" s="2" t="s">
        <v>8660</v>
      </c>
      <c r="T113" s="2" t="s">
        <v>2026</v>
      </c>
      <c r="U113" s="2" t="s">
        <v>8779</v>
      </c>
      <c r="V113" s="2" t="s">
        <v>8780</v>
      </c>
      <c r="W113" s="2" t="s">
        <v>8662</v>
      </c>
      <c r="X113" s="2" t="s">
        <v>456</v>
      </c>
      <c r="Y113" s="33" t="s">
        <v>522</v>
      </c>
      <c r="Z113" s="9"/>
      <c r="AA113" s="2" t="s">
        <v>903</v>
      </c>
      <c r="AB113" s="2" t="s">
        <v>904</v>
      </c>
      <c r="AC113" s="2"/>
      <c r="AD113" s="2" t="s">
        <v>8686</v>
      </c>
      <c r="AE113" s="2" t="s">
        <v>8763</v>
      </c>
      <c r="AF113" s="2" t="s">
        <v>830</v>
      </c>
      <c r="AG113" s="2" t="s">
        <v>1061</v>
      </c>
      <c r="AH113" s="2" t="s">
        <v>8665</v>
      </c>
      <c r="AI113" s="2" t="str">
        <f>IF(Y113="","",Y113)</f>
        <v>c930af079502aa1660ef2bd5c50756d3fc3cf8f3 — Persist-T231-canonical-analysis-subject-grain-authority</v>
      </c>
      <c r="AJ113" s="2" t="s">
        <v>1522</v>
      </c>
      <c r="AK113" s="2" t="s">
        <v>8594</v>
      </c>
      <c r="AL113" s="2" t="s">
        <v>8666</v>
      </c>
      <c r="AM113" s="2">
        <f>IF(AND(ISNUMBER(J113),OR(AR113="INHERITED ESTIMATE",AR113="CONFIRMED ESTIMATE")),1,0)</f>
        <v>1</v>
      </c>
      <c r="AN113" s="2"/>
      <c r="AO113" s="32" t="s">
        <v>1415</v>
      </c>
      <c r="AP113" s="32" t="s">
        <v>1418</v>
      </c>
      <c r="AQ113" s="32"/>
      <c r="AR113" s="32" t="s">
        <v>1420</v>
      </c>
      <c r="AS113" s="65">
        <f>IF(AM113=1,J113,"")</f>
        <v>6</v>
      </c>
      <c r="AT113" s="65">
        <f>IF(AND(AM113=1,ISNUMBER(R113)),R113,"")</f>
        <v>2.5499999999999998</v>
      </c>
      <c r="AU113" s="2" t="s">
        <v>8667</v>
      </c>
      <c r="AV113" s="5"/>
      <c r="AW113" s="5"/>
      <c r="AX113" s="5"/>
      <c r="AY113" s="2" t="s">
        <v>8668</v>
      </c>
      <c r="AZ113" s="2"/>
      <c r="BA113" s="2"/>
      <c r="BB113" s="2"/>
    </row>
    <row r="114" spans="1:54" ht="75.95" customHeight="1">
      <c r="A114" s="4" t="s">
        <v>108</v>
      </c>
      <c r="B114" s="4" t="s">
        <v>449</v>
      </c>
      <c r="C114" s="4" t="s">
        <v>524</v>
      </c>
      <c r="D114" s="4" t="s">
        <v>585</v>
      </c>
      <c r="E114" s="4" t="s">
        <v>8775</v>
      </c>
      <c r="F114" s="4" t="s">
        <v>8923</v>
      </c>
      <c r="G114" s="4" t="s">
        <v>8656</v>
      </c>
      <c r="H114" s="4" t="s">
        <v>8924</v>
      </c>
      <c r="I114" s="4" t="s">
        <v>8925</v>
      </c>
      <c r="J114" s="64">
        <v>6</v>
      </c>
      <c r="K114" s="94" t="s">
        <v>537</v>
      </c>
      <c r="L114" s="4" t="s">
        <v>451</v>
      </c>
      <c r="M114" s="2" t="s">
        <v>586</v>
      </c>
      <c r="N114" s="2" t="s">
        <v>122</v>
      </c>
      <c r="O114" s="2" t="s">
        <v>1165</v>
      </c>
      <c r="P114" s="2" t="s">
        <v>455</v>
      </c>
      <c r="Q114" s="2" t="s">
        <v>8767</v>
      </c>
      <c r="R114" s="65">
        <v>2.5499999999999998</v>
      </c>
      <c r="S114" s="2" t="s">
        <v>1175</v>
      </c>
      <c r="T114" s="2" t="s">
        <v>8926</v>
      </c>
      <c r="U114" s="2" t="s">
        <v>8927</v>
      </c>
      <c r="V114" s="2" t="s">
        <v>8928</v>
      </c>
      <c r="W114" s="2" t="s">
        <v>1178</v>
      </c>
      <c r="X114" s="2" t="s">
        <v>529</v>
      </c>
      <c r="Y114" s="33"/>
      <c r="Z114" s="9"/>
      <c r="AA114" s="2" t="s">
        <v>966</v>
      </c>
      <c r="AB114" s="2" t="s">
        <v>968</v>
      </c>
      <c r="AC114" s="2"/>
      <c r="AD114" s="2" t="s">
        <v>8686</v>
      </c>
      <c r="AE114" s="2" t="s">
        <v>8763</v>
      </c>
      <c r="AF114" s="2" t="s">
        <v>830</v>
      </c>
      <c r="AG114" s="2" t="s">
        <v>1061</v>
      </c>
      <c r="AH114" s="2" t="s">
        <v>8665</v>
      </c>
      <c r="AI114" s="2" t="str">
        <f>IF(Y114="","",Y114)</f>
        <v/>
      </c>
      <c r="AJ114" s="2" t="s">
        <v>1522</v>
      </c>
      <c r="AK114" s="2" t="s">
        <v>8594</v>
      </c>
      <c r="AL114" s="2" t="s">
        <v>8666</v>
      </c>
      <c r="AM114" s="2">
        <f>IF(AND(ISNUMBER(J114),OR(AR114="INHERITED ESTIMATE",AR114="CONFIRMED ESTIMATE")),1,0)</f>
        <v>1</v>
      </c>
      <c r="AN114" s="2"/>
      <c r="AO114" s="32" t="s">
        <v>1429</v>
      </c>
      <c r="AP114" s="32" t="s">
        <v>1418</v>
      </c>
      <c r="AQ114" s="32"/>
      <c r="AR114" s="32" t="s">
        <v>1420</v>
      </c>
      <c r="AS114" s="65">
        <f>IF(AM114=1,J114,"")</f>
        <v>6</v>
      </c>
      <c r="AT114" s="65">
        <f>IF(AND(AM114=1,ISNUMBER(R114)),R114,"")</f>
        <v>2.5499999999999998</v>
      </c>
      <c r="AU114" s="2" t="s">
        <v>7979</v>
      </c>
      <c r="AV114" s="5">
        <v>5</v>
      </c>
      <c r="AW114" s="5">
        <v>8</v>
      </c>
      <c r="AX114" s="5">
        <v>13</v>
      </c>
      <c r="AY114" s="2" t="s">
        <v>8832</v>
      </c>
      <c r="AZ114" s="2" t="s">
        <v>7980</v>
      </c>
      <c r="BA114" s="2" t="s">
        <v>1736</v>
      </c>
      <c r="BB114" s="2" t="s">
        <v>8833</v>
      </c>
    </row>
    <row r="115" spans="1:54" ht="75.95" customHeight="1">
      <c r="A115" s="4" t="s">
        <v>109</v>
      </c>
      <c r="B115" s="4" t="s">
        <v>449</v>
      </c>
      <c r="C115" s="4" t="s">
        <v>524</v>
      </c>
      <c r="D115" s="4" t="s">
        <v>587</v>
      </c>
      <c r="E115" s="4" t="s">
        <v>8775</v>
      </c>
      <c r="F115" s="4" t="s">
        <v>8929</v>
      </c>
      <c r="G115" s="4" t="s">
        <v>8656</v>
      </c>
      <c r="H115" s="4" t="s">
        <v>8930</v>
      </c>
      <c r="I115" s="4" t="s">
        <v>8931</v>
      </c>
      <c r="J115" s="64">
        <v>5</v>
      </c>
      <c r="K115" s="94" t="s">
        <v>249</v>
      </c>
      <c r="L115" s="4" t="s">
        <v>451</v>
      </c>
      <c r="M115" s="2" t="s">
        <v>588</v>
      </c>
      <c r="N115" s="2" t="s">
        <v>8932</v>
      </c>
      <c r="O115" s="2" t="s">
        <v>1165</v>
      </c>
      <c r="P115" s="2" t="s">
        <v>455</v>
      </c>
      <c r="Q115" s="2" t="s">
        <v>8767</v>
      </c>
      <c r="R115" s="65">
        <v>2.125</v>
      </c>
      <c r="S115" s="2" t="s">
        <v>1175</v>
      </c>
      <c r="T115" s="2" t="s">
        <v>8933</v>
      </c>
      <c r="U115" s="2" t="s">
        <v>8934</v>
      </c>
      <c r="V115" s="2" t="s">
        <v>8935</v>
      </c>
      <c r="W115" s="2" t="s">
        <v>1178</v>
      </c>
      <c r="X115" s="2" t="s">
        <v>529</v>
      </c>
      <c r="Y115" s="33"/>
      <c r="Z115" s="9"/>
      <c r="AA115" s="2" t="s">
        <v>838</v>
      </c>
      <c r="AB115" s="2" t="s">
        <v>839</v>
      </c>
      <c r="AC115" s="2" t="s">
        <v>907</v>
      </c>
      <c r="AD115" s="2" t="s">
        <v>8686</v>
      </c>
      <c r="AE115" s="2" t="s">
        <v>8763</v>
      </c>
      <c r="AF115" s="2" t="s">
        <v>830</v>
      </c>
      <c r="AG115" s="2" t="s">
        <v>1061</v>
      </c>
      <c r="AH115" s="2" t="s">
        <v>8665</v>
      </c>
      <c r="AI115" s="2" t="str">
        <f>IF(Y115="","",Y115)</f>
        <v/>
      </c>
      <c r="AJ115" s="2" t="s">
        <v>1522</v>
      </c>
      <c r="AK115" s="2" t="s">
        <v>8594</v>
      </c>
      <c r="AL115" s="2" t="s">
        <v>8666</v>
      </c>
      <c r="AM115" s="2">
        <f>IF(AND(ISNUMBER(J115),OR(AR115="INHERITED ESTIMATE",AR115="CONFIRMED ESTIMATE")),1,0)</f>
        <v>1</v>
      </c>
      <c r="AN115" s="2"/>
      <c r="AO115" s="32" t="s">
        <v>8936</v>
      </c>
      <c r="AP115" s="32" t="s">
        <v>8937</v>
      </c>
      <c r="AQ115" s="32"/>
      <c r="AR115" s="32" t="s">
        <v>1420</v>
      </c>
      <c r="AS115" s="65">
        <f>IF(AM115=1,J115,"")</f>
        <v>5</v>
      </c>
      <c r="AT115" s="65">
        <f>IF(AND(AM115=1,ISNUMBER(R115)),R115,"")</f>
        <v>2.125</v>
      </c>
      <c r="AU115" s="2" t="s">
        <v>7981</v>
      </c>
      <c r="AV115" s="5">
        <v>5</v>
      </c>
      <c r="AW115" s="5">
        <v>8</v>
      </c>
      <c r="AX115" s="5">
        <v>14</v>
      </c>
      <c r="AY115" s="2" t="s">
        <v>8832</v>
      </c>
      <c r="AZ115" s="2" t="s">
        <v>7982</v>
      </c>
      <c r="BA115" s="2" t="s">
        <v>1740</v>
      </c>
      <c r="BB115" s="2" t="s">
        <v>8833</v>
      </c>
    </row>
    <row r="116" spans="1:54" ht="75.95" customHeight="1">
      <c r="A116" s="2" t="s">
        <v>110</v>
      </c>
      <c r="B116" s="2" t="s">
        <v>449</v>
      </c>
      <c r="C116" s="2" t="s">
        <v>524</v>
      </c>
      <c r="D116" s="2" t="s">
        <v>590</v>
      </c>
      <c r="E116" s="2" t="s">
        <v>8775</v>
      </c>
      <c r="F116" s="2" t="s">
        <v>8938</v>
      </c>
      <c r="G116" s="2" t="s">
        <v>8656</v>
      </c>
      <c r="H116" s="2" t="s">
        <v>1098</v>
      </c>
      <c r="I116" s="2" t="s">
        <v>1100</v>
      </c>
      <c r="J116" s="93">
        <v>8</v>
      </c>
      <c r="K116" s="94" t="s">
        <v>537</v>
      </c>
      <c r="L116" s="2" t="s">
        <v>451</v>
      </c>
      <c r="M116" s="2" t="s">
        <v>591</v>
      </c>
      <c r="N116" s="2" t="s">
        <v>1473</v>
      </c>
      <c r="O116" s="2" t="s">
        <v>1165</v>
      </c>
      <c r="P116" s="2" t="s">
        <v>455</v>
      </c>
      <c r="Q116" s="2" t="s">
        <v>8767</v>
      </c>
      <c r="R116" s="65">
        <v>3.4</v>
      </c>
      <c r="S116" s="2" t="s">
        <v>1175</v>
      </c>
      <c r="T116" s="2" t="s">
        <v>8939</v>
      </c>
      <c r="U116" s="2" t="s">
        <v>8940</v>
      </c>
      <c r="V116" s="2" t="s">
        <v>8941</v>
      </c>
      <c r="W116" s="2" t="s">
        <v>1178</v>
      </c>
      <c r="X116" s="2" t="s">
        <v>529</v>
      </c>
      <c r="Y116" s="33"/>
      <c r="Z116" s="9"/>
      <c r="AA116" s="2" t="s">
        <v>905</v>
      </c>
      <c r="AB116" s="2" t="s">
        <v>906</v>
      </c>
      <c r="AC116" s="2"/>
      <c r="AD116" s="2" t="s">
        <v>8686</v>
      </c>
      <c r="AE116" s="2" t="s">
        <v>8763</v>
      </c>
      <c r="AF116" s="2" t="s">
        <v>830</v>
      </c>
      <c r="AG116" s="2" t="s">
        <v>1061</v>
      </c>
      <c r="AH116" s="2" t="s">
        <v>8665</v>
      </c>
      <c r="AI116" s="2" t="str">
        <f>IF(Y116="","",Y116)</f>
        <v/>
      </c>
      <c r="AJ116" s="2" t="s">
        <v>2348</v>
      </c>
      <c r="AK116" s="2" t="s">
        <v>8594</v>
      </c>
      <c r="AL116" s="2" t="s">
        <v>8666</v>
      </c>
      <c r="AM116" s="2">
        <f>IF(AND(ISNUMBER(J116),OR(AR116="INHERITED ESTIMATE",AR116="CONFIRMED ESTIMATE")),1,0)</f>
        <v>0</v>
      </c>
      <c r="AN116" s="2"/>
      <c r="AO116" s="32" t="s">
        <v>1429</v>
      </c>
      <c r="AP116" s="32" t="s">
        <v>1418</v>
      </c>
      <c r="AQ116" s="32"/>
      <c r="AR116" s="32" t="s">
        <v>1472</v>
      </c>
      <c r="AS116" s="65" t="str">
        <f>IF(AM116=1,J116,"")</f>
        <v/>
      </c>
      <c r="AT116" s="65" t="str">
        <f>IF(AND(AM116=1,ISNUMBER(R116)),R116,"")</f>
        <v/>
      </c>
      <c r="AU116" s="2" t="s">
        <v>7983</v>
      </c>
      <c r="AV116" s="5">
        <v>6</v>
      </c>
      <c r="AW116" s="5">
        <v>11</v>
      </c>
      <c r="AX116" s="5">
        <v>18</v>
      </c>
      <c r="AY116" s="2" t="s">
        <v>8832</v>
      </c>
      <c r="AZ116" s="2" t="s">
        <v>7984</v>
      </c>
      <c r="BA116" s="2" t="s">
        <v>1744</v>
      </c>
      <c r="BB116" s="2" t="s">
        <v>8833</v>
      </c>
    </row>
    <row r="117" spans="1:54" ht="75.95" customHeight="1">
      <c r="A117" s="4" t="s">
        <v>111</v>
      </c>
      <c r="B117" s="4" t="s">
        <v>449</v>
      </c>
      <c r="C117" s="4" t="s">
        <v>524</v>
      </c>
      <c r="D117" s="4" t="s">
        <v>593</v>
      </c>
      <c r="E117" s="4" t="s">
        <v>8728</v>
      </c>
      <c r="F117" s="4" t="s">
        <v>8942</v>
      </c>
      <c r="G117" s="4" t="s">
        <v>8943</v>
      </c>
      <c r="H117" s="4" t="s">
        <v>8944</v>
      </c>
      <c r="I117" s="4" t="s">
        <v>8945</v>
      </c>
      <c r="J117" s="64">
        <v>10</v>
      </c>
      <c r="K117" s="94" t="s">
        <v>249</v>
      </c>
      <c r="L117" s="4" t="s">
        <v>491</v>
      </c>
      <c r="M117" s="2" t="s">
        <v>595</v>
      </c>
      <c r="N117" s="2" t="s">
        <v>1474</v>
      </c>
      <c r="O117" s="2" t="s">
        <v>1165</v>
      </c>
      <c r="P117" s="2" t="s">
        <v>455</v>
      </c>
      <c r="Q117" s="2" t="s">
        <v>8946</v>
      </c>
      <c r="R117" s="65"/>
      <c r="S117" s="2" t="s">
        <v>1175</v>
      </c>
      <c r="T117" s="2" t="s">
        <v>2026</v>
      </c>
      <c r="U117" s="2" t="s">
        <v>8947</v>
      </c>
      <c r="V117" s="2" t="s">
        <v>8948</v>
      </c>
      <c r="W117" s="2" t="s">
        <v>1178</v>
      </c>
      <c r="X117" s="2" t="s">
        <v>529</v>
      </c>
      <c r="Y117" s="33" t="s">
        <v>594</v>
      </c>
      <c r="Z117" s="9"/>
      <c r="AA117" s="2" t="s">
        <v>873</v>
      </c>
      <c r="AB117" s="2" t="s">
        <v>874</v>
      </c>
      <c r="AC117" s="2"/>
      <c r="AD117" s="2" t="s">
        <v>8686</v>
      </c>
      <c r="AE117" s="2" t="s">
        <v>8949</v>
      </c>
      <c r="AF117" s="2" t="s">
        <v>830</v>
      </c>
      <c r="AG117" s="2" t="s">
        <v>1061</v>
      </c>
      <c r="AH117" s="2" t="s">
        <v>8665</v>
      </c>
      <c r="AI117" s="2" t="str">
        <f>IF(Y117="","",Y117)</f>
        <v>eb7fb2ab — subject not recovered</v>
      </c>
      <c r="AJ117" s="2" t="s">
        <v>1522</v>
      </c>
      <c r="AK117" s="2" t="s">
        <v>8594</v>
      </c>
      <c r="AL117" s="2" t="s">
        <v>8666</v>
      </c>
      <c r="AM117" s="2">
        <f>IF(AND(ISNUMBER(J117),OR(AR117="INHERITED ESTIMATE",AR117="CONFIRMED ESTIMATE")),1,0)</f>
        <v>1</v>
      </c>
      <c r="AN117" s="2"/>
      <c r="AO117" s="32" t="s">
        <v>1415</v>
      </c>
      <c r="AP117" s="32" t="s">
        <v>1418</v>
      </c>
      <c r="AQ117" s="32"/>
      <c r="AR117" s="32" t="s">
        <v>1420</v>
      </c>
      <c r="AS117" s="65">
        <f>IF(AM117=1,J117,"")</f>
        <v>10</v>
      </c>
      <c r="AT117" s="65" t="str">
        <f>IF(AND(AM117=1,ISNUMBER(R117)),R117,"")</f>
        <v/>
      </c>
      <c r="AU117" s="2" t="s">
        <v>7985</v>
      </c>
      <c r="AV117" s="5">
        <v>0</v>
      </c>
      <c r="AW117" s="5">
        <v>0</v>
      </c>
      <c r="AX117" s="5">
        <v>0</v>
      </c>
      <c r="AY117" s="2" t="s">
        <v>8832</v>
      </c>
      <c r="AZ117" s="2" t="s">
        <v>7986</v>
      </c>
      <c r="BA117" s="2" t="s">
        <v>1748</v>
      </c>
      <c r="BB117" s="2" t="s">
        <v>8833</v>
      </c>
    </row>
    <row r="118" spans="1:54" ht="75.95" customHeight="1">
      <c r="A118" s="2" t="s">
        <v>112</v>
      </c>
      <c r="B118" s="2" t="s">
        <v>449</v>
      </c>
      <c r="C118" s="2" t="s">
        <v>524</v>
      </c>
      <c r="D118" s="2" t="s">
        <v>597</v>
      </c>
      <c r="E118" s="2" t="s">
        <v>8728</v>
      </c>
      <c r="F118" s="2" t="s">
        <v>8942</v>
      </c>
      <c r="G118" s="2" t="s">
        <v>8943</v>
      </c>
      <c r="H118" s="2" t="s">
        <v>8950</v>
      </c>
      <c r="I118" s="2" t="s">
        <v>8951</v>
      </c>
      <c r="J118" s="2">
        <v>16</v>
      </c>
      <c r="K118" s="94" t="s">
        <v>249</v>
      </c>
      <c r="L118" s="2" t="s">
        <v>491</v>
      </c>
      <c r="M118" s="2" t="s">
        <v>599</v>
      </c>
      <c r="N118" s="2" t="s">
        <v>1236</v>
      </c>
      <c r="O118" s="2" t="s">
        <v>1165</v>
      </c>
      <c r="P118" s="2" t="s">
        <v>455</v>
      </c>
      <c r="Q118" s="2" t="s">
        <v>8946</v>
      </c>
      <c r="R118" s="65"/>
      <c r="S118" s="2" t="s">
        <v>1175</v>
      </c>
      <c r="T118" s="2" t="s">
        <v>2026</v>
      </c>
      <c r="U118" s="2" t="s">
        <v>8952</v>
      </c>
      <c r="V118" s="2" t="s">
        <v>8953</v>
      </c>
      <c r="W118" s="2" t="s">
        <v>1178</v>
      </c>
      <c r="X118" s="2" t="s">
        <v>600</v>
      </c>
      <c r="Y118" s="33" t="s">
        <v>598</v>
      </c>
      <c r="Z118" s="9">
        <v>46273</v>
      </c>
      <c r="AA118" s="2" t="s">
        <v>873</v>
      </c>
      <c r="AB118" s="2" t="s">
        <v>874</v>
      </c>
      <c r="AC118" s="2"/>
      <c r="AD118" s="2" t="s">
        <v>8686</v>
      </c>
      <c r="AE118" s="2" t="s">
        <v>8722</v>
      </c>
      <c r="AF118" s="2" t="s">
        <v>830</v>
      </c>
      <c r="AG118" s="2" t="s">
        <v>1061</v>
      </c>
      <c r="AH118" s="2" t="s">
        <v>8665</v>
      </c>
      <c r="AI118" s="2" t="str">
        <f>IF(Y118="","",Y118)</f>
        <v>b93c7a58; fc029aa44ac0079be05d623c73414b7fd9f05590; aa57a503411abeeff38ef346ba8801c7742c7926 — final: T-242 close governed aggregate and window block contracts</v>
      </c>
      <c r="AJ118" s="2" t="s">
        <v>1522</v>
      </c>
      <c r="AK118" s="2" t="s">
        <v>8594</v>
      </c>
      <c r="AL118" s="2" t="s">
        <v>8666</v>
      </c>
      <c r="AM118" s="2">
        <f>IF(AND(ISNUMBER(J118),OR(AR118="INHERITED ESTIMATE",AR118="CONFIRMED ESTIMATE")),1,0)</f>
        <v>1</v>
      </c>
      <c r="AN118" s="2"/>
      <c r="AO118" s="32" t="s">
        <v>1415</v>
      </c>
      <c r="AP118" s="32" t="s">
        <v>1418</v>
      </c>
      <c r="AQ118" s="32"/>
      <c r="AR118" s="32" t="s">
        <v>1420</v>
      </c>
      <c r="AS118" s="65">
        <f>IF(AM118=1,J118,"")</f>
        <v>16</v>
      </c>
      <c r="AT118" s="65" t="str">
        <f>IF(AND(AM118=1,ISNUMBER(R118)),R118,"")</f>
        <v/>
      </c>
      <c r="AU118" s="2" t="s">
        <v>7987</v>
      </c>
      <c r="AV118" s="5">
        <v>0</v>
      </c>
      <c r="AW118" s="5">
        <v>0</v>
      </c>
      <c r="AX118" s="5">
        <v>0</v>
      </c>
      <c r="AY118" s="2" t="s">
        <v>8832</v>
      </c>
      <c r="AZ118" s="2" t="s">
        <v>7988</v>
      </c>
      <c r="BA118" s="2" t="s">
        <v>1751</v>
      </c>
      <c r="BB118" s="2" t="s">
        <v>8833</v>
      </c>
    </row>
    <row r="119" spans="1:54" ht="75.95" customHeight="1">
      <c r="A119" s="4" t="s">
        <v>113</v>
      </c>
      <c r="B119" s="4" t="s">
        <v>449</v>
      </c>
      <c r="C119" s="4" t="s">
        <v>524</v>
      </c>
      <c r="D119" s="4" t="s">
        <v>601</v>
      </c>
      <c r="E119" s="4" t="s">
        <v>8728</v>
      </c>
      <c r="F119" s="4" t="s">
        <v>8942</v>
      </c>
      <c r="G119" s="4" t="s">
        <v>8943</v>
      </c>
      <c r="H119" s="4" t="s">
        <v>1078</v>
      </c>
      <c r="I119" s="4" t="s">
        <v>1080</v>
      </c>
      <c r="J119" s="64">
        <v>12</v>
      </c>
      <c r="K119" s="95" t="s">
        <v>249</v>
      </c>
      <c r="L119" s="4" t="s">
        <v>491</v>
      </c>
      <c r="M119" s="2" t="s">
        <v>602</v>
      </c>
      <c r="N119" s="2" t="s">
        <v>1238</v>
      </c>
      <c r="O119" s="2" t="s">
        <v>1165</v>
      </c>
      <c r="P119" s="2" t="s">
        <v>455</v>
      </c>
      <c r="Q119" s="2" t="s">
        <v>8946</v>
      </c>
      <c r="R119" s="65">
        <v>4.8</v>
      </c>
      <c r="S119" s="2" t="s">
        <v>1175</v>
      </c>
      <c r="T119" s="2" t="s">
        <v>1182</v>
      </c>
      <c r="U119" s="2" t="s">
        <v>8954</v>
      </c>
      <c r="V119" s="2" t="s">
        <v>8955</v>
      </c>
      <c r="W119" s="2" t="s">
        <v>1178</v>
      </c>
      <c r="X119" s="2" t="s">
        <v>1170</v>
      </c>
      <c r="Y119" s="33" t="s">
        <v>8956</v>
      </c>
      <c r="Z119" s="9" t="s">
        <v>8617</v>
      </c>
      <c r="AA119" s="2" t="s">
        <v>854</v>
      </c>
      <c r="AB119" s="2" t="s">
        <v>855</v>
      </c>
      <c r="AC119" s="2" t="s">
        <v>1143</v>
      </c>
      <c r="AD119" s="2" t="s">
        <v>8686</v>
      </c>
      <c r="AE119" s="2" t="s">
        <v>8693</v>
      </c>
      <c r="AF119" s="2" t="s">
        <v>830</v>
      </c>
      <c r="AG119" s="2" t="s">
        <v>1061</v>
      </c>
      <c r="AH119" s="2" t="s">
        <v>8665</v>
      </c>
      <c r="AI119" s="2" t="str">
        <f>IF(Y119="","",Y119)</f>
        <v>6f65bba1 — original reopen/version closure; 316383913d3d8254003639274a098f829ecc1ea2 — transactional relationship publication; 33aca26a1063cc78fdc3900bb0432886fe496c87 — ambient transaction correction</v>
      </c>
      <c r="AJ119" s="2" t="s">
        <v>2348</v>
      </c>
      <c r="AK119" s="2" t="s">
        <v>8594</v>
      </c>
      <c r="AL119" s="2" t="s">
        <v>8957</v>
      </c>
      <c r="AM119" s="2">
        <f>IF(AND(ISNUMBER(J119),OR(AR119="INHERITED ESTIMATE",AR119="CONFIRMED ESTIMATE")),1,0)</f>
        <v>0</v>
      </c>
      <c r="AN119" s="2"/>
      <c r="AO119" s="32" t="s">
        <v>8958</v>
      </c>
      <c r="AP119" s="32" t="s">
        <v>8959</v>
      </c>
      <c r="AQ119" s="32" t="s">
        <v>8960</v>
      </c>
      <c r="AR119" s="32" t="s">
        <v>635</v>
      </c>
      <c r="AS119" s="65" t="str">
        <f>IF(AM119=1,J119,"")</f>
        <v/>
      </c>
      <c r="AT119" s="65" t="str">
        <f>IF(AND(AM119=1,ISNUMBER(R119)),R119,"")</f>
        <v/>
      </c>
      <c r="AU119" s="2" t="s">
        <v>7989</v>
      </c>
      <c r="AV119" s="5">
        <v>5</v>
      </c>
      <c r="AW119" s="5">
        <v>9</v>
      </c>
      <c r="AX119" s="5">
        <v>15</v>
      </c>
      <c r="AY119" s="2" t="s">
        <v>8832</v>
      </c>
      <c r="AZ119" s="2" t="s">
        <v>7990</v>
      </c>
      <c r="BA119" s="2" t="s">
        <v>1755</v>
      </c>
      <c r="BB119" s="2" t="s">
        <v>8833</v>
      </c>
    </row>
    <row r="120" spans="1:54" ht="75.95" customHeight="1">
      <c r="A120" s="2" t="s">
        <v>114</v>
      </c>
      <c r="B120" s="2" t="s">
        <v>449</v>
      </c>
      <c r="C120" s="2" t="s">
        <v>524</v>
      </c>
      <c r="D120" s="2" t="s">
        <v>605</v>
      </c>
      <c r="E120" s="2" t="s">
        <v>8728</v>
      </c>
      <c r="F120" s="2" t="s">
        <v>8942</v>
      </c>
      <c r="G120" s="2" t="s">
        <v>8943</v>
      </c>
      <c r="H120" s="2" t="s">
        <v>8961</v>
      </c>
      <c r="I120" s="2" t="s">
        <v>8962</v>
      </c>
      <c r="J120" s="65">
        <v>14</v>
      </c>
      <c r="K120" s="94" t="s">
        <v>249</v>
      </c>
      <c r="L120" s="2" t="s">
        <v>491</v>
      </c>
      <c r="M120" s="2" t="s">
        <v>607</v>
      </c>
      <c r="N120" s="2" t="s">
        <v>1475</v>
      </c>
      <c r="O120" s="2" t="s">
        <v>1165</v>
      </c>
      <c r="P120" s="2" t="s">
        <v>455</v>
      </c>
      <c r="Q120" s="2" t="s">
        <v>8946</v>
      </c>
      <c r="R120" s="65"/>
      <c r="S120" s="2" t="s">
        <v>1175</v>
      </c>
      <c r="T120" s="2" t="s">
        <v>2026</v>
      </c>
      <c r="U120" s="2" t="s">
        <v>8963</v>
      </c>
      <c r="V120" s="2" t="s">
        <v>8964</v>
      </c>
      <c r="W120" s="2" t="s">
        <v>1178</v>
      </c>
      <c r="X120" s="2" t="s">
        <v>529</v>
      </c>
      <c r="Y120" s="33" t="s">
        <v>606</v>
      </c>
      <c r="Z120" s="9">
        <v>46269</v>
      </c>
      <c r="AA120" s="2" t="s">
        <v>871</v>
      </c>
      <c r="AB120" s="2" t="s">
        <v>872</v>
      </c>
      <c r="AC120" s="2" t="s">
        <v>875</v>
      </c>
      <c r="AD120" s="2" t="s">
        <v>8675</v>
      </c>
      <c r="AE120" s="2" t="s">
        <v>8965</v>
      </c>
      <c r="AF120" s="2" t="s">
        <v>830</v>
      </c>
      <c r="AG120" s="2" t="s">
        <v>1061</v>
      </c>
      <c r="AH120" s="2" t="s">
        <v>8665</v>
      </c>
      <c r="AI120" s="2" t="str">
        <f>IF(Y120="","",Y120)</f>
        <v>4d32c6b10b4605aeb6e0705ad03537d563125652 — T-244 close canonical Canvas lifecycle and selection model</v>
      </c>
      <c r="AJ120" s="2" t="s">
        <v>1522</v>
      </c>
      <c r="AK120" s="2" t="s">
        <v>8594</v>
      </c>
      <c r="AL120" s="2" t="s">
        <v>8666</v>
      </c>
      <c r="AM120" s="2">
        <f>IF(AND(ISNUMBER(J120),OR(AR120="INHERITED ESTIMATE",AR120="CONFIRMED ESTIMATE")),1,0)</f>
        <v>1</v>
      </c>
      <c r="AN120" s="2"/>
      <c r="AO120" s="32" t="s">
        <v>1415</v>
      </c>
      <c r="AP120" s="32" t="s">
        <v>1418</v>
      </c>
      <c r="AQ120" s="32"/>
      <c r="AR120" s="32" t="s">
        <v>1420</v>
      </c>
      <c r="AS120" s="65">
        <f>IF(AM120=1,J120,"")</f>
        <v>14</v>
      </c>
      <c r="AT120" s="65" t="str">
        <f>IF(AND(AM120=1,ISNUMBER(R120)),R120,"")</f>
        <v/>
      </c>
      <c r="AU120" s="2" t="s">
        <v>7991</v>
      </c>
      <c r="AV120" s="5">
        <v>0</v>
      </c>
      <c r="AW120" s="5">
        <v>0</v>
      </c>
      <c r="AX120" s="5">
        <v>0</v>
      </c>
      <c r="AY120" s="2" t="s">
        <v>8832</v>
      </c>
      <c r="AZ120" s="2" t="s">
        <v>7992</v>
      </c>
      <c r="BA120" s="2" t="s">
        <v>1759</v>
      </c>
      <c r="BB120" s="2" t="s">
        <v>8833</v>
      </c>
    </row>
    <row r="121" spans="1:54" ht="75.95" customHeight="1">
      <c r="A121" s="4" t="s">
        <v>115</v>
      </c>
      <c r="B121" s="4" t="s">
        <v>449</v>
      </c>
      <c r="C121" s="4" t="s">
        <v>524</v>
      </c>
      <c r="D121" s="4" t="s">
        <v>608</v>
      </c>
      <c r="E121" s="4" t="s">
        <v>8728</v>
      </c>
      <c r="F121" s="4" t="s">
        <v>8942</v>
      </c>
      <c r="G121" s="4" t="s">
        <v>8943</v>
      </c>
      <c r="H121" s="4" t="s">
        <v>8966</v>
      </c>
      <c r="I121" s="4" t="s">
        <v>8967</v>
      </c>
      <c r="J121" s="64">
        <v>12</v>
      </c>
      <c r="K121" s="94" t="s">
        <v>615</v>
      </c>
      <c r="L121" s="4" t="s">
        <v>491</v>
      </c>
      <c r="M121" s="2" t="s">
        <v>1479</v>
      </c>
      <c r="N121" s="2" t="s">
        <v>1240</v>
      </c>
      <c r="O121" s="2" t="s">
        <v>1165</v>
      </c>
      <c r="P121" s="2" t="s">
        <v>455</v>
      </c>
      <c r="Q121" s="2" t="s">
        <v>8946</v>
      </c>
      <c r="R121" s="65">
        <v>5.0999999999999996</v>
      </c>
      <c r="S121" s="2" t="s">
        <v>1175</v>
      </c>
      <c r="T121" s="2" t="s">
        <v>7771</v>
      </c>
      <c r="U121" s="2" t="s">
        <v>8968</v>
      </c>
      <c r="V121" s="2" t="s">
        <v>8969</v>
      </c>
      <c r="W121" s="2" t="s">
        <v>1178</v>
      </c>
      <c r="X121" s="2" t="s">
        <v>1170</v>
      </c>
      <c r="Y121" s="33"/>
      <c r="Z121" s="9"/>
      <c r="AA121" s="2" t="s">
        <v>877</v>
      </c>
      <c r="AB121" s="2" t="s">
        <v>8970</v>
      </c>
      <c r="AC121" s="2" t="s">
        <v>856</v>
      </c>
      <c r="AD121" s="2" t="s">
        <v>8686</v>
      </c>
      <c r="AE121" s="2" t="s">
        <v>8971</v>
      </c>
      <c r="AF121" s="2" t="s">
        <v>830</v>
      </c>
      <c r="AG121" s="2" t="s">
        <v>1061</v>
      </c>
      <c r="AH121" s="2" t="s">
        <v>8665</v>
      </c>
      <c r="AI121" s="2" t="str">
        <f>IF(Y121="","",Y121)</f>
        <v/>
      </c>
      <c r="AJ121" s="2" t="s">
        <v>1522</v>
      </c>
      <c r="AK121" s="2" t="s">
        <v>8594</v>
      </c>
      <c r="AL121" s="2" t="s">
        <v>8972</v>
      </c>
      <c r="AM121" s="2">
        <f>IF(AND(ISNUMBER(J121),OR(AR121="INHERITED ESTIMATE",AR121="CONFIRMED ESTIMATE")),1,0)</f>
        <v>1</v>
      </c>
      <c r="AN121" s="2"/>
      <c r="AO121" s="32" t="s">
        <v>7773</v>
      </c>
      <c r="AP121" s="32" t="s">
        <v>1418</v>
      </c>
      <c r="AQ121" s="32"/>
      <c r="AR121" s="32" t="s">
        <v>1420</v>
      </c>
      <c r="AS121" s="65">
        <f>IF(AM121=1,J121,"")</f>
        <v>12</v>
      </c>
      <c r="AT121" s="65">
        <f>IF(AND(AM121=1,ISNUMBER(R121)),R121,"")</f>
        <v>5.0999999999999996</v>
      </c>
      <c r="AU121" s="2" t="s">
        <v>7993</v>
      </c>
      <c r="AV121" s="5">
        <v>6</v>
      </c>
      <c r="AW121" s="5">
        <v>10</v>
      </c>
      <c r="AX121" s="5">
        <v>16</v>
      </c>
      <c r="AY121" s="2" t="s">
        <v>8832</v>
      </c>
      <c r="AZ121" s="2" t="s">
        <v>7994</v>
      </c>
      <c r="BA121" s="2" t="s">
        <v>1762</v>
      </c>
      <c r="BB121" s="2" t="s">
        <v>8833</v>
      </c>
    </row>
    <row r="122" spans="1:54" ht="75.95" customHeight="1">
      <c r="A122" s="2" t="s">
        <v>116</v>
      </c>
      <c r="B122" s="2" t="s">
        <v>449</v>
      </c>
      <c r="C122" s="2" t="s">
        <v>524</v>
      </c>
      <c r="D122" s="2" t="s">
        <v>612</v>
      </c>
      <c r="E122" s="2" t="s">
        <v>8973</v>
      </c>
      <c r="F122" s="2" t="s">
        <v>8974</v>
      </c>
      <c r="G122" s="2" t="s">
        <v>8656</v>
      </c>
      <c r="H122" s="2" t="s">
        <v>8975</v>
      </c>
      <c r="I122" s="2" t="s">
        <v>1613</v>
      </c>
      <c r="J122" s="65">
        <v>12</v>
      </c>
      <c r="K122" s="94" t="s">
        <v>537</v>
      </c>
      <c r="L122" s="2" t="s">
        <v>491</v>
      </c>
      <c r="M122" s="2" t="s">
        <v>8976</v>
      </c>
      <c r="N122" s="2" t="s">
        <v>163</v>
      </c>
      <c r="O122" s="2" t="s">
        <v>1165</v>
      </c>
      <c r="P122" s="2" t="s">
        <v>455</v>
      </c>
      <c r="Q122" s="2" t="s">
        <v>8977</v>
      </c>
      <c r="R122" s="65">
        <v>5.0999999999999996</v>
      </c>
      <c r="S122" s="2" t="s">
        <v>1175</v>
      </c>
      <c r="T122" s="2" t="s">
        <v>1489</v>
      </c>
      <c r="U122" s="2" t="s">
        <v>8978</v>
      </c>
      <c r="V122" s="2" t="s">
        <v>1492</v>
      </c>
      <c r="W122" s="2" t="s">
        <v>1178</v>
      </c>
      <c r="X122" s="2" t="s">
        <v>529</v>
      </c>
      <c r="Y122" s="33"/>
      <c r="Z122" s="9"/>
      <c r="AA122" s="2" t="s">
        <v>964</v>
      </c>
      <c r="AB122" s="2" t="s">
        <v>8663</v>
      </c>
      <c r="AC122" s="2" t="s">
        <v>8979</v>
      </c>
      <c r="AD122" s="2" t="s">
        <v>8686</v>
      </c>
      <c r="AE122" s="2" t="s">
        <v>8713</v>
      </c>
      <c r="AF122" s="2" t="s">
        <v>830</v>
      </c>
      <c r="AG122" s="2" t="s">
        <v>1061</v>
      </c>
      <c r="AH122" s="2" t="s">
        <v>8665</v>
      </c>
      <c r="AI122" s="2" t="str">
        <f>IF(Y122="","",Y122)</f>
        <v/>
      </c>
      <c r="AJ122" s="2" t="s">
        <v>1522</v>
      </c>
      <c r="AK122" s="2" t="s">
        <v>8594</v>
      </c>
      <c r="AL122" s="2" t="s">
        <v>8666</v>
      </c>
      <c r="AM122" s="2">
        <f>IF(AND(ISNUMBER(J122),OR(AR122="INHERITED ESTIMATE",AR122="CONFIRMED ESTIMATE")),1,0)</f>
        <v>1</v>
      </c>
      <c r="AN122" s="2"/>
      <c r="AO122" s="32" t="s">
        <v>1429</v>
      </c>
      <c r="AP122" s="32" t="s">
        <v>1418</v>
      </c>
      <c r="AQ122" s="32"/>
      <c r="AR122" s="32" t="s">
        <v>1420</v>
      </c>
      <c r="AS122" s="65">
        <f>IF(AM122=1,J122,"")</f>
        <v>12</v>
      </c>
      <c r="AT122" s="65">
        <f>IF(AND(AM122=1,ISNUMBER(R122)),R122,"")</f>
        <v>5.0999999999999996</v>
      </c>
      <c r="AU122" s="2" t="s">
        <v>7996</v>
      </c>
      <c r="AV122" s="5">
        <v>8</v>
      </c>
      <c r="AW122" s="5">
        <v>14</v>
      </c>
      <c r="AX122" s="5">
        <v>22</v>
      </c>
      <c r="AY122" s="2" t="s">
        <v>8832</v>
      </c>
      <c r="AZ122" s="2" t="s">
        <v>7997</v>
      </c>
      <c r="BA122" s="2" t="s">
        <v>1766</v>
      </c>
      <c r="BB122" s="2" t="s">
        <v>8833</v>
      </c>
    </row>
    <row r="123" spans="1:54" ht="75.95" customHeight="1">
      <c r="A123" s="2" t="s">
        <v>194</v>
      </c>
      <c r="B123" s="2" t="s">
        <v>1058</v>
      </c>
      <c r="C123" s="2" t="s">
        <v>622</v>
      </c>
      <c r="D123" s="2" t="s">
        <v>9341</v>
      </c>
      <c r="E123" s="2" t="s">
        <v>8728</v>
      </c>
      <c r="F123" s="2" t="s">
        <v>9342</v>
      </c>
      <c r="G123" s="2" t="s">
        <v>8677</v>
      </c>
      <c r="H123" s="2" t="s">
        <v>1118</v>
      </c>
      <c r="I123" s="2" t="s">
        <v>1615</v>
      </c>
      <c r="J123" s="65">
        <v>30</v>
      </c>
      <c r="K123" s="94" t="s">
        <v>537</v>
      </c>
      <c r="L123" s="2" t="s">
        <v>491</v>
      </c>
      <c r="M123" s="2" t="s">
        <v>1609</v>
      </c>
      <c r="N123" s="2" t="s">
        <v>1258</v>
      </c>
      <c r="O123" s="2" t="s">
        <v>1174</v>
      </c>
      <c r="P123" s="2" t="s">
        <v>1060</v>
      </c>
      <c r="Q123" s="2" t="s">
        <v>9343</v>
      </c>
      <c r="R123" s="65">
        <v>11.2</v>
      </c>
      <c r="S123" s="2" t="s">
        <v>9308</v>
      </c>
      <c r="T123" s="2" t="s">
        <v>9344</v>
      </c>
      <c r="U123" s="2" t="s">
        <v>9345</v>
      </c>
      <c r="V123" s="2" t="s">
        <v>9346</v>
      </c>
      <c r="W123" s="2" t="s">
        <v>1197</v>
      </c>
      <c r="X123" s="2" t="s">
        <v>9347</v>
      </c>
      <c r="Y123" s="33"/>
      <c r="Z123" s="9"/>
      <c r="AA123" s="2" t="s">
        <v>875</v>
      </c>
      <c r="AB123" s="2" t="s">
        <v>876</v>
      </c>
      <c r="AC123" s="2" t="s">
        <v>1141</v>
      </c>
      <c r="AD123" s="2" t="s">
        <v>8686</v>
      </c>
      <c r="AE123" s="2" t="s">
        <v>8722</v>
      </c>
      <c r="AF123" s="2" t="s">
        <v>830</v>
      </c>
      <c r="AG123" s="2" t="s">
        <v>1062</v>
      </c>
      <c r="AH123" s="2" t="s">
        <v>8665</v>
      </c>
      <c r="AI123" s="2" t="str">
        <f>IF(Y123="","",Y123)</f>
        <v/>
      </c>
      <c r="AJ123" s="2" t="s">
        <v>2348</v>
      </c>
      <c r="AK123" s="2" t="s">
        <v>8594</v>
      </c>
      <c r="AL123" s="2" t="s">
        <v>8666</v>
      </c>
      <c r="AM123" s="2">
        <f>IF(AND(ISNUMBER(J123),OR(AR123="INHERITED ESTIMATE",AR123="CONFIRMED ESTIMATE")),1,0)</f>
        <v>0</v>
      </c>
      <c r="AN123" s="2"/>
      <c r="AO123" s="32" t="s">
        <v>1429</v>
      </c>
      <c r="AP123" s="32" t="s">
        <v>1418</v>
      </c>
      <c r="AQ123" s="32"/>
      <c r="AR123" s="32" t="s">
        <v>1472</v>
      </c>
      <c r="AS123" s="65" t="str">
        <f>IF(AM123=1,J123,"")</f>
        <v/>
      </c>
      <c r="AT123" s="65" t="str">
        <f>IF(AND(AM123=1,ISNUMBER(R123)),R123,"")</f>
        <v/>
      </c>
      <c r="AU123" s="2" t="s">
        <v>8055</v>
      </c>
      <c r="AV123" s="5">
        <v>24</v>
      </c>
      <c r="AW123" s="5">
        <v>40</v>
      </c>
      <c r="AX123" s="5">
        <v>64</v>
      </c>
      <c r="AY123" s="2" t="s">
        <v>8832</v>
      </c>
      <c r="AZ123" s="2" t="s">
        <v>8059</v>
      </c>
      <c r="BA123" s="2" t="s">
        <v>8058</v>
      </c>
      <c r="BB123" s="2" t="s">
        <v>8833</v>
      </c>
    </row>
    <row r="124" spans="1:54" ht="75.95" customHeight="1">
      <c r="A124" s="4" t="s">
        <v>82</v>
      </c>
      <c r="B124" s="4" t="s">
        <v>449</v>
      </c>
      <c r="C124" s="4" t="s">
        <v>450</v>
      </c>
      <c r="D124" s="4" t="s">
        <v>726</v>
      </c>
      <c r="E124" s="4" t="s">
        <v>8728</v>
      </c>
      <c r="F124" s="4" t="s">
        <v>8781</v>
      </c>
      <c r="G124" s="4" t="s">
        <v>8677</v>
      </c>
      <c r="H124" s="4" t="s">
        <v>8782</v>
      </c>
      <c r="I124" s="4" t="s">
        <v>8783</v>
      </c>
      <c r="J124" s="64">
        <v>6</v>
      </c>
      <c r="K124" s="94" t="s">
        <v>249</v>
      </c>
      <c r="L124" s="4" t="s">
        <v>491</v>
      </c>
      <c r="M124" s="2" t="s">
        <v>75</v>
      </c>
      <c r="N124" s="2" t="s">
        <v>1424</v>
      </c>
      <c r="O124" s="2" t="s">
        <v>1165</v>
      </c>
      <c r="P124" s="2" t="s">
        <v>455</v>
      </c>
      <c r="Q124" s="2" t="s">
        <v>8784</v>
      </c>
      <c r="R124" s="65">
        <v>2.5</v>
      </c>
      <c r="S124" s="2" t="s">
        <v>8660</v>
      </c>
      <c r="T124" s="2" t="s">
        <v>2026</v>
      </c>
      <c r="U124" s="2" t="s">
        <v>8785</v>
      </c>
      <c r="V124" s="2" t="s">
        <v>8786</v>
      </c>
      <c r="W124" s="2" t="s">
        <v>8662</v>
      </c>
      <c r="X124" s="2" t="s">
        <v>728</v>
      </c>
      <c r="Y124" s="33" t="s">
        <v>727</v>
      </c>
      <c r="Z124" s="9">
        <v>46264</v>
      </c>
      <c r="AA124" s="2" t="s">
        <v>952</v>
      </c>
      <c r="AB124" s="2" t="s">
        <v>953</v>
      </c>
      <c r="AC124" s="2"/>
      <c r="AD124" s="2" t="s">
        <v>8675</v>
      </c>
      <c r="AE124" s="2" t="s">
        <v>8787</v>
      </c>
      <c r="AF124" s="2" t="s">
        <v>830</v>
      </c>
      <c r="AG124" s="2" t="s">
        <v>1061</v>
      </c>
      <c r="AH124" s="2" t="s">
        <v>8665</v>
      </c>
      <c r="AI124" s="2" t="str">
        <f>IF(Y124="","",Y124)</f>
        <v>6615481b — Converge frontend journey and design-system truth</v>
      </c>
      <c r="AJ124" s="2" t="s">
        <v>1522</v>
      </c>
      <c r="AK124" s="2" t="s">
        <v>8594</v>
      </c>
      <c r="AL124" s="2" t="s">
        <v>8666</v>
      </c>
      <c r="AM124" s="2">
        <f>IF(AND(ISNUMBER(J124),OR(AR124="INHERITED ESTIMATE",AR124="CONFIRMED ESTIMATE")),1,0)</f>
        <v>1</v>
      </c>
      <c r="AN124" s="2"/>
      <c r="AO124" s="32" t="s">
        <v>1415</v>
      </c>
      <c r="AP124" s="32" t="s">
        <v>1418</v>
      </c>
      <c r="AQ124" s="32"/>
      <c r="AR124" s="32" t="s">
        <v>1420</v>
      </c>
      <c r="AS124" s="65">
        <f>IF(AM124=1,J124,"")</f>
        <v>6</v>
      </c>
      <c r="AT124" s="65">
        <f>IF(AND(AM124=1,ISNUMBER(R124)),R124,"")</f>
        <v>2.5</v>
      </c>
      <c r="AU124" s="2" t="s">
        <v>8667</v>
      </c>
      <c r="AV124" s="5"/>
      <c r="AW124" s="5"/>
      <c r="AX124" s="5"/>
      <c r="AY124" s="2" t="s">
        <v>8668</v>
      </c>
      <c r="AZ124" s="2"/>
      <c r="BA124" s="2"/>
      <c r="BB124" s="2"/>
    </row>
    <row r="125" spans="1:54" ht="75.95" customHeight="1">
      <c r="A125" s="4" t="s">
        <v>83</v>
      </c>
      <c r="B125" s="4" t="s">
        <v>449</v>
      </c>
      <c r="C125" s="4" t="s">
        <v>450</v>
      </c>
      <c r="D125" s="4" t="s">
        <v>729</v>
      </c>
      <c r="E125" s="4" t="s">
        <v>8669</v>
      </c>
      <c r="F125" s="4" t="s">
        <v>8788</v>
      </c>
      <c r="G125" s="4" t="s">
        <v>8656</v>
      </c>
      <c r="H125" s="4" t="s">
        <v>8789</v>
      </c>
      <c r="I125" s="4" t="s">
        <v>8790</v>
      </c>
      <c r="J125" s="64">
        <v>12</v>
      </c>
      <c r="K125" s="94" t="s">
        <v>249</v>
      </c>
      <c r="L125" s="4" t="s">
        <v>451</v>
      </c>
      <c r="M125" s="2" t="s">
        <v>1425</v>
      </c>
      <c r="N125" s="2" t="s">
        <v>8791</v>
      </c>
      <c r="O125" s="2" t="s">
        <v>1165</v>
      </c>
      <c r="P125" s="2" t="s">
        <v>455</v>
      </c>
      <c r="Q125" s="2" t="s">
        <v>8674</v>
      </c>
      <c r="R125" s="65">
        <v>1.8</v>
      </c>
      <c r="S125" s="2" t="s">
        <v>8660</v>
      </c>
      <c r="T125" s="2" t="s">
        <v>2026</v>
      </c>
      <c r="U125" s="2" t="s">
        <v>8792</v>
      </c>
      <c r="V125" s="2" t="s">
        <v>8793</v>
      </c>
      <c r="W125" s="2" t="s">
        <v>8662</v>
      </c>
      <c r="X125" s="2" t="s">
        <v>731</v>
      </c>
      <c r="Y125" s="33" t="s">
        <v>2221</v>
      </c>
      <c r="Z125" s="9"/>
      <c r="AA125" s="2" t="s">
        <v>911</v>
      </c>
      <c r="AB125" s="2" t="s">
        <v>912</v>
      </c>
      <c r="AC125" s="2" t="s">
        <v>949</v>
      </c>
      <c r="AD125" s="2" t="s">
        <v>8686</v>
      </c>
      <c r="AE125" s="2" t="s">
        <v>8676</v>
      </c>
      <c r="AF125" s="2" t="s">
        <v>830</v>
      </c>
      <c r="AG125" s="2" t="s">
        <v>1061</v>
      </c>
      <c r="AH125" s="2" t="s">
        <v>8665</v>
      </c>
      <c r="AI125" s="2" t="str">
        <f>IF(Y125="","",Y125)</f>
        <v>7ba31f96f3810bdac734bd1850275a601503d34d</v>
      </c>
      <c r="AJ125" s="2" t="s">
        <v>1522</v>
      </c>
      <c r="AK125" s="2" t="s">
        <v>8594</v>
      </c>
      <c r="AL125" s="2" t="s">
        <v>8666</v>
      </c>
      <c r="AM125" s="2">
        <f>IF(AND(ISNUMBER(J125),OR(AR125="INHERITED ESTIMATE",AR125="CONFIRMED ESTIMATE")),1,0)</f>
        <v>1</v>
      </c>
      <c r="AN125" s="2"/>
      <c r="AO125" s="32" t="s">
        <v>1415</v>
      </c>
      <c r="AP125" s="32" t="s">
        <v>2228</v>
      </c>
      <c r="AQ125" s="32"/>
      <c r="AR125" s="32" t="s">
        <v>1420</v>
      </c>
      <c r="AS125" s="65">
        <f>IF(AM125=1,J125,"")</f>
        <v>12</v>
      </c>
      <c r="AT125" s="65">
        <f>IF(AND(AM125=1,ISNUMBER(R125)),R125,"")</f>
        <v>1.8</v>
      </c>
      <c r="AU125" s="2" t="s">
        <v>8667</v>
      </c>
      <c r="AV125" s="5"/>
      <c r="AW125" s="5"/>
      <c r="AX125" s="5"/>
      <c r="AY125" s="2" t="s">
        <v>8668</v>
      </c>
      <c r="AZ125" s="2"/>
      <c r="BA125" s="2"/>
      <c r="BB125" s="2"/>
    </row>
    <row r="126" spans="1:54" ht="75.95" customHeight="1">
      <c r="A126" s="4" t="s">
        <v>84</v>
      </c>
      <c r="B126" s="4" t="s">
        <v>449</v>
      </c>
      <c r="C126" s="4" t="s">
        <v>450</v>
      </c>
      <c r="D126" s="4" t="s">
        <v>735</v>
      </c>
      <c r="E126" s="4" t="s">
        <v>8714</v>
      </c>
      <c r="F126" s="4" t="s">
        <v>8794</v>
      </c>
      <c r="G126" s="4" t="s">
        <v>8656</v>
      </c>
      <c r="H126" s="4" t="s">
        <v>8795</v>
      </c>
      <c r="I126" s="4" t="s">
        <v>8796</v>
      </c>
      <c r="J126" s="64">
        <v>8</v>
      </c>
      <c r="K126" s="94" t="s">
        <v>249</v>
      </c>
      <c r="L126" s="4" t="s">
        <v>451</v>
      </c>
      <c r="M126" s="2" t="s">
        <v>736</v>
      </c>
      <c r="N126" s="2" t="s">
        <v>8797</v>
      </c>
      <c r="O126" s="2" t="s">
        <v>1165</v>
      </c>
      <c r="P126" s="2" t="s">
        <v>455</v>
      </c>
      <c r="Q126" s="2" t="s">
        <v>8659</v>
      </c>
      <c r="R126" s="65">
        <v>1.2</v>
      </c>
      <c r="S126" s="2" t="s">
        <v>8660</v>
      </c>
      <c r="T126" s="2" t="s">
        <v>2026</v>
      </c>
      <c r="U126" s="2" t="s">
        <v>8798</v>
      </c>
      <c r="V126" s="2" t="s">
        <v>8799</v>
      </c>
      <c r="W126" s="2" t="s">
        <v>8662</v>
      </c>
      <c r="X126" s="2" t="s">
        <v>738</v>
      </c>
      <c r="Y126" s="33" t="s">
        <v>8800</v>
      </c>
      <c r="Z126" s="9" t="s">
        <v>8801</v>
      </c>
      <c r="AA126" s="2" t="s">
        <v>952</v>
      </c>
      <c r="AB126" s="2" t="s">
        <v>953</v>
      </c>
      <c r="AC126" s="2"/>
      <c r="AD126" s="2" t="s">
        <v>8802</v>
      </c>
      <c r="AE126" s="2" t="s">
        <v>8693</v>
      </c>
      <c r="AF126" s="2" t="s">
        <v>830</v>
      </c>
      <c r="AG126" s="2" t="s">
        <v>1061</v>
      </c>
      <c r="AH126" s="2" t="s">
        <v>8665</v>
      </c>
      <c r="AI126" s="2" t="str">
        <f>IF(Y126="","",Y126)</f>
        <v>50c282ad5cb301a6422273599d6d6a05e70f71d4 — T-252 converge automated test databases onto disposable isolated targets</v>
      </c>
      <c r="AJ126" s="2" t="s">
        <v>1522</v>
      </c>
      <c r="AK126" s="2" t="s">
        <v>8594</v>
      </c>
      <c r="AL126" s="2" t="s">
        <v>8666</v>
      </c>
      <c r="AM126" s="2">
        <f>IF(AND(ISNUMBER(J126),OR(AR126="INHERITED ESTIMATE",AR126="CONFIRMED ESTIMATE")),1,0)</f>
        <v>1</v>
      </c>
      <c r="AN126" s="2"/>
      <c r="AO126" s="32" t="s">
        <v>1415</v>
      </c>
      <c r="AP126" s="32" t="s">
        <v>8803</v>
      </c>
      <c r="AQ126" s="32"/>
      <c r="AR126" s="32" t="s">
        <v>1420</v>
      </c>
      <c r="AS126" s="65">
        <f>IF(AM126=1,J126,"")</f>
        <v>8</v>
      </c>
      <c r="AT126" s="65">
        <f>IF(AND(AM126=1,ISNUMBER(R126)),R126,"")</f>
        <v>1.2</v>
      </c>
      <c r="AU126" s="2" t="s">
        <v>8667</v>
      </c>
      <c r="AV126" s="5"/>
      <c r="AW126" s="5"/>
      <c r="AX126" s="5"/>
      <c r="AY126" s="2" t="s">
        <v>8668</v>
      </c>
      <c r="AZ126" s="2"/>
      <c r="BA126" s="2"/>
      <c r="BB126" s="2"/>
    </row>
    <row r="127" spans="1:54" ht="75.95" customHeight="1">
      <c r="A127" s="2" t="s">
        <v>117</v>
      </c>
      <c r="B127" s="2" t="s">
        <v>449</v>
      </c>
      <c r="C127" s="2" t="s">
        <v>524</v>
      </c>
      <c r="D127" s="2" t="s">
        <v>614</v>
      </c>
      <c r="E127" s="2" t="s">
        <v>8728</v>
      </c>
      <c r="F127" s="2" t="s">
        <v>8942</v>
      </c>
      <c r="G127" s="2" t="s">
        <v>8656</v>
      </c>
      <c r="H127" s="2" t="s">
        <v>8980</v>
      </c>
      <c r="I127" s="2" t="s">
        <v>8981</v>
      </c>
      <c r="J127" s="65">
        <v>12</v>
      </c>
      <c r="K127" s="94" t="s">
        <v>249</v>
      </c>
      <c r="L127" s="2" t="s">
        <v>491</v>
      </c>
      <c r="M127" s="2" t="s">
        <v>616</v>
      </c>
      <c r="N127" s="2" t="s">
        <v>1477</v>
      </c>
      <c r="O127" s="2" t="s">
        <v>1165</v>
      </c>
      <c r="P127" s="2" t="s">
        <v>455</v>
      </c>
      <c r="Q127" s="2" t="s">
        <v>8982</v>
      </c>
      <c r="R127" s="65">
        <v>4.8</v>
      </c>
      <c r="S127" s="2" t="s">
        <v>1175</v>
      </c>
      <c r="T127" s="2" t="s">
        <v>2026</v>
      </c>
      <c r="U127" s="2" t="s">
        <v>8983</v>
      </c>
      <c r="V127" s="2" t="s">
        <v>8984</v>
      </c>
      <c r="W127" s="2" t="s">
        <v>1178</v>
      </c>
      <c r="X127" s="2" t="s">
        <v>618</v>
      </c>
      <c r="Y127" s="33"/>
      <c r="Z127" s="9"/>
      <c r="AA127" s="2" t="s">
        <v>873</v>
      </c>
      <c r="AB127" s="2" t="s">
        <v>874</v>
      </c>
      <c r="AC127" s="2" t="s">
        <v>850</v>
      </c>
      <c r="AD127" s="2" t="s">
        <v>8686</v>
      </c>
      <c r="AE127" s="2" t="s">
        <v>8787</v>
      </c>
      <c r="AF127" s="2" t="s">
        <v>830</v>
      </c>
      <c r="AG127" s="2" t="s">
        <v>1061</v>
      </c>
      <c r="AH127" s="2" t="s">
        <v>8665</v>
      </c>
      <c r="AI127" s="2" t="str">
        <f>IF(Y127="","",Y127)</f>
        <v/>
      </c>
      <c r="AJ127" s="2" t="s">
        <v>1522</v>
      </c>
      <c r="AK127" s="2" t="s">
        <v>8594</v>
      </c>
      <c r="AL127" s="2" t="s">
        <v>8666</v>
      </c>
      <c r="AM127" s="2">
        <f>IF(AND(ISNUMBER(J127),OR(AR127="INHERITED ESTIMATE",AR127="CONFIRMED ESTIMATE")),1,0)</f>
        <v>1</v>
      </c>
      <c r="AN127" s="2"/>
      <c r="AO127" s="32" t="s">
        <v>1415</v>
      </c>
      <c r="AP127" s="32" t="s">
        <v>8828</v>
      </c>
      <c r="AQ127" s="32"/>
      <c r="AR127" s="32" t="s">
        <v>1420</v>
      </c>
      <c r="AS127" s="65">
        <f>IF(AM127=1,J127,"")</f>
        <v>12</v>
      </c>
      <c r="AT127" s="65">
        <f>IF(AND(AM127=1,ISNUMBER(R127)),R127,"")</f>
        <v>4.8</v>
      </c>
      <c r="AU127" s="2" t="s">
        <v>7998</v>
      </c>
      <c r="AV127" s="5">
        <v>0</v>
      </c>
      <c r="AW127" s="5">
        <v>0</v>
      </c>
      <c r="AX127" s="5">
        <v>0</v>
      </c>
      <c r="AY127" s="2" t="s">
        <v>8832</v>
      </c>
      <c r="AZ127" s="2" t="s">
        <v>7999</v>
      </c>
      <c r="BA127" s="2" t="s">
        <v>1771</v>
      </c>
      <c r="BB127" s="2" t="s">
        <v>8833</v>
      </c>
    </row>
    <row r="128" spans="1:54" ht="75.95" customHeight="1">
      <c r="A128" s="2" t="s">
        <v>118</v>
      </c>
      <c r="B128" s="2" t="s">
        <v>449</v>
      </c>
      <c r="C128" s="2" t="s">
        <v>524</v>
      </c>
      <c r="D128" s="2" t="s">
        <v>619</v>
      </c>
      <c r="E128" s="2" t="s">
        <v>8728</v>
      </c>
      <c r="F128" s="2" t="s">
        <v>8985</v>
      </c>
      <c r="G128" s="2" t="s">
        <v>8656</v>
      </c>
      <c r="H128" s="2" t="s">
        <v>1082</v>
      </c>
      <c r="I128" s="2" t="s">
        <v>8986</v>
      </c>
      <c r="J128" s="65">
        <v>6</v>
      </c>
      <c r="K128" s="94" t="s">
        <v>615</v>
      </c>
      <c r="L128" s="2" t="s">
        <v>491</v>
      </c>
      <c r="M128" s="2" t="s">
        <v>8987</v>
      </c>
      <c r="N128" s="2" t="s">
        <v>8988</v>
      </c>
      <c r="O128" s="2" t="s">
        <v>1165</v>
      </c>
      <c r="P128" s="2" t="s">
        <v>455</v>
      </c>
      <c r="Q128" s="2" t="s">
        <v>8982</v>
      </c>
      <c r="R128" s="65">
        <v>2.5499999999999998</v>
      </c>
      <c r="S128" s="2" t="s">
        <v>1175</v>
      </c>
      <c r="T128" s="2" t="s">
        <v>2591</v>
      </c>
      <c r="U128" s="2" t="s">
        <v>8989</v>
      </c>
      <c r="V128" s="2" t="s">
        <v>8990</v>
      </c>
      <c r="W128" s="2" t="s">
        <v>1178</v>
      </c>
      <c r="X128" s="2" t="s">
        <v>621</v>
      </c>
      <c r="Y128" s="33" t="s">
        <v>2594</v>
      </c>
      <c r="Z128" s="9"/>
      <c r="AA128" s="2" t="s">
        <v>836</v>
      </c>
      <c r="AB128" s="2" t="s">
        <v>837</v>
      </c>
      <c r="AC128" s="2"/>
      <c r="AD128" s="2" t="s">
        <v>8675</v>
      </c>
      <c r="AE128" s="2" t="s">
        <v>8885</v>
      </c>
      <c r="AF128" s="2" t="s">
        <v>830</v>
      </c>
      <c r="AG128" s="2" t="s">
        <v>1061</v>
      </c>
      <c r="AH128" s="2" t="s">
        <v>8665</v>
      </c>
      <c r="AI128" s="2" t="str">
        <f>IF(Y128="","",Y128)</f>
        <v>f8a35725c9b0d7fb5a0515c0103a72807a704a97</v>
      </c>
      <c r="AJ128" s="2" t="s">
        <v>2348</v>
      </c>
      <c r="AK128" s="2" t="s">
        <v>8594</v>
      </c>
      <c r="AL128" s="2" t="s">
        <v>8666</v>
      </c>
      <c r="AM128" s="2">
        <f>IF(AND(ISNUMBER(J128),OR(AR128="INHERITED ESTIMATE",AR128="CONFIRMED ESTIMATE")),1,0)</f>
        <v>0</v>
      </c>
      <c r="AN128" s="2"/>
      <c r="AO128" s="32" t="s">
        <v>2605</v>
      </c>
      <c r="AP128" s="32" t="s">
        <v>2599</v>
      </c>
      <c r="AQ128" s="32"/>
      <c r="AR128" s="32" t="s">
        <v>1472</v>
      </c>
      <c r="AS128" s="65" t="str">
        <f>IF(AM128=1,J128,"")</f>
        <v/>
      </c>
      <c r="AT128" s="65" t="str">
        <f>IF(AND(AM128=1,ISNUMBER(R128)),R128,"")</f>
        <v/>
      </c>
      <c r="AU128" s="2" t="s">
        <v>8000</v>
      </c>
      <c r="AV128" s="5">
        <v>2</v>
      </c>
      <c r="AW128" s="5">
        <v>4</v>
      </c>
      <c r="AX128" s="5">
        <v>7</v>
      </c>
      <c r="AY128" s="2" t="s">
        <v>8832</v>
      </c>
      <c r="AZ128" s="2" t="s">
        <v>8001</v>
      </c>
      <c r="BA128" s="2" t="s">
        <v>1775</v>
      </c>
      <c r="BB128" s="2" t="s">
        <v>8833</v>
      </c>
    </row>
    <row r="129" spans="1:54" ht="75.95" customHeight="1">
      <c r="A129" s="2" t="s">
        <v>85</v>
      </c>
      <c r="B129" s="2" t="s">
        <v>449</v>
      </c>
      <c r="C129" s="2" t="s">
        <v>450</v>
      </c>
      <c r="D129" s="2" t="s">
        <v>739</v>
      </c>
      <c r="E129" s="2" t="s">
        <v>8687</v>
      </c>
      <c r="F129" s="2" t="s">
        <v>8804</v>
      </c>
      <c r="G129" s="2" t="s">
        <v>8656</v>
      </c>
      <c r="H129" s="2" t="s">
        <v>8805</v>
      </c>
      <c r="I129" s="2" t="s">
        <v>8806</v>
      </c>
      <c r="J129" s="65">
        <v>12</v>
      </c>
      <c r="K129" s="94" t="s">
        <v>249</v>
      </c>
      <c r="L129" s="2" t="s">
        <v>451</v>
      </c>
      <c r="M129" s="2" t="s">
        <v>740</v>
      </c>
      <c r="N129" s="2" t="s">
        <v>1427</v>
      </c>
      <c r="O129" s="2" t="s">
        <v>1165</v>
      </c>
      <c r="P129" s="2" t="s">
        <v>455</v>
      </c>
      <c r="Q129" s="2" t="s">
        <v>8691</v>
      </c>
      <c r="R129" s="65">
        <v>3.2</v>
      </c>
      <c r="S129" s="2" t="s">
        <v>8660</v>
      </c>
      <c r="T129" s="2" t="s">
        <v>2026</v>
      </c>
      <c r="U129" s="2" t="s">
        <v>8807</v>
      </c>
      <c r="V129" s="2" t="s">
        <v>8808</v>
      </c>
      <c r="W129" s="2" t="s">
        <v>8662</v>
      </c>
      <c r="X129" s="2" t="s">
        <v>742</v>
      </c>
      <c r="Y129" s="33" t="s">
        <v>8809</v>
      </c>
      <c r="Z129" s="9" t="s">
        <v>8801</v>
      </c>
      <c r="AA129" s="2" t="s">
        <v>845</v>
      </c>
      <c r="AB129" s="2" t="s">
        <v>847</v>
      </c>
      <c r="AC129" s="2" t="s">
        <v>8810</v>
      </c>
      <c r="AD129" s="2" t="s">
        <v>8675</v>
      </c>
      <c r="AE129" s="2" t="s">
        <v>8763</v>
      </c>
      <c r="AF129" s="2" t="s">
        <v>830</v>
      </c>
      <c r="AG129" s="2" t="s">
        <v>1061</v>
      </c>
      <c r="AH129" s="2" t="s">
        <v>8665</v>
      </c>
      <c r="AI129" s="2" t="str">
        <f>IF(Y129="","",Y129)</f>
        <v>36de9370765183e76227869372fbcd14b43dd066 — T-256 converge runtime consumers onto canonical three-schema and projection-target authorities</v>
      </c>
      <c r="AJ129" s="2" t="s">
        <v>1522</v>
      </c>
      <c r="AK129" s="2" t="s">
        <v>8594</v>
      </c>
      <c r="AL129" s="2" t="s">
        <v>8666</v>
      </c>
      <c r="AM129" s="2">
        <f>IF(AND(ISNUMBER(J129),OR(AR129="INHERITED ESTIMATE",AR129="CONFIRMED ESTIMATE")),1,0)</f>
        <v>1</v>
      </c>
      <c r="AN129" s="2"/>
      <c r="AO129" s="32" t="s">
        <v>1415</v>
      </c>
      <c r="AP129" s="32" t="s">
        <v>2253</v>
      </c>
      <c r="AQ129" s="32"/>
      <c r="AR129" s="32" t="s">
        <v>1420</v>
      </c>
      <c r="AS129" s="65">
        <f>IF(AM129=1,J129,"")</f>
        <v>12</v>
      </c>
      <c r="AT129" s="65">
        <f>IF(AND(AM129=1,ISNUMBER(R129)),R129,"")</f>
        <v>3.2</v>
      </c>
      <c r="AU129" s="2" t="s">
        <v>8667</v>
      </c>
      <c r="AV129" s="5"/>
      <c r="AW129" s="5"/>
      <c r="AX129" s="5"/>
      <c r="AY129" s="2" t="s">
        <v>8668</v>
      </c>
      <c r="AZ129" s="2"/>
      <c r="BA129" s="2"/>
      <c r="BB129" s="2"/>
    </row>
    <row r="130" spans="1:54" ht="75.95" customHeight="1">
      <c r="A130" s="2" t="s">
        <v>124</v>
      </c>
      <c r="B130" s="2" t="s">
        <v>449</v>
      </c>
      <c r="C130" s="2" t="s">
        <v>622</v>
      </c>
      <c r="D130" s="2" t="s">
        <v>623</v>
      </c>
      <c r="E130" s="2" t="s">
        <v>8728</v>
      </c>
      <c r="F130" s="2" t="s">
        <v>9030</v>
      </c>
      <c r="G130" s="2" t="s">
        <v>8656</v>
      </c>
      <c r="H130" s="2" t="s">
        <v>9031</v>
      </c>
      <c r="I130" s="2" t="s">
        <v>9032</v>
      </c>
      <c r="J130" s="65">
        <v>8</v>
      </c>
      <c r="K130" s="94" t="s">
        <v>537</v>
      </c>
      <c r="L130" s="2" t="s">
        <v>491</v>
      </c>
      <c r="M130" s="2" t="s">
        <v>624</v>
      </c>
      <c r="N130" s="2" t="s">
        <v>1464</v>
      </c>
      <c r="O130" s="2" t="s">
        <v>1165</v>
      </c>
      <c r="P130" s="2" t="s">
        <v>455</v>
      </c>
      <c r="Q130" s="2" t="s">
        <v>8784</v>
      </c>
      <c r="R130" s="65">
        <v>3.4</v>
      </c>
      <c r="S130" s="2" t="s">
        <v>9011</v>
      </c>
      <c r="T130" s="2" t="s">
        <v>9033</v>
      </c>
      <c r="U130" s="2" t="s">
        <v>9034</v>
      </c>
      <c r="V130" s="2" t="s">
        <v>9035</v>
      </c>
      <c r="W130" s="2" t="s">
        <v>9013</v>
      </c>
      <c r="X130" s="2" t="s">
        <v>626</v>
      </c>
      <c r="Y130" s="33"/>
      <c r="Z130" s="9"/>
      <c r="AA130" s="2" t="s">
        <v>898</v>
      </c>
      <c r="AB130" s="2" t="s">
        <v>900</v>
      </c>
      <c r="AC130" s="2" t="s">
        <v>869</v>
      </c>
      <c r="AD130" s="2" t="s">
        <v>8675</v>
      </c>
      <c r="AE130" s="2" t="s">
        <v>8787</v>
      </c>
      <c r="AF130" s="2" t="s">
        <v>830</v>
      </c>
      <c r="AG130" s="2" t="s">
        <v>1061</v>
      </c>
      <c r="AH130" s="2" t="s">
        <v>8665</v>
      </c>
      <c r="AI130" s="2" t="str">
        <f>IF(Y130="","",Y130)</f>
        <v/>
      </c>
      <c r="AJ130" s="2" t="s">
        <v>1522</v>
      </c>
      <c r="AK130" s="2" t="s">
        <v>8594</v>
      </c>
      <c r="AL130" s="2" t="s">
        <v>8666</v>
      </c>
      <c r="AM130" s="2">
        <f>IF(AND(ISNUMBER(J130),OR(AR130="INHERITED ESTIMATE",AR130="CONFIRMED ESTIMATE")),1,0)</f>
        <v>1</v>
      </c>
      <c r="AN130" s="2"/>
      <c r="AO130" s="32" t="s">
        <v>1429</v>
      </c>
      <c r="AP130" s="32" t="s">
        <v>1418</v>
      </c>
      <c r="AQ130" s="32"/>
      <c r="AR130" s="32" t="s">
        <v>1420</v>
      </c>
      <c r="AS130" s="65">
        <f>IF(AM130=1,J130,"")</f>
        <v>8</v>
      </c>
      <c r="AT130" s="65">
        <f>IF(AND(AM130=1,ISNUMBER(R130)),R130,"")</f>
        <v>3.4</v>
      </c>
      <c r="AU130" s="2" t="s">
        <v>8667</v>
      </c>
      <c r="AV130" s="5"/>
      <c r="AW130" s="5"/>
      <c r="AX130" s="5"/>
      <c r="AY130" s="2" t="s">
        <v>8668</v>
      </c>
      <c r="AZ130" s="2"/>
      <c r="BA130" s="2"/>
      <c r="BB130" s="2"/>
    </row>
    <row r="131" spans="1:54" ht="75.95" customHeight="1">
      <c r="A131" s="2" t="s">
        <v>86</v>
      </c>
      <c r="B131" s="2" t="s">
        <v>449</v>
      </c>
      <c r="C131" s="2" t="s">
        <v>450</v>
      </c>
      <c r="D131" s="2" t="s">
        <v>732</v>
      </c>
      <c r="E131" s="2" t="s">
        <v>8710</v>
      </c>
      <c r="F131" s="2" t="s">
        <v>8811</v>
      </c>
      <c r="G131" s="2" t="s">
        <v>8656</v>
      </c>
      <c r="H131" s="2" t="s">
        <v>8812</v>
      </c>
      <c r="I131" s="2" t="s">
        <v>8813</v>
      </c>
      <c r="J131" s="65">
        <v>2</v>
      </c>
      <c r="K131" s="92" t="s">
        <v>249</v>
      </c>
      <c r="L131" s="2" t="s">
        <v>451</v>
      </c>
      <c r="M131" s="2" t="s">
        <v>83</v>
      </c>
      <c r="N131" s="2" t="s">
        <v>1271</v>
      </c>
      <c r="O131" s="2" t="s">
        <v>1165</v>
      </c>
      <c r="P131" s="2" t="s">
        <v>455</v>
      </c>
      <c r="Q131" s="2" t="s">
        <v>8745</v>
      </c>
      <c r="R131" s="65">
        <v>0.3</v>
      </c>
      <c r="S131" s="2" t="s">
        <v>8660</v>
      </c>
      <c r="T131" s="2" t="s">
        <v>2026</v>
      </c>
      <c r="U131" s="2" t="s">
        <v>8814</v>
      </c>
      <c r="V131" s="2" t="s">
        <v>8815</v>
      </c>
      <c r="W131" s="2" t="s">
        <v>8662</v>
      </c>
      <c r="X131" s="2" t="s">
        <v>734</v>
      </c>
      <c r="Y131" s="33" t="s">
        <v>8816</v>
      </c>
      <c r="Z131" s="9"/>
      <c r="AA131" s="2" t="s">
        <v>964</v>
      </c>
      <c r="AB131" s="2" t="s">
        <v>8663</v>
      </c>
      <c r="AC131" s="2"/>
      <c r="AD131" s="2" t="s">
        <v>8686</v>
      </c>
      <c r="AE131" s="2" t="s">
        <v>8696</v>
      </c>
      <c r="AF131" s="2" t="s">
        <v>830</v>
      </c>
      <c r="AG131" s="2" t="s">
        <v>1061</v>
      </c>
      <c r="AH131" s="2" t="s">
        <v>8665</v>
      </c>
      <c r="AI131" s="2" t="str">
        <f>IF(Y131="","",Y131)</f>
        <v>9a7b0e74 — T-259 freeze release evidence envelope v1 contract (short SHA recovered only)</v>
      </c>
      <c r="AJ131" s="2" t="s">
        <v>1522</v>
      </c>
      <c r="AK131" s="2" t="s">
        <v>8594</v>
      </c>
      <c r="AL131" s="2" t="s">
        <v>8666</v>
      </c>
      <c r="AM131" s="2">
        <f>IF(AND(ISNUMBER(J131),OR(AR131="INHERITED ESTIMATE",AR131="CONFIRMED ESTIMATE")),1,0)</f>
        <v>1</v>
      </c>
      <c r="AN131" s="2"/>
      <c r="AO131" s="32" t="s">
        <v>1415</v>
      </c>
      <c r="AP131" s="32" t="s">
        <v>8817</v>
      </c>
      <c r="AQ131" s="32"/>
      <c r="AR131" s="32" t="s">
        <v>1420</v>
      </c>
      <c r="AS131" s="65">
        <f>IF(AM131=1,J131,"")</f>
        <v>2</v>
      </c>
      <c r="AT131" s="65">
        <f>IF(AND(AM131=1,ISNUMBER(R131)),R131,"")</f>
        <v>0.3</v>
      </c>
      <c r="AU131" s="2" t="s">
        <v>8667</v>
      </c>
      <c r="AV131" s="5"/>
      <c r="AW131" s="5"/>
      <c r="AX131" s="5"/>
      <c r="AY131" s="2" t="s">
        <v>8668</v>
      </c>
      <c r="AZ131" s="2"/>
      <c r="BA131" s="2"/>
      <c r="BB131" s="2"/>
    </row>
    <row r="132" spans="1:54" ht="75.95" customHeight="1">
      <c r="A132" s="2" t="s">
        <v>87</v>
      </c>
      <c r="B132" s="2" t="s">
        <v>449</v>
      </c>
      <c r="C132" s="2" t="s">
        <v>450</v>
      </c>
      <c r="D132" s="2" t="s">
        <v>8818</v>
      </c>
      <c r="E132" s="2" t="s">
        <v>8819</v>
      </c>
      <c r="F132" s="2" t="s">
        <v>8820</v>
      </c>
      <c r="G132" s="2" t="s">
        <v>8656</v>
      </c>
      <c r="H132" s="2" t="s">
        <v>8821</v>
      </c>
      <c r="I132" s="2" t="s">
        <v>8822</v>
      </c>
      <c r="J132" s="65">
        <v>6</v>
      </c>
      <c r="K132" s="94" t="s">
        <v>249</v>
      </c>
      <c r="L132" s="2" t="s">
        <v>451</v>
      </c>
      <c r="M132" s="2" t="s">
        <v>64</v>
      </c>
      <c r="N132" s="2" t="s">
        <v>83</v>
      </c>
      <c r="O132" s="2" t="s">
        <v>1165</v>
      </c>
      <c r="P132" s="2" t="s">
        <v>455</v>
      </c>
      <c r="Q132" s="2" t="s">
        <v>8823</v>
      </c>
      <c r="R132" s="65">
        <v>1.8</v>
      </c>
      <c r="S132" s="2" t="s">
        <v>8660</v>
      </c>
      <c r="T132" s="2" t="s">
        <v>2026</v>
      </c>
      <c r="U132" s="2" t="s">
        <v>8824</v>
      </c>
      <c r="V132" s="2" t="s">
        <v>8825</v>
      </c>
      <c r="W132" s="2" t="s">
        <v>8662</v>
      </c>
      <c r="X132" s="2" t="s">
        <v>8826</v>
      </c>
      <c r="Y132" s="33"/>
      <c r="Z132" s="9"/>
      <c r="AA132" s="2" t="s">
        <v>949</v>
      </c>
      <c r="AB132" s="2" t="s">
        <v>951</v>
      </c>
      <c r="AC132" s="2" t="s">
        <v>8827</v>
      </c>
      <c r="AD132" s="2" t="s">
        <v>8675</v>
      </c>
      <c r="AE132" s="2" t="s">
        <v>8693</v>
      </c>
      <c r="AF132" s="2" t="s">
        <v>830</v>
      </c>
      <c r="AG132" s="2" t="s">
        <v>1061</v>
      </c>
      <c r="AH132" s="2" t="s">
        <v>8665</v>
      </c>
      <c r="AI132" s="2" t="str">
        <f>IF(Y132="","",Y132)</f>
        <v/>
      </c>
      <c r="AJ132" s="2" t="s">
        <v>1522</v>
      </c>
      <c r="AK132" s="2" t="s">
        <v>8594</v>
      </c>
      <c r="AL132" s="2" t="s">
        <v>8666</v>
      </c>
      <c r="AM132" s="2">
        <f>IF(AND(ISNUMBER(J132),OR(AR132="INHERITED ESTIMATE",AR132="CONFIRMED ESTIMATE")),1,0)</f>
        <v>1</v>
      </c>
      <c r="AN132" s="2"/>
      <c r="AO132" s="32" t="s">
        <v>1415</v>
      </c>
      <c r="AP132" s="32" t="s">
        <v>8828</v>
      </c>
      <c r="AQ132" s="32"/>
      <c r="AR132" s="32" t="s">
        <v>1420</v>
      </c>
      <c r="AS132" s="65">
        <f>IF(AM132=1,J132,"")</f>
        <v>6</v>
      </c>
      <c r="AT132" s="65">
        <f>IF(AND(AM132=1,ISNUMBER(R132)),R132,"")</f>
        <v>1.8</v>
      </c>
      <c r="AU132" s="2" t="s">
        <v>8667</v>
      </c>
      <c r="AV132" s="5"/>
      <c r="AW132" s="5"/>
      <c r="AX132" s="5"/>
      <c r="AY132" s="2" t="s">
        <v>8668</v>
      </c>
      <c r="AZ132" s="2"/>
      <c r="BA132" s="2"/>
      <c r="BB132" s="2"/>
    </row>
    <row r="133" spans="1:54" ht="75.95" customHeight="1">
      <c r="A133" s="2" t="s">
        <v>119</v>
      </c>
      <c r="B133" s="2" t="s">
        <v>449</v>
      </c>
      <c r="C133" s="2" t="s">
        <v>524</v>
      </c>
      <c r="D133" s="2" t="s">
        <v>1777</v>
      </c>
      <c r="E133" s="2" t="s">
        <v>8991</v>
      </c>
      <c r="F133" s="2" t="s">
        <v>8992</v>
      </c>
      <c r="G133" s="2" t="s">
        <v>8656</v>
      </c>
      <c r="H133" s="2" t="s">
        <v>8993</v>
      </c>
      <c r="I133" s="2" t="s">
        <v>8994</v>
      </c>
      <c r="J133" s="65">
        <v>12</v>
      </c>
      <c r="K133" s="94" t="s">
        <v>249</v>
      </c>
      <c r="L133" s="2" t="s">
        <v>491</v>
      </c>
      <c r="M133" s="2" t="s">
        <v>7750</v>
      </c>
      <c r="N133" s="2" t="s">
        <v>1274</v>
      </c>
      <c r="O133" s="2" t="s">
        <v>1165</v>
      </c>
      <c r="P133" s="2" t="s">
        <v>455</v>
      </c>
      <c r="Q133" s="2" t="s">
        <v>8995</v>
      </c>
      <c r="R133" s="65">
        <v>5.0999999999999996</v>
      </c>
      <c r="S133" s="2" t="s">
        <v>1175</v>
      </c>
      <c r="T133" s="2" t="s">
        <v>1782</v>
      </c>
      <c r="U133" s="2" t="s">
        <v>7765</v>
      </c>
      <c r="V133" s="2" t="s">
        <v>7768</v>
      </c>
      <c r="W133" s="2" t="s">
        <v>1178</v>
      </c>
      <c r="X133" s="2" t="s">
        <v>1170</v>
      </c>
      <c r="Y133" s="33"/>
      <c r="Z133" s="9"/>
      <c r="AA133" s="2" t="s">
        <v>850</v>
      </c>
      <c r="AB133" s="2" t="s">
        <v>851</v>
      </c>
      <c r="AC133" s="2" t="s">
        <v>8996</v>
      </c>
      <c r="AD133" s="2" t="s">
        <v>8686</v>
      </c>
      <c r="AE133" s="2" t="s">
        <v>8696</v>
      </c>
      <c r="AF133" s="2" t="s">
        <v>830</v>
      </c>
      <c r="AG133" s="2" t="s">
        <v>1061</v>
      </c>
      <c r="AH133" s="2" t="s">
        <v>8665</v>
      </c>
      <c r="AI133" s="2" t="str">
        <f>IF(Y133="","",Y133)</f>
        <v/>
      </c>
      <c r="AJ133" s="2" t="s">
        <v>1522</v>
      </c>
      <c r="AK133" s="2" t="s">
        <v>8594</v>
      </c>
      <c r="AL133" s="2" t="s">
        <v>8666</v>
      </c>
      <c r="AM133" s="2">
        <f>IF(AND(ISNUMBER(J133),OR(AR133="INHERITED ESTIMATE",AR133="CONFIRMED ESTIMATE")),1,0)</f>
        <v>1</v>
      </c>
      <c r="AN133" s="2"/>
      <c r="AO133" s="32" t="s">
        <v>7760</v>
      </c>
      <c r="AP133" s="32" t="s">
        <v>7762</v>
      </c>
      <c r="AQ133" s="32"/>
      <c r="AR133" s="32" t="s">
        <v>1420</v>
      </c>
      <c r="AS133" s="65">
        <f>IF(AM133=1,J133,"")</f>
        <v>12</v>
      </c>
      <c r="AT133" s="65">
        <f>IF(AND(AM133=1,ISNUMBER(R133)),R133,"")</f>
        <v>5.0999999999999996</v>
      </c>
      <c r="AU133" s="2" t="s">
        <v>7792</v>
      </c>
      <c r="AV133" s="5">
        <v>16</v>
      </c>
      <c r="AW133" s="5">
        <v>26</v>
      </c>
      <c r="AX133" s="5">
        <v>42</v>
      </c>
      <c r="AY133" s="2" t="s">
        <v>8832</v>
      </c>
      <c r="AZ133" s="2" t="s">
        <v>8002</v>
      </c>
      <c r="BA133" s="2" t="s">
        <v>1781</v>
      </c>
      <c r="BB133" s="2" t="s">
        <v>8833</v>
      </c>
    </row>
    <row r="134" spans="1:54" ht="75.95" customHeight="1">
      <c r="A134" s="2" t="s">
        <v>120</v>
      </c>
      <c r="B134" s="2" t="s">
        <v>449</v>
      </c>
      <c r="C134" s="2" t="s">
        <v>524</v>
      </c>
      <c r="D134" s="2" t="s">
        <v>1157</v>
      </c>
      <c r="E134" s="2" t="s">
        <v>8997</v>
      </c>
      <c r="F134" s="2" t="s">
        <v>1157</v>
      </c>
      <c r="G134" s="2" t="s">
        <v>8656</v>
      </c>
      <c r="H134" s="2" t="s">
        <v>8998</v>
      </c>
      <c r="I134" s="2" t="s">
        <v>8999</v>
      </c>
      <c r="J134" s="67"/>
      <c r="K134" s="94" t="s">
        <v>249</v>
      </c>
      <c r="L134" s="2" t="s">
        <v>491</v>
      </c>
      <c r="M134" s="2" t="s">
        <v>1495</v>
      </c>
      <c r="N134" s="2" t="s">
        <v>1496</v>
      </c>
      <c r="O134" s="2" t="s">
        <v>1165</v>
      </c>
      <c r="P134" s="2" t="s">
        <v>455</v>
      </c>
      <c r="Q134" s="2" t="s">
        <v>9000</v>
      </c>
      <c r="R134" s="65"/>
      <c r="S134" s="2" t="s">
        <v>1175</v>
      </c>
      <c r="T134" s="2" t="s">
        <v>1497</v>
      </c>
      <c r="U134" s="2" t="s">
        <v>9001</v>
      </c>
      <c r="V134" s="2" t="s">
        <v>9002</v>
      </c>
      <c r="W134" s="2" t="s">
        <v>1178</v>
      </c>
      <c r="X134" s="2" t="s">
        <v>1170</v>
      </c>
      <c r="Y134" s="33" t="s">
        <v>9003</v>
      </c>
      <c r="Z134" s="9" t="s">
        <v>8617</v>
      </c>
      <c r="AA134" s="2" t="s">
        <v>848</v>
      </c>
      <c r="AB134" s="2" t="s">
        <v>849</v>
      </c>
      <c r="AC134" s="2" t="s">
        <v>9004</v>
      </c>
      <c r="AD134" s="2" t="s">
        <v>8686</v>
      </c>
      <c r="AE134" s="2" t="s">
        <v>9005</v>
      </c>
      <c r="AF134" s="2" t="s">
        <v>830</v>
      </c>
      <c r="AG134" s="2" t="s">
        <v>1061</v>
      </c>
      <c r="AH134" s="2" t="s">
        <v>8665</v>
      </c>
      <c r="AI134" s="2" t="str">
        <f>IF(Y134="","",Y134)</f>
        <v>86e1b677212195f191697ecdca7e9441b3dbde33 — producer declaration; db0b0f84ec721f8adff1da14d4a62762200a22d6 — final live definition-store integration closure</v>
      </c>
      <c r="AJ134" s="34" t="s">
        <v>1502</v>
      </c>
      <c r="AK134" s="34" t="s">
        <v>8594</v>
      </c>
      <c r="AL134" s="34" t="s">
        <v>8666</v>
      </c>
      <c r="AM134" s="34">
        <f>IF(AND(ISNUMBER(J134),OR(AR134="INHERITED ESTIMATE",AR134="CONFIRMED ESTIMATE")),1,0)</f>
        <v>0</v>
      </c>
      <c r="AN134" s="34"/>
      <c r="AO134" s="35" t="s">
        <v>9006</v>
      </c>
      <c r="AP134" s="35" t="s">
        <v>9007</v>
      </c>
      <c r="AQ134" s="35" t="s">
        <v>9008</v>
      </c>
      <c r="AR134" s="35" t="s">
        <v>635</v>
      </c>
      <c r="AS134" s="65" t="str">
        <f>IF(AM134=1,J134,"")</f>
        <v/>
      </c>
      <c r="AT134" s="65" t="str">
        <f>IF(AND(AM134=1,ISNUMBER(R134)),R134,"")</f>
        <v/>
      </c>
      <c r="AU134" s="2" t="s">
        <v>8003</v>
      </c>
      <c r="AV134" s="5">
        <v>1</v>
      </c>
      <c r="AW134" s="5">
        <v>3</v>
      </c>
      <c r="AX134" s="5">
        <v>6</v>
      </c>
      <c r="AY134" s="2" t="s">
        <v>8832</v>
      </c>
      <c r="AZ134" s="2" t="s">
        <v>8004</v>
      </c>
      <c r="BA134" s="2" t="s">
        <v>1786</v>
      </c>
      <c r="BB134" s="2" t="s">
        <v>8833</v>
      </c>
    </row>
    <row r="135" spans="1:54" ht="75.95" customHeight="1">
      <c r="A135" s="2" t="s">
        <v>195</v>
      </c>
      <c r="B135" s="2" t="s">
        <v>1058</v>
      </c>
      <c r="C135" s="2" t="s">
        <v>622</v>
      </c>
      <c r="D135" s="2" t="s">
        <v>1159</v>
      </c>
      <c r="E135" s="2" t="s">
        <v>8997</v>
      </c>
      <c r="F135" s="2" t="s">
        <v>1159</v>
      </c>
      <c r="G135" s="2" t="s">
        <v>8677</v>
      </c>
      <c r="H135" s="2" t="s">
        <v>9348</v>
      </c>
      <c r="I135" s="2" t="s">
        <v>9349</v>
      </c>
      <c r="J135" s="67"/>
      <c r="K135" s="94" t="s">
        <v>537</v>
      </c>
      <c r="L135" s="2" t="s">
        <v>491</v>
      </c>
      <c r="M135" s="2" t="s">
        <v>1555</v>
      </c>
      <c r="N135" s="2" t="s">
        <v>237</v>
      </c>
      <c r="O135" s="2" t="s">
        <v>1174</v>
      </c>
      <c r="P135" s="2" t="s">
        <v>1060</v>
      </c>
      <c r="Q135" s="2" t="s">
        <v>9000</v>
      </c>
      <c r="R135" s="65"/>
      <c r="S135" s="2" t="s">
        <v>9308</v>
      </c>
      <c r="T135" s="2" t="s">
        <v>1198</v>
      </c>
      <c r="U135" s="2" t="s">
        <v>9001</v>
      </c>
      <c r="V135" s="2" t="s">
        <v>9002</v>
      </c>
      <c r="W135" s="2" t="s">
        <v>1197</v>
      </c>
      <c r="X135" s="2" t="s">
        <v>1170</v>
      </c>
      <c r="Y135" s="33"/>
      <c r="Z135" s="9"/>
      <c r="AA135" s="2" t="s">
        <v>924</v>
      </c>
      <c r="AB135" s="2" t="s">
        <v>925</v>
      </c>
      <c r="AC135" s="2" t="s">
        <v>9350</v>
      </c>
      <c r="AD135" s="2" t="s">
        <v>8686</v>
      </c>
      <c r="AE135" s="2" t="s">
        <v>9005</v>
      </c>
      <c r="AF135" s="2" t="s">
        <v>830</v>
      </c>
      <c r="AG135" s="2" t="s">
        <v>1062</v>
      </c>
      <c r="AH135" s="2" t="s">
        <v>8665</v>
      </c>
      <c r="AI135" s="2" t="str">
        <f>IF(Y135="","",Y135)</f>
        <v/>
      </c>
      <c r="AJ135" s="34" t="s">
        <v>1502</v>
      </c>
      <c r="AK135" s="34" t="s">
        <v>8594</v>
      </c>
      <c r="AL135" s="34" t="s">
        <v>9351</v>
      </c>
      <c r="AM135" s="34">
        <f>IF(AND(ISNUMBER(J135),OR(AR135="INHERITED ESTIMATE",AR135="CONFIRMED ESTIMATE")),1,0)</f>
        <v>0</v>
      </c>
      <c r="AN135" s="34"/>
      <c r="AO135" s="35" t="s">
        <v>1429</v>
      </c>
      <c r="AP135" s="35" t="s">
        <v>1418</v>
      </c>
      <c r="AQ135" s="35"/>
      <c r="AR135" s="35" t="s">
        <v>1508</v>
      </c>
      <c r="AS135" s="65" t="str">
        <f>IF(AM135=1,J135,"")</f>
        <v/>
      </c>
      <c r="AT135" s="65" t="str">
        <f>IF(AND(AM135=1,ISNUMBER(R135)),R135,"")</f>
        <v/>
      </c>
      <c r="AU135" s="2" t="s">
        <v>8062</v>
      </c>
      <c r="AV135" s="5">
        <v>16</v>
      </c>
      <c r="AW135" s="5">
        <v>26</v>
      </c>
      <c r="AX135" s="5">
        <v>42</v>
      </c>
      <c r="AY135" s="2" t="s">
        <v>8832</v>
      </c>
      <c r="AZ135" s="2" t="s">
        <v>8066</v>
      </c>
      <c r="BA135" s="2" t="s">
        <v>8065</v>
      </c>
      <c r="BB135" s="2" t="s">
        <v>8833</v>
      </c>
    </row>
    <row r="136" spans="1:54" ht="75.95" hidden="1" customHeight="1">
      <c r="A136" s="2" t="s">
        <v>196</v>
      </c>
      <c r="B136" s="2" t="s">
        <v>1058</v>
      </c>
      <c r="C136" s="2" t="s">
        <v>634</v>
      </c>
      <c r="D136" s="2" t="s">
        <v>9352</v>
      </c>
      <c r="E136" s="2" t="s">
        <v>9036</v>
      </c>
      <c r="F136" s="2" t="s">
        <v>9353</v>
      </c>
      <c r="G136" s="2" t="s">
        <v>8656</v>
      </c>
      <c r="H136" s="2" t="s">
        <v>9354</v>
      </c>
      <c r="I136" s="2" t="s">
        <v>9355</v>
      </c>
      <c r="J136" s="65">
        <v>10</v>
      </c>
      <c r="K136" s="94" t="s">
        <v>537</v>
      </c>
      <c r="L136" s="2" t="s">
        <v>504</v>
      </c>
      <c r="M136" s="2" t="s">
        <v>1153</v>
      </c>
      <c r="N136" s="2" t="s">
        <v>1542</v>
      </c>
      <c r="O136" s="2" t="s">
        <v>1174</v>
      </c>
      <c r="P136" s="2" t="s">
        <v>1060</v>
      </c>
      <c r="Q136" s="2" t="s">
        <v>9356</v>
      </c>
      <c r="R136" s="65">
        <v>1.5</v>
      </c>
      <c r="S136" s="2" t="s">
        <v>1185</v>
      </c>
      <c r="T136" s="2" t="s">
        <v>3261</v>
      </c>
      <c r="U136" s="2" t="s">
        <v>9357</v>
      </c>
      <c r="V136" s="2" t="s">
        <v>1513</v>
      </c>
      <c r="W136" s="2" t="s">
        <v>1186</v>
      </c>
      <c r="X136" s="2" t="s">
        <v>9358</v>
      </c>
      <c r="Y136" s="33"/>
      <c r="Z136" s="9"/>
      <c r="AA136" s="2" t="s">
        <v>886</v>
      </c>
      <c r="AB136" s="2" t="s">
        <v>887</v>
      </c>
      <c r="AC136" s="2" t="s">
        <v>975</v>
      </c>
      <c r="AD136" s="2" t="s">
        <v>8686</v>
      </c>
      <c r="AE136" s="2" t="s">
        <v>8693</v>
      </c>
      <c r="AF136" s="2" t="s">
        <v>830</v>
      </c>
      <c r="AG136" s="2" t="s">
        <v>1062</v>
      </c>
      <c r="AH136" s="2" t="s">
        <v>8665</v>
      </c>
      <c r="AI136" s="2" t="str">
        <f>IF(Y136="","",Y136)</f>
        <v/>
      </c>
      <c r="AJ136" s="2" t="s">
        <v>1522</v>
      </c>
      <c r="AK136" s="2" t="s">
        <v>8594</v>
      </c>
      <c r="AL136" s="2" t="s">
        <v>8666</v>
      </c>
      <c r="AM136" s="2">
        <f>IF(AND(ISNUMBER(J136),OR(AR136="INHERITED ESTIMATE",AR136="CONFIRMED ESTIMATE")),1,0)</f>
        <v>1</v>
      </c>
      <c r="AN136" s="2"/>
      <c r="AO136" s="32" t="s">
        <v>1429</v>
      </c>
      <c r="AP136" s="32" t="s">
        <v>1418</v>
      </c>
      <c r="AQ136" s="32"/>
      <c r="AR136" s="32" t="s">
        <v>1420</v>
      </c>
      <c r="AS136" s="65">
        <f>IF(AM136=1,J136,"")</f>
        <v>10</v>
      </c>
      <c r="AT136" s="65">
        <f>IF(AND(AM136=1,ISNUMBER(R136)),R136,"")</f>
        <v>1.5</v>
      </c>
      <c r="AU136" s="2" t="s">
        <v>8667</v>
      </c>
      <c r="AV136" s="5"/>
      <c r="AW136" s="5"/>
      <c r="AX136" s="5"/>
      <c r="AY136" s="2" t="s">
        <v>8668</v>
      </c>
      <c r="AZ136" s="2"/>
      <c r="BA136" s="2"/>
      <c r="BB136" s="2"/>
    </row>
    <row r="137" spans="1:54" ht="75.95" hidden="1" customHeight="1">
      <c r="A137" s="2" t="s">
        <v>197</v>
      </c>
      <c r="B137" s="2" t="s">
        <v>1058</v>
      </c>
      <c r="C137" s="2" t="s">
        <v>634</v>
      </c>
      <c r="D137" s="2" t="s">
        <v>9359</v>
      </c>
      <c r="E137" s="2" t="s">
        <v>9036</v>
      </c>
      <c r="F137" s="2" t="s">
        <v>9353</v>
      </c>
      <c r="G137" s="2" t="s">
        <v>8656</v>
      </c>
      <c r="H137" s="2" t="s">
        <v>9360</v>
      </c>
      <c r="I137" s="2" t="s">
        <v>9361</v>
      </c>
      <c r="J137" s="65">
        <v>12</v>
      </c>
      <c r="K137" s="94" t="s">
        <v>537</v>
      </c>
      <c r="L137" s="2" t="s">
        <v>504</v>
      </c>
      <c r="M137" s="2" t="s">
        <v>1543</v>
      </c>
      <c r="N137" s="2" t="s">
        <v>1544</v>
      </c>
      <c r="O137" s="2" t="s">
        <v>1174</v>
      </c>
      <c r="P137" s="2" t="s">
        <v>1060</v>
      </c>
      <c r="Q137" s="2" t="s">
        <v>9356</v>
      </c>
      <c r="R137" s="65">
        <v>1.7999999999999998</v>
      </c>
      <c r="S137" s="2" t="s">
        <v>1185</v>
      </c>
      <c r="T137" s="2" t="s">
        <v>9362</v>
      </c>
      <c r="U137" s="2" t="s">
        <v>9357</v>
      </c>
      <c r="V137" s="2" t="s">
        <v>1513</v>
      </c>
      <c r="W137" s="2" t="s">
        <v>1186</v>
      </c>
      <c r="X137" s="2" t="s">
        <v>9358</v>
      </c>
      <c r="Y137" s="33"/>
      <c r="Z137" s="9"/>
      <c r="AA137" s="2" t="s">
        <v>907</v>
      </c>
      <c r="AB137" s="2" t="s">
        <v>908</v>
      </c>
      <c r="AC137" s="2" t="s">
        <v>9363</v>
      </c>
      <c r="AD137" s="2" t="s">
        <v>8686</v>
      </c>
      <c r="AE137" s="2" t="s">
        <v>8693</v>
      </c>
      <c r="AF137" s="2" t="s">
        <v>830</v>
      </c>
      <c r="AG137" s="2" t="s">
        <v>1062</v>
      </c>
      <c r="AH137" s="2" t="s">
        <v>8665</v>
      </c>
      <c r="AI137" s="2" t="str">
        <f>IF(Y137="","",Y137)</f>
        <v/>
      </c>
      <c r="AJ137" s="2" t="s">
        <v>1522</v>
      </c>
      <c r="AK137" s="2" t="s">
        <v>8594</v>
      </c>
      <c r="AL137" s="2" t="s">
        <v>8666</v>
      </c>
      <c r="AM137" s="2">
        <f>IF(AND(ISNUMBER(J137),OR(AR137="INHERITED ESTIMATE",AR137="CONFIRMED ESTIMATE")),1,0)</f>
        <v>1</v>
      </c>
      <c r="AN137" s="2"/>
      <c r="AO137" s="32" t="s">
        <v>1429</v>
      </c>
      <c r="AP137" s="32" t="s">
        <v>1418</v>
      </c>
      <c r="AQ137" s="32"/>
      <c r="AR137" s="32" t="s">
        <v>1420</v>
      </c>
      <c r="AS137" s="65">
        <f>IF(AM137=1,J137,"")</f>
        <v>12</v>
      </c>
      <c r="AT137" s="65">
        <f>IF(AND(AM137=1,ISNUMBER(R137)),R137,"")</f>
        <v>1.7999999999999998</v>
      </c>
      <c r="AU137" s="2" t="s">
        <v>8667</v>
      </c>
      <c r="AV137" s="5"/>
      <c r="AW137" s="5"/>
      <c r="AX137" s="5"/>
      <c r="AY137" s="2" t="s">
        <v>8668</v>
      </c>
      <c r="AZ137" s="2"/>
      <c r="BA137" s="2"/>
      <c r="BB137" s="2"/>
    </row>
    <row r="138" spans="1:54" ht="75.95" hidden="1" customHeight="1">
      <c r="A138" s="2" t="s">
        <v>198</v>
      </c>
      <c r="B138" s="2" t="s">
        <v>1058</v>
      </c>
      <c r="C138" s="2" t="s">
        <v>634</v>
      </c>
      <c r="D138" s="2" t="s">
        <v>9364</v>
      </c>
      <c r="E138" s="2" t="s">
        <v>9036</v>
      </c>
      <c r="F138" s="2" t="s">
        <v>9365</v>
      </c>
      <c r="G138" s="2" t="s">
        <v>8656</v>
      </c>
      <c r="H138" s="2" t="s">
        <v>9366</v>
      </c>
      <c r="I138" s="2" t="s">
        <v>9367</v>
      </c>
      <c r="J138" s="65">
        <v>12</v>
      </c>
      <c r="K138" s="94" t="s">
        <v>537</v>
      </c>
      <c r="L138" s="2" t="s">
        <v>504</v>
      </c>
      <c r="M138" s="2" t="s">
        <v>1543</v>
      </c>
      <c r="N138" s="2" t="s">
        <v>1259</v>
      </c>
      <c r="O138" s="2" t="s">
        <v>1174</v>
      </c>
      <c r="P138" s="2" t="s">
        <v>1060</v>
      </c>
      <c r="Q138" s="2" t="s">
        <v>9356</v>
      </c>
      <c r="R138" s="65">
        <v>1.7999999999999998</v>
      </c>
      <c r="S138" s="2" t="s">
        <v>1185</v>
      </c>
      <c r="T138" s="2" t="s">
        <v>9362</v>
      </c>
      <c r="U138" s="2" t="s">
        <v>9357</v>
      </c>
      <c r="V138" s="2" t="s">
        <v>1513</v>
      </c>
      <c r="W138" s="2" t="s">
        <v>1186</v>
      </c>
      <c r="X138" s="2" t="s">
        <v>9358</v>
      </c>
      <c r="Y138" s="33"/>
      <c r="Z138" s="9"/>
      <c r="AA138" s="2" t="s">
        <v>896</v>
      </c>
      <c r="AB138" s="2" t="s">
        <v>897</v>
      </c>
      <c r="AC138" s="2"/>
      <c r="AD138" s="2" t="s">
        <v>8686</v>
      </c>
      <c r="AE138" s="2" t="s">
        <v>8696</v>
      </c>
      <c r="AF138" s="2" t="s">
        <v>830</v>
      </c>
      <c r="AG138" s="2" t="s">
        <v>1062</v>
      </c>
      <c r="AH138" s="2" t="s">
        <v>8665</v>
      </c>
      <c r="AI138" s="2" t="str">
        <f>IF(Y138="","",Y138)</f>
        <v/>
      </c>
      <c r="AJ138" s="2" t="s">
        <v>1522</v>
      </c>
      <c r="AK138" s="2" t="s">
        <v>8594</v>
      </c>
      <c r="AL138" s="2" t="s">
        <v>8666</v>
      </c>
      <c r="AM138" s="2">
        <f>IF(AND(ISNUMBER(J138),OR(AR138="INHERITED ESTIMATE",AR138="CONFIRMED ESTIMATE")),1,0)</f>
        <v>1</v>
      </c>
      <c r="AN138" s="2"/>
      <c r="AO138" s="32" t="s">
        <v>1429</v>
      </c>
      <c r="AP138" s="32" t="s">
        <v>1418</v>
      </c>
      <c r="AQ138" s="32"/>
      <c r="AR138" s="32" t="s">
        <v>1420</v>
      </c>
      <c r="AS138" s="65">
        <f>IF(AM138=1,J138,"")</f>
        <v>12</v>
      </c>
      <c r="AT138" s="65">
        <f>IF(AND(AM138=1,ISNUMBER(R138)),R138,"")</f>
        <v>1.7999999999999998</v>
      </c>
      <c r="AU138" s="2" t="s">
        <v>8667</v>
      </c>
      <c r="AV138" s="5"/>
      <c r="AW138" s="5"/>
      <c r="AX138" s="5"/>
      <c r="AY138" s="2" t="s">
        <v>8668</v>
      </c>
      <c r="AZ138" s="2"/>
      <c r="BA138" s="2"/>
      <c r="BB138" s="2"/>
    </row>
    <row r="139" spans="1:54" ht="75.95" hidden="1" customHeight="1">
      <c r="A139" s="2" t="s">
        <v>199</v>
      </c>
      <c r="B139" s="2" t="s">
        <v>1058</v>
      </c>
      <c r="C139" s="2" t="s">
        <v>634</v>
      </c>
      <c r="D139" s="2" t="s">
        <v>9368</v>
      </c>
      <c r="E139" s="2" t="s">
        <v>9036</v>
      </c>
      <c r="F139" s="2" t="s">
        <v>9369</v>
      </c>
      <c r="G139" s="2" t="s">
        <v>8656</v>
      </c>
      <c r="H139" s="2" t="s">
        <v>9370</v>
      </c>
      <c r="I139" s="2" t="s">
        <v>9371</v>
      </c>
      <c r="J139" s="65">
        <v>12</v>
      </c>
      <c r="K139" s="94" t="s">
        <v>537</v>
      </c>
      <c r="L139" s="2" t="s">
        <v>504</v>
      </c>
      <c r="M139" s="2" t="s">
        <v>1545</v>
      </c>
      <c r="N139" s="2" t="s">
        <v>1546</v>
      </c>
      <c r="O139" s="2" t="s">
        <v>1174</v>
      </c>
      <c r="P139" s="2" t="s">
        <v>1060</v>
      </c>
      <c r="Q139" s="2" t="s">
        <v>9356</v>
      </c>
      <c r="R139" s="65">
        <v>1.7999999999999998</v>
      </c>
      <c r="S139" s="2" t="s">
        <v>1185</v>
      </c>
      <c r="T139" s="2" t="s">
        <v>9372</v>
      </c>
      <c r="U139" s="2" t="s">
        <v>9357</v>
      </c>
      <c r="V139" s="2" t="s">
        <v>1513</v>
      </c>
      <c r="W139" s="2" t="s">
        <v>1186</v>
      </c>
      <c r="X139" s="2" t="s">
        <v>9358</v>
      </c>
      <c r="Y139" s="33"/>
      <c r="Z139" s="9"/>
      <c r="AA139" s="2" t="s">
        <v>892</v>
      </c>
      <c r="AB139" s="2" t="s">
        <v>893</v>
      </c>
      <c r="AC139" s="2"/>
      <c r="AD139" s="2" t="s">
        <v>8686</v>
      </c>
      <c r="AE139" s="2" t="s">
        <v>8696</v>
      </c>
      <c r="AF139" s="2" t="s">
        <v>830</v>
      </c>
      <c r="AG139" s="2" t="s">
        <v>1062</v>
      </c>
      <c r="AH139" s="2" t="s">
        <v>8665</v>
      </c>
      <c r="AI139" s="2" t="str">
        <f>IF(Y139="","",Y139)</f>
        <v/>
      </c>
      <c r="AJ139" s="2" t="s">
        <v>1522</v>
      </c>
      <c r="AK139" s="2" t="s">
        <v>8594</v>
      </c>
      <c r="AL139" s="2" t="s">
        <v>8666</v>
      </c>
      <c r="AM139" s="2">
        <f>IF(AND(ISNUMBER(J139),OR(AR139="INHERITED ESTIMATE",AR139="CONFIRMED ESTIMATE")),1,0)</f>
        <v>1</v>
      </c>
      <c r="AN139" s="2"/>
      <c r="AO139" s="32" t="s">
        <v>1429</v>
      </c>
      <c r="AP139" s="32" t="s">
        <v>1418</v>
      </c>
      <c r="AQ139" s="32"/>
      <c r="AR139" s="32" t="s">
        <v>1420</v>
      </c>
      <c r="AS139" s="65">
        <f>IF(AM139=1,J139,"")</f>
        <v>12</v>
      </c>
      <c r="AT139" s="65">
        <f>IF(AND(AM139=1,ISNUMBER(R139)),R139,"")</f>
        <v>1.7999999999999998</v>
      </c>
      <c r="AU139" s="2" t="s">
        <v>8667</v>
      </c>
      <c r="AV139" s="5"/>
      <c r="AW139" s="5"/>
      <c r="AX139" s="5"/>
      <c r="AY139" s="2" t="s">
        <v>8668</v>
      </c>
      <c r="AZ139" s="2"/>
      <c r="BA139" s="2"/>
      <c r="BB139" s="2"/>
    </row>
    <row r="140" spans="1:54" ht="75.95" hidden="1" customHeight="1">
      <c r="A140" s="2" t="s">
        <v>200</v>
      </c>
      <c r="B140" s="2" t="s">
        <v>1058</v>
      </c>
      <c r="C140" s="2" t="s">
        <v>634</v>
      </c>
      <c r="D140" s="2" t="s">
        <v>9373</v>
      </c>
      <c r="E140" s="2" t="s">
        <v>9036</v>
      </c>
      <c r="F140" s="2" t="s">
        <v>9369</v>
      </c>
      <c r="G140" s="2" t="s">
        <v>8656</v>
      </c>
      <c r="H140" s="2" t="s">
        <v>9374</v>
      </c>
      <c r="I140" s="2" t="s">
        <v>9375</v>
      </c>
      <c r="J140" s="65">
        <v>12</v>
      </c>
      <c r="K140" s="94" t="s">
        <v>537</v>
      </c>
      <c r="L140" s="2" t="s">
        <v>504</v>
      </c>
      <c r="M140" s="2" t="s">
        <v>199</v>
      </c>
      <c r="N140" s="2" t="s">
        <v>1547</v>
      </c>
      <c r="O140" s="2" t="s">
        <v>1174</v>
      </c>
      <c r="P140" s="2" t="s">
        <v>1060</v>
      </c>
      <c r="Q140" s="2" t="s">
        <v>9356</v>
      </c>
      <c r="R140" s="65">
        <v>1.7999999999999998</v>
      </c>
      <c r="S140" s="2" t="s">
        <v>1185</v>
      </c>
      <c r="T140" s="2" t="s">
        <v>199</v>
      </c>
      <c r="U140" s="2" t="s">
        <v>9357</v>
      </c>
      <c r="V140" s="2" t="s">
        <v>1513</v>
      </c>
      <c r="W140" s="2" t="s">
        <v>1186</v>
      </c>
      <c r="X140" s="2" t="s">
        <v>9358</v>
      </c>
      <c r="Y140" s="33"/>
      <c r="Z140" s="9"/>
      <c r="AA140" s="2" t="s">
        <v>892</v>
      </c>
      <c r="AB140" s="2" t="s">
        <v>893</v>
      </c>
      <c r="AC140" s="2"/>
      <c r="AD140" s="2" t="s">
        <v>8686</v>
      </c>
      <c r="AE140" s="2" t="s">
        <v>8696</v>
      </c>
      <c r="AF140" s="2" t="s">
        <v>830</v>
      </c>
      <c r="AG140" s="2" t="s">
        <v>1062</v>
      </c>
      <c r="AH140" s="2" t="s">
        <v>8665</v>
      </c>
      <c r="AI140" s="2" t="str">
        <f>IF(Y140="","",Y140)</f>
        <v/>
      </c>
      <c r="AJ140" s="2" t="s">
        <v>1522</v>
      </c>
      <c r="AK140" s="2" t="s">
        <v>8594</v>
      </c>
      <c r="AL140" s="2" t="s">
        <v>8666</v>
      </c>
      <c r="AM140" s="2">
        <f>IF(AND(ISNUMBER(J140),OR(AR140="INHERITED ESTIMATE",AR140="CONFIRMED ESTIMATE")),1,0)</f>
        <v>1</v>
      </c>
      <c r="AN140" s="2"/>
      <c r="AO140" s="32" t="s">
        <v>1429</v>
      </c>
      <c r="AP140" s="32" t="s">
        <v>1418</v>
      </c>
      <c r="AQ140" s="32"/>
      <c r="AR140" s="32" t="s">
        <v>1420</v>
      </c>
      <c r="AS140" s="65">
        <f>IF(AM140=1,J140,"")</f>
        <v>12</v>
      </c>
      <c r="AT140" s="65">
        <f>IF(AND(AM140=1,ISNUMBER(R140)),R140,"")</f>
        <v>1.7999999999999998</v>
      </c>
      <c r="AU140" s="2" t="s">
        <v>8667</v>
      </c>
      <c r="AV140" s="5"/>
      <c r="AW140" s="5"/>
      <c r="AX140" s="5"/>
      <c r="AY140" s="2" t="s">
        <v>8668</v>
      </c>
      <c r="AZ140" s="2"/>
      <c r="BA140" s="2"/>
      <c r="BB140" s="2"/>
    </row>
    <row r="141" spans="1:54" ht="75.95" hidden="1" customHeight="1">
      <c r="A141" s="2" t="s">
        <v>201</v>
      </c>
      <c r="B141" s="2" t="s">
        <v>1058</v>
      </c>
      <c r="C141" s="2" t="s">
        <v>634</v>
      </c>
      <c r="D141" s="2" t="s">
        <v>9376</v>
      </c>
      <c r="E141" s="2" t="s">
        <v>9036</v>
      </c>
      <c r="F141" s="2" t="s">
        <v>9369</v>
      </c>
      <c r="G141" s="2" t="s">
        <v>8677</v>
      </c>
      <c r="H141" s="2" t="s">
        <v>9377</v>
      </c>
      <c r="I141" s="2" t="s">
        <v>9378</v>
      </c>
      <c r="J141" s="65">
        <v>12</v>
      </c>
      <c r="K141" s="94" t="s">
        <v>537</v>
      </c>
      <c r="L141" s="2" t="s">
        <v>504</v>
      </c>
      <c r="M141" s="2" t="s">
        <v>1548</v>
      </c>
      <c r="N141" s="2" t="s">
        <v>1549</v>
      </c>
      <c r="O141" s="2" t="s">
        <v>1174</v>
      </c>
      <c r="P141" s="2" t="s">
        <v>1060</v>
      </c>
      <c r="Q141" s="2" t="s">
        <v>9356</v>
      </c>
      <c r="R141" s="65">
        <v>1.7999999999999998</v>
      </c>
      <c r="S141" s="2" t="s">
        <v>1185</v>
      </c>
      <c r="T141" s="2" t="s">
        <v>9379</v>
      </c>
      <c r="U141" s="2" t="s">
        <v>9357</v>
      </c>
      <c r="V141" s="2" t="s">
        <v>1513</v>
      </c>
      <c r="W141" s="2" t="s">
        <v>1186</v>
      </c>
      <c r="X141" s="2" t="s">
        <v>9358</v>
      </c>
      <c r="Y141" s="33"/>
      <c r="Z141" s="9"/>
      <c r="AA141" s="2" t="s">
        <v>892</v>
      </c>
      <c r="AB141" s="2" t="s">
        <v>893</v>
      </c>
      <c r="AC141" s="2"/>
      <c r="AD141" s="2" t="s">
        <v>8686</v>
      </c>
      <c r="AE141" s="2" t="s">
        <v>8693</v>
      </c>
      <c r="AF141" s="2" t="s">
        <v>830</v>
      </c>
      <c r="AG141" s="2" t="s">
        <v>1062</v>
      </c>
      <c r="AH141" s="2" t="s">
        <v>8665</v>
      </c>
      <c r="AI141" s="2" t="str">
        <f>IF(Y141="","",Y141)</f>
        <v/>
      </c>
      <c r="AJ141" s="2" t="s">
        <v>1522</v>
      </c>
      <c r="AK141" s="2" t="s">
        <v>8594</v>
      </c>
      <c r="AL141" s="2" t="s">
        <v>8666</v>
      </c>
      <c r="AM141" s="2">
        <f>IF(AND(ISNUMBER(J141),OR(AR141="INHERITED ESTIMATE",AR141="CONFIRMED ESTIMATE")),1,0)</f>
        <v>1</v>
      </c>
      <c r="AN141" s="2"/>
      <c r="AO141" s="32" t="s">
        <v>1429</v>
      </c>
      <c r="AP141" s="32" t="s">
        <v>1418</v>
      </c>
      <c r="AQ141" s="32"/>
      <c r="AR141" s="32" t="s">
        <v>1420</v>
      </c>
      <c r="AS141" s="65">
        <f>IF(AM141=1,J141,"")</f>
        <v>12</v>
      </c>
      <c r="AT141" s="65">
        <f>IF(AND(AM141=1,ISNUMBER(R141)),R141,"")</f>
        <v>1.7999999999999998</v>
      </c>
      <c r="AU141" s="2" t="s">
        <v>8667</v>
      </c>
      <c r="AV141" s="5"/>
      <c r="AW141" s="5"/>
      <c r="AX141" s="5"/>
      <c r="AY141" s="2" t="s">
        <v>8668</v>
      </c>
      <c r="AZ141" s="2"/>
      <c r="BA141" s="2"/>
      <c r="BB141" s="2"/>
    </row>
    <row r="142" spans="1:54" ht="75.95" hidden="1" customHeight="1">
      <c r="A142" s="2" t="s">
        <v>202</v>
      </c>
      <c r="B142" s="2" t="s">
        <v>1058</v>
      </c>
      <c r="C142" s="2" t="s">
        <v>634</v>
      </c>
      <c r="D142" s="2" t="s">
        <v>9380</v>
      </c>
      <c r="E142" s="2" t="s">
        <v>9036</v>
      </c>
      <c r="F142" s="2" t="s">
        <v>9353</v>
      </c>
      <c r="G142" s="2" t="s">
        <v>8656</v>
      </c>
      <c r="H142" s="2" t="s">
        <v>9381</v>
      </c>
      <c r="I142" s="2" t="s">
        <v>9382</v>
      </c>
      <c r="J142" s="65">
        <v>12</v>
      </c>
      <c r="K142" s="94" t="s">
        <v>537</v>
      </c>
      <c r="L142" s="2" t="s">
        <v>504</v>
      </c>
      <c r="M142" s="2" t="s">
        <v>1550</v>
      </c>
      <c r="N142" s="2" t="s">
        <v>1261</v>
      </c>
      <c r="O142" s="2" t="s">
        <v>1174</v>
      </c>
      <c r="P142" s="2" t="s">
        <v>1060</v>
      </c>
      <c r="Q142" s="2" t="s">
        <v>9356</v>
      </c>
      <c r="R142" s="65">
        <v>1.7999999999999998</v>
      </c>
      <c r="S142" s="2" t="s">
        <v>1185</v>
      </c>
      <c r="T142" s="2" t="s">
        <v>3306</v>
      </c>
      <c r="U142" s="2" t="s">
        <v>9357</v>
      </c>
      <c r="V142" s="2" t="s">
        <v>1513</v>
      </c>
      <c r="W142" s="2" t="s">
        <v>1186</v>
      </c>
      <c r="X142" s="2" t="s">
        <v>9358</v>
      </c>
      <c r="Y142" s="33"/>
      <c r="Z142" s="9"/>
      <c r="AA142" s="2" t="s">
        <v>907</v>
      </c>
      <c r="AB142" s="2" t="s">
        <v>908</v>
      </c>
      <c r="AC142" s="2" t="s">
        <v>869</v>
      </c>
      <c r="AD142" s="2" t="s">
        <v>8686</v>
      </c>
      <c r="AE142" s="2" t="s">
        <v>8696</v>
      </c>
      <c r="AF142" s="2" t="s">
        <v>830</v>
      </c>
      <c r="AG142" s="2" t="s">
        <v>1062</v>
      </c>
      <c r="AH142" s="2" t="s">
        <v>8665</v>
      </c>
      <c r="AI142" s="2" t="str">
        <f>IF(Y142="","",Y142)</f>
        <v/>
      </c>
      <c r="AJ142" s="2" t="s">
        <v>1522</v>
      </c>
      <c r="AK142" s="2" t="s">
        <v>8594</v>
      </c>
      <c r="AL142" s="2" t="s">
        <v>8666</v>
      </c>
      <c r="AM142" s="2">
        <f>IF(AND(ISNUMBER(J142),OR(AR142="INHERITED ESTIMATE",AR142="CONFIRMED ESTIMATE")),1,0)</f>
        <v>1</v>
      </c>
      <c r="AN142" s="2"/>
      <c r="AO142" s="32" t="s">
        <v>1429</v>
      </c>
      <c r="AP142" s="32" t="s">
        <v>1418</v>
      </c>
      <c r="AQ142" s="32"/>
      <c r="AR142" s="32" t="s">
        <v>1420</v>
      </c>
      <c r="AS142" s="65">
        <f>IF(AM142=1,J142,"")</f>
        <v>12</v>
      </c>
      <c r="AT142" s="65">
        <f>IF(AND(AM142=1,ISNUMBER(R142)),R142,"")</f>
        <v>1.7999999999999998</v>
      </c>
      <c r="AU142" s="2" t="s">
        <v>8667</v>
      </c>
      <c r="AV142" s="5"/>
      <c r="AW142" s="5"/>
      <c r="AX142" s="5"/>
      <c r="AY142" s="2" t="s">
        <v>8668</v>
      </c>
      <c r="AZ142" s="2"/>
      <c r="BA142" s="2"/>
      <c r="BB142" s="2"/>
    </row>
    <row r="143" spans="1:54" ht="75.95" hidden="1" customHeight="1">
      <c r="A143" s="2" t="s">
        <v>203</v>
      </c>
      <c r="B143" s="2" t="s">
        <v>1058</v>
      </c>
      <c r="C143" s="2" t="s">
        <v>634</v>
      </c>
      <c r="D143" s="2" t="s">
        <v>9383</v>
      </c>
      <c r="E143" s="2" t="s">
        <v>8669</v>
      </c>
      <c r="F143" s="2" t="s">
        <v>9353</v>
      </c>
      <c r="G143" s="2" t="s">
        <v>8677</v>
      </c>
      <c r="H143" s="2" t="s">
        <v>9384</v>
      </c>
      <c r="I143" s="2" t="s">
        <v>9385</v>
      </c>
      <c r="J143" s="65">
        <v>10</v>
      </c>
      <c r="K143" s="94" t="s">
        <v>537</v>
      </c>
      <c r="L143" s="2" t="s">
        <v>504</v>
      </c>
      <c r="M143" s="2" t="s">
        <v>1551</v>
      </c>
      <c r="N143" s="2" t="s">
        <v>1552</v>
      </c>
      <c r="O143" s="2" t="s">
        <v>1174</v>
      </c>
      <c r="P143" s="2" t="s">
        <v>1060</v>
      </c>
      <c r="Q143" s="2" t="s">
        <v>8674</v>
      </c>
      <c r="R143" s="65">
        <v>1.9375</v>
      </c>
      <c r="S143" s="2" t="s">
        <v>1185</v>
      </c>
      <c r="T143" s="2" t="s">
        <v>3316</v>
      </c>
      <c r="U143" s="2" t="s">
        <v>9357</v>
      </c>
      <c r="V143" s="2" t="s">
        <v>1513</v>
      </c>
      <c r="W143" s="2" t="s">
        <v>1186</v>
      </c>
      <c r="X143" s="2" t="s">
        <v>9358</v>
      </c>
      <c r="Y143" s="33"/>
      <c r="Z143" s="9"/>
      <c r="AA143" s="2" t="s">
        <v>935</v>
      </c>
      <c r="AB143" s="2" t="s">
        <v>936</v>
      </c>
      <c r="AC143" s="2"/>
      <c r="AD143" s="2" t="s">
        <v>8686</v>
      </c>
      <c r="AE143" s="2" t="s">
        <v>8676</v>
      </c>
      <c r="AF143" s="2" t="s">
        <v>830</v>
      </c>
      <c r="AG143" s="2" t="s">
        <v>1062</v>
      </c>
      <c r="AH143" s="2" t="s">
        <v>8665</v>
      </c>
      <c r="AI143" s="2" t="str">
        <f>IF(Y143="","",Y143)</f>
        <v/>
      </c>
      <c r="AJ143" s="2" t="s">
        <v>1522</v>
      </c>
      <c r="AK143" s="2" t="s">
        <v>8594</v>
      </c>
      <c r="AL143" s="2" t="s">
        <v>8666</v>
      </c>
      <c r="AM143" s="2">
        <f>IF(AND(ISNUMBER(J143),OR(AR143="INHERITED ESTIMATE",AR143="CONFIRMED ESTIMATE")),1,0)</f>
        <v>1</v>
      </c>
      <c r="AN143" s="2"/>
      <c r="AO143" s="32" t="s">
        <v>1429</v>
      </c>
      <c r="AP143" s="32" t="s">
        <v>1418</v>
      </c>
      <c r="AQ143" s="32"/>
      <c r="AR143" s="32" t="s">
        <v>1420</v>
      </c>
      <c r="AS143" s="65">
        <f>IF(AM143=1,J143,"")</f>
        <v>10</v>
      </c>
      <c r="AT143" s="65">
        <f>IF(AND(AM143=1,ISNUMBER(R143)),R143,"")</f>
        <v>1.9375</v>
      </c>
      <c r="AU143" s="2" t="s">
        <v>8667</v>
      </c>
      <c r="AV143" s="5"/>
      <c r="AW143" s="5"/>
      <c r="AX143" s="5"/>
      <c r="AY143" s="2" t="s">
        <v>8668</v>
      </c>
      <c r="AZ143" s="2"/>
      <c r="BA143" s="2"/>
      <c r="BB143" s="2"/>
    </row>
    <row r="144" spans="1:54" ht="75.95" hidden="1" customHeight="1">
      <c r="A144" s="2" t="s">
        <v>204</v>
      </c>
      <c r="B144" s="2" t="s">
        <v>1058</v>
      </c>
      <c r="C144" s="2" t="s">
        <v>634</v>
      </c>
      <c r="D144" s="2" t="s">
        <v>9386</v>
      </c>
      <c r="E144" s="2" t="s">
        <v>9036</v>
      </c>
      <c r="F144" s="2" t="s">
        <v>9369</v>
      </c>
      <c r="G144" s="2" t="s">
        <v>8943</v>
      </c>
      <c r="H144" s="2" t="s">
        <v>9387</v>
      </c>
      <c r="I144" s="2" t="s">
        <v>9388</v>
      </c>
      <c r="J144" s="65">
        <v>10</v>
      </c>
      <c r="K144" s="94" t="s">
        <v>537</v>
      </c>
      <c r="L144" s="2" t="s">
        <v>504</v>
      </c>
      <c r="M144" s="2" t="s">
        <v>1553</v>
      </c>
      <c r="N144" s="2"/>
      <c r="O144" s="2" t="s">
        <v>1174</v>
      </c>
      <c r="P144" s="2" t="s">
        <v>1060</v>
      </c>
      <c r="Q144" s="2" t="s">
        <v>9356</v>
      </c>
      <c r="R144" s="65">
        <v>1.5</v>
      </c>
      <c r="S144" s="2" t="s">
        <v>1185</v>
      </c>
      <c r="T144" s="2" t="s">
        <v>9389</v>
      </c>
      <c r="U144" s="2" t="s">
        <v>9357</v>
      </c>
      <c r="V144" s="2" t="s">
        <v>1513</v>
      </c>
      <c r="W144" s="2" t="s">
        <v>1186</v>
      </c>
      <c r="X144" s="2" t="s">
        <v>9358</v>
      </c>
      <c r="Y144" s="33"/>
      <c r="Z144" s="9"/>
      <c r="AA144" s="2" t="s">
        <v>892</v>
      </c>
      <c r="AB144" s="2" t="s">
        <v>893</v>
      </c>
      <c r="AC144" s="2"/>
      <c r="AD144" s="2" t="s">
        <v>8686</v>
      </c>
      <c r="AE144" s="2" t="s">
        <v>8696</v>
      </c>
      <c r="AF144" s="2" t="s">
        <v>830</v>
      </c>
      <c r="AG144" s="2" t="s">
        <v>1062</v>
      </c>
      <c r="AH144" s="2" t="s">
        <v>8665</v>
      </c>
      <c r="AI144" s="2" t="str">
        <f>IF(Y144="","",Y144)</f>
        <v/>
      </c>
      <c r="AJ144" s="2" t="s">
        <v>1522</v>
      </c>
      <c r="AK144" s="2" t="s">
        <v>8594</v>
      </c>
      <c r="AL144" s="2" t="s">
        <v>8666</v>
      </c>
      <c r="AM144" s="2">
        <f>IF(AND(ISNUMBER(J144),OR(AR144="INHERITED ESTIMATE",AR144="CONFIRMED ESTIMATE")),1,0)</f>
        <v>1</v>
      </c>
      <c r="AN144" s="2"/>
      <c r="AO144" s="32" t="s">
        <v>1429</v>
      </c>
      <c r="AP144" s="32" t="s">
        <v>1418</v>
      </c>
      <c r="AQ144" s="32"/>
      <c r="AR144" s="32" t="s">
        <v>1420</v>
      </c>
      <c r="AS144" s="65">
        <f>IF(AM144=1,J144,"")</f>
        <v>10</v>
      </c>
      <c r="AT144" s="65">
        <f>IF(AND(AM144=1,ISNUMBER(R144)),R144,"")</f>
        <v>1.5</v>
      </c>
      <c r="AU144" s="2" t="s">
        <v>8667</v>
      </c>
      <c r="AV144" s="5"/>
      <c r="AW144" s="5"/>
      <c r="AX144" s="5"/>
      <c r="AY144" s="2" t="s">
        <v>8668</v>
      </c>
      <c r="AZ144" s="2"/>
      <c r="BA144" s="2"/>
      <c r="BB144" s="2"/>
    </row>
    <row r="145" spans="1:54" ht="75.95" hidden="1" customHeight="1">
      <c r="A145" s="2" t="s">
        <v>205</v>
      </c>
      <c r="B145" s="2" t="s">
        <v>1058</v>
      </c>
      <c r="C145" s="2" t="s">
        <v>634</v>
      </c>
      <c r="D145" s="2" t="s">
        <v>9390</v>
      </c>
      <c r="E145" s="2" t="s">
        <v>9036</v>
      </c>
      <c r="F145" s="2" t="s">
        <v>9391</v>
      </c>
      <c r="G145" s="2" t="s">
        <v>8656</v>
      </c>
      <c r="H145" s="2" t="s">
        <v>9392</v>
      </c>
      <c r="I145" s="2" t="s">
        <v>9393</v>
      </c>
      <c r="J145" s="65">
        <v>12</v>
      </c>
      <c r="K145" s="94" t="s">
        <v>537</v>
      </c>
      <c r="L145" s="2" t="s">
        <v>504</v>
      </c>
      <c r="M145" s="2" t="s">
        <v>1554</v>
      </c>
      <c r="N145" s="2"/>
      <c r="O145" s="2" t="s">
        <v>1174</v>
      </c>
      <c r="P145" s="2" t="s">
        <v>1060</v>
      </c>
      <c r="Q145" s="2" t="s">
        <v>9356</v>
      </c>
      <c r="R145" s="65">
        <v>1.7999999999999998</v>
      </c>
      <c r="S145" s="2" t="s">
        <v>1185</v>
      </c>
      <c r="T145" s="2" t="s">
        <v>9394</v>
      </c>
      <c r="U145" s="2" t="s">
        <v>9357</v>
      </c>
      <c r="V145" s="2" t="s">
        <v>1513</v>
      </c>
      <c r="W145" s="2" t="s">
        <v>1186</v>
      </c>
      <c r="X145" s="2" t="s">
        <v>9358</v>
      </c>
      <c r="Y145" s="33"/>
      <c r="Z145" s="9"/>
      <c r="AA145" s="2" t="s">
        <v>918</v>
      </c>
      <c r="AB145" s="2" t="s">
        <v>919</v>
      </c>
      <c r="AC145" s="2"/>
      <c r="AD145" s="2" t="s">
        <v>8675</v>
      </c>
      <c r="AE145" s="2" t="s">
        <v>8696</v>
      </c>
      <c r="AF145" s="2" t="s">
        <v>830</v>
      </c>
      <c r="AG145" s="2" t="s">
        <v>1062</v>
      </c>
      <c r="AH145" s="2" t="s">
        <v>8665</v>
      </c>
      <c r="AI145" s="2" t="str">
        <f>IF(Y145="","",Y145)</f>
        <v/>
      </c>
      <c r="AJ145" s="2" t="s">
        <v>1522</v>
      </c>
      <c r="AK145" s="2" t="s">
        <v>8594</v>
      </c>
      <c r="AL145" s="2" t="s">
        <v>8666</v>
      </c>
      <c r="AM145" s="2">
        <f>IF(AND(ISNUMBER(J145),OR(AR145="INHERITED ESTIMATE",AR145="CONFIRMED ESTIMATE")),1,0)</f>
        <v>1</v>
      </c>
      <c r="AN145" s="2"/>
      <c r="AO145" s="32" t="s">
        <v>1429</v>
      </c>
      <c r="AP145" s="32" t="s">
        <v>1418</v>
      </c>
      <c r="AQ145" s="32"/>
      <c r="AR145" s="32" t="s">
        <v>1420</v>
      </c>
      <c r="AS145" s="65">
        <f>IF(AM145=1,J145,"")</f>
        <v>12</v>
      </c>
      <c r="AT145" s="65">
        <f>IF(AND(AM145=1,ISNUMBER(R145)),R145,"")</f>
        <v>1.7999999999999998</v>
      </c>
      <c r="AU145" s="2" t="s">
        <v>8667</v>
      </c>
      <c r="AV145" s="5"/>
      <c r="AW145" s="5"/>
      <c r="AX145" s="5"/>
      <c r="AY145" s="2" t="s">
        <v>8668</v>
      </c>
      <c r="AZ145" s="2"/>
      <c r="BA145" s="2"/>
      <c r="BB145" s="2"/>
    </row>
    <row r="146" spans="1:54" ht="75.95" hidden="1" customHeight="1">
      <c r="A146" s="2" t="s">
        <v>206</v>
      </c>
      <c r="B146" s="2" t="s">
        <v>1058</v>
      </c>
      <c r="C146" s="2" t="s">
        <v>634</v>
      </c>
      <c r="D146" s="2" t="s">
        <v>9395</v>
      </c>
      <c r="E146" s="2" t="s">
        <v>9036</v>
      </c>
      <c r="F146" s="2" t="s">
        <v>9396</v>
      </c>
      <c r="G146" s="2" t="s">
        <v>8656</v>
      </c>
      <c r="H146" s="2" t="s">
        <v>9397</v>
      </c>
      <c r="I146" s="2" t="s">
        <v>9398</v>
      </c>
      <c r="J146" s="65">
        <v>12</v>
      </c>
      <c r="K146" s="94" t="s">
        <v>537</v>
      </c>
      <c r="L146" s="2" t="s">
        <v>504</v>
      </c>
      <c r="M146" s="2" t="s">
        <v>1556</v>
      </c>
      <c r="N146" s="2" t="s">
        <v>1557</v>
      </c>
      <c r="O146" s="2" t="s">
        <v>1174</v>
      </c>
      <c r="P146" s="2" t="s">
        <v>1060</v>
      </c>
      <c r="Q146" s="2" t="s">
        <v>9356</v>
      </c>
      <c r="R146" s="65">
        <v>1.7999999999999998</v>
      </c>
      <c r="S146" s="2" t="s">
        <v>1185</v>
      </c>
      <c r="T146" s="2" t="s">
        <v>9399</v>
      </c>
      <c r="U146" s="2" t="s">
        <v>9357</v>
      </c>
      <c r="V146" s="2" t="s">
        <v>1513</v>
      </c>
      <c r="W146" s="2" t="s">
        <v>1186</v>
      </c>
      <c r="X146" s="2" t="s">
        <v>9358</v>
      </c>
      <c r="Y146" s="33"/>
      <c r="Z146" s="9"/>
      <c r="AA146" s="2" t="s">
        <v>894</v>
      </c>
      <c r="AB146" s="2" t="s">
        <v>895</v>
      </c>
      <c r="AC146" s="2"/>
      <c r="AD146" s="2" t="s">
        <v>8686</v>
      </c>
      <c r="AE146" s="2" t="s">
        <v>8696</v>
      </c>
      <c r="AF146" s="2" t="s">
        <v>830</v>
      </c>
      <c r="AG146" s="2" t="s">
        <v>1062</v>
      </c>
      <c r="AH146" s="2" t="s">
        <v>8665</v>
      </c>
      <c r="AI146" s="2" t="str">
        <f>IF(Y146="","",Y146)</f>
        <v/>
      </c>
      <c r="AJ146" s="2" t="s">
        <v>1522</v>
      </c>
      <c r="AK146" s="2" t="s">
        <v>8594</v>
      </c>
      <c r="AL146" s="2" t="s">
        <v>8666</v>
      </c>
      <c r="AM146" s="2">
        <f>IF(AND(ISNUMBER(J146),OR(AR146="INHERITED ESTIMATE",AR146="CONFIRMED ESTIMATE")),1,0)</f>
        <v>1</v>
      </c>
      <c r="AN146" s="2"/>
      <c r="AO146" s="32" t="s">
        <v>1429</v>
      </c>
      <c r="AP146" s="32" t="s">
        <v>1418</v>
      </c>
      <c r="AQ146" s="32"/>
      <c r="AR146" s="32" t="s">
        <v>1420</v>
      </c>
      <c r="AS146" s="65">
        <f>IF(AM146=1,J146,"")</f>
        <v>12</v>
      </c>
      <c r="AT146" s="65">
        <f>IF(AND(AM146=1,ISNUMBER(R146)),R146,"")</f>
        <v>1.7999999999999998</v>
      </c>
      <c r="AU146" s="2" t="s">
        <v>8667</v>
      </c>
      <c r="AV146" s="5"/>
      <c r="AW146" s="5"/>
      <c r="AX146" s="5"/>
      <c r="AY146" s="2" t="s">
        <v>8668</v>
      </c>
      <c r="AZ146" s="2"/>
      <c r="BA146" s="2"/>
      <c r="BB146" s="2"/>
    </row>
    <row r="147" spans="1:54" ht="75.95" hidden="1" customHeight="1">
      <c r="A147" s="2" t="s">
        <v>207</v>
      </c>
      <c r="B147" s="2" t="s">
        <v>1058</v>
      </c>
      <c r="C147" s="2" t="s">
        <v>634</v>
      </c>
      <c r="D147" s="2" t="s">
        <v>9400</v>
      </c>
      <c r="E147" s="2" t="s">
        <v>9036</v>
      </c>
      <c r="F147" s="2" t="s">
        <v>9396</v>
      </c>
      <c r="G147" s="2" t="s">
        <v>8656</v>
      </c>
      <c r="H147" s="2" t="s">
        <v>9401</v>
      </c>
      <c r="I147" s="2" t="s">
        <v>9402</v>
      </c>
      <c r="J147" s="65">
        <v>12</v>
      </c>
      <c r="K147" s="94" t="s">
        <v>537</v>
      </c>
      <c r="L147" s="2" t="s">
        <v>504</v>
      </c>
      <c r="M147" s="2" t="s">
        <v>1558</v>
      </c>
      <c r="N147" s="2" t="s">
        <v>1559</v>
      </c>
      <c r="O147" s="2" t="s">
        <v>1174</v>
      </c>
      <c r="P147" s="2" t="s">
        <v>1060</v>
      </c>
      <c r="Q147" s="2" t="s">
        <v>9356</v>
      </c>
      <c r="R147" s="65">
        <v>1.7999999999999998</v>
      </c>
      <c r="S147" s="2" t="s">
        <v>1185</v>
      </c>
      <c r="T147" s="2" t="s">
        <v>9403</v>
      </c>
      <c r="U147" s="2" t="s">
        <v>9357</v>
      </c>
      <c r="V147" s="2" t="s">
        <v>1513</v>
      </c>
      <c r="W147" s="2" t="s">
        <v>1186</v>
      </c>
      <c r="X147" s="2" t="s">
        <v>9358</v>
      </c>
      <c r="Y147" s="33"/>
      <c r="Z147" s="9"/>
      <c r="AA147" s="2" t="s">
        <v>894</v>
      </c>
      <c r="AB147" s="2" t="s">
        <v>895</v>
      </c>
      <c r="AC147" s="2"/>
      <c r="AD147" s="2" t="s">
        <v>8686</v>
      </c>
      <c r="AE147" s="2" t="s">
        <v>8696</v>
      </c>
      <c r="AF147" s="2" t="s">
        <v>830</v>
      </c>
      <c r="AG147" s="2" t="s">
        <v>1062</v>
      </c>
      <c r="AH147" s="2" t="s">
        <v>8665</v>
      </c>
      <c r="AI147" s="2" t="str">
        <f>IF(Y147="","",Y147)</f>
        <v/>
      </c>
      <c r="AJ147" s="2" t="s">
        <v>1522</v>
      </c>
      <c r="AK147" s="2" t="s">
        <v>8594</v>
      </c>
      <c r="AL147" s="2" t="s">
        <v>8666</v>
      </c>
      <c r="AM147" s="2">
        <f>IF(AND(ISNUMBER(J147),OR(AR147="INHERITED ESTIMATE",AR147="CONFIRMED ESTIMATE")),1,0)</f>
        <v>1</v>
      </c>
      <c r="AN147" s="2"/>
      <c r="AO147" s="32" t="s">
        <v>1429</v>
      </c>
      <c r="AP147" s="32" t="s">
        <v>1418</v>
      </c>
      <c r="AQ147" s="32"/>
      <c r="AR147" s="32" t="s">
        <v>1420</v>
      </c>
      <c r="AS147" s="65">
        <f>IF(AM147=1,J147,"")</f>
        <v>12</v>
      </c>
      <c r="AT147" s="65">
        <f>IF(AND(AM147=1,ISNUMBER(R147)),R147,"")</f>
        <v>1.7999999999999998</v>
      </c>
      <c r="AU147" s="2" t="s">
        <v>8667</v>
      </c>
      <c r="AV147" s="5"/>
      <c r="AW147" s="5"/>
      <c r="AX147" s="5"/>
      <c r="AY147" s="2" t="s">
        <v>8668</v>
      </c>
      <c r="AZ147" s="2"/>
      <c r="BA147" s="2"/>
      <c r="BB147" s="2"/>
    </row>
    <row r="148" spans="1:54" ht="75.95" hidden="1" customHeight="1">
      <c r="A148" s="2" t="s">
        <v>208</v>
      </c>
      <c r="B148" s="2" t="s">
        <v>1058</v>
      </c>
      <c r="C148" s="2" t="s">
        <v>634</v>
      </c>
      <c r="D148" s="2" t="s">
        <v>9404</v>
      </c>
      <c r="E148" s="2" t="s">
        <v>9036</v>
      </c>
      <c r="F148" s="2" t="s">
        <v>9396</v>
      </c>
      <c r="G148" s="2" t="s">
        <v>8677</v>
      </c>
      <c r="H148" s="2" t="s">
        <v>9405</v>
      </c>
      <c r="I148" s="2" t="s">
        <v>9406</v>
      </c>
      <c r="J148" s="65">
        <v>12</v>
      </c>
      <c r="K148" s="94" t="s">
        <v>537</v>
      </c>
      <c r="L148" s="2" t="s">
        <v>504</v>
      </c>
      <c r="M148" s="2" t="s">
        <v>1560</v>
      </c>
      <c r="N148" s="2" t="s">
        <v>225</v>
      </c>
      <c r="O148" s="2" t="s">
        <v>1174</v>
      </c>
      <c r="P148" s="2" t="s">
        <v>1060</v>
      </c>
      <c r="Q148" s="2" t="s">
        <v>9356</v>
      </c>
      <c r="R148" s="65">
        <v>1.7999999999999998</v>
      </c>
      <c r="S148" s="2" t="s">
        <v>1185</v>
      </c>
      <c r="T148" s="2" t="s">
        <v>9407</v>
      </c>
      <c r="U148" s="2" t="s">
        <v>9357</v>
      </c>
      <c r="V148" s="2" t="s">
        <v>1513</v>
      </c>
      <c r="W148" s="2" t="s">
        <v>1186</v>
      </c>
      <c r="X148" s="2" t="s">
        <v>9358</v>
      </c>
      <c r="Y148" s="33"/>
      <c r="Z148" s="9"/>
      <c r="AA148" s="2" t="s">
        <v>894</v>
      </c>
      <c r="AB148" s="2" t="s">
        <v>895</v>
      </c>
      <c r="AC148" s="2" t="s">
        <v>960</v>
      </c>
      <c r="AD148" s="2" t="s">
        <v>8686</v>
      </c>
      <c r="AE148" s="2" t="s">
        <v>8696</v>
      </c>
      <c r="AF148" s="2" t="s">
        <v>830</v>
      </c>
      <c r="AG148" s="2" t="s">
        <v>1062</v>
      </c>
      <c r="AH148" s="2" t="s">
        <v>8665</v>
      </c>
      <c r="AI148" s="2" t="str">
        <f>IF(Y148="","",Y148)</f>
        <v/>
      </c>
      <c r="AJ148" s="2" t="s">
        <v>1522</v>
      </c>
      <c r="AK148" s="2" t="s">
        <v>8594</v>
      </c>
      <c r="AL148" s="2" t="s">
        <v>8666</v>
      </c>
      <c r="AM148" s="2">
        <f>IF(AND(ISNUMBER(J148),OR(AR148="INHERITED ESTIMATE",AR148="CONFIRMED ESTIMATE")),1,0)</f>
        <v>1</v>
      </c>
      <c r="AN148" s="2"/>
      <c r="AO148" s="32" t="s">
        <v>1429</v>
      </c>
      <c r="AP148" s="32" t="s">
        <v>1418</v>
      </c>
      <c r="AQ148" s="32"/>
      <c r="AR148" s="32" t="s">
        <v>1420</v>
      </c>
      <c r="AS148" s="65">
        <f>IF(AM148=1,J148,"")</f>
        <v>12</v>
      </c>
      <c r="AT148" s="65">
        <f>IF(AND(AM148=1,ISNUMBER(R148)),R148,"")</f>
        <v>1.7999999999999998</v>
      </c>
      <c r="AU148" s="2" t="s">
        <v>8667</v>
      </c>
      <c r="AV148" s="5"/>
      <c r="AW148" s="5"/>
      <c r="AX148" s="5"/>
      <c r="AY148" s="2" t="s">
        <v>8668</v>
      </c>
      <c r="AZ148" s="2"/>
      <c r="BA148" s="2"/>
      <c r="BB148" s="2"/>
    </row>
    <row r="149" spans="1:54" ht="75.95" hidden="1" customHeight="1">
      <c r="A149" s="2" t="s">
        <v>209</v>
      </c>
      <c r="B149" s="2" t="s">
        <v>1058</v>
      </c>
      <c r="C149" s="2" t="s">
        <v>634</v>
      </c>
      <c r="D149" s="2" t="s">
        <v>9408</v>
      </c>
      <c r="E149" s="2" t="s">
        <v>9036</v>
      </c>
      <c r="F149" s="2" t="s">
        <v>9074</v>
      </c>
      <c r="G149" s="2" t="s">
        <v>8656</v>
      </c>
      <c r="H149" s="2" t="s">
        <v>9409</v>
      </c>
      <c r="I149" s="2" t="s">
        <v>9410</v>
      </c>
      <c r="J149" s="65">
        <v>8</v>
      </c>
      <c r="K149" s="94" t="s">
        <v>537</v>
      </c>
      <c r="L149" s="2" t="s">
        <v>504</v>
      </c>
      <c r="M149" s="2" t="s">
        <v>1561</v>
      </c>
      <c r="N149" s="2" t="s">
        <v>1562</v>
      </c>
      <c r="O149" s="2" t="s">
        <v>1174</v>
      </c>
      <c r="P149" s="2" t="s">
        <v>1060</v>
      </c>
      <c r="Q149" s="2" t="s">
        <v>9356</v>
      </c>
      <c r="R149" s="65">
        <v>1.2000000000000002</v>
      </c>
      <c r="S149" s="2" t="s">
        <v>1185</v>
      </c>
      <c r="T149" s="2" t="s">
        <v>9411</v>
      </c>
      <c r="U149" s="2" t="s">
        <v>9357</v>
      </c>
      <c r="V149" s="2" t="s">
        <v>1513</v>
      </c>
      <c r="W149" s="2" t="s">
        <v>1186</v>
      </c>
      <c r="X149" s="2" t="s">
        <v>9358</v>
      </c>
      <c r="Y149" s="33"/>
      <c r="Z149" s="9"/>
      <c r="AA149" s="2" t="s">
        <v>894</v>
      </c>
      <c r="AB149" s="2" t="s">
        <v>895</v>
      </c>
      <c r="AC149" s="2"/>
      <c r="AD149" s="2" t="s">
        <v>8686</v>
      </c>
      <c r="AE149" s="2" t="s">
        <v>8696</v>
      </c>
      <c r="AF149" s="2" t="s">
        <v>830</v>
      </c>
      <c r="AG149" s="2" t="s">
        <v>1062</v>
      </c>
      <c r="AH149" s="2" t="s">
        <v>8665</v>
      </c>
      <c r="AI149" s="2" t="str">
        <f>IF(Y149="","",Y149)</f>
        <v/>
      </c>
      <c r="AJ149" s="2" t="s">
        <v>1522</v>
      </c>
      <c r="AK149" s="2" t="s">
        <v>8594</v>
      </c>
      <c r="AL149" s="2" t="s">
        <v>8666</v>
      </c>
      <c r="AM149" s="2">
        <f>IF(AND(ISNUMBER(J149),OR(AR149="INHERITED ESTIMATE",AR149="CONFIRMED ESTIMATE")),1,0)</f>
        <v>1</v>
      </c>
      <c r="AN149" s="2"/>
      <c r="AO149" s="32" t="s">
        <v>1429</v>
      </c>
      <c r="AP149" s="32" t="s">
        <v>1418</v>
      </c>
      <c r="AQ149" s="32"/>
      <c r="AR149" s="32" t="s">
        <v>1420</v>
      </c>
      <c r="AS149" s="65">
        <f>IF(AM149=1,J149,"")</f>
        <v>8</v>
      </c>
      <c r="AT149" s="65">
        <f>IF(AND(AM149=1,ISNUMBER(R149)),R149,"")</f>
        <v>1.2000000000000002</v>
      </c>
      <c r="AU149" s="2" t="s">
        <v>8667</v>
      </c>
      <c r="AV149" s="5"/>
      <c r="AW149" s="5"/>
      <c r="AX149" s="5"/>
      <c r="AY149" s="2" t="s">
        <v>8668</v>
      </c>
      <c r="AZ149" s="2"/>
      <c r="BA149" s="2"/>
      <c r="BB149" s="2"/>
    </row>
    <row r="150" spans="1:54" ht="75.95" hidden="1" customHeight="1">
      <c r="A150" s="2" t="s">
        <v>210</v>
      </c>
      <c r="B150" s="2" t="s">
        <v>1058</v>
      </c>
      <c r="C150" s="2" t="s">
        <v>634</v>
      </c>
      <c r="D150" s="2" t="s">
        <v>9412</v>
      </c>
      <c r="E150" s="2" t="s">
        <v>9036</v>
      </c>
      <c r="F150" s="2" t="s">
        <v>9074</v>
      </c>
      <c r="G150" s="2" t="s">
        <v>8656</v>
      </c>
      <c r="H150" s="2" t="s">
        <v>9413</v>
      </c>
      <c r="I150" s="2" t="s">
        <v>9414</v>
      </c>
      <c r="J150" s="65">
        <v>8</v>
      </c>
      <c r="K150" s="94" t="s">
        <v>537</v>
      </c>
      <c r="L150" s="2" t="s">
        <v>504</v>
      </c>
      <c r="M150" s="2" t="s">
        <v>1563</v>
      </c>
      <c r="N150" s="2" t="s">
        <v>1564</v>
      </c>
      <c r="O150" s="2" t="s">
        <v>1174</v>
      </c>
      <c r="P150" s="2" t="s">
        <v>1060</v>
      </c>
      <c r="Q150" s="2" t="s">
        <v>9356</v>
      </c>
      <c r="R150" s="65">
        <v>1.2000000000000002</v>
      </c>
      <c r="S150" s="2" t="s">
        <v>1185</v>
      </c>
      <c r="T150" s="2" t="s">
        <v>9415</v>
      </c>
      <c r="U150" s="2" t="s">
        <v>9357</v>
      </c>
      <c r="V150" s="2" t="s">
        <v>1513</v>
      </c>
      <c r="W150" s="2" t="s">
        <v>1186</v>
      </c>
      <c r="X150" s="2" t="s">
        <v>9358</v>
      </c>
      <c r="Y150" s="33"/>
      <c r="Z150" s="9"/>
      <c r="AA150" s="2" t="s">
        <v>894</v>
      </c>
      <c r="AB150" s="2" t="s">
        <v>895</v>
      </c>
      <c r="AC150" s="2"/>
      <c r="AD150" s="2" t="s">
        <v>8664</v>
      </c>
      <c r="AE150" s="2" t="s">
        <v>8696</v>
      </c>
      <c r="AF150" s="2" t="s">
        <v>830</v>
      </c>
      <c r="AG150" s="2" t="s">
        <v>1062</v>
      </c>
      <c r="AH150" s="2" t="s">
        <v>8665</v>
      </c>
      <c r="AI150" s="2" t="str">
        <f>IF(Y150="","",Y150)</f>
        <v/>
      </c>
      <c r="AJ150" s="2" t="s">
        <v>1522</v>
      </c>
      <c r="AK150" s="2" t="s">
        <v>8594</v>
      </c>
      <c r="AL150" s="2" t="s">
        <v>8666</v>
      </c>
      <c r="AM150" s="2">
        <f>IF(AND(ISNUMBER(J150),OR(AR150="INHERITED ESTIMATE",AR150="CONFIRMED ESTIMATE")),1,0)</f>
        <v>1</v>
      </c>
      <c r="AN150" s="2"/>
      <c r="AO150" s="32" t="s">
        <v>1429</v>
      </c>
      <c r="AP150" s="32" t="s">
        <v>1418</v>
      </c>
      <c r="AQ150" s="32"/>
      <c r="AR150" s="32" t="s">
        <v>1420</v>
      </c>
      <c r="AS150" s="65">
        <f>IF(AM150=1,J150,"")</f>
        <v>8</v>
      </c>
      <c r="AT150" s="65">
        <f>IF(AND(AM150=1,ISNUMBER(R150)),R150,"")</f>
        <v>1.2000000000000002</v>
      </c>
      <c r="AU150" s="2" t="s">
        <v>8667</v>
      </c>
      <c r="AV150" s="5"/>
      <c r="AW150" s="5"/>
      <c r="AX150" s="5"/>
      <c r="AY150" s="2" t="s">
        <v>8668</v>
      </c>
      <c r="AZ150" s="2"/>
      <c r="BA150" s="2"/>
      <c r="BB150" s="2"/>
    </row>
    <row r="151" spans="1:54" ht="75.95" hidden="1" customHeight="1">
      <c r="A151" s="2" t="s">
        <v>211</v>
      </c>
      <c r="B151" s="2" t="s">
        <v>1058</v>
      </c>
      <c r="C151" s="2" t="s">
        <v>634</v>
      </c>
      <c r="D151" s="2" t="s">
        <v>9416</v>
      </c>
      <c r="E151" s="2" t="s">
        <v>9036</v>
      </c>
      <c r="F151" s="2" t="s">
        <v>9417</v>
      </c>
      <c r="G151" s="2" t="s">
        <v>8656</v>
      </c>
      <c r="H151" s="2" t="s">
        <v>9418</v>
      </c>
      <c r="I151" s="2" t="s">
        <v>9419</v>
      </c>
      <c r="J151" s="65">
        <v>8</v>
      </c>
      <c r="K151" s="94" t="s">
        <v>537</v>
      </c>
      <c r="L151" s="2" t="s">
        <v>504</v>
      </c>
      <c r="M151" s="2" t="s">
        <v>210</v>
      </c>
      <c r="N151" s="2" t="s">
        <v>1565</v>
      </c>
      <c r="O151" s="2" t="s">
        <v>1174</v>
      </c>
      <c r="P151" s="2" t="s">
        <v>1060</v>
      </c>
      <c r="Q151" s="2" t="s">
        <v>9356</v>
      </c>
      <c r="R151" s="65">
        <v>1.2000000000000002</v>
      </c>
      <c r="S151" s="2" t="s">
        <v>1185</v>
      </c>
      <c r="T151" s="2" t="s">
        <v>210</v>
      </c>
      <c r="U151" s="2" t="s">
        <v>9357</v>
      </c>
      <c r="V151" s="2" t="s">
        <v>1513</v>
      </c>
      <c r="W151" s="2" t="s">
        <v>1186</v>
      </c>
      <c r="X151" s="2" t="s">
        <v>9358</v>
      </c>
      <c r="Y151" s="33"/>
      <c r="Z151" s="9"/>
      <c r="AA151" s="2" t="s">
        <v>971</v>
      </c>
      <c r="AB151" s="2" t="s">
        <v>972</v>
      </c>
      <c r="AC151" s="2" t="s">
        <v>973</v>
      </c>
      <c r="AD151" s="2" t="s">
        <v>8686</v>
      </c>
      <c r="AE151" s="2" t="s">
        <v>8696</v>
      </c>
      <c r="AF151" s="2" t="s">
        <v>830</v>
      </c>
      <c r="AG151" s="2" t="s">
        <v>1062</v>
      </c>
      <c r="AH151" s="2" t="s">
        <v>8665</v>
      </c>
      <c r="AI151" s="2" t="str">
        <f>IF(Y151="","",Y151)</f>
        <v/>
      </c>
      <c r="AJ151" s="2" t="s">
        <v>1522</v>
      </c>
      <c r="AK151" s="2" t="s">
        <v>8594</v>
      </c>
      <c r="AL151" s="2" t="s">
        <v>8666</v>
      </c>
      <c r="AM151" s="2">
        <f>IF(AND(ISNUMBER(J151),OR(AR151="INHERITED ESTIMATE",AR151="CONFIRMED ESTIMATE")),1,0)</f>
        <v>1</v>
      </c>
      <c r="AN151" s="2"/>
      <c r="AO151" s="32" t="s">
        <v>1429</v>
      </c>
      <c r="AP151" s="32" t="s">
        <v>1418</v>
      </c>
      <c r="AQ151" s="32"/>
      <c r="AR151" s="32" t="s">
        <v>1420</v>
      </c>
      <c r="AS151" s="65">
        <f>IF(AM151=1,J151,"")</f>
        <v>8</v>
      </c>
      <c r="AT151" s="65">
        <f>IF(AND(AM151=1,ISNUMBER(R151)),R151,"")</f>
        <v>1.2000000000000002</v>
      </c>
      <c r="AU151" s="2" t="s">
        <v>8667</v>
      </c>
      <c r="AV151" s="5"/>
      <c r="AW151" s="5"/>
      <c r="AX151" s="5"/>
      <c r="AY151" s="2" t="s">
        <v>8668</v>
      </c>
      <c r="AZ151" s="2"/>
      <c r="BA151" s="2"/>
      <c r="BB151" s="2"/>
    </row>
    <row r="152" spans="1:54" ht="75.95" hidden="1" customHeight="1">
      <c r="A152" s="2" t="s">
        <v>212</v>
      </c>
      <c r="B152" s="2" t="s">
        <v>1058</v>
      </c>
      <c r="C152" s="2" t="s">
        <v>634</v>
      </c>
      <c r="D152" s="2" t="s">
        <v>9420</v>
      </c>
      <c r="E152" s="2" t="s">
        <v>9036</v>
      </c>
      <c r="F152" s="2" t="s">
        <v>9417</v>
      </c>
      <c r="G152" s="2" t="s">
        <v>8656</v>
      </c>
      <c r="H152" s="2" t="s">
        <v>1102</v>
      </c>
      <c r="I152" s="2" t="s">
        <v>1104</v>
      </c>
      <c r="J152" s="65">
        <v>8</v>
      </c>
      <c r="K152" s="94" t="s">
        <v>537</v>
      </c>
      <c r="L152" s="2" t="s">
        <v>504</v>
      </c>
      <c r="M152" s="2" t="s">
        <v>211</v>
      </c>
      <c r="N152" s="2" t="s">
        <v>1566</v>
      </c>
      <c r="O152" s="2" t="s">
        <v>1174</v>
      </c>
      <c r="P152" s="2" t="s">
        <v>1060</v>
      </c>
      <c r="Q152" s="2" t="s">
        <v>9356</v>
      </c>
      <c r="R152" s="65">
        <v>1.2000000000000002</v>
      </c>
      <c r="S152" s="2" t="s">
        <v>1185</v>
      </c>
      <c r="T152" s="2" t="s">
        <v>211</v>
      </c>
      <c r="U152" s="2" t="s">
        <v>9357</v>
      </c>
      <c r="V152" s="2" t="s">
        <v>1513</v>
      </c>
      <c r="W152" s="2" t="s">
        <v>1186</v>
      </c>
      <c r="X152" s="2" t="s">
        <v>9358</v>
      </c>
      <c r="Y152" s="33"/>
      <c r="Z152" s="9"/>
      <c r="AA152" s="2" t="s">
        <v>975</v>
      </c>
      <c r="AB152" s="2" t="s">
        <v>976</v>
      </c>
      <c r="AC152" s="2" t="s">
        <v>1139</v>
      </c>
      <c r="AD152" s="2" t="s">
        <v>8686</v>
      </c>
      <c r="AE152" s="2" t="s">
        <v>8696</v>
      </c>
      <c r="AF152" s="2" t="s">
        <v>830</v>
      </c>
      <c r="AG152" s="2" t="s">
        <v>1062</v>
      </c>
      <c r="AH152" s="2" t="s">
        <v>8665</v>
      </c>
      <c r="AI152" s="2" t="str">
        <f>IF(Y152="","",Y152)</f>
        <v/>
      </c>
      <c r="AJ152" s="2" t="s">
        <v>2348</v>
      </c>
      <c r="AK152" s="2" t="s">
        <v>8594</v>
      </c>
      <c r="AL152" s="2" t="s">
        <v>8666</v>
      </c>
      <c r="AM152" s="2">
        <f>IF(AND(ISNUMBER(J152),OR(AR152="INHERITED ESTIMATE",AR152="CONFIRMED ESTIMATE")),1,0)</f>
        <v>0</v>
      </c>
      <c r="AN152" s="2"/>
      <c r="AO152" s="32" t="s">
        <v>1429</v>
      </c>
      <c r="AP152" s="32" t="s">
        <v>1418</v>
      </c>
      <c r="AQ152" s="32"/>
      <c r="AR152" s="32" t="s">
        <v>1472</v>
      </c>
      <c r="AS152" s="65" t="str">
        <f>IF(AM152=1,J152,"")</f>
        <v/>
      </c>
      <c r="AT152" s="65" t="str">
        <f>IF(AND(AM152=1,ISNUMBER(R152)),R152,"")</f>
        <v/>
      </c>
      <c r="AU152" s="2" t="s">
        <v>8068</v>
      </c>
      <c r="AV152" s="5">
        <v>14</v>
      </c>
      <c r="AW152" s="5">
        <v>24</v>
      </c>
      <c r="AX152" s="5">
        <v>40</v>
      </c>
      <c r="AY152" s="2" t="s">
        <v>8832</v>
      </c>
      <c r="AZ152" s="2" t="s">
        <v>8072</v>
      </c>
      <c r="BA152" s="2" t="s">
        <v>8071</v>
      </c>
      <c r="BB152" s="2" t="s">
        <v>8833</v>
      </c>
    </row>
    <row r="153" spans="1:54" ht="75.95" hidden="1" customHeight="1">
      <c r="A153" s="2" t="s">
        <v>213</v>
      </c>
      <c r="B153" s="2" t="s">
        <v>1058</v>
      </c>
      <c r="C153" s="2" t="s">
        <v>634</v>
      </c>
      <c r="D153" s="2" t="s">
        <v>9421</v>
      </c>
      <c r="E153" s="2" t="s">
        <v>9052</v>
      </c>
      <c r="F153" s="2" t="s">
        <v>9422</v>
      </c>
      <c r="G153" s="2" t="s">
        <v>8677</v>
      </c>
      <c r="H153" s="2" t="s">
        <v>7681</v>
      </c>
      <c r="I153" s="2" t="s">
        <v>1108</v>
      </c>
      <c r="J153" s="65">
        <v>10</v>
      </c>
      <c r="K153" s="94" t="s">
        <v>537</v>
      </c>
      <c r="L153" s="2" t="s">
        <v>504</v>
      </c>
      <c r="M153" s="2" t="s">
        <v>1567</v>
      </c>
      <c r="N153" s="2"/>
      <c r="O153" s="2" t="s">
        <v>1174</v>
      </c>
      <c r="P153" s="2" t="s">
        <v>1060</v>
      </c>
      <c r="Q153" s="2" t="s">
        <v>9356</v>
      </c>
      <c r="R153" s="65">
        <v>1.5</v>
      </c>
      <c r="S153" s="2" t="s">
        <v>1185</v>
      </c>
      <c r="T153" s="2" t="s">
        <v>9423</v>
      </c>
      <c r="U153" s="2" t="s">
        <v>9357</v>
      </c>
      <c r="V153" s="2" t="s">
        <v>1513</v>
      </c>
      <c r="W153" s="2" t="s">
        <v>1186</v>
      </c>
      <c r="X153" s="2" t="s">
        <v>9358</v>
      </c>
      <c r="Y153" s="33"/>
      <c r="Z153" s="9"/>
      <c r="AA153" s="2" t="s">
        <v>884</v>
      </c>
      <c r="AB153" s="2" t="s">
        <v>885</v>
      </c>
      <c r="AC153" s="2"/>
      <c r="AD153" s="2" t="s">
        <v>8686</v>
      </c>
      <c r="AE153" s="2" t="s">
        <v>8696</v>
      </c>
      <c r="AF153" s="2" t="s">
        <v>830</v>
      </c>
      <c r="AG153" s="2" t="s">
        <v>1062</v>
      </c>
      <c r="AH153" s="2" t="s">
        <v>8665</v>
      </c>
      <c r="AI153" s="2" t="str">
        <f>IF(Y153="","",Y153)</f>
        <v/>
      </c>
      <c r="AJ153" s="2" t="s">
        <v>2348</v>
      </c>
      <c r="AK153" s="2" t="s">
        <v>8594</v>
      </c>
      <c r="AL153" s="2" t="s">
        <v>8666</v>
      </c>
      <c r="AM153" s="2">
        <f>IF(AND(ISNUMBER(J153),OR(AR153="INHERITED ESTIMATE",AR153="CONFIRMED ESTIMATE")),1,0)</f>
        <v>0</v>
      </c>
      <c r="AN153" s="2"/>
      <c r="AO153" s="32" t="s">
        <v>1429</v>
      </c>
      <c r="AP153" s="32" t="s">
        <v>1418</v>
      </c>
      <c r="AQ153" s="32"/>
      <c r="AR153" s="32" t="s">
        <v>1472</v>
      </c>
      <c r="AS153" s="65" t="str">
        <f>IF(AM153=1,J153,"")</f>
        <v/>
      </c>
      <c r="AT153" s="65" t="str">
        <f>IF(AND(AM153=1,ISNUMBER(R153)),R153,"")</f>
        <v/>
      </c>
      <c r="AU153" s="2" t="s">
        <v>8075</v>
      </c>
      <c r="AV153" s="5">
        <v>8</v>
      </c>
      <c r="AW153" s="5">
        <v>14</v>
      </c>
      <c r="AX153" s="5">
        <v>24</v>
      </c>
      <c r="AY153" s="2" t="s">
        <v>8832</v>
      </c>
      <c r="AZ153" s="2" t="s">
        <v>8079</v>
      </c>
      <c r="BA153" s="2" t="s">
        <v>8078</v>
      </c>
      <c r="BB153" s="2" t="s">
        <v>8833</v>
      </c>
    </row>
    <row r="154" spans="1:54" ht="75.95" hidden="1" customHeight="1">
      <c r="A154" s="2" t="s">
        <v>214</v>
      </c>
      <c r="B154" s="2" t="s">
        <v>1058</v>
      </c>
      <c r="C154" s="2" t="s">
        <v>634</v>
      </c>
      <c r="D154" s="2" t="s">
        <v>9424</v>
      </c>
      <c r="E154" s="2" t="s">
        <v>9052</v>
      </c>
      <c r="F154" s="2" t="s">
        <v>9422</v>
      </c>
      <c r="G154" s="2" t="s">
        <v>8656</v>
      </c>
      <c r="H154" s="2" t="s">
        <v>9425</v>
      </c>
      <c r="I154" s="2" t="s">
        <v>9426</v>
      </c>
      <c r="J154" s="65">
        <v>12</v>
      </c>
      <c r="K154" s="94" t="s">
        <v>537</v>
      </c>
      <c r="L154" s="2" t="s">
        <v>504</v>
      </c>
      <c r="M154" s="2" t="s">
        <v>1568</v>
      </c>
      <c r="N154" s="2" t="s">
        <v>213</v>
      </c>
      <c r="O154" s="2" t="s">
        <v>1174</v>
      </c>
      <c r="P154" s="2" t="s">
        <v>1060</v>
      </c>
      <c r="Q154" s="2" t="s">
        <v>9356</v>
      </c>
      <c r="R154" s="65">
        <v>1.7999999999999998</v>
      </c>
      <c r="S154" s="2" t="s">
        <v>1185</v>
      </c>
      <c r="T154" s="2" t="s">
        <v>3402</v>
      </c>
      <c r="U154" s="2" t="s">
        <v>9357</v>
      </c>
      <c r="V154" s="2" t="s">
        <v>1513</v>
      </c>
      <c r="W154" s="2" t="s">
        <v>1186</v>
      </c>
      <c r="X154" s="2" t="s">
        <v>9358</v>
      </c>
      <c r="Y154" s="33"/>
      <c r="Z154" s="9"/>
      <c r="AA154" s="2" t="s">
        <v>903</v>
      </c>
      <c r="AB154" s="2" t="s">
        <v>904</v>
      </c>
      <c r="AC154" s="2" t="s">
        <v>884</v>
      </c>
      <c r="AD154" s="2" t="s">
        <v>9427</v>
      </c>
      <c r="AE154" s="2" t="s">
        <v>8700</v>
      </c>
      <c r="AF154" s="2" t="s">
        <v>830</v>
      </c>
      <c r="AG154" s="2" t="s">
        <v>1062</v>
      </c>
      <c r="AH154" s="2" t="s">
        <v>8665</v>
      </c>
      <c r="AI154" s="2" t="str">
        <f>IF(Y154="","",Y154)</f>
        <v/>
      </c>
      <c r="AJ154" s="2" t="s">
        <v>1522</v>
      </c>
      <c r="AK154" s="2" t="s">
        <v>8594</v>
      </c>
      <c r="AL154" s="2" t="s">
        <v>8666</v>
      </c>
      <c r="AM154" s="2">
        <f>IF(AND(ISNUMBER(J154),OR(AR154="INHERITED ESTIMATE",AR154="CONFIRMED ESTIMATE")),1,0)</f>
        <v>1</v>
      </c>
      <c r="AN154" s="2"/>
      <c r="AO154" s="32" t="s">
        <v>1429</v>
      </c>
      <c r="AP154" s="32" t="s">
        <v>1418</v>
      </c>
      <c r="AQ154" s="32"/>
      <c r="AR154" s="32" t="s">
        <v>1420</v>
      </c>
      <c r="AS154" s="65">
        <f>IF(AM154=1,J154,"")</f>
        <v>12</v>
      </c>
      <c r="AT154" s="65">
        <f>IF(AND(AM154=1,ISNUMBER(R154)),R154,"")</f>
        <v>1.7999999999999998</v>
      </c>
      <c r="AU154" s="2" t="s">
        <v>8667</v>
      </c>
      <c r="AV154" s="5"/>
      <c r="AW154" s="5"/>
      <c r="AX154" s="5"/>
      <c r="AY154" s="2" t="s">
        <v>8668</v>
      </c>
      <c r="AZ154" s="2"/>
      <c r="BA154" s="2"/>
      <c r="BB154" s="2"/>
    </row>
    <row r="155" spans="1:54" ht="75.95" hidden="1" customHeight="1">
      <c r="A155" s="2" t="s">
        <v>215</v>
      </c>
      <c r="B155" s="2" t="s">
        <v>1058</v>
      </c>
      <c r="C155" s="2" t="s">
        <v>634</v>
      </c>
      <c r="D155" s="2" t="s">
        <v>9428</v>
      </c>
      <c r="E155" s="2" t="s">
        <v>9036</v>
      </c>
      <c r="F155" s="2" t="s">
        <v>9429</v>
      </c>
      <c r="G155" s="2" t="s">
        <v>8677</v>
      </c>
      <c r="H155" s="2" t="s">
        <v>9430</v>
      </c>
      <c r="I155" s="2" t="s">
        <v>9431</v>
      </c>
      <c r="J155" s="65">
        <v>12</v>
      </c>
      <c r="K155" s="94" t="s">
        <v>537</v>
      </c>
      <c r="L155" s="2" t="s">
        <v>504</v>
      </c>
      <c r="M155" s="2"/>
      <c r="N155" s="2"/>
      <c r="O155" s="2" t="s">
        <v>1174</v>
      </c>
      <c r="P155" s="2" t="s">
        <v>1060</v>
      </c>
      <c r="Q155" s="2" t="s">
        <v>9244</v>
      </c>
      <c r="R155" s="65">
        <v>4.32</v>
      </c>
      <c r="S155" s="2" t="s">
        <v>1185</v>
      </c>
      <c r="T155" s="2" t="s">
        <v>9432</v>
      </c>
      <c r="U155" s="2" t="s">
        <v>9246</v>
      </c>
      <c r="V155" s="2" t="s">
        <v>1513</v>
      </c>
      <c r="W155" s="2" t="s">
        <v>1186</v>
      </c>
      <c r="X155" s="2" t="s">
        <v>9358</v>
      </c>
      <c r="Y155" s="33"/>
      <c r="Z155" s="9"/>
      <c r="AA155" s="2" t="s">
        <v>896</v>
      </c>
      <c r="AB155" s="2" t="s">
        <v>897</v>
      </c>
      <c r="AC155" s="2" t="s">
        <v>9433</v>
      </c>
      <c r="AD155" s="2" t="s">
        <v>8686</v>
      </c>
      <c r="AE155" s="2" t="s">
        <v>8696</v>
      </c>
      <c r="AF155" s="2" t="s">
        <v>830</v>
      </c>
      <c r="AG155" s="2" t="s">
        <v>1062</v>
      </c>
      <c r="AH155" s="2" t="s">
        <v>8665</v>
      </c>
      <c r="AI155" s="2" t="str">
        <f>IF(Y155="","",Y155)</f>
        <v/>
      </c>
      <c r="AJ155" s="2" t="s">
        <v>1522</v>
      </c>
      <c r="AK155" s="2" t="s">
        <v>8594</v>
      </c>
      <c r="AL155" s="2" t="s">
        <v>8666</v>
      </c>
      <c r="AM155" s="2">
        <f>IF(AND(ISNUMBER(J155),OR(AR155="INHERITED ESTIMATE",AR155="CONFIRMED ESTIMATE")),1,0)</f>
        <v>1</v>
      </c>
      <c r="AN155" s="2"/>
      <c r="AO155" s="32" t="s">
        <v>1429</v>
      </c>
      <c r="AP155" s="32" t="s">
        <v>1418</v>
      </c>
      <c r="AQ155" s="32"/>
      <c r="AR155" s="32" t="s">
        <v>1420</v>
      </c>
      <c r="AS155" s="65">
        <f>IF(AM155=1,J155,"")</f>
        <v>12</v>
      </c>
      <c r="AT155" s="65">
        <f>IF(AND(AM155=1,ISNUMBER(R155)),R155,"")</f>
        <v>4.32</v>
      </c>
      <c r="AU155" s="2" t="s">
        <v>8667</v>
      </c>
      <c r="AV155" s="5"/>
      <c r="AW155" s="5"/>
      <c r="AX155" s="5"/>
      <c r="AY155" s="2" t="s">
        <v>8668</v>
      </c>
      <c r="AZ155" s="2"/>
      <c r="BA155" s="2"/>
      <c r="BB155" s="2"/>
    </row>
    <row r="156" spans="1:54" ht="75.95" hidden="1" customHeight="1">
      <c r="A156" s="2" t="s">
        <v>216</v>
      </c>
      <c r="B156" s="2" t="s">
        <v>1058</v>
      </c>
      <c r="C156" s="2" t="s">
        <v>634</v>
      </c>
      <c r="D156" s="2" t="s">
        <v>9434</v>
      </c>
      <c r="E156" s="2" t="s">
        <v>9036</v>
      </c>
      <c r="F156" s="2" t="s">
        <v>9074</v>
      </c>
      <c r="G156" s="2" t="s">
        <v>8677</v>
      </c>
      <c r="H156" s="2" t="s">
        <v>9435</v>
      </c>
      <c r="I156" s="2" t="s">
        <v>9436</v>
      </c>
      <c r="J156" s="65">
        <v>12</v>
      </c>
      <c r="K156" s="94" t="s">
        <v>537</v>
      </c>
      <c r="L156" s="2" t="s">
        <v>504</v>
      </c>
      <c r="M156" s="2"/>
      <c r="N156" s="2"/>
      <c r="O156" s="2" t="s">
        <v>1174</v>
      </c>
      <c r="P156" s="2" t="s">
        <v>1060</v>
      </c>
      <c r="Q156" s="2" t="s">
        <v>9244</v>
      </c>
      <c r="R156" s="65">
        <v>4.32</v>
      </c>
      <c r="S156" s="2" t="s">
        <v>1185</v>
      </c>
      <c r="T156" s="2" t="s">
        <v>9432</v>
      </c>
      <c r="U156" s="2" t="s">
        <v>9246</v>
      </c>
      <c r="V156" s="2" t="s">
        <v>1513</v>
      </c>
      <c r="W156" s="2" t="s">
        <v>1186</v>
      </c>
      <c r="X156" s="2" t="s">
        <v>9358</v>
      </c>
      <c r="Y156" s="33"/>
      <c r="Z156" s="9"/>
      <c r="AA156" s="2" t="s">
        <v>894</v>
      </c>
      <c r="AB156" s="2" t="s">
        <v>895</v>
      </c>
      <c r="AC156" s="2"/>
      <c r="AD156" s="2" t="s">
        <v>8686</v>
      </c>
      <c r="AE156" s="2" t="s">
        <v>8696</v>
      </c>
      <c r="AF156" s="2" t="s">
        <v>830</v>
      </c>
      <c r="AG156" s="2" t="s">
        <v>1062</v>
      </c>
      <c r="AH156" s="2" t="s">
        <v>8665</v>
      </c>
      <c r="AI156" s="2" t="str">
        <f>IF(Y156="","",Y156)</f>
        <v/>
      </c>
      <c r="AJ156" s="2" t="s">
        <v>1522</v>
      </c>
      <c r="AK156" s="2" t="s">
        <v>8594</v>
      </c>
      <c r="AL156" s="2" t="s">
        <v>8666</v>
      </c>
      <c r="AM156" s="2">
        <f>IF(AND(ISNUMBER(J156),OR(AR156="INHERITED ESTIMATE",AR156="CONFIRMED ESTIMATE")),1,0)</f>
        <v>1</v>
      </c>
      <c r="AN156" s="2"/>
      <c r="AO156" s="32" t="s">
        <v>1429</v>
      </c>
      <c r="AP156" s="32" t="s">
        <v>1418</v>
      </c>
      <c r="AQ156" s="32"/>
      <c r="AR156" s="32" t="s">
        <v>1420</v>
      </c>
      <c r="AS156" s="65">
        <f>IF(AM156=1,J156,"")</f>
        <v>12</v>
      </c>
      <c r="AT156" s="65">
        <f>IF(AND(AM156=1,ISNUMBER(R156)),R156,"")</f>
        <v>4.32</v>
      </c>
      <c r="AU156" s="2" t="s">
        <v>8667</v>
      </c>
      <c r="AV156" s="5"/>
      <c r="AW156" s="5"/>
      <c r="AX156" s="5"/>
      <c r="AY156" s="2" t="s">
        <v>8668</v>
      </c>
      <c r="AZ156" s="2"/>
      <c r="BA156" s="2"/>
      <c r="BB156" s="2"/>
    </row>
    <row r="157" spans="1:54" ht="75.95" hidden="1" customHeight="1">
      <c r="A157" s="2" t="s">
        <v>217</v>
      </c>
      <c r="B157" s="2" t="s">
        <v>1058</v>
      </c>
      <c r="C157" s="2" t="s">
        <v>634</v>
      </c>
      <c r="D157" s="2" t="s">
        <v>9437</v>
      </c>
      <c r="E157" s="2" t="s">
        <v>8687</v>
      </c>
      <c r="F157" s="2" t="s">
        <v>9438</v>
      </c>
      <c r="G157" s="2" t="s">
        <v>8656</v>
      </c>
      <c r="H157" s="2" t="s">
        <v>9439</v>
      </c>
      <c r="I157" s="2" t="s">
        <v>9440</v>
      </c>
      <c r="J157" s="65">
        <v>12</v>
      </c>
      <c r="K157" s="94" t="s">
        <v>537</v>
      </c>
      <c r="L157" s="2" t="s">
        <v>451</v>
      </c>
      <c r="M157" s="2" t="s">
        <v>1569</v>
      </c>
      <c r="N157" s="2" t="s">
        <v>237</v>
      </c>
      <c r="O157" s="2" t="s">
        <v>1174</v>
      </c>
      <c r="P157" s="2" t="s">
        <v>1060</v>
      </c>
      <c r="Q157" s="2" t="s">
        <v>9229</v>
      </c>
      <c r="R157" s="65">
        <v>7.2</v>
      </c>
      <c r="S157" s="2" t="s">
        <v>1185</v>
      </c>
      <c r="T157" s="2" t="s">
        <v>9230</v>
      </c>
      <c r="U157" s="2" t="s">
        <v>9231</v>
      </c>
      <c r="V157" s="2" t="s">
        <v>1513</v>
      </c>
      <c r="W157" s="2" t="s">
        <v>1186</v>
      </c>
      <c r="X157" s="2" t="s">
        <v>9358</v>
      </c>
      <c r="Y157" s="33"/>
      <c r="Z157" s="9"/>
      <c r="AA157" s="2" t="s">
        <v>979</v>
      </c>
      <c r="AB157" s="2" t="s">
        <v>980</v>
      </c>
      <c r="AC157" s="2"/>
      <c r="AD157" s="2" t="s">
        <v>8686</v>
      </c>
      <c r="AE157" s="2" t="s">
        <v>8696</v>
      </c>
      <c r="AF157" s="2" t="s">
        <v>830</v>
      </c>
      <c r="AG157" s="2" t="s">
        <v>1062</v>
      </c>
      <c r="AH157" s="2" t="s">
        <v>8665</v>
      </c>
      <c r="AI157" s="2" t="str">
        <f>IF(Y157="","",Y157)</f>
        <v/>
      </c>
      <c r="AJ157" s="2" t="s">
        <v>1522</v>
      </c>
      <c r="AK157" s="2" t="s">
        <v>8594</v>
      </c>
      <c r="AL157" s="2" t="s">
        <v>8666</v>
      </c>
      <c r="AM157" s="2">
        <f>IF(AND(ISNUMBER(J157),OR(AR157="INHERITED ESTIMATE",AR157="CONFIRMED ESTIMATE")),1,0)</f>
        <v>1</v>
      </c>
      <c r="AN157" s="2"/>
      <c r="AO157" s="32" t="s">
        <v>1429</v>
      </c>
      <c r="AP157" s="32" t="s">
        <v>1418</v>
      </c>
      <c r="AQ157" s="32"/>
      <c r="AR157" s="32" t="s">
        <v>1420</v>
      </c>
      <c r="AS157" s="65">
        <f>IF(AM157=1,J157,"")</f>
        <v>12</v>
      </c>
      <c r="AT157" s="65">
        <f>IF(AND(AM157=1,ISNUMBER(R157)),R157,"")</f>
        <v>7.2</v>
      </c>
      <c r="AU157" s="2" t="s">
        <v>8667</v>
      </c>
      <c r="AV157" s="5"/>
      <c r="AW157" s="5"/>
      <c r="AX157" s="5"/>
      <c r="AY157" s="2" t="s">
        <v>8668</v>
      </c>
      <c r="AZ157" s="2"/>
      <c r="BA157" s="2"/>
      <c r="BB157" s="2"/>
    </row>
    <row r="158" spans="1:54" ht="75.95" hidden="1" customHeight="1">
      <c r="A158" s="2" t="s">
        <v>218</v>
      </c>
      <c r="B158" s="2" t="s">
        <v>1058</v>
      </c>
      <c r="C158" s="2" t="s">
        <v>634</v>
      </c>
      <c r="D158" s="2" t="s">
        <v>9441</v>
      </c>
      <c r="E158" s="2" t="s">
        <v>8687</v>
      </c>
      <c r="F158" s="2" t="s">
        <v>9442</v>
      </c>
      <c r="G158" s="2" t="s">
        <v>8677</v>
      </c>
      <c r="H158" s="2" t="s">
        <v>1114</v>
      </c>
      <c r="I158" s="2" t="s">
        <v>1116</v>
      </c>
      <c r="J158" s="65">
        <v>12</v>
      </c>
      <c r="K158" s="94" t="s">
        <v>537</v>
      </c>
      <c r="L158" s="2" t="s">
        <v>451</v>
      </c>
      <c r="M158" s="2"/>
      <c r="N158" s="2"/>
      <c r="O158" s="2" t="s">
        <v>1174</v>
      </c>
      <c r="P158" s="2" t="s">
        <v>1060</v>
      </c>
      <c r="Q158" s="2" t="s">
        <v>9229</v>
      </c>
      <c r="R158" s="65">
        <v>7.2</v>
      </c>
      <c r="S158" s="2" t="s">
        <v>1185</v>
      </c>
      <c r="T158" s="2" t="s">
        <v>9230</v>
      </c>
      <c r="U158" s="2" t="s">
        <v>9231</v>
      </c>
      <c r="V158" s="2" t="s">
        <v>1513</v>
      </c>
      <c r="W158" s="2" t="s">
        <v>1186</v>
      </c>
      <c r="X158" s="2" t="s">
        <v>9358</v>
      </c>
      <c r="Y158" s="33"/>
      <c r="Z158" s="9"/>
      <c r="AA158" s="2" t="s">
        <v>943</v>
      </c>
      <c r="AB158" s="2" t="s">
        <v>944</v>
      </c>
      <c r="AC158" s="2" t="s">
        <v>945</v>
      </c>
      <c r="AD158" s="2" t="s">
        <v>8686</v>
      </c>
      <c r="AE158" s="2" t="s">
        <v>8696</v>
      </c>
      <c r="AF158" s="2" t="s">
        <v>830</v>
      </c>
      <c r="AG158" s="2" t="s">
        <v>1062</v>
      </c>
      <c r="AH158" s="2" t="s">
        <v>8665</v>
      </c>
      <c r="AI158" s="2" t="str">
        <f>IF(Y158="","",Y158)</f>
        <v/>
      </c>
      <c r="AJ158" s="2" t="s">
        <v>2348</v>
      </c>
      <c r="AK158" s="2" t="s">
        <v>8594</v>
      </c>
      <c r="AL158" s="2" t="s">
        <v>8666</v>
      </c>
      <c r="AM158" s="2">
        <f>IF(AND(ISNUMBER(J158),OR(AR158="INHERITED ESTIMATE",AR158="CONFIRMED ESTIMATE")),1,0)</f>
        <v>0</v>
      </c>
      <c r="AN158" s="2"/>
      <c r="AO158" s="32" t="s">
        <v>1429</v>
      </c>
      <c r="AP158" s="32" t="s">
        <v>1418</v>
      </c>
      <c r="AQ158" s="32"/>
      <c r="AR158" s="32" t="s">
        <v>1472</v>
      </c>
      <c r="AS158" s="65" t="str">
        <f>IF(AM158=1,J158,"")</f>
        <v/>
      </c>
      <c r="AT158" s="65" t="str">
        <f>IF(AND(AM158=1,ISNUMBER(R158)),R158,"")</f>
        <v/>
      </c>
      <c r="AU158" s="2" t="s">
        <v>8082</v>
      </c>
      <c r="AV158" s="5">
        <v>8</v>
      </c>
      <c r="AW158" s="5">
        <v>14</v>
      </c>
      <c r="AX158" s="5">
        <v>24</v>
      </c>
      <c r="AY158" s="2" t="s">
        <v>8832</v>
      </c>
      <c r="AZ158" s="2" t="s">
        <v>8086</v>
      </c>
      <c r="BA158" s="2" t="s">
        <v>8085</v>
      </c>
      <c r="BB158" s="2" t="s">
        <v>8833</v>
      </c>
    </row>
    <row r="159" spans="1:54" ht="75.95" hidden="1" customHeight="1">
      <c r="A159" s="2" t="s">
        <v>219</v>
      </c>
      <c r="B159" s="2" t="s">
        <v>1058</v>
      </c>
      <c r="C159" s="2" t="s">
        <v>634</v>
      </c>
      <c r="D159" s="2" t="s">
        <v>9443</v>
      </c>
      <c r="E159" s="2" t="s">
        <v>8687</v>
      </c>
      <c r="F159" s="2" t="s">
        <v>9444</v>
      </c>
      <c r="G159" s="2" t="s">
        <v>8656</v>
      </c>
      <c r="H159" s="2" t="s">
        <v>9445</v>
      </c>
      <c r="I159" s="2" t="s">
        <v>9446</v>
      </c>
      <c r="J159" s="65">
        <v>12</v>
      </c>
      <c r="K159" s="94" t="s">
        <v>537</v>
      </c>
      <c r="L159" s="2" t="s">
        <v>504</v>
      </c>
      <c r="M159" s="2" t="s">
        <v>1155</v>
      </c>
      <c r="N159" s="2" t="s">
        <v>1570</v>
      </c>
      <c r="O159" s="2" t="s">
        <v>1174</v>
      </c>
      <c r="P159" s="2" t="s">
        <v>1060</v>
      </c>
      <c r="Q159" s="2" t="s">
        <v>8691</v>
      </c>
      <c r="R159" s="65">
        <v>1.7999999999999998</v>
      </c>
      <c r="S159" s="2" t="s">
        <v>1185</v>
      </c>
      <c r="T159" s="2" t="s">
        <v>3443</v>
      </c>
      <c r="U159" s="2" t="s">
        <v>9357</v>
      </c>
      <c r="V159" s="2" t="s">
        <v>1513</v>
      </c>
      <c r="W159" s="2" t="s">
        <v>1186</v>
      </c>
      <c r="X159" s="2" t="s">
        <v>9358</v>
      </c>
      <c r="Y159" s="33"/>
      <c r="Z159" s="9"/>
      <c r="AA159" s="2" t="s">
        <v>913</v>
      </c>
      <c r="AB159" s="2" t="s">
        <v>914</v>
      </c>
      <c r="AC159" s="2" t="s">
        <v>907</v>
      </c>
      <c r="AD159" s="2" t="s">
        <v>8686</v>
      </c>
      <c r="AE159" s="2" t="s">
        <v>8763</v>
      </c>
      <c r="AF159" s="2" t="s">
        <v>830</v>
      </c>
      <c r="AG159" s="2" t="s">
        <v>1062</v>
      </c>
      <c r="AH159" s="2" t="s">
        <v>8665</v>
      </c>
      <c r="AI159" s="2" t="str">
        <f>IF(Y159="","",Y159)</f>
        <v/>
      </c>
      <c r="AJ159" s="2" t="s">
        <v>1522</v>
      </c>
      <c r="AK159" s="2" t="s">
        <v>8594</v>
      </c>
      <c r="AL159" s="2" t="s">
        <v>8666</v>
      </c>
      <c r="AM159" s="2">
        <f>IF(AND(ISNUMBER(J159),OR(AR159="INHERITED ESTIMATE",AR159="CONFIRMED ESTIMATE")),1,0)</f>
        <v>1</v>
      </c>
      <c r="AN159" s="2"/>
      <c r="AO159" s="32" t="s">
        <v>1429</v>
      </c>
      <c r="AP159" s="32" t="s">
        <v>1418</v>
      </c>
      <c r="AQ159" s="32"/>
      <c r="AR159" s="32" t="s">
        <v>1420</v>
      </c>
      <c r="AS159" s="65">
        <f>IF(AM159=1,J159,"")</f>
        <v>12</v>
      </c>
      <c r="AT159" s="65">
        <f>IF(AND(AM159=1,ISNUMBER(R159)),R159,"")</f>
        <v>1.7999999999999998</v>
      </c>
      <c r="AU159" s="2" t="s">
        <v>8667</v>
      </c>
      <c r="AV159" s="5"/>
      <c r="AW159" s="5"/>
      <c r="AX159" s="5"/>
      <c r="AY159" s="2" t="s">
        <v>8668</v>
      </c>
      <c r="AZ159" s="2"/>
      <c r="BA159" s="2"/>
      <c r="BB159" s="2"/>
    </row>
    <row r="160" spans="1:54" ht="75.95" hidden="1" customHeight="1">
      <c r="A160" s="2" t="s">
        <v>220</v>
      </c>
      <c r="B160" s="2" t="s">
        <v>1058</v>
      </c>
      <c r="C160" s="2" t="s">
        <v>634</v>
      </c>
      <c r="D160" s="2" t="s">
        <v>9447</v>
      </c>
      <c r="E160" s="2" t="s">
        <v>9036</v>
      </c>
      <c r="F160" s="2" t="s">
        <v>9448</v>
      </c>
      <c r="G160" s="2" t="s">
        <v>8656</v>
      </c>
      <c r="H160" s="2" t="s">
        <v>9449</v>
      </c>
      <c r="I160" s="2" t="s">
        <v>9450</v>
      </c>
      <c r="J160" s="65">
        <v>12</v>
      </c>
      <c r="K160" s="94" t="s">
        <v>537</v>
      </c>
      <c r="L160" s="2" t="s">
        <v>504</v>
      </c>
      <c r="M160" s="2" t="s">
        <v>1571</v>
      </c>
      <c r="N160" s="2" t="s">
        <v>1572</v>
      </c>
      <c r="O160" s="2" t="s">
        <v>1174</v>
      </c>
      <c r="P160" s="2" t="s">
        <v>1060</v>
      </c>
      <c r="Q160" s="2" t="s">
        <v>9356</v>
      </c>
      <c r="R160" s="65">
        <v>1.7999999999999998</v>
      </c>
      <c r="S160" s="2" t="s">
        <v>1185</v>
      </c>
      <c r="T160" s="2" t="s">
        <v>9451</v>
      </c>
      <c r="U160" s="2" t="s">
        <v>9357</v>
      </c>
      <c r="V160" s="2" t="s">
        <v>1513</v>
      </c>
      <c r="W160" s="2" t="s">
        <v>1186</v>
      </c>
      <c r="X160" s="2" t="s">
        <v>9358</v>
      </c>
      <c r="Y160" s="33"/>
      <c r="Z160" s="9"/>
      <c r="AA160" s="2" t="s">
        <v>886</v>
      </c>
      <c r="AB160" s="2" t="s">
        <v>887</v>
      </c>
      <c r="AC160" s="2"/>
      <c r="AD160" s="2" t="s">
        <v>8686</v>
      </c>
      <c r="AE160" s="2" t="s">
        <v>8696</v>
      </c>
      <c r="AF160" s="2" t="s">
        <v>830</v>
      </c>
      <c r="AG160" s="2" t="s">
        <v>1062</v>
      </c>
      <c r="AH160" s="2" t="s">
        <v>8665</v>
      </c>
      <c r="AI160" s="2" t="str">
        <f>IF(Y160="","",Y160)</f>
        <v/>
      </c>
      <c r="AJ160" s="2" t="s">
        <v>1522</v>
      </c>
      <c r="AK160" s="2" t="s">
        <v>8594</v>
      </c>
      <c r="AL160" s="2" t="s">
        <v>8666</v>
      </c>
      <c r="AM160" s="2">
        <f>IF(AND(ISNUMBER(J160),OR(AR160="INHERITED ESTIMATE",AR160="CONFIRMED ESTIMATE")),1,0)</f>
        <v>1</v>
      </c>
      <c r="AN160" s="2"/>
      <c r="AO160" s="32" t="s">
        <v>1429</v>
      </c>
      <c r="AP160" s="32" t="s">
        <v>1418</v>
      </c>
      <c r="AQ160" s="32"/>
      <c r="AR160" s="32" t="s">
        <v>1420</v>
      </c>
      <c r="AS160" s="65">
        <f>IF(AM160=1,J160,"")</f>
        <v>12</v>
      </c>
      <c r="AT160" s="65">
        <f>IF(AND(AM160=1,ISNUMBER(R160)),R160,"")</f>
        <v>1.7999999999999998</v>
      </c>
      <c r="AU160" s="2" t="s">
        <v>8667</v>
      </c>
      <c r="AV160" s="5"/>
      <c r="AW160" s="5"/>
      <c r="AX160" s="5"/>
      <c r="AY160" s="2" t="s">
        <v>8668</v>
      </c>
      <c r="AZ160" s="2"/>
      <c r="BA160" s="2"/>
      <c r="BB160" s="2"/>
    </row>
    <row r="161" spans="1:54" ht="75.95" hidden="1" customHeight="1">
      <c r="A161" s="2" t="s">
        <v>221</v>
      </c>
      <c r="B161" s="2" t="s">
        <v>1058</v>
      </c>
      <c r="C161" s="2" t="s">
        <v>634</v>
      </c>
      <c r="D161" s="2" t="s">
        <v>9452</v>
      </c>
      <c r="E161" s="2" t="s">
        <v>9036</v>
      </c>
      <c r="F161" s="2" t="s">
        <v>9448</v>
      </c>
      <c r="G161" s="2" t="s">
        <v>8656</v>
      </c>
      <c r="H161" s="2" t="s">
        <v>9453</v>
      </c>
      <c r="I161" s="2" t="s">
        <v>9454</v>
      </c>
      <c r="J161" s="65">
        <v>12</v>
      </c>
      <c r="K161" s="94" t="s">
        <v>537</v>
      </c>
      <c r="L161" s="2" t="s">
        <v>504</v>
      </c>
      <c r="M161" s="2" t="s">
        <v>1573</v>
      </c>
      <c r="N161" s="2" t="s">
        <v>1572</v>
      </c>
      <c r="O161" s="2" t="s">
        <v>1174</v>
      </c>
      <c r="P161" s="2" t="s">
        <v>1060</v>
      </c>
      <c r="Q161" s="2" t="s">
        <v>9356</v>
      </c>
      <c r="R161" s="65">
        <v>1.7999999999999998</v>
      </c>
      <c r="S161" s="2" t="s">
        <v>1185</v>
      </c>
      <c r="T161" s="2" t="s">
        <v>3460</v>
      </c>
      <c r="U161" s="2" t="s">
        <v>9357</v>
      </c>
      <c r="V161" s="2" t="s">
        <v>1513</v>
      </c>
      <c r="W161" s="2" t="s">
        <v>1186</v>
      </c>
      <c r="X161" s="2" t="s">
        <v>9358</v>
      </c>
      <c r="Y161" s="33"/>
      <c r="Z161" s="9"/>
      <c r="AA161" s="2" t="s">
        <v>886</v>
      </c>
      <c r="AB161" s="2" t="s">
        <v>887</v>
      </c>
      <c r="AC161" s="2"/>
      <c r="AD161" s="2" t="s">
        <v>8686</v>
      </c>
      <c r="AE161" s="2" t="s">
        <v>8693</v>
      </c>
      <c r="AF161" s="2" t="s">
        <v>830</v>
      </c>
      <c r="AG161" s="2" t="s">
        <v>1062</v>
      </c>
      <c r="AH161" s="2" t="s">
        <v>8665</v>
      </c>
      <c r="AI161" s="2" t="str">
        <f>IF(Y161="","",Y161)</f>
        <v/>
      </c>
      <c r="AJ161" s="2" t="s">
        <v>1522</v>
      </c>
      <c r="AK161" s="2" t="s">
        <v>8594</v>
      </c>
      <c r="AL161" s="2" t="s">
        <v>8666</v>
      </c>
      <c r="AM161" s="2">
        <f>IF(AND(ISNUMBER(J161),OR(AR161="INHERITED ESTIMATE",AR161="CONFIRMED ESTIMATE")),1,0)</f>
        <v>1</v>
      </c>
      <c r="AN161" s="2"/>
      <c r="AO161" s="32" t="s">
        <v>1429</v>
      </c>
      <c r="AP161" s="32" t="s">
        <v>1418</v>
      </c>
      <c r="AQ161" s="32"/>
      <c r="AR161" s="32" t="s">
        <v>1420</v>
      </c>
      <c r="AS161" s="65">
        <f>IF(AM161=1,J161,"")</f>
        <v>12</v>
      </c>
      <c r="AT161" s="65">
        <f>IF(AND(AM161=1,ISNUMBER(R161)),R161,"")</f>
        <v>1.7999999999999998</v>
      </c>
      <c r="AU161" s="2" t="s">
        <v>8667</v>
      </c>
      <c r="AV161" s="5"/>
      <c r="AW161" s="5"/>
      <c r="AX161" s="5"/>
      <c r="AY161" s="2" t="s">
        <v>8668</v>
      </c>
      <c r="AZ161" s="2"/>
      <c r="BA161" s="2"/>
      <c r="BB161" s="2"/>
    </row>
    <row r="162" spans="1:54" ht="75.95" hidden="1" customHeight="1">
      <c r="A162" s="2" t="s">
        <v>222</v>
      </c>
      <c r="B162" s="2" t="s">
        <v>1058</v>
      </c>
      <c r="C162" s="2" t="s">
        <v>634</v>
      </c>
      <c r="D162" s="2" t="s">
        <v>9455</v>
      </c>
      <c r="E162" s="2" t="s">
        <v>9052</v>
      </c>
      <c r="F162" s="2" t="s">
        <v>9053</v>
      </c>
      <c r="G162" s="2" t="s">
        <v>8656</v>
      </c>
      <c r="H162" s="2" t="s">
        <v>1110</v>
      </c>
      <c r="I162" s="2" t="s">
        <v>1112</v>
      </c>
      <c r="J162" s="65">
        <v>12</v>
      </c>
      <c r="K162" s="94" t="s">
        <v>537</v>
      </c>
      <c r="L162" s="2" t="s">
        <v>504</v>
      </c>
      <c r="M162" s="2" t="s">
        <v>1574</v>
      </c>
      <c r="N162" s="2" t="s">
        <v>1575</v>
      </c>
      <c r="O162" s="2" t="s">
        <v>1174</v>
      </c>
      <c r="P162" s="2" t="s">
        <v>1060</v>
      </c>
      <c r="Q162" s="2" t="s">
        <v>9356</v>
      </c>
      <c r="R162" s="65">
        <v>1.7999999999999998</v>
      </c>
      <c r="S162" s="2" t="s">
        <v>1185</v>
      </c>
      <c r="T162" s="2" t="s">
        <v>3470</v>
      </c>
      <c r="U162" s="2" t="s">
        <v>9357</v>
      </c>
      <c r="V162" s="2" t="s">
        <v>1513</v>
      </c>
      <c r="W162" s="2" t="s">
        <v>1186</v>
      </c>
      <c r="X162" s="2" t="s">
        <v>9358</v>
      </c>
      <c r="Y162" s="33"/>
      <c r="Z162" s="9"/>
      <c r="AA162" s="2" t="s">
        <v>881</v>
      </c>
      <c r="AB162" s="2" t="s">
        <v>883</v>
      </c>
      <c r="AC162" s="2" t="s">
        <v>896</v>
      </c>
      <c r="AD162" s="2" t="s">
        <v>8686</v>
      </c>
      <c r="AE162" s="2" t="s">
        <v>8693</v>
      </c>
      <c r="AF162" s="2" t="s">
        <v>830</v>
      </c>
      <c r="AG162" s="2" t="s">
        <v>1062</v>
      </c>
      <c r="AH162" s="2" t="s">
        <v>8665</v>
      </c>
      <c r="AI162" s="2" t="str">
        <f>IF(Y162="","",Y162)</f>
        <v/>
      </c>
      <c r="AJ162" s="2" t="s">
        <v>2348</v>
      </c>
      <c r="AK162" s="2" t="s">
        <v>8594</v>
      </c>
      <c r="AL162" s="2" t="s">
        <v>8666</v>
      </c>
      <c r="AM162" s="2">
        <f>IF(AND(ISNUMBER(J162),OR(AR162="INHERITED ESTIMATE",AR162="CONFIRMED ESTIMATE")),1,0)</f>
        <v>0</v>
      </c>
      <c r="AN162" s="2"/>
      <c r="AO162" s="32" t="s">
        <v>1429</v>
      </c>
      <c r="AP162" s="32" t="s">
        <v>1418</v>
      </c>
      <c r="AQ162" s="32"/>
      <c r="AR162" s="32" t="s">
        <v>1472</v>
      </c>
      <c r="AS162" s="65" t="str">
        <f>IF(AM162=1,J162,"")</f>
        <v/>
      </c>
      <c r="AT162" s="65" t="str">
        <f>IF(AND(AM162=1,ISNUMBER(R162)),R162,"")</f>
        <v/>
      </c>
      <c r="AU162" s="2" t="s">
        <v>8089</v>
      </c>
      <c r="AV162" s="5">
        <v>8</v>
      </c>
      <c r="AW162" s="5">
        <v>14</v>
      </c>
      <c r="AX162" s="5">
        <v>24</v>
      </c>
      <c r="AY162" s="2" t="s">
        <v>8832</v>
      </c>
      <c r="AZ162" s="2" t="s">
        <v>8093</v>
      </c>
      <c r="BA162" s="2" t="s">
        <v>8092</v>
      </c>
      <c r="BB162" s="2" t="s">
        <v>8833</v>
      </c>
    </row>
    <row r="163" spans="1:54" ht="75.95" hidden="1" customHeight="1">
      <c r="A163" s="2" t="s">
        <v>223</v>
      </c>
      <c r="B163" s="2" t="s">
        <v>1058</v>
      </c>
      <c r="C163" s="2" t="s">
        <v>634</v>
      </c>
      <c r="D163" s="2" t="s">
        <v>9456</v>
      </c>
      <c r="E163" s="2" t="s">
        <v>9036</v>
      </c>
      <c r="F163" s="2" t="s">
        <v>9457</v>
      </c>
      <c r="G163" s="2" t="s">
        <v>8656</v>
      </c>
      <c r="H163" s="2" t="s">
        <v>9458</v>
      </c>
      <c r="I163" s="2" t="s">
        <v>9459</v>
      </c>
      <c r="J163" s="65">
        <v>12</v>
      </c>
      <c r="K163" s="94" t="s">
        <v>537</v>
      </c>
      <c r="L163" s="2" t="s">
        <v>504</v>
      </c>
      <c r="M163" s="2" t="s">
        <v>1576</v>
      </c>
      <c r="N163" s="2" t="s">
        <v>1577</v>
      </c>
      <c r="O163" s="2" t="s">
        <v>1174</v>
      </c>
      <c r="P163" s="2" t="s">
        <v>1060</v>
      </c>
      <c r="Q163" s="2" t="s">
        <v>9356</v>
      </c>
      <c r="R163" s="65">
        <v>1.7999999999999998</v>
      </c>
      <c r="S163" s="2" t="s">
        <v>1185</v>
      </c>
      <c r="T163" s="2" t="s">
        <v>9460</v>
      </c>
      <c r="U163" s="2" t="s">
        <v>9357</v>
      </c>
      <c r="V163" s="2" t="s">
        <v>1513</v>
      </c>
      <c r="W163" s="2" t="s">
        <v>1186</v>
      </c>
      <c r="X163" s="2" t="s">
        <v>9358</v>
      </c>
      <c r="Y163" s="33"/>
      <c r="Z163" s="9"/>
      <c r="AA163" s="2" t="s">
        <v>888</v>
      </c>
      <c r="AB163" s="2" t="s">
        <v>889</v>
      </c>
      <c r="AC163" s="2" t="s">
        <v>9089</v>
      </c>
      <c r="AD163" s="2" t="s">
        <v>8686</v>
      </c>
      <c r="AE163" s="2" t="s">
        <v>8696</v>
      </c>
      <c r="AF163" s="2" t="s">
        <v>830</v>
      </c>
      <c r="AG163" s="2" t="s">
        <v>1062</v>
      </c>
      <c r="AH163" s="2" t="s">
        <v>8665</v>
      </c>
      <c r="AI163" s="2" t="str">
        <f>IF(Y163="","",Y163)</f>
        <v/>
      </c>
      <c r="AJ163" s="2" t="s">
        <v>1522</v>
      </c>
      <c r="AK163" s="2" t="s">
        <v>8594</v>
      </c>
      <c r="AL163" s="2" t="s">
        <v>8666</v>
      </c>
      <c r="AM163" s="2">
        <f>IF(AND(ISNUMBER(J163),OR(AR163="INHERITED ESTIMATE",AR163="CONFIRMED ESTIMATE")),1,0)</f>
        <v>1</v>
      </c>
      <c r="AN163" s="2"/>
      <c r="AO163" s="32" t="s">
        <v>1429</v>
      </c>
      <c r="AP163" s="32" t="s">
        <v>1418</v>
      </c>
      <c r="AQ163" s="32"/>
      <c r="AR163" s="32" t="s">
        <v>1420</v>
      </c>
      <c r="AS163" s="65">
        <f>IF(AM163=1,J163,"")</f>
        <v>12</v>
      </c>
      <c r="AT163" s="65">
        <f>IF(AND(AM163=1,ISNUMBER(R163)),R163,"")</f>
        <v>1.7999999999999998</v>
      </c>
      <c r="AU163" s="2" t="s">
        <v>8667</v>
      </c>
      <c r="AV163" s="5"/>
      <c r="AW163" s="5"/>
      <c r="AX163" s="5"/>
      <c r="AY163" s="2" t="s">
        <v>8668</v>
      </c>
      <c r="AZ163" s="2"/>
      <c r="BA163" s="2"/>
      <c r="BB163" s="2"/>
    </row>
    <row r="164" spans="1:54" ht="75.95" hidden="1" customHeight="1">
      <c r="A164" s="2" t="s">
        <v>224</v>
      </c>
      <c r="B164" s="2" t="s">
        <v>1058</v>
      </c>
      <c r="C164" s="2" t="s">
        <v>634</v>
      </c>
      <c r="D164" s="2" t="s">
        <v>9461</v>
      </c>
      <c r="E164" s="2" t="s">
        <v>8728</v>
      </c>
      <c r="F164" s="2" t="s">
        <v>9462</v>
      </c>
      <c r="G164" s="2" t="s">
        <v>8656</v>
      </c>
      <c r="H164" s="2" t="s">
        <v>9463</v>
      </c>
      <c r="I164" s="2" t="s">
        <v>9464</v>
      </c>
      <c r="J164" s="65">
        <v>10</v>
      </c>
      <c r="K164" s="94" t="s">
        <v>537</v>
      </c>
      <c r="L164" s="2" t="s">
        <v>504</v>
      </c>
      <c r="M164" s="2" t="s">
        <v>1578</v>
      </c>
      <c r="N164" s="2" t="s">
        <v>1579</v>
      </c>
      <c r="O164" s="2" t="s">
        <v>1174</v>
      </c>
      <c r="P164" s="2" t="s">
        <v>1060</v>
      </c>
      <c r="Q164" s="2" t="s">
        <v>8840</v>
      </c>
      <c r="R164" s="65">
        <v>1.6666666666666667</v>
      </c>
      <c r="S164" s="2" t="s">
        <v>1185</v>
      </c>
      <c r="T164" s="2" t="s">
        <v>9465</v>
      </c>
      <c r="U164" s="2" t="s">
        <v>9357</v>
      </c>
      <c r="V164" s="2" t="s">
        <v>1513</v>
      </c>
      <c r="W164" s="2" t="s">
        <v>1186</v>
      </c>
      <c r="X164" s="2" t="s">
        <v>9358</v>
      </c>
      <c r="Y164" s="33"/>
      <c r="Z164" s="9"/>
      <c r="AA164" s="2" t="s">
        <v>869</v>
      </c>
      <c r="AB164" s="2" t="s">
        <v>870</v>
      </c>
      <c r="AC164" s="2" t="s">
        <v>9466</v>
      </c>
      <c r="AD164" s="2" t="s">
        <v>8675</v>
      </c>
      <c r="AE164" s="2" t="s">
        <v>8722</v>
      </c>
      <c r="AF164" s="2" t="s">
        <v>830</v>
      </c>
      <c r="AG164" s="2" t="s">
        <v>1062</v>
      </c>
      <c r="AH164" s="2" t="s">
        <v>8665</v>
      </c>
      <c r="AI164" s="2" t="str">
        <f>IF(Y164="","",Y164)</f>
        <v/>
      </c>
      <c r="AJ164" s="2" t="s">
        <v>1522</v>
      </c>
      <c r="AK164" s="2" t="s">
        <v>8594</v>
      </c>
      <c r="AL164" s="2" t="s">
        <v>8666</v>
      </c>
      <c r="AM164" s="2">
        <f>IF(AND(ISNUMBER(J164),OR(AR164="INHERITED ESTIMATE",AR164="CONFIRMED ESTIMATE")),1,0)</f>
        <v>1</v>
      </c>
      <c r="AN164" s="2"/>
      <c r="AO164" s="32" t="s">
        <v>1429</v>
      </c>
      <c r="AP164" s="32" t="s">
        <v>1418</v>
      </c>
      <c r="AQ164" s="32"/>
      <c r="AR164" s="32" t="s">
        <v>1420</v>
      </c>
      <c r="AS164" s="65">
        <f>IF(AM164=1,J164,"")</f>
        <v>10</v>
      </c>
      <c r="AT164" s="65">
        <f>IF(AND(AM164=1,ISNUMBER(R164)),R164,"")</f>
        <v>1.6666666666666667</v>
      </c>
      <c r="AU164" s="2" t="s">
        <v>8667</v>
      </c>
      <c r="AV164" s="5"/>
      <c r="AW164" s="5"/>
      <c r="AX164" s="5"/>
      <c r="AY164" s="2" t="s">
        <v>8668</v>
      </c>
      <c r="AZ164" s="2"/>
      <c r="BA164" s="2"/>
      <c r="BB164" s="2"/>
    </row>
    <row r="165" spans="1:54" ht="75.95" hidden="1" customHeight="1">
      <c r="A165" s="2" t="s">
        <v>225</v>
      </c>
      <c r="B165" s="2" t="s">
        <v>1058</v>
      </c>
      <c r="C165" s="2" t="s">
        <v>634</v>
      </c>
      <c r="D165" s="2" t="s">
        <v>9467</v>
      </c>
      <c r="E165" s="2" t="s">
        <v>8728</v>
      </c>
      <c r="F165" s="2" t="s">
        <v>9468</v>
      </c>
      <c r="G165" s="2" t="s">
        <v>8656</v>
      </c>
      <c r="H165" s="2" t="s">
        <v>9469</v>
      </c>
      <c r="I165" s="2" t="s">
        <v>9470</v>
      </c>
      <c r="J165" s="65">
        <v>12</v>
      </c>
      <c r="K165" s="94" t="s">
        <v>537</v>
      </c>
      <c r="L165" s="2" t="s">
        <v>504</v>
      </c>
      <c r="M165" s="2" t="s">
        <v>1580</v>
      </c>
      <c r="N165" s="2" t="s">
        <v>228</v>
      </c>
      <c r="O165" s="2" t="s">
        <v>1174</v>
      </c>
      <c r="P165" s="2" t="s">
        <v>1060</v>
      </c>
      <c r="Q165" s="2" t="s">
        <v>8840</v>
      </c>
      <c r="R165" s="65">
        <v>2</v>
      </c>
      <c r="S165" s="2" t="s">
        <v>1185</v>
      </c>
      <c r="T165" s="2" t="s">
        <v>9471</v>
      </c>
      <c r="U165" s="2" t="s">
        <v>9357</v>
      </c>
      <c r="V165" s="2" t="s">
        <v>1513</v>
      </c>
      <c r="W165" s="2" t="s">
        <v>1186</v>
      </c>
      <c r="X165" s="2" t="s">
        <v>9358</v>
      </c>
      <c r="Y165" s="33"/>
      <c r="Z165" s="9"/>
      <c r="AA165" s="2" t="s">
        <v>894</v>
      </c>
      <c r="AB165" s="2" t="s">
        <v>895</v>
      </c>
      <c r="AC165" s="2" t="s">
        <v>869</v>
      </c>
      <c r="AD165" s="2" t="s">
        <v>8675</v>
      </c>
      <c r="AE165" s="2" t="s">
        <v>8722</v>
      </c>
      <c r="AF165" s="2" t="s">
        <v>830</v>
      </c>
      <c r="AG165" s="2" t="s">
        <v>1062</v>
      </c>
      <c r="AH165" s="2" t="s">
        <v>8665</v>
      </c>
      <c r="AI165" s="2" t="str">
        <f>IF(Y165="","",Y165)</f>
        <v/>
      </c>
      <c r="AJ165" s="2" t="s">
        <v>1522</v>
      </c>
      <c r="AK165" s="2" t="s">
        <v>8594</v>
      </c>
      <c r="AL165" s="2" t="s">
        <v>8666</v>
      </c>
      <c r="AM165" s="2">
        <f>IF(AND(ISNUMBER(J165),OR(AR165="INHERITED ESTIMATE",AR165="CONFIRMED ESTIMATE")),1,0)</f>
        <v>1</v>
      </c>
      <c r="AN165" s="2"/>
      <c r="AO165" s="32" t="s">
        <v>1429</v>
      </c>
      <c r="AP165" s="32" t="s">
        <v>1418</v>
      </c>
      <c r="AQ165" s="32"/>
      <c r="AR165" s="32" t="s">
        <v>1420</v>
      </c>
      <c r="AS165" s="65">
        <f>IF(AM165=1,J165,"")</f>
        <v>12</v>
      </c>
      <c r="AT165" s="65">
        <f>IF(AND(AM165=1,ISNUMBER(R165)),R165,"")</f>
        <v>2</v>
      </c>
      <c r="AU165" s="2" t="s">
        <v>8667</v>
      </c>
      <c r="AV165" s="5"/>
      <c r="AW165" s="5"/>
      <c r="AX165" s="5"/>
      <c r="AY165" s="2" t="s">
        <v>8668</v>
      </c>
      <c r="AZ165" s="2"/>
      <c r="BA165" s="2"/>
      <c r="BB165" s="2"/>
    </row>
    <row r="166" spans="1:54" ht="75.95" hidden="1" customHeight="1">
      <c r="A166" s="4" t="s">
        <v>226</v>
      </c>
      <c r="B166" s="4" t="s">
        <v>1058</v>
      </c>
      <c r="C166" s="4" t="s">
        <v>634</v>
      </c>
      <c r="D166" s="4" t="s">
        <v>9472</v>
      </c>
      <c r="E166" s="4" t="s">
        <v>8728</v>
      </c>
      <c r="F166" s="4" t="s">
        <v>9473</v>
      </c>
      <c r="G166" s="4" t="s">
        <v>8656</v>
      </c>
      <c r="H166" s="4" t="s">
        <v>1126</v>
      </c>
      <c r="I166" s="4" t="s">
        <v>1128</v>
      </c>
      <c r="J166" s="64">
        <v>12</v>
      </c>
      <c r="K166" s="94" t="s">
        <v>537</v>
      </c>
      <c r="L166" s="4" t="s">
        <v>504</v>
      </c>
      <c r="M166" s="2" t="s">
        <v>1581</v>
      </c>
      <c r="N166" s="2" t="s">
        <v>228</v>
      </c>
      <c r="O166" s="2" t="s">
        <v>1174</v>
      </c>
      <c r="P166" s="2" t="s">
        <v>1060</v>
      </c>
      <c r="Q166" s="2" t="s">
        <v>8840</v>
      </c>
      <c r="R166" s="65">
        <v>2</v>
      </c>
      <c r="S166" s="2" t="s">
        <v>1185</v>
      </c>
      <c r="T166" s="2" t="s">
        <v>9474</v>
      </c>
      <c r="U166" s="2" t="s">
        <v>9357</v>
      </c>
      <c r="V166" s="2" t="s">
        <v>1513</v>
      </c>
      <c r="W166" s="2" t="s">
        <v>1186</v>
      </c>
      <c r="X166" s="2" t="s">
        <v>9358</v>
      </c>
      <c r="Y166" s="33"/>
      <c r="Z166" s="9"/>
      <c r="AA166" s="2" t="s">
        <v>969</v>
      </c>
      <c r="AB166" s="2" t="s">
        <v>970</v>
      </c>
      <c r="AC166" s="2" t="s">
        <v>9475</v>
      </c>
      <c r="AD166" s="2" t="s">
        <v>8675</v>
      </c>
      <c r="AE166" s="2" t="s">
        <v>8722</v>
      </c>
      <c r="AF166" s="2" t="s">
        <v>830</v>
      </c>
      <c r="AG166" s="2" t="s">
        <v>1062</v>
      </c>
      <c r="AH166" s="2" t="s">
        <v>8665</v>
      </c>
      <c r="AI166" s="2" t="str">
        <f>IF(Y166="","",Y166)</f>
        <v/>
      </c>
      <c r="AJ166" s="2" t="s">
        <v>2348</v>
      </c>
      <c r="AK166" s="2" t="s">
        <v>8594</v>
      </c>
      <c r="AL166" s="2" t="s">
        <v>8666</v>
      </c>
      <c r="AM166" s="2">
        <f>IF(AND(ISNUMBER(J166),OR(AR166="INHERITED ESTIMATE",AR166="CONFIRMED ESTIMATE")),1,0)</f>
        <v>0</v>
      </c>
      <c r="AN166" s="2"/>
      <c r="AO166" s="32" t="s">
        <v>1429</v>
      </c>
      <c r="AP166" s="32" t="s">
        <v>1418</v>
      </c>
      <c r="AQ166" s="32"/>
      <c r="AR166" s="32" t="s">
        <v>1472</v>
      </c>
      <c r="AS166" s="65" t="str">
        <f>IF(AM166=1,J166,"")</f>
        <v/>
      </c>
      <c r="AT166" s="65" t="str">
        <f>IF(AND(AM166=1,ISNUMBER(R166)),R166,"")</f>
        <v/>
      </c>
      <c r="AU166" s="2" t="s">
        <v>8095</v>
      </c>
      <c r="AV166" s="5">
        <v>8</v>
      </c>
      <c r="AW166" s="5">
        <v>14</v>
      </c>
      <c r="AX166" s="5">
        <v>24</v>
      </c>
      <c r="AY166" s="2" t="s">
        <v>8832</v>
      </c>
      <c r="AZ166" s="2" t="s">
        <v>8099</v>
      </c>
      <c r="BA166" s="2" t="s">
        <v>8098</v>
      </c>
      <c r="BB166" s="2" t="s">
        <v>8833</v>
      </c>
    </row>
    <row r="167" spans="1:54" ht="75.95" hidden="1" customHeight="1">
      <c r="A167" s="2" t="s">
        <v>227</v>
      </c>
      <c r="B167" s="2" t="s">
        <v>1058</v>
      </c>
      <c r="C167" s="2" t="s">
        <v>634</v>
      </c>
      <c r="D167" s="2" t="s">
        <v>9476</v>
      </c>
      <c r="E167" s="2" t="s">
        <v>9036</v>
      </c>
      <c r="F167" s="2" t="s">
        <v>992</v>
      </c>
      <c r="G167" s="2" t="s">
        <v>8677</v>
      </c>
      <c r="H167" s="2" t="s">
        <v>9477</v>
      </c>
      <c r="I167" s="2" t="s">
        <v>9478</v>
      </c>
      <c r="J167" s="65">
        <v>12</v>
      </c>
      <c r="K167" s="94" t="s">
        <v>537</v>
      </c>
      <c r="L167" s="2" t="s">
        <v>504</v>
      </c>
      <c r="M167" s="2" t="s">
        <v>1582</v>
      </c>
      <c r="N167" s="2" t="s">
        <v>228</v>
      </c>
      <c r="O167" s="2" t="s">
        <v>1174</v>
      </c>
      <c r="P167" s="2" t="s">
        <v>1060</v>
      </c>
      <c r="Q167" s="2" t="s">
        <v>9356</v>
      </c>
      <c r="R167" s="65">
        <v>1.7999999999999998</v>
      </c>
      <c r="S167" s="2" t="s">
        <v>1185</v>
      </c>
      <c r="T167" s="2" t="s">
        <v>9479</v>
      </c>
      <c r="U167" s="2" t="s">
        <v>9357</v>
      </c>
      <c r="V167" s="2" t="s">
        <v>1513</v>
      </c>
      <c r="W167" s="2" t="s">
        <v>1186</v>
      </c>
      <c r="X167" s="2" t="s">
        <v>9358</v>
      </c>
      <c r="Y167" s="33"/>
      <c r="Z167" s="9"/>
      <c r="AA167" s="2" t="s">
        <v>991</v>
      </c>
      <c r="AB167" s="2" t="s">
        <v>992</v>
      </c>
      <c r="AC167" s="2"/>
      <c r="AD167" s="2" t="s">
        <v>8686</v>
      </c>
      <c r="AE167" s="2" t="s">
        <v>8696</v>
      </c>
      <c r="AF167" s="2" t="s">
        <v>990</v>
      </c>
      <c r="AG167" s="2" t="s">
        <v>1062</v>
      </c>
      <c r="AH167" s="2" t="s">
        <v>8665</v>
      </c>
      <c r="AI167" s="2" t="str">
        <f>IF(Y167="","",Y167)</f>
        <v/>
      </c>
      <c r="AJ167" s="2" t="s">
        <v>1522</v>
      </c>
      <c r="AK167" s="2" t="s">
        <v>8594</v>
      </c>
      <c r="AL167" s="2" t="s">
        <v>8666</v>
      </c>
      <c r="AM167" s="2">
        <f>IF(AND(ISNUMBER(J167),OR(AR167="INHERITED ESTIMATE",AR167="CONFIRMED ESTIMATE")),1,0)</f>
        <v>1</v>
      </c>
      <c r="AN167" s="2"/>
      <c r="AO167" s="32" t="s">
        <v>1429</v>
      </c>
      <c r="AP167" s="32" t="s">
        <v>1418</v>
      </c>
      <c r="AQ167" s="32"/>
      <c r="AR167" s="32" t="s">
        <v>1420</v>
      </c>
      <c r="AS167" s="65">
        <f>IF(AM167=1,J167,"")</f>
        <v>12</v>
      </c>
      <c r="AT167" s="65">
        <f>IF(AND(AM167=1,ISNUMBER(R167)),R167,"")</f>
        <v>1.7999999999999998</v>
      </c>
      <c r="AU167" s="2" t="s">
        <v>8667</v>
      </c>
      <c r="AV167" s="5"/>
      <c r="AW167" s="5"/>
      <c r="AX167" s="5"/>
      <c r="AY167" s="2" t="s">
        <v>8668</v>
      </c>
      <c r="AZ167" s="2"/>
      <c r="BA167" s="2"/>
      <c r="BB167" s="2"/>
    </row>
    <row r="168" spans="1:54" ht="75.95" hidden="1" customHeight="1">
      <c r="A168" s="4" t="s">
        <v>228</v>
      </c>
      <c r="B168" s="4" t="s">
        <v>1058</v>
      </c>
      <c r="C168" s="4" t="s">
        <v>634</v>
      </c>
      <c r="D168" s="4" t="s">
        <v>9480</v>
      </c>
      <c r="E168" s="4" t="s">
        <v>8654</v>
      </c>
      <c r="F168" s="4" t="s">
        <v>9481</v>
      </c>
      <c r="G168" s="4" t="s">
        <v>8656</v>
      </c>
      <c r="H168" s="4" t="s">
        <v>9482</v>
      </c>
      <c r="I168" s="4" t="s">
        <v>9483</v>
      </c>
      <c r="J168" s="64">
        <v>10</v>
      </c>
      <c r="K168" s="94" t="s">
        <v>537</v>
      </c>
      <c r="L168" s="4" t="s">
        <v>504</v>
      </c>
      <c r="M168" s="2" t="s">
        <v>1583</v>
      </c>
      <c r="N168" s="2"/>
      <c r="O168" s="2" t="s">
        <v>1174</v>
      </c>
      <c r="P168" s="2" t="s">
        <v>1060</v>
      </c>
      <c r="Q168" s="2" t="s">
        <v>8659</v>
      </c>
      <c r="R168" s="65">
        <v>1.7</v>
      </c>
      <c r="S168" s="2" t="s">
        <v>1185</v>
      </c>
      <c r="T168" s="2" t="s">
        <v>9484</v>
      </c>
      <c r="U168" s="2" t="s">
        <v>9357</v>
      </c>
      <c r="V168" s="2" t="s">
        <v>1513</v>
      </c>
      <c r="W168" s="2" t="s">
        <v>1186</v>
      </c>
      <c r="X168" s="2" t="s">
        <v>9358</v>
      </c>
      <c r="Y168" s="33"/>
      <c r="Z168" s="9"/>
      <c r="AA168" s="2" t="s">
        <v>964</v>
      </c>
      <c r="AB168" s="2" t="s">
        <v>8663</v>
      </c>
      <c r="AC168" s="2" t="s">
        <v>9485</v>
      </c>
      <c r="AD168" s="2" t="s">
        <v>8664</v>
      </c>
      <c r="AE168" s="2" t="s">
        <v>6137</v>
      </c>
      <c r="AF168" s="2" t="s">
        <v>830</v>
      </c>
      <c r="AG168" s="2" t="s">
        <v>1062</v>
      </c>
      <c r="AH168" s="2" t="s">
        <v>8665</v>
      </c>
      <c r="AI168" s="2" t="str">
        <f>IF(Y168="","",Y168)</f>
        <v/>
      </c>
      <c r="AJ168" s="2" t="s">
        <v>1522</v>
      </c>
      <c r="AK168" s="2" t="s">
        <v>8594</v>
      </c>
      <c r="AL168" s="2" t="s">
        <v>8666</v>
      </c>
      <c r="AM168" s="2">
        <f>IF(AND(ISNUMBER(J168),OR(AR168="INHERITED ESTIMATE",AR168="CONFIRMED ESTIMATE")),1,0)</f>
        <v>1</v>
      </c>
      <c r="AN168" s="2"/>
      <c r="AO168" s="32" t="s">
        <v>1429</v>
      </c>
      <c r="AP168" s="32" t="s">
        <v>1418</v>
      </c>
      <c r="AQ168" s="32"/>
      <c r="AR168" s="32" t="s">
        <v>1420</v>
      </c>
      <c r="AS168" s="65">
        <f>IF(AM168=1,J168,"")</f>
        <v>10</v>
      </c>
      <c r="AT168" s="65">
        <f>IF(AND(AM168=1,ISNUMBER(R168)),R168,"")</f>
        <v>1.7</v>
      </c>
      <c r="AU168" s="2" t="s">
        <v>8667</v>
      </c>
      <c r="AV168" s="5"/>
      <c r="AW168" s="5"/>
      <c r="AX168" s="5"/>
      <c r="AY168" s="2" t="s">
        <v>8668</v>
      </c>
      <c r="AZ168" s="2"/>
      <c r="BA168" s="2"/>
      <c r="BB168" s="2"/>
    </row>
    <row r="169" spans="1:54" ht="75.95" hidden="1" customHeight="1">
      <c r="A169" s="4" t="s">
        <v>229</v>
      </c>
      <c r="B169" s="4" t="s">
        <v>1058</v>
      </c>
      <c r="C169" s="4" t="s">
        <v>634</v>
      </c>
      <c r="D169" s="4" t="s">
        <v>9486</v>
      </c>
      <c r="E169" s="4" t="s">
        <v>9036</v>
      </c>
      <c r="F169" s="4" t="s">
        <v>9068</v>
      </c>
      <c r="G169" s="4" t="s">
        <v>8677</v>
      </c>
      <c r="H169" s="4" t="s">
        <v>9487</v>
      </c>
      <c r="I169" s="4" t="s">
        <v>9488</v>
      </c>
      <c r="J169" s="64">
        <v>10</v>
      </c>
      <c r="K169" s="94" t="s">
        <v>537</v>
      </c>
      <c r="L169" s="4" t="s">
        <v>504</v>
      </c>
      <c r="M169" s="2" t="s">
        <v>1584</v>
      </c>
      <c r="N169" s="2" t="s">
        <v>237</v>
      </c>
      <c r="O169" s="2" t="s">
        <v>1174</v>
      </c>
      <c r="P169" s="2" t="s">
        <v>1060</v>
      </c>
      <c r="Q169" s="2" t="s">
        <v>9356</v>
      </c>
      <c r="R169" s="65">
        <v>1.5</v>
      </c>
      <c r="S169" s="2" t="s">
        <v>1185</v>
      </c>
      <c r="T169" s="2" t="s">
        <v>9489</v>
      </c>
      <c r="U169" s="2" t="s">
        <v>9357</v>
      </c>
      <c r="V169" s="2" t="s">
        <v>1513</v>
      </c>
      <c r="W169" s="2" t="s">
        <v>1186</v>
      </c>
      <c r="X169" s="2" t="s">
        <v>9358</v>
      </c>
      <c r="Y169" s="33"/>
      <c r="Z169" s="9"/>
      <c r="AA169" s="2" t="s">
        <v>920</v>
      </c>
      <c r="AB169" s="2" t="s">
        <v>921</v>
      </c>
      <c r="AC169" s="2" t="s">
        <v>896</v>
      </c>
      <c r="AD169" s="2" t="s">
        <v>8686</v>
      </c>
      <c r="AE169" s="2" t="s">
        <v>8696</v>
      </c>
      <c r="AF169" s="2" t="s">
        <v>830</v>
      </c>
      <c r="AG169" s="2" t="s">
        <v>1062</v>
      </c>
      <c r="AH169" s="2" t="s">
        <v>8665</v>
      </c>
      <c r="AI169" s="2" t="str">
        <f>IF(Y169="","",Y169)</f>
        <v/>
      </c>
      <c r="AJ169" s="2" t="s">
        <v>1522</v>
      </c>
      <c r="AK169" s="2" t="s">
        <v>8594</v>
      </c>
      <c r="AL169" s="2" t="s">
        <v>8666</v>
      </c>
      <c r="AM169" s="2">
        <f>IF(AND(ISNUMBER(J169),OR(AR169="INHERITED ESTIMATE",AR169="CONFIRMED ESTIMATE")),1,0)</f>
        <v>1</v>
      </c>
      <c r="AN169" s="2"/>
      <c r="AO169" s="32" t="s">
        <v>1429</v>
      </c>
      <c r="AP169" s="32" t="s">
        <v>1418</v>
      </c>
      <c r="AQ169" s="32"/>
      <c r="AR169" s="32" t="s">
        <v>1420</v>
      </c>
      <c r="AS169" s="65">
        <f>IF(AM169=1,J169,"")</f>
        <v>10</v>
      </c>
      <c r="AT169" s="65">
        <f>IF(AND(AM169=1,ISNUMBER(R169)),R169,"")</f>
        <v>1.5</v>
      </c>
      <c r="AU169" s="2" t="s">
        <v>8667</v>
      </c>
      <c r="AV169" s="5"/>
      <c r="AW169" s="5"/>
      <c r="AX169" s="5"/>
      <c r="AY169" s="2" t="s">
        <v>8668</v>
      </c>
      <c r="AZ169" s="2"/>
      <c r="BA169" s="2"/>
      <c r="BB169" s="2"/>
    </row>
    <row r="170" spans="1:54" ht="75.95" hidden="1" customHeight="1">
      <c r="A170" s="4" t="s">
        <v>230</v>
      </c>
      <c r="B170" s="4" t="s">
        <v>1058</v>
      </c>
      <c r="C170" s="4" t="s">
        <v>634</v>
      </c>
      <c r="D170" s="4" t="s">
        <v>9490</v>
      </c>
      <c r="E170" s="4" t="s">
        <v>8687</v>
      </c>
      <c r="F170" s="4" t="s">
        <v>9491</v>
      </c>
      <c r="G170" s="4" t="s">
        <v>8656</v>
      </c>
      <c r="H170" s="4" t="s">
        <v>9492</v>
      </c>
      <c r="I170" s="4" t="s">
        <v>9493</v>
      </c>
      <c r="J170" s="64">
        <v>10</v>
      </c>
      <c r="K170" s="94" t="s">
        <v>537</v>
      </c>
      <c r="L170" s="4" t="s">
        <v>504</v>
      </c>
      <c r="M170" s="2" t="s">
        <v>1585</v>
      </c>
      <c r="N170" s="2" t="s">
        <v>1266</v>
      </c>
      <c r="O170" s="2" t="s">
        <v>1174</v>
      </c>
      <c r="P170" s="2" t="s">
        <v>1060</v>
      </c>
      <c r="Q170" s="2" t="s">
        <v>8691</v>
      </c>
      <c r="R170" s="65">
        <v>1.5</v>
      </c>
      <c r="S170" s="2" t="s">
        <v>1185</v>
      </c>
      <c r="T170" s="2" t="s">
        <v>9494</v>
      </c>
      <c r="U170" s="2" t="s">
        <v>9357</v>
      </c>
      <c r="V170" s="2" t="s">
        <v>1513</v>
      </c>
      <c r="W170" s="2" t="s">
        <v>1186</v>
      </c>
      <c r="X170" s="2" t="s">
        <v>9358</v>
      </c>
      <c r="Y170" s="33"/>
      <c r="Z170" s="9"/>
      <c r="AA170" s="2" t="s">
        <v>881</v>
      </c>
      <c r="AB170" s="2" t="s">
        <v>883</v>
      </c>
      <c r="AC170" s="2"/>
      <c r="AD170" s="2" t="s">
        <v>8686</v>
      </c>
      <c r="AE170" s="2" t="s">
        <v>8696</v>
      </c>
      <c r="AF170" s="2" t="s">
        <v>830</v>
      </c>
      <c r="AG170" s="2" t="s">
        <v>1062</v>
      </c>
      <c r="AH170" s="2" t="s">
        <v>8665</v>
      </c>
      <c r="AI170" s="2" t="str">
        <f>IF(Y170="","",Y170)</f>
        <v/>
      </c>
      <c r="AJ170" s="2" t="s">
        <v>1522</v>
      </c>
      <c r="AK170" s="2" t="s">
        <v>8594</v>
      </c>
      <c r="AL170" s="2" t="s">
        <v>8666</v>
      </c>
      <c r="AM170" s="2">
        <f>IF(AND(ISNUMBER(J170),OR(AR170="INHERITED ESTIMATE",AR170="CONFIRMED ESTIMATE")),1,0)</f>
        <v>1</v>
      </c>
      <c r="AN170" s="2"/>
      <c r="AO170" s="32" t="s">
        <v>1429</v>
      </c>
      <c r="AP170" s="32" t="s">
        <v>1418</v>
      </c>
      <c r="AQ170" s="32"/>
      <c r="AR170" s="32" t="s">
        <v>1420</v>
      </c>
      <c r="AS170" s="65">
        <f>IF(AM170=1,J170,"")</f>
        <v>10</v>
      </c>
      <c r="AT170" s="65">
        <f>IF(AND(AM170=1,ISNUMBER(R170)),R170,"")</f>
        <v>1.5</v>
      </c>
      <c r="AU170" s="2" t="s">
        <v>8667</v>
      </c>
      <c r="AV170" s="5"/>
      <c r="AW170" s="5"/>
      <c r="AX170" s="5"/>
      <c r="AY170" s="2" t="s">
        <v>8668</v>
      </c>
      <c r="AZ170" s="2"/>
      <c r="BA170" s="2"/>
      <c r="BB170" s="2"/>
    </row>
    <row r="171" spans="1:54" ht="75.95" hidden="1" customHeight="1">
      <c r="A171" s="4" t="s">
        <v>231</v>
      </c>
      <c r="B171" s="4" t="s">
        <v>1058</v>
      </c>
      <c r="C171" s="4" t="s">
        <v>634</v>
      </c>
      <c r="D171" s="4" t="s">
        <v>9495</v>
      </c>
      <c r="E171" s="4" t="s">
        <v>9036</v>
      </c>
      <c r="F171" s="4" t="s">
        <v>9496</v>
      </c>
      <c r="G171" s="4" t="s">
        <v>8677</v>
      </c>
      <c r="H171" s="4" t="s">
        <v>9497</v>
      </c>
      <c r="I171" s="4" t="s">
        <v>9498</v>
      </c>
      <c r="J171" s="64">
        <v>12</v>
      </c>
      <c r="K171" s="94" t="s">
        <v>537</v>
      </c>
      <c r="L171" s="4" t="s">
        <v>504</v>
      </c>
      <c r="M171" s="2" t="s">
        <v>1586</v>
      </c>
      <c r="N171" s="2" t="s">
        <v>1587</v>
      </c>
      <c r="O171" s="2" t="s">
        <v>1174</v>
      </c>
      <c r="P171" s="2" t="s">
        <v>1060</v>
      </c>
      <c r="Q171" s="2" t="s">
        <v>8760</v>
      </c>
      <c r="R171" s="65">
        <v>3.2</v>
      </c>
      <c r="S171" s="2" t="s">
        <v>1185</v>
      </c>
      <c r="T171" s="2" t="s">
        <v>9499</v>
      </c>
      <c r="U171" s="2" t="s">
        <v>9500</v>
      </c>
      <c r="V171" s="2" t="s">
        <v>9501</v>
      </c>
      <c r="W171" s="2" t="s">
        <v>1186</v>
      </c>
      <c r="X171" s="2" t="s">
        <v>9358</v>
      </c>
      <c r="Y171" s="33"/>
      <c r="Z171" s="9"/>
      <c r="AA171" s="2" t="s">
        <v>892</v>
      </c>
      <c r="AB171" s="2" t="s">
        <v>893</v>
      </c>
      <c r="AC171" s="2" t="s">
        <v>983</v>
      </c>
      <c r="AD171" s="2" t="s">
        <v>8686</v>
      </c>
      <c r="AE171" s="2" t="s">
        <v>8696</v>
      </c>
      <c r="AF171" s="2" t="s">
        <v>830</v>
      </c>
      <c r="AG171" s="2" t="s">
        <v>1062</v>
      </c>
      <c r="AH171" s="2" t="s">
        <v>8665</v>
      </c>
      <c r="AI171" s="2" t="str">
        <f>IF(Y171="","",Y171)</f>
        <v/>
      </c>
      <c r="AJ171" s="2" t="s">
        <v>1522</v>
      </c>
      <c r="AK171" s="2" t="s">
        <v>8594</v>
      </c>
      <c r="AL171" s="2" t="s">
        <v>8666</v>
      </c>
      <c r="AM171" s="2">
        <f>IF(AND(ISNUMBER(J171),OR(AR171="INHERITED ESTIMATE",AR171="CONFIRMED ESTIMATE")),1,0)</f>
        <v>1</v>
      </c>
      <c r="AN171" s="2"/>
      <c r="AO171" s="32" t="s">
        <v>1429</v>
      </c>
      <c r="AP171" s="32" t="s">
        <v>1418</v>
      </c>
      <c r="AQ171" s="32"/>
      <c r="AR171" s="32" t="s">
        <v>1420</v>
      </c>
      <c r="AS171" s="65">
        <f>IF(AM171=1,J171,"")</f>
        <v>12</v>
      </c>
      <c r="AT171" s="65">
        <f>IF(AND(AM171=1,ISNUMBER(R171)),R171,"")</f>
        <v>3.2</v>
      </c>
      <c r="AU171" s="2" t="s">
        <v>8667</v>
      </c>
      <c r="AV171" s="5"/>
      <c r="AW171" s="5"/>
      <c r="AX171" s="5"/>
      <c r="AY171" s="2" t="s">
        <v>8668</v>
      </c>
      <c r="AZ171" s="2"/>
      <c r="BA171" s="2"/>
      <c r="BB171" s="2"/>
    </row>
    <row r="172" spans="1:54" ht="75.95" hidden="1" customHeight="1">
      <c r="A172" s="4" t="s">
        <v>232</v>
      </c>
      <c r="B172" s="4" t="s">
        <v>1058</v>
      </c>
      <c r="C172" s="4" t="s">
        <v>634</v>
      </c>
      <c r="D172" s="4" t="s">
        <v>9502</v>
      </c>
      <c r="E172" s="4" t="s">
        <v>8775</v>
      </c>
      <c r="F172" s="4" t="s">
        <v>9503</v>
      </c>
      <c r="G172" s="4" t="s">
        <v>8677</v>
      </c>
      <c r="H172" s="4" t="s">
        <v>9504</v>
      </c>
      <c r="I172" s="4" t="s">
        <v>9505</v>
      </c>
      <c r="J172" s="64">
        <v>8</v>
      </c>
      <c r="K172" s="94" t="s">
        <v>537</v>
      </c>
      <c r="L172" s="4" t="s">
        <v>451</v>
      </c>
      <c r="M172" s="2" t="s">
        <v>1588</v>
      </c>
      <c r="N172" s="2" t="s">
        <v>233</v>
      </c>
      <c r="O172" s="2" t="s">
        <v>1174</v>
      </c>
      <c r="P172" s="2" t="s">
        <v>1060</v>
      </c>
      <c r="Q172" s="2" t="s">
        <v>8767</v>
      </c>
      <c r="R172" s="65">
        <v>3.4</v>
      </c>
      <c r="S172" s="2" t="s">
        <v>1185</v>
      </c>
      <c r="T172" s="2" t="s">
        <v>9506</v>
      </c>
      <c r="U172" s="2" t="s">
        <v>9507</v>
      </c>
      <c r="V172" s="2" t="s">
        <v>9508</v>
      </c>
      <c r="W172" s="2" t="s">
        <v>1186</v>
      </c>
      <c r="X172" s="2" t="s">
        <v>9358</v>
      </c>
      <c r="Y172" s="33"/>
      <c r="Z172" s="9"/>
      <c r="AA172" s="2" t="s">
        <v>892</v>
      </c>
      <c r="AB172" s="2" t="s">
        <v>893</v>
      </c>
      <c r="AC172" s="2"/>
      <c r="AD172" s="2" t="s">
        <v>8686</v>
      </c>
      <c r="AE172" s="2" t="s">
        <v>8763</v>
      </c>
      <c r="AF172" s="2" t="s">
        <v>830</v>
      </c>
      <c r="AG172" s="2" t="s">
        <v>1062</v>
      </c>
      <c r="AH172" s="2" t="s">
        <v>8665</v>
      </c>
      <c r="AI172" s="2" t="str">
        <f>IF(Y172="","",Y172)</f>
        <v/>
      </c>
      <c r="AJ172" s="2" t="s">
        <v>1522</v>
      </c>
      <c r="AK172" s="2" t="s">
        <v>8594</v>
      </c>
      <c r="AL172" s="2" t="s">
        <v>8666</v>
      </c>
      <c r="AM172" s="2">
        <f>IF(AND(ISNUMBER(J172),OR(AR172="INHERITED ESTIMATE",AR172="CONFIRMED ESTIMATE")),1,0)</f>
        <v>1</v>
      </c>
      <c r="AN172" s="2"/>
      <c r="AO172" s="32" t="s">
        <v>1429</v>
      </c>
      <c r="AP172" s="32" t="s">
        <v>1418</v>
      </c>
      <c r="AQ172" s="32"/>
      <c r="AR172" s="32" t="s">
        <v>1420</v>
      </c>
      <c r="AS172" s="65">
        <f>IF(AM172=1,J172,"")</f>
        <v>8</v>
      </c>
      <c r="AT172" s="65">
        <f>IF(AND(AM172=1,ISNUMBER(R172)),R172,"")</f>
        <v>3.4</v>
      </c>
      <c r="AU172" s="2" t="s">
        <v>8667</v>
      </c>
      <c r="AV172" s="5"/>
      <c r="AW172" s="5"/>
      <c r="AX172" s="5"/>
      <c r="AY172" s="2" t="s">
        <v>8668</v>
      </c>
      <c r="AZ172" s="2"/>
      <c r="BA172" s="2"/>
      <c r="BB172" s="2"/>
    </row>
    <row r="173" spans="1:54" ht="75.95" hidden="1" customHeight="1">
      <c r="A173" s="4" t="s">
        <v>233</v>
      </c>
      <c r="B173" s="4" t="s">
        <v>1058</v>
      </c>
      <c r="C173" s="4" t="s">
        <v>634</v>
      </c>
      <c r="D173" s="4" t="s">
        <v>9509</v>
      </c>
      <c r="E173" s="4" t="s">
        <v>9510</v>
      </c>
      <c r="F173" s="4" t="s">
        <v>9511</v>
      </c>
      <c r="G173" s="4" t="s">
        <v>8677</v>
      </c>
      <c r="H173" s="4" t="s">
        <v>9512</v>
      </c>
      <c r="I173" s="4" t="s">
        <v>9513</v>
      </c>
      <c r="J173" s="64">
        <v>12</v>
      </c>
      <c r="K173" s="94" t="s">
        <v>537</v>
      </c>
      <c r="L173" s="4" t="s">
        <v>504</v>
      </c>
      <c r="M173" s="2" t="s">
        <v>1589</v>
      </c>
      <c r="N173" s="2" t="s">
        <v>1267</v>
      </c>
      <c r="O173" s="2" t="s">
        <v>1174</v>
      </c>
      <c r="P173" s="2" t="s">
        <v>1060</v>
      </c>
      <c r="Q173" s="2" t="s">
        <v>9356</v>
      </c>
      <c r="R173" s="65">
        <v>5.0999999999999996</v>
      </c>
      <c r="S173" s="2" t="s">
        <v>1185</v>
      </c>
      <c r="T173" s="2" t="s">
        <v>9514</v>
      </c>
      <c r="U173" s="2" t="s">
        <v>9515</v>
      </c>
      <c r="V173" s="2" t="s">
        <v>9516</v>
      </c>
      <c r="W173" s="2" t="s">
        <v>1186</v>
      </c>
      <c r="X173" s="2" t="s">
        <v>9358</v>
      </c>
      <c r="Y173" s="33"/>
      <c r="Z173" s="9"/>
      <c r="AA173" s="2" t="s">
        <v>892</v>
      </c>
      <c r="AB173" s="2" t="s">
        <v>893</v>
      </c>
      <c r="AC173" s="2" t="s">
        <v>918</v>
      </c>
      <c r="AD173" s="2" t="s">
        <v>8686</v>
      </c>
      <c r="AE173" s="2" t="s">
        <v>8696</v>
      </c>
      <c r="AF173" s="2" t="s">
        <v>830</v>
      </c>
      <c r="AG173" s="2" t="s">
        <v>1062</v>
      </c>
      <c r="AH173" s="2" t="s">
        <v>8665</v>
      </c>
      <c r="AI173" s="2" t="str">
        <f>IF(Y173="","",Y173)</f>
        <v/>
      </c>
      <c r="AJ173" s="2" t="s">
        <v>1522</v>
      </c>
      <c r="AK173" s="2" t="s">
        <v>8594</v>
      </c>
      <c r="AL173" s="2" t="s">
        <v>8666</v>
      </c>
      <c r="AM173" s="2">
        <f>IF(AND(ISNUMBER(J173),OR(AR173="INHERITED ESTIMATE",AR173="CONFIRMED ESTIMATE")),1,0)</f>
        <v>1</v>
      </c>
      <c r="AN173" s="2"/>
      <c r="AO173" s="32" t="s">
        <v>1429</v>
      </c>
      <c r="AP173" s="32" t="s">
        <v>1418</v>
      </c>
      <c r="AQ173" s="32"/>
      <c r="AR173" s="32" t="s">
        <v>1420</v>
      </c>
      <c r="AS173" s="65">
        <f>IF(AM173=1,J173,"")</f>
        <v>12</v>
      </c>
      <c r="AT173" s="65">
        <f>IF(AND(AM173=1,ISNUMBER(R173)),R173,"")</f>
        <v>5.0999999999999996</v>
      </c>
      <c r="AU173" s="2" t="s">
        <v>8667</v>
      </c>
      <c r="AV173" s="5"/>
      <c r="AW173" s="5"/>
      <c r="AX173" s="5"/>
      <c r="AY173" s="2" t="s">
        <v>8668</v>
      </c>
      <c r="AZ173" s="2"/>
      <c r="BA173" s="2"/>
      <c r="BB173" s="2"/>
    </row>
    <row r="174" spans="1:54" ht="75.95" hidden="1" customHeight="1">
      <c r="A174" s="2" t="s">
        <v>234</v>
      </c>
      <c r="B174" s="2" t="s">
        <v>1058</v>
      </c>
      <c r="C174" s="2" t="s">
        <v>634</v>
      </c>
      <c r="D174" s="2" t="s">
        <v>610</v>
      </c>
      <c r="E174" s="2" t="s">
        <v>8728</v>
      </c>
      <c r="F174" s="2" t="s">
        <v>8942</v>
      </c>
      <c r="G174" s="2" t="s">
        <v>8943</v>
      </c>
      <c r="H174" s="2" t="s">
        <v>9517</v>
      </c>
      <c r="I174" s="2" t="s">
        <v>9518</v>
      </c>
      <c r="J174" s="65">
        <v>11</v>
      </c>
      <c r="K174" s="94" t="s">
        <v>537</v>
      </c>
      <c r="L174" s="2" t="s">
        <v>491</v>
      </c>
      <c r="M174" s="2" t="s">
        <v>1063</v>
      </c>
      <c r="N174" s="2" t="s">
        <v>237</v>
      </c>
      <c r="O174" s="2" t="s">
        <v>1174</v>
      </c>
      <c r="P174" s="2" t="s">
        <v>1060</v>
      </c>
      <c r="Q174" s="2" t="s">
        <v>8946</v>
      </c>
      <c r="R174" s="65">
        <v>4.7</v>
      </c>
      <c r="S174" s="2" t="s">
        <v>1185</v>
      </c>
      <c r="T174" s="2" t="s">
        <v>1188</v>
      </c>
      <c r="U174" s="2" t="s">
        <v>9519</v>
      </c>
      <c r="V174" s="2" t="s">
        <v>9520</v>
      </c>
      <c r="W174" s="2" t="s">
        <v>1186</v>
      </c>
      <c r="X174" s="2" t="s">
        <v>1170</v>
      </c>
      <c r="Y174" s="33"/>
      <c r="Z174" s="9"/>
      <c r="AA174" s="2" t="s">
        <v>877</v>
      </c>
      <c r="AB174" s="2" t="s">
        <v>8970</v>
      </c>
      <c r="AC174" s="2" t="s">
        <v>9521</v>
      </c>
      <c r="AD174" s="2" t="s">
        <v>8686</v>
      </c>
      <c r="AE174" s="2" t="s">
        <v>8722</v>
      </c>
      <c r="AF174" s="2" t="s">
        <v>830</v>
      </c>
      <c r="AG174" s="2" t="s">
        <v>1062</v>
      </c>
      <c r="AH174" s="2" t="s">
        <v>8665</v>
      </c>
      <c r="AI174" s="2" t="str">
        <f>IF(Y174="","",Y174)</f>
        <v/>
      </c>
      <c r="AJ174" s="2" t="s">
        <v>1522</v>
      </c>
      <c r="AK174" s="2" t="s">
        <v>8594</v>
      </c>
      <c r="AL174" s="2" t="s">
        <v>8666</v>
      </c>
      <c r="AM174" s="2">
        <f>IF(AND(ISNUMBER(J174),OR(AR174="INHERITED ESTIMATE",AR174="CONFIRMED ESTIMATE")),1,0)</f>
        <v>1</v>
      </c>
      <c r="AN174" s="2"/>
      <c r="AO174" s="32" t="s">
        <v>1429</v>
      </c>
      <c r="AP174" s="32" t="s">
        <v>1418</v>
      </c>
      <c r="AQ174" s="32"/>
      <c r="AR174" s="32" t="s">
        <v>1420</v>
      </c>
      <c r="AS174" s="65">
        <f>IF(AM174=1,J174,"")</f>
        <v>11</v>
      </c>
      <c r="AT174" s="65">
        <f>IF(AND(AM174=1,ISNUMBER(R174)),R174,"")</f>
        <v>4.7</v>
      </c>
      <c r="AU174" s="2" t="s">
        <v>8667</v>
      </c>
      <c r="AV174" s="5"/>
      <c r="AW174" s="5"/>
      <c r="AX174" s="5"/>
      <c r="AY174" s="2" t="s">
        <v>8668</v>
      </c>
      <c r="AZ174" s="2"/>
      <c r="BA174" s="2"/>
      <c r="BB174" s="2"/>
    </row>
    <row r="175" spans="1:54" ht="75.95" hidden="1" customHeight="1">
      <c r="A175" s="2" t="s">
        <v>235</v>
      </c>
      <c r="B175" s="2" t="s">
        <v>1058</v>
      </c>
      <c r="C175" s="2" t="s">
        <v>634</v>
      </c>
      <c r="D175" s="2" t="s">
        <v>1160</v>
      </c>
      <c r="E175" s="2" t="s">
        <v>8997</v>
      </c>
      <c r="F175" s="2" t="s">
        <v>1160</v>
      </c>
      <c r="G175" s="2" t="s">
        <v>8677</v>
      </c>
      <c r="H175" s="2" t="s">
        <v>9522</v>
      </c>
      <c r="I175" s="2" t="s">
        <v>9523</v>
      </c>
      <c r="J175" s="67"/>
      <c r="K175" s="94" t="s">
        <v>537</v>
      </c>
      <c r="L175" s="2" t="s">
        <v>504</v>
      </c>
      <c r="M175" s="2" t="s">
        <v>1590</v>
      </c>
      <c r="N175" s="2" t="s">
        <v>237</v>
      </c>
      <c r="O175" s="2" t="s">
        <v>1174</v>
      </c>
      <c r="P175" s="2" t="s">
        <v>1060</v>
      </c>
      <c r="Q175" s="2" t="s">
        <v>9000</v>
      </c>
      <c r="R175" s="65"/>
      <c r="S175" s="2" t="s">
        <v>1185</v>
      </c>
      <c r="T175" s="2" t="s">
        <v>1199</v>
      </c>
      <c r="U175" s="2" t="s">
        <v>9001</v>
      </c>
      <c r="V175" s="2" t="s">
        <v>9002</v>
      </c>
      <c r="W175" s="2" t="s">
        <v>1186</v>
      </c>
      <c r="X175" s="2" t="s">
        <v>1170</v>
      </c>
      <c r="Y175" s="33"/>
      <c r="Z175" s="9"/>
      <c r="AA175" s="2" t="s">
        <v>983</v>
      </c>
      <c r="AB175" s="2" t="s">
        <v>985</v>
      </c>
      <c r="AC175" s="2" t="s">
        <v>9524</v>
      </c>
      <c r="AD175" s="2" t="s">
        <v>8686</v>
      </c>
      <c r="AE175" s="2" t="s">
        <v>9005</v>
      </c>
      <c r="AF175" s="2" t="s">
        <v>830</v>
      </c>
      <c r="AG175" s="2" t="s">
        <v>1062</v>
      </c>
      <c r="AH175" s="2" t="s">
        <v>8665</v>
      </c>
      <c r="AI175" s="2" t="str">
        <f>IF(Y175="","",Y175)</f>
        <v/>
      </c>
      <c r="AJ175" s="34" t="s">
        <v>1502</v>
      </c>
      <c r="AK175" s="34" t="s">
        <v>8594</v>
      </c>
      <c r="AL175" s="34" t="s">
        <v>9525</v>
      </c>
      <c r="AM175" s="34">
        <f>IF(AND(ISNUMBER(J175),OR(AR175="INHERITED ESTIMATE",AR175="CONFIRMED ESTIMATE")),1,0)</f>
        <v>0</v>
      </c>
      <c r="AN175" s="34"/>
      <c r="AO175" s="35" t="s">
        <v>1429</v>
      </c>
      <c r="AP175" s="35" t="s">
        <v>1418</v>
      </c>
      <c r="AQ175" s="35"/>
      <c r="AR175" s="35" t="s">
        <v>1508</v>
      </c>
      <c r="AS175" s="65" t="str">
        <f>IF(AM175=1,J175,"")</f>
        <v/>
      </c>
      <c r="AT175" s="65" t="str">
        <f>IF(AND(AM175=1,ISNUMBER(R175)),R175,"")</f>
        <v/>
      </c>
      <c r="AU175" s="2" t="s">
        <v>8101</v>
      </c>
      <c r="AV175" s="5">
        <v>10</v>
      </c>
      <c r="AW175" s="5">
        <v>18</v>
      </c>
      <c r="AX175" s="5">
        <v>30</v>
      </c>
      <c r="AY175" s="2" t="s">
        <v>8832</v>
      </c>
      <c r="AZ175" s="2" t="s">
        <v>8105</v>
      </c>
      <c r="BA175" s="2" t="s">
        <v>8104</v>
      </c>
      <c r="BB175" s="2" t="s">
        <v>8833</v>
      </c>
    </row>
    <row r="176" spans="1:54" ht="75.95" hidden="1" customHeight="1">
      <c r="A176" s="23" t="s">
        <v>236</v>
      </c>
      <c r="B176" s="23" t="s">
        <v>1058</v>
      </c>
      <c r="C176" s="23" t="s">
        <v>702</v>
      </c>
      <c r="D176" s="23" t="s">
        <v>9526</v>
      </c>
      <c r="E176" s="23" t="s">
        <v>9185</v>
      </c>
      <c r="F176" s="23" t="s">
        <v>9186</v>
      </c>
      <c r="G176" s="23" t="s">
        <v>8656</v>
      </c>
      <c r="H176" s="23" t="s">
        <v>9527</v>
      </c>
      <c r="I176" s="23" t="s">
        <v>9528</v>
      </c>
      <c r="J176" s="66">
        <v>12</v>
      </c>
      <c r="K176" s="94" t="s">
        <v>537</v>
      </c>
      <c r="L176" s="23" t="s">
        <v>491</v>
      </c>
      <c r="M176" s="2"/>
      <c r="N176" s="2" t="s">
        <v>237</v>
      </c>
      <c r="O176" s="2" t="s">
        <v>1174</v>
      </c>
      <c r="P176" s="2" t="s">
        <v>1060</v>
      </c>
      <c r="Q176" s="2" t="s">
        <v>9229</v>
      </c>
      <c r="R176" s="65">
        <v>7.2</v>
      </c>
      <c r="S176" s="2" t="s">
        <v>9529</v>
      </c>
      <c r="T176" s="2" t="s">
        <v>9230</v>
      </c>
      <c r="U176" s="2" t="s">
        <v>9309</v>
      </c>
      <c r="V176" s="2" t="s">
        <v>1513</v>
      </c>
      <c r="W176" s="2" t="s">
        <v>9530</v>
      </c>
      <c r="X176" s="2" t="s">
        <v>9531</v>
      </c>
      <c r="Y176" s="33"/>
      <c r="Z176" s="9"/>
      <c r="AA176" s="2" t="s">
        <v>947</v>
      </c>
      <c r="AB176" s="2" t="s">
        <v>948</v>
      </c>
      <c r="AC176" s="2" t="s">
        <v>964</v>
      </c>
      <c r="AD176" s="2" t="s">
        <v>8686</v>
      </c>
      <c r="AE176" s="2" t="s">
        <v>6137</v>
      </c>
      <c r="AF176" s="2" t="s">
        <v>830</v>
      </c>
      <c r="AG176" s="2" t="s">
        <v>1062</v>
      </c>
      <c r="AH176" s="2" t="s">
        <v>8665</v>
      </c>
      <c r="AI176" s="2" t="str">
        <f>IF(Y176="","",Y176)</f>
        <v/>
      </c>
      <c r="AJ176" s="2" t="s">
        <v>1522</v>
      </c>
      <c r="AK176" s="2" t="s">
        <v>8594</v>
      </c>
      <c r="AL176" s="2" t="s">
        <v>8666</v>
      </c>
      <c r="AM176" s="2">
        <f>IF(AND(ISNUMBER(J176),OR(AR176="INHERITED ESTIMATE",AR176="CONFIRMED ESTIMATE")),1,0)</f>
        <v>1</v>
      </c>
      <c r="AN176" s="2"/>
      <c r="AO176" s="32" t="s">
        <v>1429</v>
      </c>
      <c r="AP176" s="32" t="s">
        <v>1418</v>
      </c>
      <c r="AQ176" s="32"/>
      <c r="AR176" s="32" t="s">
        <v>1420</v>
      </c>
      <c r="AS176" s="65">
        <f>IF(AM176=1,J176,"")</f>
        <v>12</v>
      </c>
      <c r="AT176" s="65">
        <f>IF(AND(AM176=1,ISNUMBER(R176)),R176,"")</f>
        <v>7.2</v>
      </c>
      <c r="AU176" s="2" t="s">
        <v>8667</v>
      </c>
      <c r="AV176" s="5"/>
      <c r="AW176" s="5"/>
      <c r="AX176" s="5"/>
      <c r="AY176" s="2" t="s">
        <v>8668</v>
      </c>
      <c r="AZ176" s="2"/>
      <c r="BA176" s="2"/>
      <c r="BB176" s="2"/>
    </row>
    <row r="177" spans="1:54" ht="75.95" hidden="1" customHeight="1">
      <c r="A177" s="2" t="s">
        <v>237</v>
      </c>
      <c r="B177" s="2" t="s">
        <v>1058</v>
      </c>
      <c r="C177" s="2" t="s">
        <v>702</v>
      </c>
      <c r="D177" s="2" t="s">
        <v>9532</v>
      </c>
      <c r="E177" s="2" t="s">
        <v>8654</v>
      </c>
      <c r="F177" s="2" t="s">
        <v>9533</v>
      </c>
      <c r="G177" s="2" t="s">
        <v>8656</v>
      </c>
      <c r="H177" s="2" t="s">
        <v>9534</v>
      </c>
      <c r="I177" s="2" t="s">
        <v>9535</v>
      </c>
      <c r="J177" s="65">
        <v>12</v>
      </c>
      <c r="K177" s="94" t="s">
        <v>537</v>
      </c>
      <c r="L177" s="2" t="s">
        <v>451</v>
      </c>
      <c r="M177" s="2" t="s">
        <v>1610</v>
      </c>
      <c r="N177" s="2"/>
      <c r="O177" s="2" t="s">
        <v>1174</v>
      </c>
      <c r="P177" s="2" t="s">
        <v>1060</v>
      </c>
      <c r="Q177" s="2" t="s">
        <v>9533</v>
      </c>
      <c r="R177" s="65">
        <v>6</v>
      </c>
      <c r="S177" s="2" t="s">
        <v>9529</v>
      </c>
      <c r="T177" s="2" t="s">
        <v>9536</v>
      </c>
      <c r="U177" s="2" t="s">
        <v>9537</v>
      </c>
      <c r="V177" s="2" t="s">
        <v>9538</v>
      </c>
      <c r="W177" s="2" t="s">
        <v>9530</v>
      </c>
      <c r="X177" s="2" t="s">
        <v>9539</v>
      </c>
      <c r="Y177" s="33"/>
      <c r="Z177" s="9"/>
      <c r="AA177" s="2" t="s">
        <v>964</v>
      </c>
      <c r="AB177" s="2" t="s">
        <v>8663</v>
      </c>
      <c r="AC177" s="2"/>
      <c r="AD177" s="2" t="s">
        <v>9196</v>
      </c>
      <c r="AE177" s="2" t="s">
        <v>6137</v>
      </c>
      <c r="AF177" s="2" t="s">
        <v>830</v>
      </c>
      <c r="AG177" s="2" t="s">
        <v>1062</v>
      </c>
      <c r="AH177" s="2" t="s">
        <v>8665</v>
      </c>
      <c r="AI177" s="2"/>
      <c r="AJ177" s="2" t="s">
        <v>1522</v>
      </c>
      <c r="AK177" s="2" t="s">
        <v>8594</v>
      </c>
      <c r="AL177" s="2" t="s">
        <v>8666</v>
      </c>
      <c r="AM177" s="2">
        <f>IF(AND(ISNUMBER(J177),OR(AR177="INHERITED ESTIMATE",AR177="CONFIRMED ESTIMATE")),1,0)</f>
        <v>1</v>
      </c>
      <c r="AN177" s="2"/>
      <c r="AO177" s="32" t="s">
        <v>1429</v>
      </c>
      <c r="AP177" s="32" t="s">
        <v>1418</v>
      </c>
      <c r="AQ177" s="32"/>
      <c r="AR177" s="32" t="s">
        <v>1420</v>
      </c>
      <c r="AS177" s="65">
        <f>IF(AM177=1,J177,"")</f>
        <v>12</v>
      </c>
      <c r="AT177" s="65">
        <f>IF(AND(AM177=1,ISNUMBER(R177)),R177,"")</f>
        <v>6</v>
      </c>
      <c r="AU177" s="2" t="s">
        <v>8667</v>
      </c>
      <c r="AV177" s="5"/>
      <c r="AW177" s="5"/>
      <c r="AX177" s="5"/>
      <c r="AY177" s="2" t="s">
        <v>8668</v>
      </c>
      <c r="AZ177" s="2"/>
      <c r="BA177" s="2"/>
      <c r="BB177" s="2"/>
    </row>
    <row r="178" spans="1:54" ht="90" customHeight="1">
      <c r="A178" s="2" t="s">
        <v>238</v>
      </c>
      <c r="B178" s="2" t="s">
        <v>449</v>
      </c>
      <c r="C178" s="2" t="s">
        <v>622</v>
      </c>
      <c r="D178" s="2" t="s">
        <v>1603</v>
      </c>
      <c r="E178" s="2" t="s">
        <v>8728</v>
      </c>
      <c r="F178" s="2" t="s">
        <v>9540</v>
      </c>
      <c r="G178" s="2" t="s">
        <v>9541</v>
      </c>
      <c r="H178" s="2" t="s">
        <v>9542</v>
      </c>
      <c r="I178" s="2" t="s">
        <v>9543</v>
      </c>
      <c r="J178" s="65"/>
      <c r="K178" s="94" t="s">
        <v>537</v>
      </c>
      <c r="L178" s="2" t="s">
        <v>491</v>
      </c>
      <c r="M178" s="2"/>
      <c r="N178" s="2" t="s">
        <v>1637</v>
      </c>
      <c r="O178" s="2" t="s">
        <v>8603</v>
      </c>
      <c r="P178" s="2" t="s">
        <v>455</v>
      </c>
      <c r="Q178" s="2" t="s">
        <v>9544</v>
      </c>
      <c r="R178" s="65"/>
      <c r="S178" s="2" t="s">
        <v>9545</v>
      </c>
      <c r="T178" s="2" t="s">
        <v>9546</v>
      </c>
      <c r="U178" s="2" t="s">
        <v>9547</v>
      </c>
      <c r="V178" s="2" t="s">
        <v>9548</v>
      </c>
      <c r="W178" s="2" t="s">
        <v>9549</v>
      </c>
      <c r="X178" s="2" t="s">
        <v>9550</v>
      </c>
      <c r="Y178" s="2"/>
      <c r="Z178" s="2"/>
      <c r="AA178" s="2" t="s">
        <v>862</v>
      </c>
      <c r="AB178" s="2" t="s">
        <v>864</v>
      </c>
      <c r="AC178" s="2" t="s">
        <v>9551</v>
      </c>
      <c r="AD178" s="2" t="s">
        <v>9552</v>
      </c>
      <c r="AE178" s="2" t="s">
        <v>9553</v>
      </c>
      <c r="AF178" s="2" t="s">
        <v>830</v>
      </c>
      <c r="AG178" s="2" t="s">
        <v>9554</v>
      </c>
      <c r="AH178" s="2" t="s">
        <v>9555</v>
      </c>
      <c r="AI178" s="2" t="s">
        <v>9556</v>
      </c>
      <c r="AJ178" s="2" t="s">
        <v>9557</v>
      </c>
      <c r="AK178" s="2" t="s">
        <v>8594</v>
      </c>
      <c r="AL178" s="2" t="s">
        <v>9558</v>
      </c>
      <c r="AM178" s="2">
        <f>IF(AND(ISNUMBER(J178),OR(AR178="INHERITED ESTIMATE",AR178="CONFIRMED ESTIMATE")),1,0)</f>
        <v>0</v>
      </c>
      <c r="AN178" s="2" t="s">
        <v>9559</v>
      </c>
      <c r="AO178" s="2" t="s">
        <v>9560</v>
      </c>
      <c r="AP178" s="2" t="s">
        <v>1790</v>
      </c>
      <c r="AQ178" s="2"/>
      <c r="AR178" s="2" t="s">
        <v>9561</v>
      </c>
      <c r="AS178" s="65" t="str">
        <f>IF(AM178=1,J178,"")</f>
        <v/>
      </c>
      <c r="AT178" s="65" t="str">
        <f>IF(AND(AM178=1,ISNUMBER(R178)),R178,"")</f>
        <v/>
      </c>
      <c r="AU178" s="2" t="s">
        <v>8108</v>
      </c>
      <c r="AV178" s="5">
        <v>28</v>
      </c>
      <c r="AW178" s="5">
        <v>44</v>
      </c>
      <c r="AX178" s="5">
        <v>68</v>
      </c>
      <c r="AY178" s="2" t="s">
        <v>8832</v>
      </c>
      <c r="AZ178" s="2" t="s">
        <v>8112</v>
      </c>
      <c r="BA178" s="2" t="s">
        <v>8111</v>
      </c>
      <c r="BB178" s="2" t="s">
        <v>8833</v>
      </c>
    </row>
    <row r="179" spans="1:54" ht="90" customHeight="1">
      <c r="A179" s="2" t="s">
        <v>239</v>
      </c>
      <c r="B179" s="2" t="s">
        <v>449</v>
      </c>
      <c r="C179" s="2" t="s">
        <v>524</v>
      </c>
      <c r="D179" s="2" t="s">
        <v>9562</v>
      </c>
      <c r="E179" s="2" t="s">
        <v>8728</v>
      </c>
      <c r="F179" s="2" t="s">
        <v>9540</v>
      </c>
      <c r="G179" s="2" t="s">
        <v>9541</v>
      </c>
      <c r="H179" s="2" t="s">
        <v>9563</v>
      </c>
      <c r="I179" s="2" t="s">
        <v>9564</v>
      </c>
      <c r="J179" s="65"/>
      <c r="K179" s="94" t="s">
        <v>537</v>
      </c>
      <c r="L179" s="2" t="s">
        <v>491</v>
      </c>
      <c r="M179" s="2" t="s">
        <v>102</v>
      </c>
      <c r="N179" s="2" t="s">
        <v>9565</v>
      </c>
      <c r="O179" s="2" t="s">
        <v>8603</v>
      </c>
      <c r="P179" s="2" t="s">
        <v>455</v>
      </c>
      <c r="Q179" s="2" t="s">
        <v>9544</v>
      </c>
      <c r="R179" s="65"/>
      <c r="S179" s="2" t="s">
        <v>9545</v>
      </c>
      <c r="T179" s="2" t="s">
        <v>9546</v>
      </c>
      <c r="U179" s="2" t="s">
        <v>9566</v>
      </c>
      <c r="V179" s="2" t="s">
        <v>9548</v>
      </c>
      <c r="W179" s="2" t="s">
        <v>9549</v>
      </c>
      <c r="X179" s="2" t="s">
        <v>9567</v>
      </c>
      <c r="Y179" s="2"/>
      <c r="Z179" s="2"/>
      <c r="AA179" s="2" t="s">
        <v>844</v>
      </c>
      <c r="AB179" s="2" t="s">
        <v>8901</v>
      </c>
      <c r="AC179" s="2" t="s">
        <v>9568</v>
      </c>
      <c r="AD179" s="2" t="s">
        <v>9552</v>
      </c>
      <c r="AE179" s="2" t="s">
        <v>9553</v>
      </c>
      <c r="AF179" s="2" t="s">
        <v>830</v>
      </c>
      <c r="AG179" s="2" t="s">
        <v>9554</v>
      </c>
      <c r="AH179" s="2" t="s">
        <v>9555</v>
      </c>
      <c r="AI179" s="2" t="s">
        <v>9556</v>
      </c>
      <c r="AJ179" s="2" t="s">
        <v>9557</v>
      </c>
      <c r="AK179" s="2" t="s">
        <v>8594</v>
      </c>
      <c r="AL179" s="2" t="s">
        <v>9569</v>
      </c>
      <c r="AM179" s="2">
        <f>IF(AND(ISNUMBER(J179),OR(AR179="INHERITED ESTIMATE",AR179="CONFIRMED ESTIMATE")),1,0)</f>
        <v>0</v>
      </c>
      <c r="AN179" s="2" t="s">
        <v>9570</v>
      </c>
      <c r="AO179" s="2" t="s">
        <v>9560</v>
      </c>
      <c r="AP179" s="2" t="s">
        <v>1790</v>
      </c>
      <c r="AQ179" s="2"/>
      <c r="AR179" s="2" t="s">
        <v>9571</v>
      </c>
      <c r="AS179" s="65" t="str">
        <f>IF(AM179=1,J179,"")</f>
        <v/>
      </c>
      <c r="AT179" s="65" t="str">
        <f>IF(AND(AM179=1,ISNUMBER(R179)),R179,"")</f>
        <v/>
      </c>
      <c r="AU179" s="2" t="s">
        <v>9572</v>
      </c>
      <c r="AV179" s="5"/>
      <c r="AW179" s="5"/>
      <c r="AX179" s="5"/>
      <c r="AY179" s="2" t="s">
        <v>8905</v>
      </c>
      <c r="AZ179" s="2" t="s">
        <v>9573</v>
      </c>
      <c r="BA179" s="2" t="s">
        <v>9574</v>
      </c>
      <c r="BB179" s="2" t="s">
        <v>9575</v>
      </c>
    </row>
    <row r="180" spans="1:54" ht="90" customHeight="1">
      <c r="A180" s="2" t="s">
        <v>240</v>
      </c>
      <c r="B180" s="2" t="s">
        <v>1058</v>
      </c>
      <c r="C180" s="2" t="s">
        <v>622</v>
      </c>
      <c r="D180" s="2" t="s">
        <v>1606</v>
      </c>
      <c r="E180" s="2" t="s">
        <v>8728</v>
      </c>
      <c r="F180" s="2" t="s">
        <v>9540</v>
      </c>
      <c r="G180" s="2" t="s">
        <v>9541</v>
      </c>
      <c r="H180" s="2" t="s">
        <v>9576</v>
      </c>
      <c r="I180" s="2" t="s">
        <v>9577</v>
      </c>
      <c r="J180" s="65"/>
      <c r="K180" s="94" t="s">
        <v>537</v>
      </c>
      <c r="L180" s="2" t="s">
        <v>491</v>
      </c>
      <c r="M180" s="2" t="s">
        <v>238</v>
      </c>
      <c r="N180" s="2" t="s">
        <v>1638</v>
      </c>
      <c r="O180" s="2" t="s">
        <v>8607</v>
      </c>
      <c r="P180" s="2" t="s">
        <v>1060</v>
      </c>
      <c r="Q180" s="2" t="s">
        <v>9544</v>
      </c>
      <c r="R180" s="65"/>
      <c r="S180" s="2" t="s">
        <v>9545</v>
      </c>
      <c r="T180" s="2" t="s">
        <v>9546</v>
      </c>
      <c r="U180" s="2" t="s">
        <v>9578</v>
      </c>
      <c r="V180" s="2" t="s">
        <v>9548</v>
      </c>
      <c r="W180" s="2" t="s">
        <v>9549</v>
      </c>
      <c r="X180" s="2" t="s">
        <v>9550</v>
      </c>
      <c r="Y180" s="2"/>
      <c r="Z180" s="2"/>
      <c r="AA180" s="2" t="s">
        <v>875</v>
      </c>
      <c r="AB180" s="2" t="s">
        <v>876</v>
      </c>
      <c r="AC180" s="2" t="s">
        <v>9579</v>
      </c>
      <c r="AD180" s="2" t="s">
        <v>9552</v>
      </c>
      <c r="AE180" s="2" t="s">
        <v>9553</v>
      </c>
      <c r="AF180" s="2" t="s">
        <v>830</v>
      </c>
      <c r="AG180" s="2" t="s">
        <v>9580</v>
      </c>
      <c r="AH180" s="2" t="s">
        <v>9555</v>
      </c>
      <c r="AI180" s="2" t="s">
        <v>9556</v>
      </c>
      <c r="AJ180" s="2" t="s">
        <v>9557</v>
      </c>
      <c r="AK180" s="2" t="s">
        <v>8594</v>
      </c>
      <c r="AL180" s="2" t="s">
        <v>9581</v>
      </c>
      <c r="AM180" s="2">
        <f>IF(AND(ISNUMBER(J180),OR(AR180="INHERITED ESTIMATE",AR180="CONFIRMED ESTIMATE")),1,0)</f>
        <v>0</v>
      </c>
      <c r="AN180" s="2" t="s">
        <v>9582</v>
      </c>
      <c r="AO180" s="2" t="s">
        <v>9560</v>
      </c>
      <c r="AP180" s="2" t="s">
        <v>1790</v>
      </c>
      <c r="AQ180" s="2"/>
      <c r="AR180" s="2" t="s">
        <v>9561</v>
      </c>
      <c r="AS180" s="65" t="str">
        <f>IF(AM180=1,J180,"")</f>
        <v/>
      </c>
      <c r="AT180" s="65" t="str">
        <f>IF(AND(AM180=1,ISNUMBER(R180)),R180,"")</f>
        <v/>
      </c>
      <c r="AU180" s="2" t="s">
        <v>8117</v>
      </c>
      <c r="AV180" s="5">
        <v>24</v>
      </c>
      <c r="AW180" s="5">
        <v>40</v>
      </c>
      <c r="AX180" s="5">
        <v>64</v>
      </c>
      <c r="AY180" s="2" t="s">
        <v>8832</v>
      </c>
      <c r="AZ180" s="2" t="s">
        <v>8121</v>
      </c>
      <c r="BA180" s="2" t="s">
        <v>8120</v>
      </c>
      <c r="BB180" s="2" t="s">
        <v>8833</v>
      </c>
    </row>
    <row r="181" spans="1:54" ht="90" customHeight="1">
      <c r="A181" s="2" t="s">
        <v>9583</v>
      </c>
      <c r="B181" s="2" t="s">
        <v>449</v>
      </c>
      <c r="C181" s="2" t="s">
        <v>524</v>
      </c>
      <c r="D181" s="2" t="s">
        <v>9584</v>
      </c>
      <c r="E181" s="2" t="s">
        <v>8775</v>
      </c>
      <c r="F181" s="2" t="s">
        <v>9585</v>
      </c>
      <c r="G181" s="2" t="s">
        <v>8656</v>
      </c>
      <c r="H181" s="2" t="s">
        <v>9586</v>
      </c>
      <c r="I181" s="2" t="s">
        <v>9587</v>
      </c>
      <c r="J181" s="2"/>
      <c r="K181" s="149" t="s">
        <v>249</v>
      </c>
      <c r="L181" s="2" t="s">
        <v>451</v>
      </c>
      <c r="M181" s="2" t="s">
        <v>102</v>
      </c>
      <c r="N181" s="2" t="s">
        <v>9588</v>
      </c>
      <c r="O181" s="2" t="s">
        <v>1165</v>
      </c>
      <c r="P181" s="2" t="s">
        <v>455</v>
      </c>
      <c r="Q181" s="2" t="s">
        <v>9589</v>
      </c>
      <c r="R181" s="2"/>
      <c r="S181" s="2" t="s">
        <v>9590</v>
      </c>
      <c r="T181" s="2" t="s">
        <v>9591</v>
      </c>
      <c r="U181" s="2" t="s">
        <v>9592</v>
      </c>
      <c r="V181" s="2" t="s">
        <v>9593</v>
      </c>
      <c r="W181" s="2" t="s">
        <v>9594</v>
      </c>
      <c r="X181" s="2" t="s">
        <v>9595</v>
      </c>
      <c r="Y181" s="2"/>
      <c r="Z181" s="2"/>
      <c r="AA181" s="2" t="s">
        <v>832</v>
      </c>
      <c r="AB181" s="2" t="s">
        <v>833</v>
      </c>
      <c r="AC181" s="2" t="s">
        <v>9596</v>
      </c>
      <c r="AD181" s="2" t="s">
        <v>8686</v>
      </c>
      <c r="AE181" s="2" t="s">
        <v>8763</v>
      </c>
      <c r="AF181" s="2" t="s">
        <v>830</v>
      </c>
      <c r="AG181" s="2" t="s">
        <v>1061</v>
      </c>
      <c r="AH181" s="2" t="s">
        <v>8665</v>
      </c>
      <c r="AI181" s="2" t="s">
        <v>9597</v>
      </c>
      <c r="AJ181" s="2" t="s">
        <v>9598</v>
      </c>
      <c r="AK181" s="2" t="s">
        <v>8594</v>
      </c>
      <c r="AL181" s="2" t="s">
        <v>9599</v>
      </c>
      <c r="AM181" s="2">
        <v>0</v>
      </c>
      <c r="AN181" s="2"/>
      <c r="AO181" s="2" t="s">
        <v>9600</v>
      </c>
      <c r="AP181" s="2" t="s">
        <v>9601</v>
      </c>
      <c r="AQ181" s="2"/>
      <c r="AR181" s="2" t="s">
        <v>9602</v>
      </c>
      <c r="AS181" s="2"/>
      <c r="AT181" s="2"/>
      <c r="AU181" s="2" t="s">
        <v>9603</v>
      </c>
      <c r="AV181" s="2"/>
      <c r="AW181" s="2"/>
      <c r="AX181" s="2"/>
      <c r="AY181" s="2" t="s">
        <v>9604</v>
      </c>
      <c r="AZ181" s="2" t="s">
        <v>9605</v>
      </c>
      <c r="BA181" s="2" t="s">
        <v>9606</v>
      </c>
      <c r="BB181" s="2" t="s">
        <v>9607</v>
      </c>
    </row>
    <row r="182" spans="1:54" ht="90" customHeight="1">
      <c r="A182" s="2" t="s">
        <v>9608</v>
      </c>
      <c r="B182" s="2" t="s">
        <v>449</v>
      </c>
      <c r="C182" s="2" t="s">
        <v>524</v>
      </c>
      <c r="D182" s="2" t="s">
        <v>9609</v>
      </c>
      <c r="E182" s="2" t="s">
        <v>9610</v>
      </c>
      <c r="F182" s="2" t="s">
        <v>9611</v>
      </c>
      <c r="G182" s="2" t="s">
        <v>8656</v>
      </c>
      <c r="H182" s="2" t="s">
        <v>9612</v>
      </c>
      <c r="I182" s="2" t="s">
        <v>9613</v>
      </c>
      <c r="J182" s="2"/>
      <c r="K182" s="149" t="s">
        <v>249</v>
      </c>
      <c r="L182" s="2" t="s">
        <v>451</v>
      </c>
      <c r="M182" s="2" t="s">
        <v>9583</v>
      </c>
      <c r="N182" s="2" t="s">
        <v>9614</v>
      </c>
      <c r="O182" s="2" t="s">
        <v>1165</v>
      </c>
      <c r="P182" s="2" t="s">
        <v>455</v>
      </c>
      <c r="Q182" s="2" t="s">
        <v>9589</v>
      </c>
      <c r="R182" s="2"/>
      <c r="S182" s="2" t="s">
        <v>9590</v>
      </c>
      <c r="T182" s="2" t="s">
        <v>9591</v>
      </c>
      <c r="U182" s="2" t="s">
        <v>9592</v>
      </c>
      <c r="V182" s="2" t="s">
        <v>9593</v>
      </c>
      <c r="W182" s="2" t="s">
        <v>9594</v>
      </c>
      <c r="X182" s="2" t="s">
        <v>9595</v>
      </c>
      <c r="Y182" s="2"/>
      <c r="Z182" s="2"/>
      <c r="AA182" s="2" t="s">
        <v>832</v>
      </c>
      <c r="AB182" s="2" t="s">
        <v>833</v>
      </c>
      <c r="AC182" s="2" t="s">
        <v>9615</v>
      </c>
      <c r="AD182" s="2" t="s">
        <v>8686</v>
      </c>
      <c r="AE182" s="2" t="s">
        <v>8693</v>
      </c>
      <c r="AF182" s="2" t="s">
        <v>830</v>
      </c>
      <c r="AG182" s="2" t="s">
        <v>1061</v>
      </c>
      <c r="AH182" s="2" t="s">
        <v>8665</v>
      </c>
      <c r="AI182" s="2" t="s">
        <v>9597</v>
      </c>
      <c r="AJ182" s="2" t="s">
        <v>9598</v>
      </c>
      <c r="AK182" s="2" t="s">
        <v>8594</v>
      </c>
      <c r="AL182" s="2" t="s">
        <v>9599</v>
      </c>
      <c r="AM182" s="2">
        <v>0</v>
      </c>
      <c r="AN182" s="2"/>
      <c r="AO182" s="2" t="s">
        <v>9600</v>
      </c>
      <c r="AP182" s="2" t="s">
        <v>9601</v>
      </c>
      <c r="AQ182" s="2"/>
      <c r="AR182" s="2" t="s">
        <v>9602</v>
      </c>
      <c r="AS182" s="2"/>
      <c r="AT182" s="2"/>
      <c r="AU182" s="2" t="s">
        <v>9603</v>
      </c>
      <c r="AV182" s="2"/>
      <c r="AW182" s="2"/>
      <c r="AX182" s="2"/>
      <c r="AY182" s="2" t="s">
        <v>9604</v>
      </c>
      <c r="AZ182" s="2" t="s">
        <v>9605</v>
      </c>
      <c r="BA182" s="2" t="s">
        <v>9606</v>
      </c>
      <c r="BB182" s="2" t="s">
        <v>9607</v>
      </c>
    </row>
    <row r="183" spans="1:54" ht="90" customHeight="1">
      <c r="A183" s="2" t="s">
        <v>9616</v>
      </c>
      <c r="B183" s="2" t="s">
        <v>449</v>
      </c>
      <c r="C183" s="2" t="s">
        <v>524</v>
      </c>
      <c r="D183" s="2" t="s">
        <v>9617</v>
      </c>
      <c r="E183" s="2" t="s">
        <v>9610</v>
      </c>
      <c r="F183" s="2" t="s">
        <v>9618</v>
      </c>
      <c r="G183" s="2" t="s">
        <v>8656</v>
      </c>
      <c r="H183" s="2" t="s">
        <v>9619</v>
      </c>
      <c r="I183" s="2" t="s">
        <v>9620</v>
      </c>
      <c r="J183" s="2"/>
      <c r="K183" s="2" t="s">
        <v>537</v>
      </c>
      <c r="L183" s="2" t="s">
        <v>451</v>
      </c>
      <c r="M183" s="2" t="s">
        <v>9621</v>
      </c>
      <c r="N183" s="2" t="s">
        <v>9622</v>
      </c>
      <c r="O183" s="2" t="s">
        <v>1165</v>
      </c>
      <c r="P183" s="2" t="s">
        <v>455</v>
      </c>
      <c r="Q183" s="2" t="s">
        <v>9589</v>
      </c>
      <c r="R183" s="2"/>
      <c r="S183" s="2" t="s">
        <v>9590</v>
      </c>
      <c r="T183" s="2" t="s">
        <v>9591</v>
      </c>
      <c r="U183" s="2" t="s">
        <v>9592</v>
      </c>
      <c r="V183" s="2" t="s">
        <v>9593</v>
      </c>
      <c r="W183" s="2" t="s">
        <v>9594</v>
      </c>
      <c r="X183" s="2" t="s">
        <v>9595</v>
      </c>
      <c r="Y183" s="2"/>
      <c r="Z183" s="2"/>
      <c r="AA183" s="2" t="s">
        <v>844</v>
      </c>
      <c r="AB183" s="2" t="s">
        <v>9623</v>
      </c>
      <c r="AC183" s="2" t="s">
        <v>9624</v>
      </c>
      <c r="AD183" s="2" t="s">
        <v>8686</v>
      </c>
      <c r="AE183" s="2" t="s">
        <v>8763</v>
      </c>
      <c r="AF183" s="2" t="s">
        <v>830</v>
      </c>
      <c r="AG183" s="2" t="s">
        <v>1061</v>
      </c>
      <c r="AH183" s="2" t="s">
        <v>8665</v>
      </c>
      <c r="AI183" s="2" t="s">
        <v>9597</v>
      </c>
      <c r="AJ183" s="2" t="s">
        <v>9598</v>
      </c>
      <c r="AK183" s="2" t="s">
        <v>8594</v>
      </c>
      <c r="AL183" s="2" t="s">
        <v>9599</v>
      </c>
      <c r="AM183" s="2">
        <v>0</v>
      </c>
      <c r="AN183" s="2"/>
      <c r="AO183" s="2" t="s">
        <v>9600</v>
      </c>
      <c r="AP183" s="2" t="s">
        <v>9601</v>
      </c>
      <c r="AQ183" s="2"/>
      <c r="AR183" s="2" t="s">
        <v>9602</v>
      </c>
      <c r="AS183" s="2"/>
      <c r="AT183" s="2"/>
      <c r="AU183" s="2" t="s">
        <v>9603</v>
      </c>
      <c r="AV183" s="2"/>
      <c r="AW183" s="2"/>
      <c r="AX183" s="2"/>
      <c r="AY183" s="2" t="s">
        <v>9604</v>
      </c>
      <c r="AZ183" s="2" t="s">
        <v>9605</v>
      </c>
      <c r="BA183" s="2" t="s">
        <v>9606</v>
      </c>
      <c r="BB183" s="2" t="s">
        <v>9607</v>
      </c>
    </row>
    <row r="184" spans="1:54" ht="90" customHeight="1">
      <c r="A184" s="2" t="s">
        <v>9625</v>
      </c>
      <c r="B184" s="2" t="s">
        <v>449</v>
      </c>
      <c r="C184" s="2" t="s">
        <v>524</v>
      </c>
      <c r="D184" s="2" t="s">
        <v>9626</v>
      </c>
      <c r="E184" s="2" t="s">
        <v>9627</v>
      </c>
      <c r="F184" s="2" t="s">
        <v>9628</v>
      </c>
      <c r="G184" s="2" t="s">
        <v>8656</v>
      </c>
      <c r="H184" s="2" t="s">
        <v>9629</v>
      </c>
      <c r="I184" s="2" t="s">
        <v>9630</v>
      </c>
      <c r="J184" s="2"/>
      <c r="K184" s="2" t="s">
        <v>537</v>
      </c>
      <c r="L184" s="2" t="s">
        <v>451</v>
      </c>
      <c r="M184" s="2" t="s">
        <v>9631</v>
      </c>
      <c r="N184" s="2" t="s">
        <v>9565</v>
      </c>
      <c r="O184" s="2" t="s">
        <v>1165</v>
      </c>
      <c r="P184" s="2" t="s">
        <v>455</v>
      </c>
      <c r="Q184" s="2" t="s">
        <v>9589</v>
      </c>
      <c r="R184" s="2"/>
      <c r="S184" s="2" t="s">
        <v>9590</v>
      </c>
      <c r="T184" s="2" t="s">
        <v>9591</v>
      </c>
      <c r="U184" s="2" t="s">
        <v>9592</v>
      </c>
      <c r="V184" s="2" t="s">
        <v>9593</v>
      </c>
      <c r="W184" s="2" t="s">
        <v>9594</v>
      </c>
      <c r="X184" s="2" t="s">
        <v>9595</v>
      </c>
      <c r="Y184" s="2"/>
      <c r="Z184" s="2"/>
      <c r="AA184" s="2" t="s">
        <v>834</v>
      </c>
      <c r="AB184" s="2" t="s">
        <v>835</v>
      </c>
      <c r="AC184" s="2" t="s">
        <v>9632</v>
      </c>
      <c r="AD184" s="2" t="s">
        <v>8675</v>
      </c>
      <c r="AE184" s="2" t="s">
        <v>8763</v>
      </c>
      <c r="AF184" s="2" t="s">
        <v>830</v>
      </c>
      <c r="AG184" s="2" t="s">
        <v>1061</v>
      </c>
      <c r="AH184" s="2" t="s">
        <v>8665</v>
      </c>
      <c r="AI184" s="2" t="s">
        <v>9597</v>
      </c>
      <c r="AJ184" s="2" t="s">
        <v>9598</v>
      </c>
      <c r="AK184" s="2" t="s">
        <v>8594</v>
      </c>
      <c r="AL184" s="2" t="s">
        <v>9599</v>
      </c>
      <c r="AM184" s="2">
        <v>0</v>
      </c>
      <c r="AN184" s="2"/>
      <c r="AO184" s="2" t="s">
        <v>9600</v>
      </c>
      <c r="AP184" s="2" t="s">
        <v>9601</v>
      </c>
      <c r="AQ184" s="2"/>
      <c r="AR184" s="2" t="s">
        <v>9602</v>
      </c>
      <c r="AS184" s="2"/>
      <c r="AT184" s="2"/>
      <c r="AU184" s="2" t="s">
        <v>9603</v>
      </c>
      <c r="AV184" s="2"/>
      <c r="AW184" s="2"/>
      <c r="AX184" s="2"/>
      <c r="AY184" s="2" t="s">
        <v>9604</v>
      </c>
      <c r="AZ184" s="2" t="s">
        <v>9605</v>
      </c>
      <c r="BA184" s="2" t="s">
        <v>9606</v>
      </c>
      <c r="BB184" s="2" t="s">
        <v>9607</v>
      </c>
    </row>
    <row r="185" spans="1:54" ht="90" customHeight="1">
      <c r="A185" s="2" t="s">
        <v>9633</v>
      </c>
      <c r="B185" s="2" t="s">
        <v>449</v>
      </c>
      <c r="C185" s="2" t="s">
        <v>524</v>
      </c>
      <c r="D185" s="2" t="s">
        <v>9634</v>
      </c>
      <c r="E185" s="2" t="s">
        <v>9635</v>
      </c>
      <c r="F185" s="2" t="s">
        <v>9636</v>
      </c>
      <c r="G185" s="2" t="s">
        <v>8656</v>
      </c>
      <c r="H185" s="2" t="s">
        <v>9637</v>
      </c>
      <c r="I185" s="2" t="s">
        <v>9638</v>
      </c>
      <c r="J185" s="2"/>
      <c r="K185" s="149" t="s">
        <v>615</v>
      </c>
      <c r="L185" s="2" t="s">
        <v>451</v>
      </c>
      <c r="M185" s="2" t="s">
        <v>9639</v>
      </c>
      <c r="N185" s="2" t="s">
        <v>9640</v>
      </c>
      <c r="O185" s="2" t="s">
        <v>1165</v>
      </c>
      <c r="P185" s="2" t="s">
        <v>455</v>
      </c>
      <c r="Q185" s="2" t="s">
        <v>9589</v>
      </c>
      <c r="R185" s="2"/>
      <c r="S185" s="2" t="s">
        <v>9590</v>
      </c>
      <c r="T185" s="2" t="s">
        <v>9591</v>
      </c>
      <c r="U185" s="2" t="s">
        <v>9592</v>
      </c>
      <c r="V185" s="2" t="s">
        <v>9593</v>
      </c>
      <c r="W185" s="2" t="s">
        <v>9594</v>
      </c>
      <c r="X185" s="2" t="s">
        <v>9595</v>
      </c>
      <c r="Y185" s="2"/>
      <c r="Z185" s="2"/>
      <c r="AA185" s="2" t="s">
        <v>834</v>
      </c>
      <c r="AB185" s="2" t="s">
        <v>835</v>
      </c>
      <c r="AC185" s="2" t="s">
        <v>9641</v>
      </c>
      <c r="AD185" s="2" t="s">
        <v>8686</v>
      </c>
      <c r="AE185" s="2" t="s">
        <v>8693</v>
      </c>
      <c r="AF185" s="2" t="s">
        <v>830</v>
      </c>
      <c r="AG185" s="2" t="s">
        <v>1061</v>
      </c>
      <c r="AH185" s="2" t="s">
        <v>8665</v>
      </c>
      <c r="AI185" s="2" t="s">
        <v>9597</v>
      </c>
      <c r="AJ185" s="2" t="s">
        <v>9598</v>
      </c>
      <c r="AK185" s="2" t="s">
        <v>8594</v>
      </c>
      <c r="AL185" s="2" t="s">
        <v>9599</v>
      </c>
      <c r="AM185" s="2">
        <v>0</v>
      </c>
      <c r="AN185" s="2"/>
      <c r="AO185" s="2" t="s">
        <v>9600</v>
      </c>
      <c r="AP185" s="2" t="s">
        <v>9601</v>
      </c>
      <c r="AQ185" s="2"/>
      <c r="AR185" s="2" t="s">
        <v>9602</v>
      </c>
      <c r="AS185" s="2"/>
      <c r="AT185" s="2"/>
      <c r="AU185" s="2" t="s">
        <v>9603</v>
      </c>
      <c r="AV185" s="2"/>
      <c r="AW185" s="2"/>
      <c r="AX185" s="2"/>
      <c r="AY185" s="2" t="s">
        <v>9604</v>
      </c>
      <c r="AZ185" s="2" t="s">
        <v>9605</v>
      </c>
      <c r="BA185" s="2" t="s">
        <v>9606</v>
      </c>
      <c r="BB185" s="2" t="s">
        <v>9607</v>
      </c>
    </row>
    <row r="186" spans="1:54" ht="90" customHeight="1">
      <c r="A186" s="2" t="s">
        <v>9642</v>
      </c>
      <c r="B186" s="2" t="s">
        <v>449</v>
      </c>
      <c r="C186" s="2" t="s">
        <v>524</v>
      </c>
      <c r="D186" s="2" t="s">
        <v>9643</v>
      </c>
      <c r="E186" s="2" t="s">
        <v>9644</v>
      </c>
      <c r="F186" s="2" t="s">
        <v>9645</v>
      </c>
      <c r="G186" s="2" t="s">
        <v>8656</v>
      </c>
      <c r="H186" s="2" t="s">
        <v>9646</v>
      </c>
      <c r="I186" s="2" t="s">
        <v>9647</v>
      </c>
      <c r="J186" s="2"/>
      <c r="K186" s="2" t="s">
        <v>537</v>
      </c>
      <c r="L186" s="2" t="s">
        <v>451</v>
      </c>
      <c r="M186" s="2" t="s">
        <v>9633</v>
      </c>
      <c r="N186" s="2" t="s">
        <v>9648</v>
      </c>
      <c r="O186" s="2" t="s">
        <v>1165</v>
      </c>
      <c r="P186" s="2" t="s">
        <v>455</v>
      </c>
      <c r="Q186" s="2" t="s">
        <v>9589</v>
      </c>
      <c r="R186" s="2"/>
      <c r="S186" s="2" t="s">
        <v>9590</v>
      </c>
      <c r="T186" s="2" t="s">
        <v>9591</v>
      </c>
      <c r="U186" s="2" t="s">
        <v>9592</v>
      </c>
      <c r="V186" s="2" t="s">
        <v>9593</v>
      </c>
      <c r="W186" s="2" t="s">
        <v>9594</v>
      </c>
      <c r="X186" s="2" t="s">
        <v>9649</v>
      </c>
      <c r="Y186" s="2"/>
      <c r="Z186" s="2"/>
      <c r="AA186" s="2" t="s">
        <v>958</v>
      </c>
      <c r="AB186" s="2" t="s">
        <v>959</v>
      </c>
      <c r="AC186" s="2" t="s">
        <v>9650</v>
      </c>
      <c r="AD186" s="2" t="s">
        <v>8664</v>
      </c>
      <c r="AE186" s="2" t="s">
        <v>8693</v>
      </c>
      <c r="AF186" s="2" t="s">
        <v>830</v>
      </c>
      <c r="AG186" s="2" t="s">
        <v>1061</v>
      </c>
      <c r="AH186" s="2" t="s">
        <v>8665</v>
      </c>
      <c r="AI186" s="2" t="s">
        <v>9597</v>
      </c>
      <c r="AJ186" s="2" t="s">
        <v>9598</v>
      </c>
      <c r="AK186" s="2" t="s">
        <v>8594</v>
      </c>
      <c r="AL186" s="2" t="s">
        <v>9599</v>
      </c>
      <c r="AM186" s="2">
        <v>0</v>
      </c>
      <c r="AN186" s="2" t="s">
        <v>160</v>
      </c>
      <c r="AO186" s="2" t="s">
        <v>9600</v>
      </c>
      <c r="AP186" s="2" t="s">
        <v>9601</v>
      </c>
      <c r="AQ186" s="2"/>
      <c r="AR186" s="2" t="s">
        <v>9602</v>
      </c>
      <c r="AS186" s="2"/>
      <c r="AT186" s="2"/>
      <c r="AU186" s="2" t="s">
        <v>9603</v>
      </c>
      <c r="AV186" s="2"/>
      <c r="AW186" s="2"/>
      <c r="AX186" s="2"/>
      <c r="AY186" s="2" t="s">
        <v>9604</v>
      </c>
      <c r="AZ186" s="2" t="s">
        <v>9605</v>
      </c>
      <c r="BA186" s="2" t="s">
        <v>9606</v>
      </c>
      <c r="BB186" s="2" t="s">
        <v>9607</v>
      </c>
    </row>
    <row r="187" spans="1:54" ht="90" customHeight="1">
      <c r="A187" s="2" t="s">
        <v>9651</v>
      </c>
      <c r="B187" s="2" t="s">
        <v>449</v>
      </c>
      <c r="C187" s="2" t="s">
        <v>524</v>
      </c>
      <c r="D187" s="2" t="s">
        <v>9652</v>
      </c>
      <c r="E187" s="2" t="s">
        <v>9653</v>
      </c>
      <c r="F187" s="2" t="s">
        <v>9654</v>
      </c>
      <c r="G187" s="2" t="s">
        <v>8656</v>
      </c>
      <c r="H187" s="2" t="s">
        <v>9655</v>
      </c>
      <c r="I187" s="2" t="s">
        <v>9656</v>
      </c>
      <c r="J187" s="2"/>
      <c r="K187" s="2" t="s">
        <v>537</v>
      </c>
      <c r="L187" s="2" t="s">
        <v>491</v>
      </c>
      <c r="M187" s="2" t="s">
        <v>9657</v>
      </c>
      <c r="N187" s="2" t="s">
        <v>1464</v>
      </c>
      <c r="O187" s="2" t="s">
        <v>1165</v>
      </c>
      <c r="P187" s="2" t="s">
        <v>455</v>
      </c>
      <c r="Q187" s="2" t="s">
        <v>9658</v>
      </c>
      <c r="R187" s="2"/>
      <c r="S187" s="2" t="s">
        <v>9590</v>
      </c>
      <c r="T187" s="2" t="s">
        <v>9591</v>
      </c>
      <c r="U187" s="2" t="s">
        <v>9592</v>
      </c>
      <c r="V187" s="2" t="s">
        <v>9593</v>
      </c>
      <c r="W187" s="2" t="s">
        <v>9594</v>
      </c>
      <c r="X187" s="2" t="s">
        <v>9595</v>
      </c>
      <c r="Y187" s="2"/>
      <c r="Z187" s="2"/>
      <c r="AA187" s="2" t="s">
        <v>844</v>
      </c>
      <c r="AB187" s="2" t="s">
        <v>9623</v>
      </c>
      <c r="AC187" s="2" t="s">
        <v>9659</v>
      </c>
      <c r="AD187" s="2" t="s">
        <v>9660</v>
      </c>
      <c r="AE187" s="2" t="s">
        <v>8885</v>
      </c>
      <c r="AF187" s="2" t="s">
        <v>830</v>
      </c>
      <c r="AG187" s="2" t="s">
        <v>1061</v>
      </c>
      <c r="AH187" s="2" t="s">
        <v>8665</v>
      </c>
      <c r="AI187" s="2" t="s">
        <v>9597</v>
      </c>
      <c r="AJ187" s="2" t="s">
        <v>9598</v>
      </c>
      <c r="AK187" s="2" t="s">
        <v>8594</v>
      </c>
      <c r="AL187" s="2" t="s">
        <v>9599</v>
      </c>
      <c r="AM187" s="2">
        <v>0</v>
      </c>
      <c r="AN187" s="2"/>
      <c r="AO187" s="2" t="s">
        <v>9600</v>
      </c>
      <c r="AP187" s="2" t="s">
        <v>9601</v>
      </c>
      <c r="AQ187" s="2"/>
      <c r="AR187" s="2" t="s">
        <v>9602</v>
      </c>
      <c r="AS187" s="2"/>
      <c r="AT187" s="2"/>
      <c r="AU187" s="2" t="s">
        <v>9603</v>
      </c>
      <c r="AV187" s="2"/>
      <c r="AW187" s="2"/>
      <c r="AX187" s="2"/>
      <c r="AY187" s="2" t="s">
        <v>9604</v>
      </c>
      <c r="AZ187" s="2" t="s">
        <v>9605</v>
      </c>
      <c r="BA187" s="2" t="s">
        <v>9606</v>
      </c>
      <c r="BB187" s="2" t="s">
        <v>9607</v>
      </c>
    </row>
    <row r="188" spans="1:54" ht="90" customHeight="1">
      <c r="A188" s="2" t="s">
        <v>9661</v>
      </c>
      <c r="B188" s="2" t="s">
        <v>449</v>
      </c>
      <c r="C188" s="2" t="s">
        <v>524</v>
      </c>
      <c r="D188" s="2" t="s">
        <v>9662</v>
      </c>
      <c r="E188" s="2" t="s">
        <v>9663</v>
      </c>
      <c r="F188" s="2" t="s">
        <v>9664</v>
      </c>
      <c r="G188" s="2" t="s">
        <v>8656</v>
      </c>
      <c r="H188" s="2" t="s">
        <v>9665</v>
      </c>
      <c r="I188" s="2" t="s">
        <v>9666</v>
      </c>
      <c r="J188" s="2"/>
      <c r="K188" s="2" t="s">
        <v>537</v>
      </c>
      <c r="L188" s="2" t="s">
        <v>504</v>
      </c>
      <c r="M188" s="2" t="s">
        <v>9667</v>
      </c>
      <c r="N188" s="2" t="s">
        <v>9668</v>
      </c>
      <c r="O188" s="2" t="s">
        <v>1165</v>
      </c>
      <c r="P188" s="2" t="s">
        <v>455</v>
      </c>
      <c r="Q188" s="2" t="s">
        <v>9589</v>
      </c>
      <c r="R188" s="2"/>
      <c r="S188" s="2" t="s">
        <v>9590</v>
      </c>
      <c r="T188" s="2" t="s">
        <v>9591</v>
      </c>
      <c r="U188" s="2" t="s">
        <v>9592</v>
      </c>
      <c r="V188" s="2" t="s">
        <v>9593</v>
      </c>
      <c r="W188" s="2" t="s">
        <v>9594</v>
      </c>
      <c r="X188" s="2" t="s">
        <v>9595</v>
      </c>
      <c r="Y188" s="2"/>
      <c r="Z188" s="2"/>
      <c r="AA188" s="2" t="s">
        <v>856</v>
      </c>
      <c r="AB188" s="2" t="s">
        <v>857</v>
      </c>
      <c r="AC188" s="2" t="s">
        <v>9669</v>
      </c>
      <c r="AD188" s="2" t="s">
        <v>8686</v>
      </c>
      <c r="AE188" s="2" t="s">
        <v>8763</v>
      </c>
      <c r="AF188" s="2" t="s">
        <v>830</v>
      </c>
      <c r="AG188" s="2" t="s">
        <v>1061</v>
      </c>
      <c r="AH188" s="2" t="s">
        <v>8665</v>
      </c>
      <c r="AI188" s="2" t="s">
        <v>9597</v>
      </c>
      <c r="AJ188" s="2" t="s">
        <v>9598</v>
      </c>
      <c r="AK188" s="2" t="s">
        <v>8594</v>
      </c>
      <c r="AL188" s="2" t="s">
        <v>9599</v>
      </c>
      <c r="AM188" s="2">
        <v>0</v>
      </c>
      <c r="AN188" s="2"/>
      <c r="AO188" s="2" t="s">
        <v>9600</v>
      </c>
      <c r="AP188" s="2" t="s">
        <v>9601</v>
      </c>
      <c r="AQ188" s="2"/>
      <c r="AR188" s="2" t="s">
        <v>9602</v>
      </c>
      <c r="AS188" s="2"/>
      <c r="AT188" s="2"/>
      <c r="AU188" s="2" t="s">
        <v>9603</v>
      </c>
      <c r="AV188" s="2"/>
      <c r="AW188" s="2"/>
      <c r="AX188" s="2"/>
      <c r="AY188" s="2" t="s">
        <v>9604</v>
      </c>
      <c r="AZ188" s="2" t="s">
        <v>9605</v>
      </c>
      <c r="BA188" s="2" t="s">
        <v>9606</v>
      </c>
      <c r="BB188" s="2" t="s">
        <v>9607</v>
      </c>
    </row>
  </sheetData>
  <conditionalFormatting sqref="B2:B180">
    <cfRule type="expression" dxfId="44" priority="19">
      <formula>$B2="M2"</formula>
    </cfRule>
    <cfRule type="expression" dxfId="43" priority="20">
      <formula>$B2="M3"</formula>
    </cfRule>
  </conditionalFormatting>
  <conditionalFormatting sqref="J2:J180">
    <cfRule type="expression" dxfId="42" priority="21">
      <formula>$AM2=0</formula>
    </cfRule>
  </conditionalFormatting>
  <conditionalFormatting sqref="K2:K182">
    <cfRule type="expression" dxfId="41" priority="12">
      <formula>$K2="Done"</formula>
    </cfRule>
    <cfRule type="expression" dxfId="40" priority="13">
      <formula>$K2="In Progress"</formula>
    </cfRule>
    <cfRule type="expression" dxfId="39" priority="14">
      <formula>$K2="Not Started"</formula>
    </cfRule>
    <cfRule type="expression" dxfId="38" priority="15">
      <formula>$K2="Blocked"</formula>
    </cfRule>
  </conditionalFormatting>
  <conditionalFormatting sqref="R2:R180">
    <cfRule type="expression" dxfId="37" priority="22">
      <formula>$AM2=0</formula>
    </cfRule>
    <cfRule type="expression" dxfId="36" priority="24">
      <formula>AND($AM2=1,NOT(ISNUMBER($R2)))</formula>
    </cfRule>
  </conditionalFormatting>
  <conditionalFormatting sqref="AR2:AR180">
    <cfRule type="expression" dxfId="35" priority="23">
      <formula>$AM2=0</formula>
    </cfRule>
  </conditionalFormatting>
  <conditionalFormatting sqref="AV2:AX180">
    <cfRule type="expression" dxfId="34" priority="25">
      <formula>ISNUMBER(AV2)</formula>
    </cfRule>
  </conditionalFormatting>
  <conditionalFormatting sqref="K185">
    <cfRule type="expression" dxfId="3" priority="1">
      <formula>$K185="Done"</formula>
    </cfRule>
    <cfRule type="expression" dxfId="2" priority="2">
      <formula>$K185="In Progress"</formula>
    </cfRule>
    <cfRule type="expression" dxfId="1" priority="3">
      <formula>$K185="Not Started"</formula>
    </cfRule>
    <cfRule type="expression" dxfId="0" priority="4">
      <formula>$K185="Blocked"</formula>
    </cfRule>
  </conditionalFormatting>
  <dataValidations count="5">
    <dataValidation type="list" sqref="K185 K2:K182" xr:uid="{00000000-0002-0000-0100-000000000000}">
      <formula1>"Not Started,In Progress,Done,Blocked"</formula1>
    </dataValidation>
    <dataValidation type="list" sqref="B2:B180" xr:uid="{00000000-0002-0000-0100-000001000000}">
      <formula1>"M2,M3"</formula1>
    </dataValidation>
    <dataValidation type="list" sqref="C2:C180" xr:uid="{00000000-0002-0000-0100-000002000000}">
      <formula1>"P1,P2,P3,P4,P5"</formula1>
    </dataValidation>
    <dataValidation type="decimal" operator="greaterThanOrEqual" allowBlank="1" showErrorMessage="1" errorTitle="Hours must be numeric" error="Use a non-negative numeric estimate or leave blank with an explicit Estimate Status. Blank is never zero effort." sqref="J2:J180 R2:R180" xr:uid="{00000000-0002-0000-0100-000003000000}">
      <formula1>0</formula1>
    </dataValidation>
    <dataValidation type="list" sqref="AR2:AR180" xr:uid="{00000000-0002-0000-0100-000004000000}">
      <formula1>"INHERITED ESTIMATE,CONFIRMED ESTIMATE,RE-ESTIMATE REQUIRED,UNESTIMATED,UNCONFIRMED DESIGN ESTIMATE"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
  <sheetViews>
    <sheetView workbookViewId="0"/>
  </sheetViews>
  <sheetFormatPr defaultRowHeight="14.25"/>
  <cols>
    <col min="1" max="1" width="20" customWidth="1"/>
    <col min="2" max="4" width="34" customWidth="1"/>
    <col min="5" max="12" width="20" customWidth="1"/>
    <col min="13" max="17" width="18" customWidth="1"/>
  </cols>
  <sheetData>
    <row r="1" spans="1:17" ht="26.1" customHeight="1">
      <c r="A1" s="100" t="s">
        <v>9670</v>
      </c>
      <c r="B1" s="100"/>
      <c r="C1" s="100"/>
      <c r="D1" s="100"/>
      <c r="E1" s="100"/>
      <c r="F1" s="100"/>
      <c r="G1" s="100"/>
      <c r="H1" s="100"/>
      <c r="I1" s="100"/>
      <c r="J1" s="100"/>
      <c r="K1" s="101"/>
      <c r="L1" s="101"/>
      <c r="M1" s="55"/>
      <c r="N1" s="55"/>
      <c r="O1" s="18"/>
      <c r="P1" s="18"/>
      <c r="Q1" s="18"/>
    </row>
    <row r="2" spans="1:17" ht="26.1" customHeight="1">
      <c r="A2" s="26"/>
      <c r="B2" s="26"/>
      <c r="C2" s="26"/>
      <c r="D2" s="26"/>
      <c r="E2" s="26"/>
      <c r="F2" s="26"/>
      <c r="G2" s="26"/>
      <c r="H2" s="26"/>
      <c r="I2" s="26"/>
      <c r="J2" s="26"/>
      <c r="K2" s="26"/>
      <c r="L2" s="26"/>
    </row>
    <row r="3" spans="1:17" ht="36" customHeight="1">
      <c r="A3" s="36" t="s">
        <v>54</v>
      </c>
      <c r="B3" s="36" t="s">
        <v>9671</v>
      </c>
      <c r="C3" s="36" t="s">
        <v>55</v>
      </c>
      <c r="D3" s="36" t="s">
        <v>9672</v>
      </c>
      <c r="E3" s="36" t="s">
        <v>1278</v>
      </c>
      <c r="F3" s="36" t="s">
        <v>249</v>
      </c>
      <c r="G3" s="36" t="s">
        <v>9673</v>
      </c>
      <c r="H3" s="36" t="s">
        <v>1395</v>
      </c>
      <c r="I3" s="36" t="s">
        <v>1280</v>
      </c>
      <c r="J3" s="36" t="s">
        <v>3617</v>
      </c>
      <c r="K3" s="40" t="s">
        <v>3620</v>
      </c>
      <c r="L3" s="40" t="s">
        <v>9674</v>
      </c>
      <c r="M3" s="20"/>
      <c r="N3" s="19"/>
      <c r="O3" s="20"/>
      <c r="P3" s="19"/>
      <c r="Q3" s="21"/>
    </row>
    <row r="4" spans="1:17" ht="26.1" customHeight="1">
      <c r="A4" s="38" t="s">
        <v>449</v>
      </c>
      <c r="B4" s="38" t="s">
        <v>9675</v>
      </c>
      <c r="C4" s="38" t="s">
        <v>450</v>
      </c>
      <c r="D4" s="38" t="s">
        <v>8662</v>
      </c>
      <c r="E4" s="44">
        <v>26</v>
      </c>
      <c r="F4" s="44">
        <v>26</v>
      </c>
      <c r="G4" s="45">
        <f t="shared" ref="G4:G13" si="0">E4-F4</f>
        <v>0</v>
      </c>
      <c r="H4" s="38">
        <v>0</v>
      </c>
      <c r="I4" s="38">
        <v>245</v>
      </c>
      <c r="J4" s="38">
        <v>0</v>
      </c>
      <c r="K4" s="38">
        <v>0</v>
      </c>
      <c r="L4" s="46" t="s">
        <v>9676</v>
      </c>
      <c r="M4" s="7"/>
      <c r="N4" s="3"/>
      <c r="O4" s="7"/>
      <c r="P4" s="3"/>
      <c r="Q4" s="12"/>
    </row>
    <row r="5" spans="1:17" ht="26.1" customHeight="1">
      <c r="A5" s="38" t="s">
        <v>449</v>
      </c>
      <c r="B5" s="38" t="s">
        <v>9675</v>
      </c>
      <c r="C5" s="38" t="s">
        <v>524</v>
      </c>
      <c r="D5" s="38" t="s">
        <v>1178</v>
      </c>
      <c r="E5" s="44">
        <v>42</v>
      </c>
      <c r="F5" s="44">
        <v>14</v>
      </c>
      <c r="G5" s="45">
        <f t="shared" si="0"/>
        <v>28</v>
      </c>
      <c r="H5" s="38">
        <v>3</v>
      </c>
      <c r="I5" s="38">
        <v>247</v>
      </c>
      <c r="J5" s="38">
        <v>135</v>
      </c>
      <c r="K5" s="38">
        <v>15</v>
      </c>
      <c r="L5" s="38" t="s">
        <v>9676</v>
      </c>
      <c r="M5" s="2"/>
      <c r="N5" s="2"/>
      <c r="O5" s="2"/>
      <c r="P5" s="2"/>
      <c r="Q5" s="2"/>
    </row>
    <row r="6" spans="1:17" ht="26.1" customHeight="1">
      <c r="A6" s="38" t="s">
        <v>449</v>
      </c>
      <c r="B6" s="38" t="s">
        <v>9675</v>
      </c>
      <c r="C6" s="38" t="s">
        <v>622</v>
      </c>
      <c r="D6" s="38" t="s">
        <v>9013</v>
      </c>
      <c r="E6" s="44">
        <v>5</v>
      </c>
      <c r="F6" s="44">
        <v>0</v>
      </c>
      <c r="G6" s="45">
        <f t="shared" si="0"/>
        <v>5</v>
      </c>
      <c r="H6" s="38">
        <v>0</v>
      </c>
      <c r="I6" s="38">
        <v>36</v>
      </c>
      <c r="J6" s="38">
        <v>36</v>
      </c>
      <c r="K6" s="38">
        <v>1</v>
      </c>
      <c r="L6" s="38" t="s">
        <v>9676</v>
      </c>
      <c r="M6" s="2"/>
      <c r="N6" s="2"/>
      <c r="O6" s="2"/>
      <c r="P6" s="2"/>
      <c r="Q6" s="2"/>
    </row>
    <row r="7" spans="1:17" ht="26.1" customHeight="1">
      <c r="A7" s="38" t="s">
        <v>449</v>
      </c>
      <c r="B7" s="38" t="s">
        <v>9675</v>
      </c>
      <c r="C7" s="38" t="s">
        <v>634</v>
      </c>
      <c r="D7" s="38" t="s">
        <v>9677</v>
      </c>
      <c r="E7" s="44">
        <v>27</v>
      </c>
      <c r="F7" s="44">
        <v>22</v>
      </c>
      <c r="G7" s="45">
        <f t="shared" si="0"/>
        <v>5</v>
      </c>
      <c r="H7" s="38">
        <v>0</v>
      </c>
      <c r="I7" s="38">
        <v>276</v>
      </c>
      <c r="J7" s="38">
        <v>48</v>
      </c>
      <c r="K7" s="38">
        <v>0</v>
      </c>
      <c r="L7" s="38" t="s">
        <v>9676</v>
      </c>
      <c r="M7" s="2"/>
      <c r="N7" s="2"/>
      <c r="O7" s="2"/>
      <c r="P7" s="2"/>
      <c r="Q7" s="2"/>
    </row>
    <row r="8" spans="1:17" ht="26.1" customHeight="1">
      <c r="A8" s="38" t="s">
        <v>449</v>
      </c>
      <c r="B8" s="38" t="s">
        <v>9675</v>
      </c>
      <c r="C8" s="38" t="s">
        <v>702</v>
      </c>
      <c r="D8" s="38" t="s">
        <v>9678</v>
      </c>
      <c r="E8" s="44">
        <v>15</v>
      </c>
      <c r="F8" s="44">
        <v>0</v>
      </c>
      <c r="G8" s="45">
        <f t="shared" si="0"/>
        <v>15</v>
      </c>
      <c r="H8" s="38">
        <v>0</v>
      </c>
      <c r="I8" s="38">
        <v>116</v>
      </c>
      <c r="J8" s="38">
        <v>116</v>
      </c>
      <c r="K8" s="38">
        <v>3</v>
      </c>
      <c r="L8" s="38" t="s">
        <v>9676</v>
      </c>
      <c r="M8" s="2"/>
      <c r="N8" s="2"/>
      <c r="O8" s="2"/>
      <c r="P8" s="2"/>
      <c r="Q8" s="2"/>
    </row>
    <row r="9" spans="1:17" ht="26.1" customHeight="1">
      <c r="A9" s="38" t="s">
        <v>1058</v>
      </c>
      <c r="B9" s="38" t="s">
        <v>9679</v>
      </c>
      <c r="C9" s="38" t="s">
        <v>450</v>
      </c>
      <c r="D9" s="38" t="s">
        <v>1179</v>
      </c>
      <c r="E9" s="44">
        <v>10</v>
      </c>
      <c r="F9" s="44">
        <v>0</v>
      </c>
      <c r="G9" s="45">
        <f t="shared" si="0"/>
        <v>10</v>
      </c>
      <c r="H9" s="38">
        <v>0</v>
      </c>
      <c r="I9" s="38">
        <v>84</v>
      </c>
      <c r="J9" s="38">
        <v>84</v>
      </c>
      <c r="K9" s="38">
        <v>3</v>
      </c>
      <c r="L9" s="38" t="s">
        <v>9680</v>
      </c>
      <c r="M9" s="2"/>
      <c r="N9" s="2"/>
      <c r="O9" s="2"/>
      <c r="P9" s="2"/>
      <c r="Q9" s="2"/>
    </row>
    <row r="10" spans="1:17" ht="26.1" customHeight="1">
      <c r="A10" s="38" t="s">
        <v>1058</v>
      </c>
      <c r="B10" s="38" t="s">
        <v>9679</v>
      </c>
      <c r="C10" s="38" t="s">
        <v>524</v>
      </c>
      <c r="D10" s="38" t="s">
        <v>9258</v>
      </c>
      <c r="E10" s="44">
        <v>12</v>
      </c>
      <c r="F10" s="44">
        <v>0</v>
      </c>
      <c r="G10" s="45">
        <f t="shared" si="0"/>
        <v>12</v>
      </c>
      <c r="H10" s="38">
        <v>0</v>
      </c>
      <c r="I10" s="38">
        <v>106</v>
      </c>
      <c r="J10" s="38">
        <v>106</v>
      </c>
      <c r="K10" s="38">
        <v>1</v>
      </c>
      <c r="L10" s="38" t="s">
        <v>9680</v>
      </c>
      <c r="M10" s="2"/>
      <c r="N10" s="2"/>
      <c r="O10" s="2"/>
      <c r="P10" s="2"/>
      <c r="Q10" s="2"/>
    </row>
    <row r="11" spans="1:17" ht="26.1" customHeight="1">
      <c r="A11" s="38" t="s">
        <v>1058</v>
      </c>
      <c r="B11" s="38" t="s">
        <v>9679</v>
      </c>
      <c r="C11" s="38" t="s">
        <v>622</v>
      </c>
      <c r="D11" s="38" t="s">
        <v>9681</v>
      </c>
      <c r="E11" s="44">
        <v>8</v>
      </c>
      <c r="F11" s="44">
        <v>0</v>
      </c>
      <c r="G11" s="45">
        <f t="shared" si="0"/>
        <v>8</v>
      </c>
      <c r="H11" s="38">
        <v>0</v>
      </c>
      <c r="I11" s="38">
        <v>58</v>
      </c>
      <c r="J11" s="38">
        <v>58</v>
      </c>
      <c r="K11" s="38">
        <v>3</v>
      </c>
      <c r="L11" s="38" t="s">
        <v>9680</v>
      </c>
      <c r="M11" s="2"/>
      <c r="N11" s="2"/>
      <c r="O11" s="2"/>
      <c r="P11" s="2"/>
      <c r="Q11" s="2"/>
    </row>
    <row r="12" spans="1:17" ht="26.1" customHeight="1">
      <c r="A12" s="38" t="s">
        <v>1058</v>
      </c>
      <c r="B12" s="38" t="s">
        <v>9679</v>
      </c>
      <c r="C12" s="38" t="s">
        <v>634</v>
      </c>
      <c r="D12" s="38" t="s">
        <v>9682</v>
      </c>
      <c r="E12" s="44">
        <v>40</v>
      </c>
      <c r="F12" s="44">
        <v>0</v>
      </c>
      <c r="G12" s="45">
        <f t="shared" si="0"/>
        <v>40</v>
      </c>
      <c r="H12" s="38">
        <v>0</v>
      </c>
      <c r="I12" s="38">
        <v>377</v>
      </c>
      <c r="J12" s="38">
        <v>377</v>
      </c>
      <c r="K12" s="38">
        <v>6</v>
      </c>
      <c r="L12" s="38" t="s">
        <v>9680</v>
      </c>
      <c r="M12" s="2"/>
      <c r="N12" s="2"/>
      <c r="O12" s="2"/>
      <c r="P12" s="2"/>
      <c r="Q12" s="2"/>
    </row>
    <row r="13" spans="1:17" ht="26.1" customHeight="1">
      <c r="A13" s="32" t="s">
        <v>1058</v>
      </c>
      <c r="B13" s="32" t="s">
        <v>9679</v>
      </c>
      <c r="C13" s="32" t="s">
        <v>702</v>
      </c>
      <c r="D13" s="32" t="s">
        <v>9530</v>
      </c>
      <c r="E13" s="47">
        <v>2</v>
      </c>
      <c r="F13" s="47">
        <v>0</v>
      </c>
      <c r="G13" s="48">
        <f t="shared" si="0"/>
        <v>2</v>
      </c>
      <c r="H13" s="32">
        <v>0</v>
      </c>
      <c r="I13" s="32">
        <v>24</v>
      </c>
      <c r="J13" s="32">
        <v>24</v>
      </c>
      <c r="K13" s="32">
        <v>0</v>
      </c>
      <c r="L13" s="32" t="s">
        <v>9680</v>
      </c>
      <c r="M13" s="2"/>
      <c r="N13" s="2"/>
      <c r="O13" s="2"/>
      <c r="P13" s="2"/>
      <c r="Q13" s="2"/>
    </row>
    <row r="14" spans="1:17">
      <c r="A14" s="2"/>
      <c r="B14" s="2"/>
      <c r="C14" s="2"/>
      <c r="D14" s="2"/>
      <c r="E14" s="2"/>
      <c r="F14" s="2"/>
      <c r="G14" s="2"/>
      <c r="H14" s="2"/>
      <c r="I14" s="2"/>
      <c r="J14" s="2"/>
      <c r="K14" s="2"/>
      <c r="L14" s="2"/>
      <c r="M14" s="2"/>
      <c r="N14" s="2"/>
      <c r="O14" s="2"/>
      <c r="P14" s="2"/>
      <c r="Q14" s="2"/>
    </row>
    <row r="15" spans="1:17">
      <c r="A15" s="2"/>
      <c r="B15" s="2"/>
      <c r="C15" s="2"/>
      <c r="D15" s="2"/>
      <c r="E15" s="2"/>
      <c r="F15" s="2"/>
      <c r="G15" s="2"/>
      <c r="H15" s="2"/>
      <c r="I15" s="2"/>
      <c r="J15" s="2"/>
      <c r="K15" s="2"/>
      <c r="L15" s="2"/>
      <c r="M15" s="2"/>
      <c r="N15" s="2"/>
      <c r="O15" s="2"/>
      <c r="P15" s="2"/>
      <c r="Q15" s="2"/>
    </row>
  </sheetData>
  <mergeCells count="1">
    <mergeCell ref="A1:L1"/>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89"/>
  <sheetViews>
    <sheetView workbookViewId="0"/>
  </sheetViews>
  <sheetFormatPr defaultRowHeight="14.25"/>
  <cols>
    <col min="1" max="4" width="20" customWidth="1"/>
    <col min="5" max="5" width="40" customWidth="1"/>
    <col min="6" max="8" width="20" customWidth="1"/>
    <col min="9" max="14" width="38" customWidth="1"/>
  </cols>
  <sheetData>
    <row r="1" spans="1:14" ht="26.1" customHeight="1">
      <c r="A1" s="100" t="s">
        <v>9683</v>
      </c>
      <c r="B1" s="100"/>
      <c r="C1" s="100"/>
      <c r="D1" s="100"/>
      <c r="E1" s="100"/>
      <c r="F1" s="100"/>
      <c r="G1" s="100"/>
      <c r="H1" s="100"/>
      <c r="I1" s="100"/>
      <c r="J1" s="100"/>
      <c r="K1" s="100"/>
      <c r="L1" s="100"/>
      <c r="M1" s="54"/>
      <c r="N1" s="54"/>
    </row>
    <row r="2" spans="1:14" ht="36" customHeight="1">
      <c r="A2" s="40" t="s">
        <v>56</v>
      </c>
      <c r="B2" s="40" t="s">
        <v>54</v>
      </c>
      <c r="C2" s="40" t="s">
        <v>55</v>
      </c>
      <c r="D2" s="40" t="s">
        <v>0</v>
      </c>
      <c r="E2" s="40" t="s">
        <v>3</v>
      </c>
      <c r="F2" s="40" t="s">
        <v>10</v>
      </c>
      <c r="G2" s="40" t="s">
        <v>3684</v>
      </c>
      <c r="H2" s="40" t="s">
        <v>57</v>
      </c>
      <c r="I2" s="40" t="s">
        <v>58</v>
      </c>
      <c r="J2" s="40" t="s">
        <v>9684</v>
      </c>
      <c r="K2" s="40" t="s">
        <v>9685</v>
      </c>
      <c r="L2" s="40" t="s">
        <v>9686</v>
      </c>
      <c r="M2" s="37" t="s">
        <v>9687</v>
      </c>
      <c r="N2" s="37" t="s">
        <v>61</v>
      </c>
    </row>
    <row r="3" spans="1:14" ht="26.1" customHeight="1">
      <c r="A3" s="41" t="s">
        <v>504</v>
      </c>
      <c r="B3" s="41" t="s">
        <v>449</v>
      </c>
      <c r="C3" s="41" t="s">
        <v>634</v>
      </c>
      <c r="D3" s="41" t="s">
        <v>125</v>
      </c>
      <c r="E3" s="41" t="s">
        <v>636</v>
      </c>
      <c r="F3" s="69" t="s">
        <v>249</v>
      </c>
      <c r="G3" s="41">
        <v>10</v>
      </c>
      <c r="H3" s="41">
        <v>0</v>
      </c>
      <c r="I3" s="41"/>
      <c r="J3" s="41" t="s">
        <v>2026</v>
      </c>
      <c r="K3" s="41" t="s">
        <v>9042</v>
      </c>
      <c r="L3" s="41" t="s">
        <v>9043</v>
      </c>
      <c r="M3" s="32" t="s">
        <v>1415</v>
      </c>
      <c r="N3" s="32"/>
    </row>
    <row r="4" spans="1:14" ht="26.1" customHeight="1">
      <c r="A4" s="38" t="s">
        <v>504</v>
      </c>
      <c r="B4" s="38" t="s">
        <v>449</v>
      </c>
      <c r="C4" s="38" t="s">
        <v>634</v>
      </c>
      <c r="D4" s="38" t="s">
        <v>126</v>
      </c>
      <c r="E4" s="38" t="s">
        <v>639</v>
      </c>
      <c r="F4" s="70" t="s">
        <v>249</v>
      </c>
      <c r="G4" s="38">
        <v>12</v>
      </c>
      <c r="H4" s="38">
        <v>0</v>
      </c>
      <c r="I4" s="38"/>
      <c r="J4" s="38" t="s">
        <v>2026</v>
      </c>
      <c r="K4" s="38" t="s">
        <v>9042</v>
      </c>
      <c r="L4" s="38" t="s">
        <v>9043</v>
      </c>
      <c r="M4" s="32" t="s">
        <v>1415</v>
      </c>
      <c r="N4" s="32"/>
    </row>
    <row r="5" spans="1:14" ht="26.1" customHeight="1">
      <c r="A5" s="38" t="s">
        <v>504</v>
      </c>
      <c r="B5" s="38" t="s">
        <v>449</v>
      </c>
      <c r="C5" s="38" t="s">
        <v>634</v>
      </c>
      <c r="D5" s="38" t="s">
        <v>127</v>
      </c>
      <c r="E5" s="38" t="s">
        <v>642</v>
      </c>
      <c r="F5" s="70" t="s">
        <v>249</v>
      </c>
      <c r="G5" s="38">
        <v>10</v>
      </c>
      <c r="H5" s="38">
        <v>0</v>
      </c>
      <c r="I5" s="38"/>
      <c r="J5" s="38" t="s">
        <v>2026</v>
      </c>
      <c r="K5" s="38" t="s">
        <v>9042</v>
      </c>
      <c r="L5" s="38" t="s">
        <v>9043</v>
      </c>
      <c r="M5" s="32" t="s">
        <v>1415</v>
      </c>
      <c r="N5" s="32"/>
    </row>
    <row r="6" spans="1:14" ht="26.1" customHeight="1">
      <c r="A6" s="38" t="s">
        <v>504</v>
      </c>
      <c r="B6" s="38" t="s">
        <v>449</v>
      </c>
      <c r="C6" s="38" t="s">
        <v>634</v>
      </c>
      <c r="D6" s="38" t="s">
        <v>128</v>
      </c>
      <c r="E6" s="38" t="s">
        <v>645</v>
      </c>
      <c r="F6" s="70" t="s">
        <v>249</v>
      </c>
      <c r="G6" s="38">
        <v>10</v>
      </c>
      <c r="H6" s="38">
        <v>0</v>
      </c>
      <c r="I6" s="38"/>
      <c r="J6" s="38" t="s">
        <v>2026</v>
      </c>
      <c r="K6" s="38" t="s">
        <v>9042</v>
      </c>
      <c r="L6" s="38" t="s">
        <v>9043</v>
      </c>
      <c r="M6" s="32" t="s">
        <v>1415</v>
      </c>
      <c r="N6" s="32"/>
    </row>
    <row r="7" spans="1:14" ht="26.1" customHeight="1">
      <c r="A7" s="38" t="s">
        <v>504</v>
      </c>
      <c r="B7" s="38" t="s">
        <v>449</v>
      </c>
      <c r="C7" s="38" t="s">
        <v>634</v>
      </c>
      <c r="D7" s="38" t="s">
        <v>129</v>
      </c>
      <c r="E7" s="38" t="s">
        <v>648</v>
      </c>
      <c r="F7" s="70" t="s">
        <v>249</v>
      </c>
      <c r="G7" s="38">
        <v>10</v>
      </c>
      <c r="H7" s="38">
        <v>0</v>
      </c>
      <c r="I7" s="38"/>
      <c r="J7" s="38" t="s">
        <v>2026</v>
      </c>
      <c r="K7" s="38" t="s">
        <v>9042</v>
      </c>
      <c r="L7" s="38" t="s">
        <v>9043</v>
      </c>
      <c r="M7" s="32" t="s">
        <v>1415</v>
      </c>
      <c r="N7" s="32"/>
    </row>
    <row r="8" spans="1:14" ht="26.1" customHeight="1">
      <c r="A8" s="38" t="s">
        <v>504</v>
      </c>
      <c r="B8" s="38" t="s">
        <v>449</v>
      </c>
      <c r="C8" s="38" t="s">
        <v>634</v>
      </c>
      <c r="D8" s="38" t="s">
        <v>130</v>
      </c>
      <c r="E8" s="38" t="s">
        <v>651</v>
      </c>
      <c r="F8" s="70" t="s">
        <v>249</v>
      </c>
      <c r="G8" s="38">
        <v>12</v>
      </c>
      <c r="H8" s="38">
        <v>0</v>
      </c>
      <c r="I8" s="38"/>
      <c r="J8" s="38" t="s">
        <v>2026</v>
      </c>
      <c r="K8" s="38" t="s">
        <v>9042</v>
      </c>
      <c r="L8" s="38" t="s">
        <v>9043</v>
      </c>
      <c r="M8" s="32" t="s">
        <v>1415</v>
      </c>
      <c r="N8" s="32"/>
    </row>
    <row r="9" spans="1:14" ht="26.1" customHeight="1">
      <c r="A9" s="38" t="s">
        <v>504</v>
      </c>
      <c r="B9" s="38" t="s">
        <v>449</v>
      </c>
      <c r="C9" s="38" t="s">
        <v>634</v>
      </c>
      <c r="D9" s="38" t="s">
        <v>131</v>
      </c>
      <c r="E9" s="38" t="s">
        <v>653</v>
      </c>
      <c r="F9" s="70" t="s">
        <v>249</v>
      </c>
      <c r="G9" s="38">
        <v>12</v>
      </c>
      <c r="H9" s="38">
        <v>0</v>
      </c>
      <c r="I9" s="38"/>
      <c r="J9" s="38" t="s">
        <v>2026</v>
      </c>
      <c r="K9" s="38" t="s">
        <v>9042</v>
      </c>
      <c r="L9" s="38" t="s">
        <v>9043</v>
      </c>
      <c r="M9" s="32" t="s">
        <v>1415</v>
      </c>
      <c r="N9" s="32"/>
    </row>
    <row r="10" spans="1:14" ht="26.1" customHeight="1">
      <c r="A10" s="38" t="s">
        <v>504</v>
      </c>
      <c r="B10" s="38" t="s">
        <v>449</v>
      </c>
      <c r="C10" s="38" t="s">
        <v>634</v>
      </c>
      <c r="D10" s="38" t="s">
        <v>132</v>
      </c>
      <c r="E10" s="38" t="s">
        <v>656</v>
      </c>
      <c r="F10" s="70" t="s">
        <v>249</v>
      </c>
      <c r="G10" s="38">
        <v>10</v>
      </c>
      <c r="H10" s="38">
        <v>0</v>
      </c>
      <c r="I10" s="38"/>
      <c r="J10" s="38" t="s">
        <v>2026</v>
      </c>
      <c r="K10" s="38" t="s">
        <v>9042</v>
      </c>
      <c r="L10" s="38" t="s">
        <v>9043</v>
      </c>
      <c r="M10" s="32" t="s">
        <v>1415</v>
      </c>
      <c r="N10" s="32"/>
    </row>
    <row r="11" spans="1:14" ht="26.1" customHeight="1">
      <c r="A11" s="38" t="s">
        <v>504</v>
      </c>
      <c r="B11" s="38" t="s">
        <v>449</v>
      </c>
      <c r="C11" s="38" t="s">
        <v>634</v>
      </c>
      <c r="D11" s="38" t="s">
        <v>133</v>
      </c>
      <c r="E11" s="38" t="s">
        <v>658</v>
      </c>
      <c r="F11" s="70" t="s">
        <v>249</v>
      </c>
      <c r="G11" s="38">
        <v>12</v>
      </c>
      <c r="H11" s="38">
        <v>0</v>
      </c>
      <c r="I11" s="38" t="s">
        <v>660</v>
      </c>
      <c r="J11" s="38" t="s">
        <v>2026</v>
      </c>
      <c r="K11" s="38" t="s">
        <v>9042</v>
      </c>
      <c r="L11" s="38" t="s">
        <v>9043</v>
      </c>
      <c r="M11" s="32" t="s">
        <v>1415</v>
      </c>
      <c r="N11" s="32"/>
    </row>
    <row r="12" spans="1:14" ht="26.1" customHeight="1">
      <c r="A12" s="38" t="s">
        <v>504</v>
      </c>
      <c r="B12" s="38" t="s">
        <v>449</v>
      </c>
      <c r="C12" s="38" t="s">
        <v>634</v>
      </c>
      <c r="D12" s="38" t="s">
        <v>134</v>
      </c>
      <c r="E12" s="38" t="s">
        <v>661</v>
      </c>
      <c r="F12" s="70" t="s">
        <v>249</v>
      </c>
      <c r="G12" s="38">
        <v>12</v>
      </c>
      <c r="H12" s="38">
        <v>0</v>
      </c>
      <c r="I12" s="38"/>
      <c r="J12" s="38" t="s">
        <v>2026</v>
      </c>
      <c r="K12" s="38" t="s">
        <v>9042</v>
      </c>
      <c r="L12" s="38" t="s">
        <v>9043</v>
      </c>
      <c r="M12" s="32" t="s">
        <v>1415</v>
      </c>
      <c r="N12" s="32"/>
    </row>
    <row r="13" spans="1:14" ht="26.1" customHeight="1">
      <c r="A13" s="38" t="s">
        <v>504</v>
      </c>
      <c r="B13" s="38" t="s">
        <v>449</v>
      </c>
      <c r="C13" s="38" t="s">
        <v>634</v>
      </c>
      <c r="D13" s="38" t="s">
        <v>135</v>
      </c>
      <c r="E13" s="38" t="s">
        <v>664</v>
      </c>
      <c r="F13" s="70" t="s">
        <v>249</v>
      </c>
      <c r="G13" s="38">
        <v>10</v>
      </c>
      <c r="H13" s="38">
        <v>0</v>
      </c>
      <c r="I13" s="38"/>
      <c r="J13" s="38" t="s">
        <v>2026</v>
      </c>
      <c r="K13" s="38" t="s">
        <v>9042</v>
      </c>
      <c r="L13" s="38" t="s">
        <v>9043</v>
      </c>
      <c r="M13" s="32" t="s">
        <v>1415</v>
      </c>
      <c r="N13" s="32"/>
    </row>
    <row r="14" spans="1:14" ht="26.1" customHeight="1">
      <c r="A14" s="38" t="s">
        <v>504</v>
      </c>
      <c r="B14" s="38" t="s">
        <v>449</v>
      </c>
      <c r="C14" s="38" t="s">
        <v>634</v>
      </c>
      <c r="D14" s="38" t="s">
        <v>136</v>
      </c>
      <c r="E14" s="38" t="s">
        <v>667</v>
      </c>
      <c r="F14" s="70" t="s">
        <v>249</v>
      </c>
      <c r="G14" s="38">
        <v>8</v>
      </c>
      <c r="H14" s="38">
        <v>0</v>
      </c>
      <c r="I14" s="38"/>
      <c r="J14" s="38" t="s">
        <v>2026</v>
      </c>
      <c r="K14" s="38" t="s">
        <v>9042</v>
      </c>
      <c r="L14" s="38" t="s">
        <v>9043</v>
      </c>
      <c r="M14" s="32" t="s">
        <v>1415</v>
      </c>
      <c r="N14" s="32"/>
    </row>
    <row r="15" spans="1:14" ht="26.1" customHeight="1">
      <c r="A15" s="38" t="s">
        <v>504</v>
      </c>
      <c r="B15" s="38" t="s">
        <v>449</v>
      </c>
      <c r="C15" s="38" t="s">
        <v>634</v>
      </c>
      <c r="D15" s="38" t="s">
        <v>137</v>
      </c>
      <c r="E15" s="38" t="s">
        <v>669</v>
      </c>
      <c r="F15" s="70" t="s">
        <v>249</v>
      </c>
      <c r="G15" s="38">
        <v>10</v>
      </c>
      <c r="H15" s="38">
        <v>0</v>
      </c>
      <c r="I15" s="38"/>
      <c r="J15" s="38" t="s">
        <v>2026</v>
      </c>
      <c r="K15" s="38" t="s">
        <v>9042</v>
      </c>
      <c r="L15" s="38" t="s">
        <v>9043</v>
      </c>
      <c r="M15" s="32" t="s">
        <v>1415</v>
      </c>
      <c r="N15" s="32"/>
    </row>
    <row r="16" spans="1:14" ht="26.1" customHeight="1">
      <c r="A16" s="38" t="s">
        <v>504</v>
      </c>
      <c r="B16" s="38" t="s">
        <v>449</v>
      </c>
      <c r="C16" s="38" t="s">
        <v>634</v>
      </c>
      <c r="D16" s="38" t="s">
        <v>138</v>
      </c>
      <c r="E16" s="38" t="s">
        <v>672</v>
      </c>
      <c r="F16" s="70" t="s">
        <v>249</v>
      </c>
      <c r="G16" s="38">
        <v>12</v>
      </c>
      <c r="H16" s="38">
        <v>0</v>
      </c>
      <c r="I16" s="38"/>
      <c r="J16" s="38" t="s">
        <v>2026</v>
      </c>
      <c r="K16" s="38" t="s">
        <v>9042</v>
      </c>
      <c r="L16" s="38" t="s">
        <v>9043</v>
      </c>
      <c r="M16" s="32" t="s">
        <v>1415</v>
      </c>
      <c r="N16" s="32"/>
    </row>
    <row r="17" spans="1:14" ht="26.1" customHeight="1">
      <c r="A17" s="38" t="s">
        <v>504</v>
      </c>
      <c r="B17" s="38" t="s">
        <v>449</v>
      </c>
      <c r="C17" s="38" t="s">
        <v>634</v>
      </c>
      <c r="D17" s="38" t="s">
        <v>139</v>
      </c>
      <c r="E17" s="38" t="s">
        <v>674</v>
      </c>
      <c r="F17" s="70" t="s">
        <v>249</v>
      </c>
      <c r="G17" s="38">
        <v>12</v>
      </c>
      <c r="H17" s="38">
        <v>0</v>
      </c>
      <c r="I17" s="38"/>
      <c r="J17" s="38" t="s">
        <v>2026</v>
      </c>
      <c r="K17" s="38" t="s">
        <v>9042</v>
      </c>
      <c r="L17" s="38" t="s">
        <v>9043</v>
      </c>
      <c r="M17" s="32" t="s">
        <v>1415</v>
      </c>
      <c r="N17" s="32"/>
    </row>
    <row r="18" spans="1:14" ht="26.1" customHeight="1">
      <c r="A18" s="38" t="s">
        <v>504</v>
      </c>
      <c r="B18" s="38" t="s">
        <v>449</v>
      </c>
      <c r="C18" s="38" t="s">
        <v>634</v>
      </c>
      <c r="D18" s="38" t="s">
        <v>140</v>
      </c>
      <c r="E18" s="38" t="s">
        <v>676</v>
      </c>
      <c r="F18" s="70" t="s">
        <v>249</v>
      </c>
      <c r="G18" s="38">
        <v>10</v>
      </c>
      <c r="H18" s="38">
        <v>0</v>
      </c>
      <c r="I18" s="38"/>
      <c r="J18" s="38" t="s">
        <v>2026</v>
      </c>
      <c r="K18" s="38" t="s">
        <v>9042</v>
      </c>
      <c r="L18" s="38" t="s">
        <v>9043</v>
      </c>
      <c r="M18" s="32" t="s">
        <v>1415</v>
      </c>
      <c r="N18" s="32"/>
    </row>
    <row r="19" spans="1:14" ht="26.1" customHeight="1">
      <c r="A19" s="38" t="s">
        <v>451</v>
      </c>
      <c r="B19" s="38" t="s">
        <v>449</v>
      </c>
      <c r="C19" s="38" t="s">
        <v>450</v>
      </c>
      <c r="D19" s="38" t="s">
        <v>62</v>
      </c>
      <c r="E19" s="38" t="s">
        <v>452</v>
      </c>
      <c r="F19" s="70" t="s">
        <v>249</v>
      </c>
      <c r="G19" s="38">
        <v>8</v>
      </c>
      <c r="H19" s="38">
        <v>2.72</v>
      </c>
      <c r="I19" s="38" t="s">
        <v>71</v>
      </c>
      <c r="J19" s="38" t="s">
        <v>2026</v>
      </c>
      <c r="K19" s="38" t="s">
        <v>8661</v>
      </c>
      <c r="L19" s="38" t="s">
        <v>1513</v>
      </c>
      <c r="M19" s="32" t="s">
        <v>1415</v>
      </c>
      <c r="N19" s="32"/>
    </row>
    <row r="20" spans="1:14" ht="26.1" customHeight="1">
      <c r="A20" s="38" t="s">
        <v>451</v>
      </c>
      <c r="B20" s="38" t="s">
        <v>449</v>
      </c>
      <c r="C20" s="38" t="s">
        <v>450</v>
      </c>
      <c r="D20" s="38" t="s">
        <v>63</v>
      </c>
      <c r="E20" s="38" t="s">
        <v>457</v>
      </c>
      <c r="F20" s="70" t="s">
        <v>249</v>
      </c>
      <c r="G20" s="38">
        <v>12</v>
      </c>
      <c r="H20" s="38">
        <v>2.3250000000000002</v>
      </c>
      <c r="I20" s="38" t="s">
        <v>459</v>
      </c>
      <c r="J20" s="38" t="s">
        <v>2026</v>
      </c>
      <c r="K20" s="38" t="s">
        <v>8661</v>
      </c>
      <c r="L20" s="38" t="s">
        <v>1513</v>
      </c>
      <c r="M20" s="32" t="s">
        <v>1415</v>
      </c>
      <c r="N20" s="32"/>
    </row>
    <row r="21" spans="1:14" ht="26.1" customHeight="1">
      <c r="A21" s="38" t="s">
        <v>451</v>
      </c>
      <c r="B21" s="38" t="s">
        <v>449</v>
      </c>
      <c r="C21" s="38" t="s">
        <v>450</v>
      </c>
      <c r="D21" s="38" t="s">
        <v>64</v>
      </c>
      <c r="E21" s="38" t="s">
        <v>461</v>
      </c>
      <c r="F21" s="70" t="s">
        <v>249</v>
      </c>
      <c r="G21" s="38">
        <v>12</v>
      </c>
      <c r="H21" s="38">
        <v>2.3250000000000002</v>
      </c>
      <c r="I21" s="38" t="s">
        <v>62</v>
      </c>
      <c r="J21" s="38" t="s">
        <v>2026</v>
      </c>
      <c r="K21" s="38" t="s">
        <v>8661</v>
      </c>
      <c r="L21" s="38" t="s">
        <v>1513</v>
      </c>
      <c r="M21" s="32" t="s">
        <v>1415</v>
      </c>
      <c r="N21" s="32"/>
    </row>
    <row r="22" spans="1:14" ht="26.1" customHeight="1">
      <c r="A22" s="38" t="s">
        <v>451</v>
      </c>
      <c r="B22" s="38" t="s">
        <v>449</v>
      </c>
      <c r="C22" s="38" t="s">
        <v>450</v>
      </c>
      <c r="D22" s="38" t="s">
        <v>65</v>
      </c>
      <c r="E22" s="38" t="s">
        <v>464</v>
      </c>
      <c r="F22" s="70" t="s">
        <v>249</v>
      </c>
      <c r="G22" s="38">
        <v>12</v>
      </c>
      <c r="H22" s="38">
        <v>2.3250000000000002</v>
      </c>
      <c r="I22" s="38" t="s">
        <v>466</v>
      </c>
      <c r="J22" s="38" t="s">
        <v>2026</v>
      </c>
      <c r="K22" s="38" t="s">
        <v>8661</v>
      </c>
      <c r="L22" s="38" t="s">
        <v>1513</v>
      </c>
      <c r="M22" s="32" t="s">
        <v>1415</v>
      </c>
      <c r="N22" s="32"/>
    </row>
    <row r="23" spans="1:14" ht="26.1" customHeight="1">
      <c r="A23" s="38" t="s">
        <v>451</v>
      </c>
      <c r="B23" s="38" t="s">
        <v>449</v>
      </c>
      <c r="C23" s="38" t="s">
        <v>450</v>
      </c>
      <c r="D23" s="38" t="s">
        <v>66</v>
      </c>
      <c r="E23" s="38" t="s">
        <v>468</v>
      </c>
      <c r="F23" s="70" t="s">
        <v>249</v>
      </c>
      <c r="G23" s="38">
        <v>12</v>
      </c>
      <c r="H23" s="38">
        <v>1.7999999999999998</v>
      </c>
      <c r="I23" s="38" t="s">
        <v>65</v>
      </c>
      <c r="J23" s="38" t="s">
        <v>2026</v>
      </c>
      <c r="K23" s="38" t="s">
        <v>8661</v>
      </c>
      <c r="L23" s="38" t="s">
        <v>8692</v>
      </c>
      <c r="M23" s="32" t="s">
        <v>1415</v>
      </c>
      <c r="N23" s="32"/>
    </row>
    <row r="24" spans="1:14" ht="26.1" customHeight="1">
      <c r="A24" s="38" t="s">
        <v>451</v>
      </c>
      <c r="B24" s="38" t="s">
        <v>449</v>
      </c>
      <c r="C24" s="38" t="s">
        <v>450</v>
      </c>
      <c r="D24" s="38" t="s">
        <v>67</v>
      </c>
      <c r="E24" s="38" t="s">
        <v>472</v>
      </c>
      <c r="F24" s="70" t="s">
        <v>249</v>
      </c>
      <c r="G24" s="38">
        <v>12</v>
      </c>
      <c r="H24" s="38">
        <v>1.7999999999999998</v>
      </c>
      <c r="I24" s="38" t="s">
        <v>66</v>
      </c>
      <c r="J24" s="38" t="s">
        <v>2026</v>
      </c>
      <c r="K24" s="38" t="s">
        <v>8661</v>
      </c>
      <c r="L24" s="38" t="s">
        <v>1513</v>
      </c>
      <c r="M24" s="32" t="s">
        <v>1415</v>
      </c>
      <c r="N24" s="32"/>
    </row>
    <row r="25" spans="1:14" ht="26.1" customHeight="1">
      <c r="A25" s="38" t="s">
        <v>451</v>
      </c>
      <c r="B25" s="38" t="s">
        <v>449</v>
      </c>
      <c r="C25" s="38" t="s">
        <v>450</v>
      </c>
      <c r="D25" s="38" t="s">
        <v>68</v>
      </c>
      <c r="E25" s="38" t="s">
        <v>475</v>
      </c>
      <c r="F25" s="70" t="s">
        <v>249</v>
      </c>
      <c r="G25" s="38">
        <v>12</v>
      </c>
      <c r="H25" s="38">
        <v>1.7999999999999998</v>
      </c>
      <c r="I25" s="38" t="s">
        <v>477</v>
      </c>
      <c r="J25" s="38" t="s">
        <v>2026</v>
      </c>
      <c r="K25" s="38" t="s">
        <v>8661</v>
      </c>
      <c r="L25" s="38" t="s">
        <v>1513</v>
      </c>
      <c r="M25" s="32" t="s">
        <v>1415</v>
      </c>
      <c r="N25" s="32"/>
    </row>
    <row r="26" spans="1:14" ht="26.1" customHeight="1">
      <c r="A26" s="38" t="s">
        <v>451</v>
      </c>
      <c r="B26" s="38" t="s">
        <v>449</v>
      </c>
      <c r="C26" s="38" t="s">
        <v>450</v>
      </c>
      <c r="D26" s="38" t="s">
        <v>69</v>
      </c>
      <c r="E26" s="38" t="s">
        <v>479</v>
      </c>
      <c r="F26" s="70" t="s">
        <v>249</v>
      </c>
      <c r="G26" s="38">
        <v>6</v>
      </c>
      <c r="H26" s="38">
        <v>0.89999999999999991</v>
      </c>
      <c r="I26" s="38" t="s">
        <v>481</v>
      </c>
      <c r="J26" s="38" t="s">
        <v>2026</v>
      </c>
      <c r="K26" s="38" t="s">
        <v>8661</v>
      </c>
      <c r="L26" s="38" t="s">
        <v>1513</v>
      </c>
      <c r="M26" s="32" t="s">
        <v>1415</v>
      </c>
      <c r="N26" s="32"/>
    </row>
    <row r="27" spans="1:14" ht="26.1" customHeight="1">
      <c r="A27" s="38" t="s">
        <v>451</v>
      </c>
      <c r="B27" s="38" t="s">
        <v>449</v>
      </c>
      <c r="C27" s="38" t="s">
        <v>450</v>
      </c>
      <c r="D27" s="38" t="s">
        <v>70</v>
      </c>
      <c r="E27" s="38" t="s">
        <v>483</v>
      </c>
      <c r="F27" s="70" t="s">
        <v>249</v>
      </c>
      <c r="G27" s="38">
        <v>24</v>
      </c>
      <c r="H27" s="38">
        <v>3.6</v>
      </c>
      <c r="I27" s="38" t="s">
        <v>485</v>
      </c>
      <c r="J27" s="38" t="s">
        <v>2026</v>
      </c>
      <c r="K27" s="38" t="s">
        <v>8661</v>
      </c>
      <c r="L27" s="38" t="s">
        <v>1513</v>
      </c>
      <c r="M27" s="32" t="s">
        <v>1415</v>
      </c>
      <c r="N27" s="32"/>
    </row>
    <row r="28" spans="1:14" ht="26.1" customHeight="1">
      <c r="A28" s="38" t="s">
        <v>451</v>
      </c>
      <c r="B28" s="38" t="s">
        <v>449</v>
      </c>
      <c r="C28" s="38" t="s">
        <v>450</v>
      </c>
      <c r="D28" s="38" t="s">
        <v>71</v>
      </c>
      <c r="E28" s="38" t="s">
        <v>488</v>
      </c>
      <c r="F28" s="70" t="s">
        <v>249</v>
      </c>
      <c r="G28" s="38">
        <v>4</v>
      </c>
      <c r="H28" s="38">
        <v>1.5</v>
      </c>
      <c r="I28" s="38"/>
      <c r="J28" s="38" t="s">
        <v>2026</v>
      </c>
      <c r="K28" s="38" t="s">
        <v>8711</v>
      </c>
      <c r="L28" s="38" t="s">
        <v>8712</v>
      </c>
      <c r="M28" s="32" t="s">
        <v>1415</v>
      </c>
      <c r="N28" s="32"/>
    </row>
    <row r="29" spans="1:14" ht="26.1" customHeight="1">
      <c r="A29" s="38" t="s">
        <v>451</v>
      </c>
      <c r="B29" s="38" t="s">
        <v>449</v>
      </c>
      <c r="C29" s="38" t="s">
        <v>450</v>
      </c>
      <c r="D29" s="38" t="s">
        <v>79</v>
      </c>
      <c r="E29" s="38" t="s">
        <v>514</v>
      </c>
      <c r="F29" s="70" t="s">
        <v>249</v>
      </c>
      <c r="G29" s="38">
        <v>12</v>
      </c>
      <c r="H29" s="38">
        <v>5.0999999999999996</v>
      </c>
      <c r="I29" s="38" t="s">
        <v>516</v>
      </c>
      <c r="J29" s="38" t="s">
        <v>2026</v>
      </c>
      <c r="K29" s="38" t="s">
        <v>8768</v>
      </c>
      <c r="L29" s="38" t="s">
        <v>8769</v>
      </c>
      <c r="M29" s="32" t="s">
        <v>1415</v>
      </c>
      <c r="N29" s="32"/>
    </row>
    <row r="30" spans="1:14" ht="26.1" customHeight="1">
      <c r="A30" s="38" t="s">
        <v>451</v>
      </c>
      <c r="B30" s="38" t="s">
        <v>449</v>
      </c>
      <c r="C30" s="38" t="s">
        <v>450</v>
      </c>
      <c r="D30" s="38" t="s">
        <v>81</v>
      </c>
      <c r="E30" s="38" t="s">
        <v>521</v>
      </c>
      <c r="F30" s="70" t="s">
        <v>249</v>
      </c>
      <c r="G30" s="38">
        <v>6</v>
      </c>
      <c r="H30" s="38">
        <v>2.5499999999999998</v>
      </c>
      <c r="I30" s="38" t="s">
        <v>516</v>
      </c>
      <c r="J30" s="38" t="s">
        <v>2026</v>
      </c>
      <c r="K30" s="38" t="s">
        <v>8779</v>
      </c>
      <c r="L30" s="38" t="s">
        <v>8780</v>
      </c>
      <c r="M30" s="32" t="s">
        <v>1415</v>
      </c>
      <c r="N30" s="32"/>
    </row>
    <row r="31" spans="1:14" ht="26.1" customHeight="1">
      <c r="A31" s="38" t="s">
        <v>451</v>
      </c>
      <c r="B31" s="38" t="s">
        <v>449</v>
      </c>
      <c r="C31" s="38" t="s">
        <v>450</v>
      </c>
      <c r="D31" s="38" t="s">
        <v>83</v>
      </c>
      <c r="E31" s="38" t="s">
        <v>729</v>
      </c>
      <c r="F31" s="70" t="s">
        <v>249</v>
      </c>
      <c r="G31" s="38">
        <v>12</v>
      </c>
      <c r="H31" s="38">
        <v>1.8</v>
      </c>
      <c r="I31" s="38" t="s">
        <v>1425</v>
      </c>
      <c r="J31" s="38" t="s">
        <v>2026</v>
      </c>
      <c r="K31" s="38" t="s">
        <v>8792</v>
      </c>
      <c r="L31" s="38" t="s">
        <v>8793</v>
      </c>
      <c r="M31" s="32" t="s">
        <v>1415</v>
      </c>
      <c r="N31" s="32"/>
    </row>
    <row r="32" spans="1:14" ht="26.1" customHeight="1">
      <c r="A32" s="38" t="s">
        <v>451</v>
      </c>
      <c r="B32" s="38" t="s">
        <v>449</v>
      </c>
      <c r="C32" s="38" t="s">
        <v>450</v>
      </c>
      <c r="D32" s="38" t="s">
        <v>84</v>
      </c>
      <c r="E32" s="38" t="s">
        <v>735</v>
      </c>
      <c r="F32" s="70" t="s">
        <v>249</v>
      </c>
      <c r="G32" s="38">
        <v>8</v>
      </c>
      <c r="H32" s="38">
        <v>1.2</v>
      </c>
      <c r="I32" s="38" t="s">
        <v>736</v>
      </c>
      <c r="J32" s="38" t="s">
        <v>2026</v>
      </c>
      <c r="K32" s="38" t="s">
        <v>8798</v>
      </c>
      <c r="L32" s="38" t="s">
        <v>8799</v>
      </c>
      <c r="M32" s="32" t="s">
        <v>1415</v>
      </c>
      <c r="N32" s="32"/>
    </row>
    <row r="33" spans="1:14" ht="26.1" customHeight="1">
      <c r="A33" s="38" t="s">
        <v>451</v>
      </c>
      <c r="B33" s="38" t="s">
        <v>449</v>
      </c>
      <c r="C33" s="38" t="s">
        <v>450</v>
      </c>
      <c r="D33" s="38" t="s">
        <v>85</v>
      </c>
      <c r="E33" s="38" t="s">
        <v>739</v>
      </c>
      <c r="F33" s="70" t="s">
        <v>249</v>
      </c>
      <c r="G33" s="38">
        <v>12</v>
      </c>
      <c r="H33" s="38">
        <v>3.2</v>
      </c>
      <c r="I33" s="38" t="s">
        <v>740</v>
      </c>
      <c r="J33" s="38" t="s">
        <v>2026</v>
      </c>
      <c r="K33" s="38" t="s">
        <v>8807</v>
      </c>
      <c r="L33" s="38" t="s">
        <v>8808</v>
      </c>
      <c r="M33" s="32" t="s">
        <v>1415</v>
      </c>
      <c r="N33" s="32"/>
    </row>
    <row r="34" spans="1:14" ht="26.1" customHeight="1">
      <c r="A34" s="38" t="s">
        <v>451</v>
      </c>
      <c r="B34" s="38" t="s">
        <v>449</v>
      </c>
      <c r="C34" s="38" t="s">
        <v>450</v>
      </c>
      <c r="D34" s="38" t="s">
        <v>86</v>
      </c>
      <c r="E34" s="38" t="s">
        <v>732</v>
      </c>
      <c r="F34" s="70" t="s">
        <v>249</v>
      </c>
      <c r="G34" s="38">
        <v>2</v>
      </c>
      <c r="H34" s="38">
        <v>0.3</v>
      </c>
      <c r="I34" s="38" t="s">
        <v>83</v>
      </c>
      <c r="J34" s="38" t="s">
        <v>2026</v>
      </c>
      <c r="K34" s="38" t="s">
        <v>8814</v>
      </c>
      <c r="L34" s="38" t="s">
        <v>8815</v>
      </c>
      <c r="M34" s="32" t="s">
        <v>1415</v>
      </c>
      <c r="N34" s="32"/>
    </row>
    <row r="35" spans="1:14" ht="26.1" customHeight="1">
      <c r="A35" s="38" t="s">
        <v>451</v>
      </c>
      <c r="B35" s="38" t="s">
        <v>449</v>
      </c>
      <c r="C35" s="38" t="s">
        <v>450</v>
      </c>
      <c r="D35" s="38" t="s">
        <v>87</v>
      </c>
      <c r="E35" s="38" t="s">
        <v>8818</v>
      </c>
      <c r="F35" s="70" t="s">
        <v>249</v>
      </c>
      <c r="G35" s="38">
        <v>6</v>
      </c>
      <c r="H35" s="38">
        <v>1.8</v>
      </c>
      <c r="I35" s="38" t="s">
        <v>64</v>
      </c>
      <c r="J35" s="38" t="s">
        <v>2026</v>
      </c>
      <c r="K35" s="38" t="s">
        <v>8824</v>
      </c>
      <c r="L35" s="38" t="s">
        <v>8825</v>
      </c>
      <c r="M35" s="32" t="s">
        <v>1415</v>
      </c>
      <c r="N35" s="32"/>
    </row>
    <row r="36" spans="1:14" ht="26.1" customHeight="1">
      <c r="A36" s="38" t="s">
        <v>451</v>
      </c>
      <c r="B36" s="38" t="s">
        <v>449</v>
      </c>
      <c r="C36" s="38" t="s">
        <v>524</v>
      </c>
      <c r="D36" s="38" t="s">
        <v>88</v>
      </c>
      <c r="E36" s="38" t="s">
        <v>525</v>
      </c>
      <c r="F36" s="70" t="s">
        <v>249</v>
      </c>
      <c r="G36" s="38">
        <v>12</v>
      </c>
      <c r="H36" s="38">
        <v>1.7999999999999998</v>
      </c>
      <c r="I36" s="38" t="s">
        <v>527</v>
      </c>
      <c r="J36" s="38" t="s">
        <v>2026</v>
      </c>
      <c r="K36" s="38" t="s">
        <v>8661</v>
      </c>
      <c r="L36" s="38" t="s">
        <v>1513</v>
      </c>
      <c r="M36" s="32" t="s">
        <v>1415</v>
      </c>
      <c r="N36" s="32"/>
    </row>
    <row r="37" spans="1:14" ht="26.1" customHeight="1">
      <c r="A37" s="38" t="s">
        <v>451</v>
      </c>
      <c r="B37" s="38" t="s">
        <v>449</v>
      </c>
      <c r="C37" s="38" t="s">
        <v>524</v>
      </c>
      <c r="D37" s="38" t="s">
        <v>89</v>
      </c>
      <c r="E37" s="38" t="s">
        <v>530</v>
      </c>
      <c r="F37" s="70" t="s">
        <v>249</v>
      </c>
      <c r="G37" s="38">
        <v>8</v>
      </c>
      <c r="H37" s="38">
        <v>1.2000000000000002</v>
      </c>
      <c r="I37" s="38" t="s">
        <v>88</v>
      </c>
      <c r="J37" s="38" t="s">
        <v>2026</v>
      </c>
      <c r="K37" s="38" t="s">
        <v>8661</v>
      </c>
      <c r="L37" s="38" t="s">
        <v>1513</v>
      </c>
      <c r="M37" s="32" t="s">
        <v>1415</v>
      </c>
      <c r="N37" s="32"/>
    </row>
    <row r="38" spans="1:14" ht="26.1" customHeight="1">
      <c r="A38" s="38" t="s">
        <v>451</v>
      </c>
      <c r="B38" s="38" t="s">
        <v>449</v>
      </c>
      <c r="C38" s="38" t="s">
        <v>524</v>
      </c>
      <c r="D38" s="38" t="s">
        <v>90</v>
      </c>
      <c r="E38" s="38" t="s">
        <v>533</v>
      </c>
      <c r="F38" s="70" t="s">
        <v>249</v>
      </c>
      <c r="G38" s="38">
        <v>6</v>
      </c>
      <c r="H38" s="38">
        <v>0.89999999999999991</v>
      </c>
      <c r="I38" s="38" t="s">
        <v>89</v>
      </c>
      <c r="J38" s="38" t="s">
        <v>2026</v>
      </c>
      <c r="K38" s="38" t="s">
        <v>8661</v>
      </c>
      <c r="L38" s="38" t="s">
        <v>1513</v>
      </c>
      <c r="M38" s="32" t="s">
        <v>1415</v>
      </c>
      <c r="N38" s="32"/>
    </row>
    <row r="39" spans="1:14" ht="26.1" customHeight="1">
      <c r="A39" s="38" t="s">
        <v>451</v>
      </c>
      <c r="B39" s="38" t="s">
        <v>449</v>
      </c>
      <c r="C39" s="38" t="s">
        <v>524</v>
      </c>
      <c r="D39" s="38" t="s">
        <v>92</v>
      </c>
      <c r="E39" s="38" t="s">
        <v>540</v>
      </c>
      <c r="F39" s="70" t="s">
        <v>249</v>
      </c>
      <c r="G39" s="38">
        <v>8</v>
      </c>
      <c r="H39" s="38">
        <v>1.2000000000000002</v>
      </c>
      <c r="I39" s="38" t="s">
        <v>541</v>
      </c>
      <c r="J39" s="38" t="s">
        <v>2026</v>
      </c>
      <c r="K39" s="38" t="s">
        <v>8661</v>
      </c>
      <c r="L39" s="38" t="s">
        <v>1513</v>
      </c>
      <c r="M39" s="32" t="s">
        <v>2322</v>
      </c>
      <c r="N39" s="32"/>
    </row>
    <row r="40" spans="1:14" ht="26.1" customHeight="1">
      <c r="A40" s="38" t="s">
        <v>451</v>
      </c>
      <c r="B40" s="38" t="s">
        <v>449</v>
      </c>
      <c r="C40" s="38" t="s">
        <v>524</v>
      </c>
      <c r="D40" s="38" t="s">
        <v>93</v>
      </c>
      <c r="E40" s="38" t="s">
        <v>543</v>
      </c>
      <c r="F40" s="70" t="s">
        <v>249</v>
      </c>
      <c r="G40" s="38">
        <v>0</v>
      </c>
      <c r="H40" s="38"/>
      <c r="I40" s="38" t="s">
        <v>92</v>
      </c>
      <c r="J40" s="38" t="s">
        <v>7727</v>
      </c>
      <c r="K40" s="38" t="s">
        <v>7730</v>
      </c>
      <c r="L40" s="38" t="s">
        <v>7733</v>
      </c>
      <c r="M40" s="32" t="s">
        <v>9688</v>
      </c>
      <c r="N40" s="32"/>
    </row>
    <row r="41" spans="1:14" ht="26.1" customHeight="1">
      <c r="A41" s="38" t="s">
        <v>451</v>
      </c>
      <c r="B41" s="38" t="s">
        <v>449</v>
      </c>
      <c r="C41" s="38" t="s">
        <v>524</v>
      </c>
      <c r="D41" s="38" t="s">
        <v>95</v>
      </c>
      <c r="E41" s="38" t="s">
        <v>547</v>
      </c>
      <c r="F41" s="70" t="s">
        <v>537</v>
      </c>
      <c r="G41" s="38">
        <v>8</v>
      </c>
      <c r="H41" s="38">
        <v>1.2000000000000002</v>
      </c>
      <c r="I41" s="38" t="s">
        <v>548</v>
      </c>
      <c r="J41" s="38" t="s">
        <v>2363</v>
      </c>
      <c r="K41" s="38" t="s">
        <v>8661</v>
      </c>
      <c r="L41" s="38" t="s">
        <v>1513</v>
      </c>
      <c r="M41" s="32" t="s">
        <v>1429</v>
      </c>
      <c r="N41" s="32"/>
    </row>
    <row r="42" spans="1:14" ht="26.1" customHeight="1">
      <c r="A42" s="38" t="s">
        <v>451</v>
      </c>
      <c r="B42" s="38" t="s">
        <v>449</v>
      </c>
      <c r="C42" s="38" t="s">
        <v>524</v>
      </c>
      <c r="D42" s="38" t="s">
        <v>96</v>
      </c>
      <c r="E42" s="38" t="s">
        <v>550</v>
      </c>
      <c r="F42" s="70" t="s">
        <v>537</v>
      </c>
      <c r="G42" s="38"/>
      <c r="H42" s="38"/>
      <c r="I42" s="38" t="s">
        <v>551</v>
      </c>
      <c r="J42" s="38" t="s">
        <v>2373</v>
      </c>
      <c r="K42" s="38" t="s">
        <v>8661</v>
      </c>
      <c r="L42" s="38" t="s">
        <v>1513</v>
      </c>
      <c r="M42" s="32" t="s">
        <v>1429</v>
      </c>
      <c r="N42" s="32"/>
    </row>
    <row r="43" spans="1:14" ht="26.1" customHeight="1">
      <c r="A43" s="38" t="s">
        <v>451</v>
      </c>
      <c r="B43" s="38" t="s">
        <v>449</v>
      </c>
      <c r="C43" s="38" t="s">
        <v>524</v>
      </c>
      <c r="D43" s="38" t="s">
        <v>97</v>
      </c>
      <c r="E43" s="38" t="s">
        <v>1021</v>
      </c>
      <c r="F43" s="70" t="s">
        <v>537</v>
      </c>
      <c r="G43" s="38"/>
      <c r="H43" s="38"/>
      <c r="I43" s="38" t="s">
        <v>1148</v>
      </c>
      <c r="J43" s="38" t="s">
        <v>2386</v>
      </c>
      <c r="K43" s="38" t="s">
        <v>8661</v>
      </c>
      <c r="L43" s="38" t="s">
        <v>1513</v>
      </c>
      <c r="M43" s="32" t="s">
        <v>1429</v>
      </c>
      <c r="N43" s="32"/>
    </row>
    <row r="44" spans="1:14" ht="26.1" customHeight="1">
      <c r="A44" s="38" t="s">
        <v>451</v>
      </c>
      <c r="B44" s="38" t="s">
        <v>449</v>
      </c>
      <c r="C44" s="38" t="s">
        <v>524</v>
      </c>
      <c r="D44" s="38" t="s">
        <v>100</v>
      </c>
      <c r="E44" s="38" t="s">
        <v>1044</v>
      </c>
      <c r="F44" s="70" t="s">
        <v>537</v>
      </c>
      <c r="G44" s="38"/>
      <c r="H44" s="38"/>
      <c r="I44" s="38" t="s">
        <v>1047</v>
      </c>
      <c r="J44" s="38" t="s">
        <v>1173</v>
      </c>
      <c r="K44" s="38" t="s">
        <v>8661</v>
      </c>
      <c r="L44" s="38" t="s">
        <v>1513</v>
      </c>
      <c r="M44" s="32" t="s">
        <v>1429</v>
      </c>
      <c r="N44" s="32"/>
    </row>
    <row r="45" spans="1:14" ht="26.1" customHeight="1">
      <c r="A45" s="38" t="s">
        <v>451</v>
      </c>
      <c r="B45" s="38" t="s">
        <v>449</v>
      </c>
      <c r="C45" s="38" t="s">
        <v>524</v>
      </c>
      <c r="D45" s="38" t="s">
        <v>102</v>
      </c>
      <c r="E45" s="38" t="s">
        <v>570</v>
      </c>
      <c r="F45" s="70" t="s">
        <v>249</v>
      </c>
      <c r="G45" s="38">
        <v>6</v>
      </c>
      <c r="H45" s="38">
        <v>2.25</v>
      </c>
      <c r="I45" s="38" t="s">
        <v>71</v>
      </c>
      <c r="J45" s="38" t="s">
        <v>2026</v>
      </c>
      <c r="K45" s="38" t="s">
        <v>8874</v>
      </c>
      <c r="L45" s="38" t="s">
        <v>8875</v>
      </c>
      <c r="M45" s="32" t="s">
        <v>1415</v>
      </c>
      <c r="N45" s="32"/>
    </row>
    <row r="46" spans="1:14" ht="26.1" customHeight="1">
      <c r="A46" s="38" t="s">
        <v>504</v>
      </c>
      <c r="B46" s="38" t="s">
        <v>449</v>
      </c>
      <c r="C46" s="38" t="s">
        <v>524</v>
      </c>
      <c r="D46" s="38" t="s">
        <v>105</v>
      </c>
      <c r="E46" s="38" t="s">
        <v>578</v>
      </c>
      <c r="F46" s="70" t="s">
        <v>537</v>
      </c>
      <c r="G46" s="38">
        <v>12</v>
      </c>
      <c r="H46" s="38">
        <v>7.2</v>
      </c>
      <c r="I46" s="38" t="s">
        <v>102</v>
      </c>
      <c r="J46" s="38" t="s">
        <v>8898</v>
      </c>
      <c r="K46" s="38" t="s">
        <v>8899</v>
      </c>
      <c r="L46" s="38" t="s">
        <v>8900</v>
      </c>
      <c r="M46" s="32" t="s">
        <v>1429</v>
      </c>
      <c r="N46" s="32"/>
    </row>
    <row r="47" spans="1:14" ht="26.1" customHeight="1">
      <c r="A47" s="38" t="s">
        <v>504</v>
      </c>
      <c r="B47" s="38" t="s">
        <v>449</v>
      </c>
      <c r="C47" s="38" t="s">
        <v>524</v>
      </c>
      <c r="D47" s="38" t="s">
        <v>106</v>
      </c>
      <c r="E47" s="38" t="s">
        <v>581</v>
      </c>
      <c r="F47" s="70" t="s">
        <v>537</v>
      </c>
      <c r="G47" s="38">
        <v>12</v>
      </c>
      <c r="H47" s="38">
        <v>7.2</v>
      </c>
      <c r="I47" s="38" t="s">
        <v>105</v>
      </c>
      <c r="J47" s="38" t="s">
        <v>8912</v>
      </c>
      <c r="K47" s="38" t="s">
        <v>8913</v>
      </c>
      <c r="L47" s="38" t="s">
        <v>8914</v>
      </c>
      <c r="M47" s="32" t="s">
        <v>1429</v>
      </c>
      <c r="N47" s="32"/>
    </row>
    <row r="48" spans="1:14" ht="26.1" customHeight="1">
      <c r="A48" s="38" t="s">
        <v>504</v>
      </c>
      <c r="B48" s="38" t="s">
        <v>449</v>
      </c>
      <c r="C48" s="38" t="s">
        <v>524</v>
      </c>
      <c r="D48" s="38" t="s">
        <v>107</v>
      </c>
      <c r="E48" s="38" t="s">
        <v>583</v>
      </c>
      <c r="F48" s="70" t="s">
        <v>537</v>
      </c>
      <c r="G48" s="38">
        <v>12</v>
      </c>
      <c r="H48" s="38">
        <v>7.2</v>
      </c>
      <c r="I48" s="38" t="s">
        <v>8918</v>
      </c>
      <c r="J48" s="38" t="s">
        <v>8919</v>
      </c>
      <c r="K48" s="38" t="s">
        <v>8920</v>
      </c>
      <c r="L48" s="38" t="s">
        <v>8921</v>
      </c>
      <c r="M48" s="32" t="s">
        <v>1429</v>
      </c>
      <c r="N48" s="32"/>
    </row>
    <row r="49" spans="1:14" ht="26.1" customHeight="1">
      <c r="A49" s="38" t="s">
        <v>451</v>
      </c>
      <c r="B49" s="38" t="s">
        <v>449</v>
      </c>
      <c r="C49" s="38" t="s">
        <v>524</v>
      </c>
      <c r="D49" s="38" t="s">
        <v>108</v>
      </c>
      <c r="E49" s="38" t="s">
        <v>585</v>
      </c>
      <c r="F49" s="70" t="s">
        <v>537</v>
      </c>
      <c r="G49" s="38">
        <v>6</v>
      </c>
      <c r="H49" s="38">
        <v>2.5499999999999998</v>
      </c>
      <c r="I49" s="38" t="s">
        <v>586</v>
      </c>
      <c r="J49" s="38" t="s">
        <v>8926</v>
      </c>
      <c r="K49" s="38" t="s">
        <v>8927</v>
      </c>
      <c r="L49" s="38" t="s">
        <v>8928</v>
      </c>
      <c r="M49" s="32" t="s">
        <v>1429</v>
      </c>
      <c r="N49" s="32"/>
    </row>
    <row r="50" spans="1:14" ht="26.1" customHeight="1">
      <c r="A50" s="38" t="s">
        <v>451</v>
      </c>
      <c r="B50" s="38" t="s">
        <v>449</v>
      </c>
      <c r="C50" s="38" t="s">
        <v>524</v>
      </c>
      <c r="D50" s="38" t="s">
        <v>109</v>
      </c>
      <c r="E50" s="38" t="s">
        <v>587</v>
      </c>
      <c r="F50" s="70" t="s">
        <v>615</v>
      </c>
      <c r="G50" s="38">
        <v>5</v>
      </c>
      <c r="H50" s="38">
        <v>2.125</v>
      </c>
      <c r="I50" s="38" t="s">
        <v>588</v>
      </c>
      <c r="J50" s="38" t="s">
        <v>8933</v>
      </c>
      <c r="K50" s="38" t="s">
        <v>8934</v>
      </c>
      <c r="L50" s="38" t="s">
        <v>8935</v>
      </c>
      <c r="M50" s="32" t="s">
        <v>9689</v>
      </c>
      <c r="N50" s="32"/>
    </row>
    <row r="51" spans="1:14" ht="26.1" customHeight="1">
      <c r="A51" s="38" t="s">
        <v>451</v>
      </c>
      <c r="B51" s="38" t="s">
        <v>449</v>
      </c>
      <c r="C51" s="38" t="s">
        <v>524</v>
      </c>
      <c r="D51" s="38" t="s">
        <v>110</v>
      </c>
      <c r="E51" s="38" t="s">
        <v>590</v>
      </c>
      <c r="F51" s="70" t="s">
        <v>537</v>
      </c>
      <c r="G51" s="38"/>
      <c r="H51" s="38"/>
      <c r="I51" s="38" t="s">
        <v>591</v>
      </c>
      <c r="J51" s="38" t="s">
        <v>8939</v>
      </c>
      <c r="K51" s="38" t="s">
        <v>8940</v>
      </c>
      <c r="L51" s="38" t="s">
        <v>8941</v>
      </c>
      <c r="M51" s="32" t="s">
        <v>1429</v>
      </c>
      <c r="N51" s="32"/>
    </row>
    <row r="52" spans="1:14" ht="26.1" customHeight="1">
      <c r="A52" s="38" t="s">
        <v>451</v>
      </c>
      <c r="B52" s="38" t="s">
        <v>449</v>
      </c>
      <c r="C52" s="38" t="s">
        <v>702</v>
      </c>
      <c r="D52" s="38" t="s">
        <v>152</v>
      </c>
      <c r="E52" s="38" t="s">
        <v>703</v>
      </c>
      <c r="F52" s="70" t="s">
        <v>537</v>
      </c>
      <c r="G52" s="38">
        <v>12</v>
      </c>
      <c r="H52" s="38">
        <v>2.3250000000000002</v>
      </c>
      <c r="I52" s="38" t="s">
        <v>704</v>
      </c>
      <c r="J52" s="38" t="s">
        <v>2882</v>
      </c>
      <c r="K52" s="38" t="s">
        <v>8661</v>
      </c>
      <c r="L52" s="38" t="s">
        <v>9164</v>
      </c>
      <c r="M52" s="32" t="s">
        <v>1429</v>
      </c>
      <c r="N52" s="32"/>
    </row>
    <row r="53" spans="1:14" ht="26.1" customHeight="1">
      <c r="A53" s="38" t="s">
        <v>451</v>
      </c>
      <c r="B53" s="38" t="s">
        <v>449</v>
      </c>
      <c r="C53" s="38" t="s">
        <v>702</v>
      </c>
      <c r="D53" s="38" t="s">
        <v>153</v>
      </c>
      <c r="E53" s="38" t="s">
        <v>707</v>
      </c>
      <c r="F53" s="70" t="s">
        <v>537</v>
      </c>
      <c r="G53" s="38"/>
      <c r="H53" s="38"/>
      <c r="I53" s="38"/>
      <c r="J53" s="38" t="s">
        <v>2891</v>
      </c>
      <c r="K53" s="38" t="s">
        <v>8661</v>
      </c>
      <c r="L53" s="38" t="s">
        <v>1513</v>
      </c>
      <c r="M53" s="32" t="s">
        <v>1429</v>
      </c>
      <c r="N53" s="32"/>
    </row>
    <row r="54" spans="1:14" ht="26.1" customHeight="1">
      <c r="A54" s="38" t="s">
        <v>451</v>
      </c>
      <c r="B54" s="38" t="s">
        <v>449</v>
      </c>
      <c r="C54" s="38" t="s">
        <v>702</v>
      </c>
      <c r="D54" s="38" t="s">
        <v>154</v>
      </c>
      <c r="E54" s="38" t="s">
        <v>709</v>
      </c>
      <c r="F54" s="70" t="s">
        <v>537</v>
      </c>
      <c r="G54" s="38">
        <v>6</v>
      </c>
      <c r="H54" s="38">
        <v>0.89999999999999991</v>
      </c>
      <c r="I54" s="38" t="s">
        <v>710</v>
      </c>
      <c r="J54" s="38" t="s">
        <v>2904</v>
      </c>
      <c r="K54" s="38" t="s">
        <v>8661</v>
      </c>
      <c r="L54" s="38" t="s">
        <v>9164</v>
      </c>
      <c r="M54" s="32" t="s">
        <v>1429</v>
      </c>
      <c r="N54" s="32"/>
    </row>
    <row r="55" spans="1:14" ht="26.1" customHeight="1">
      <c r="A55" s="38" t="s">
        <v>451</v>
      </c>
      <c r="B55" s="38" t="s">
        <v>449</v>
      </c>
      <c r="C55" s="38" t="s">
        <v>702</v>
      </c>
      <c r="D55" s="38" t="s">
        <v>155</v>
      </c>
      <c r="E55" s="38" t="s">
        <v>711</v>
      </c>
      <c r="F55" s="70" t="s">
        <v>537</v>
      </c>
      <c r="G55" s="38">
        <v>4</v>
      </c>
      <c r="H55" s="38">
        <v>0.77500000000000002</v>
      </c>
      <c r="I55" s="38"/>
      <c r="J55" s="38" t="s">
        <v>2891</v>
      </c>
      <c r="K55" s="38" t="s">
        <v>8661</v>
      </c>
      <c r="L55" s="38" t="s">
        <v>1513</v>
      </c>
      <c r="M55" s="32" t="s">
        <v>1429</v>
      </c>
      <c r="N55" s="32"/>
    </row>
    <row r="56" spans="1:14" ht="26.1" customHeight="1">
      <c r="A56" s="38" t="s">
        <v>451</v>
      </c>
      <c r="B56" s="38" t="s">
        <v>449</v>
      </c>
      <c r="C56" s="38" t="s">
        <v>702</v>
      </c>
      <c r="D56" s="38" t="s">
        <v>156</v>
      </c>
      <c r="E56" s="38" t="s">
        <v>712</v>
      </c>
      <c r="F56" s="70" t="s">
        <v>537</v>
      </c>
      <c r="G56" s="38">
        <v>12</v>
      </c>
      <c r="H56" s="38">
        <v>1.7999999999999998</v>
      </c>
      <c r="I56" s="38"/>
      <c r="J56" s="38" t="s">
        <v>2891</v>
      </c>
      <c r="K56" s="38" t="s">
        <v>8661</v>
      </c>
      <c r="L56" s="38" t="s">
        <v>1513</v>
      </c>
      <c r="M56" s="32" t="s">
        <v>1429</v>
      </c>
      <c r="N56" s="32"/>
    </row>
    <row r="57" spans="1:14" ht="26.1" customHeight="1">
      <c r="A57" s="38" t="s">
        <v>451</v>
      </c>
      <c r="B57" s="38" t="s">
        <v>449</v>
      </c>
      <c r="C57" s="38" t="s">
        <v>702</v>
      </c>
      <c r="D57" s="38" t="s">
        <v>158</v>
      </c>
      <c r="E57" s="38" t="s">
        <v>715</v>
      </c>
      <c r="F57" s="70" t="s">
        <v>537</v>
      </c>
      <c r="G57" s="38"/>
      <c r="H57" s="38"/>
      <c r="I57" s="38" t="s">
        <v>156</v>
      </c>
      <c r="J57" s="38" t="s">
        <v>2938</v>
      </c>
      <c r="K57" s="38" t="s">
        <v>8661</v>
      </c>
      <c r="L57" s="38" t="s">
        <v>1513</v>
      </c>
      <c r="M57" s="32" t="s">
        <v>1429</v>
      </c>
      <c r="N57" s="32"/>
    </row>
    <row r="58" spans="1:14" ht="26.1" customHeight="1">
      <c r="A58" s="38" t="s">
        <v>451</v>
      </c>
      <c r="B58" s="38" t="s">
        <v>449</v>
      </c>
      <c r="C58" s="38" t="s">
        <v>702</v>
      </c>
      <c r="D58" s="38" t="s">
        <v>159</v>
      </c>
      <c r="E58" s="38" t="s">
        <v>716</v>
      </c>
      <c r="F58" s="70" t="s">
        <v>537</v>
      </c>
      <c r="G58" s="38"/>
      <c r="H58" s="38"/>
      <c r="I58" s="38"/>
      <c r="J58" s="38" t="s">
        <v>2891</v>
      </c>
      <c r="K58" s="38" t="s">
        <v>8661</v>
      </c>
      <c r="L58" s="38" t="s">
        <v>1513</v>
      </c>
      <c r="M58" s="32" t="s">
        <v>1429</v>
      </c>
      <c r="N58" s="32"/>
    </row>
    <row r="59" spans="1:14" ht="26.1" customHeight="1">
      <c r="A59" s="38" t="s">
        <v>451</v>
      </c>
      <c r="B59" s="38" t="s">
        <v>449</v>
      </c>
      <c r="C59" s="38" t="s">
        <v>702</v>
      </c>
      <c r="D59" s="38" t="s">
        <v>160</v>
      </c>
      <c r="E59" s="38" t="s">
        <v>717</v>
      </c>
      <c r="F59" s="70" t="s">
        <v>537</v>
      </c>
      <c r="G59" s="38">
        <v>12</v>
      </c>
      <c r="H59" s="38">
        <v>3.2</v>
      </c>
      <c r="I59" s="38"/>
      <c r="J59" s="38" t="s">
        <v>2891</v>
      </c>
      <c r="K59" s="38" t="s">
        <v>8661</v>
      </c>
      <c r="L59" s="38" t="s">
        <v>1513</v>
      </c>
      <c r="M59" s="32" t="s">
        <v>1429</v>
      </c>
      <c r="N59" s="32"/>
    </row>
    <row r="60" spans="1:14" ht="26.1" customHeight="1">
      <c r="A60" s="38" t="s">
        <v>451</v>
      </c>
      <c r="B60" s="38" t="s">
        <v>449</v>
      </c>
      <c r="C60" s="38" t="s">
        <v>702</v>
      </c>
      <c r="D60" s="38" t="s">
        <v>161</v>
      </c>
      <c r="E60" s="38" t="s">
        <v>718</v>
      </c>
      <c r="F60" s="70" t="s">
        <v>537</v>
      </c>
      <c r="G60" s="38">
        <v>14</v>
      </c>
      <c r="H60" s="38">
        <v>3.2</v>
      </c>
      <c r="I60" s="38" t="s">
        <v>719</v>
      </c>
      <c r="J60" s="38" t="s">
        <v>2891</v>
      </c>
      <c r="K60" s="38" t="s">
        <v>8661</v>
      </c>
      <c r="L60" s="38" t="s">
        <v>1513</v>
      </c>
      <c r="M60" s="32" t="s">
        <v>1429</v>
      </c>
      <c r="N60" s="32"/>
    </row>
    <row r="61" spans="1:14" ht="26.1" customHeight="1">
      <c r="A61" s="38" t="s">
        <v>451</v>
      </c>
      <c r="B61" s="38" t="s">
        <v>449</v>
      </c>
      <c r="C61" s="38" t="s">
        <v>702</v>
      </c>
      <c r="D61" s="38" t="s">
        <v>162</v>
      </c>
      <c r="E61" s="38" t="s">
        <v>720</v>
      </c>
      <c r="F61" s="70" t="s">
        <v>537</v>
      </c>
      <c r="G61" s="38">
        <v>12</v>
      </c>
      <c r="H61" s="38">
        <v>0.9</v>
      </c>
      <c r="I61" s="38"/>
      <c r="J61" s="38" t="s">
        <v>2891</v>
      </c>
      <c r="K61" s="38" t="s">
        <v>8661</v>
      </c>
      <c r="L61" s="38" t="s">
        <v>1513</v>
      </c>
      <c r="M61" s="32" t="s">
        <v>1429</v>
      </c>
      <c r="N61" s="32"/>
    </row>
    <row r="62" spans="1:14" ht="26.1" customHeight="1">
      <c r="A62" s="38" t="s">
        <v>451</v>
      </c>
      <c r="B62" s="38" t="s">
        <v>449</v>
      </c>
      <c r="C62" s="38" t="s">
        <v>702</v>
      </c>
      <c r="D62" s="38" t="s">
        <v>163</v>
      </c>
      <c r="E62" s="38" t="s">
        <v>721</v>
      </c>
      <c r="F62" s="70" t="s">
        <v>537</v>
      </c>
      <c r="G62" s="38">
        <v>12</v>
      </c>
      <c r="H62" s="38">
        <v>4.08</v>
      </c>
      <c r="I62" s="38" t="s">
        <v>9193</v>
      </c>
      <c r="J62" s="38" t="s">
        <v>2986</v>
      </c>
      <c r="K62" s="38" t="s">
        <v>9194</v>
      </c>
      <c r="L62" s="38" t="s">
        <v>9195</v>
      </c>
      <c r="M62" s="32" t="s">
        <v>1429</v>
      </c>
      <c r="N62" s="32"/>
    </row>
    <row r="63" spans="1:14" ht="26.1" customHeight="1">
      <c r="A63" s="38" t="s">
        <v>451</v>
      </c>
      <c r="B63" s="38" t="s">
        <v>449</v>
      </c>
      <c r="C63" s="38" t="s">
        <v>702</v>
      </c>
      <c r="D63" s="38" t="s">
        <v>164</v>
      </c>
      <c r="E63" s="38" t="s">
        <v>724</v>
      </c>
      <c r="F63" s="70" t="s">
        <v>537</v>
      </c>
      <c r="G63" s="38">
        <v>6</v>
      </c>
      <c r="H63" s="38">
        <v>2.25</v>
      </c>
      <c r="I63" s="38" t="s">
        <v>725</v>
      </c>
      <c r="J63" s="38" t="s">
        <v>9201</v>
      </c>
      <c r="K63" s="38" t="s">
        <v>9202</v>
      </c>
      <c r="L63" s="38" t="s">
        <v>9203</v>
      </c>
      <c r="M63" s="32" t="s">
        <v>1429</v>
      </c>
      <c r="N63" s="32"/>
    </row>
    <row r="64" spans="1:14" ht="26.1" customHeight="1">
      <c r="A64" s="38" t="s">
        <v>451</v>
      </c>
      <c r="B64" s="38" t="s">
        <v>1058</v>
      </c>
      <c r="C64" s="38" t="s">
        <v>450</v>
      </c>
      <c r="D64" s="38" t="s">
        <v>167</v>
      </c>
      <c r="E64" s="38" t="s">
        <v>1054</v>
      </c>
      <c r="F64" s="70" t="s">
        <v>537</v>
      </c>
      <c r="G64" s="38"/>
      <c r="H64" s="38"/>
      <c r="I64" s="38" t="s">
        <v>1057</v>
      </c>
      <c r="J64" s="38" t="s">
        <v>1180</v>
      </c>
      <c r="K64" s="38" t="s">
        <v>8661</v>
      </c>
      <c r="L64" s="38" t="s">
        <v>1513</v>
      </c>
      <c r="M64" s="32" t="s">
        <v>1429</v>
      </c>
      <c r="N64" s="32"/>
    </row>
    <row r="65" spans="1:14" ht="26.1" customHeight="1">
      <c r="A65" s="38" t="s">
        <v>451</v>
      </c>
      <c r="B65" s="38" t="s">
        <v>1058</v>
      </c>
      <c r="C65" s="38" t="s">
        <v>450</v>
      </c>
      <c r="D65" s="38" t="s">
        <v>168</v>
      </c>
      <c r="E65" s="38" t="s">
        <v>9221</v>
      </c>
      <c r="F65" s="70" t="s">
        <v>537</v>
      </c>
      <c r="G65" s="38">
        <v>12</v>
      </c>
      <c r="H65" s="38">
        <v>3.2</v>
      </c>
      <c r="I65" s="38" t="s">
        <v>1524</v>
      </c>
      <c r="J65" s="38" t="s">
        <v>3027</v>
      </c>
      <c r="K65" s="38" t="s">
        <v>8661</v>
      </c>
      <c r="L65" s="38" t="s">
        <v>1513</v>
      </c>
      <c r="M65" s="32" t="s">
        <v>1429</v>
      </c>
      <c r="N65" s="32"/>
    </row>
    <row r="66" spans="1:14" ht="26.1" customHeight="1">
      <c r="A66" s="38" t="s">
        <v>451</v>
      </c>
      <c r="B66" s="38" t="s">
        <v>1058</v>
      </c>
      <c r="C66" s="38" t="s">
        <v>450</v>
      </c>
      <c r="D66" s="38" t="s">
        <v>169</v>
      </c>
      <c r="E66" s="38" t="s">
        <v>9225</v>
      </c>
      <c r="F66" s="70" t="s">
        <v>537</v>
      </c>
      <c r="G66" s="38">
        <v>12</v>
      </c>
      <c r="H66" s="38">
        <v>7.2</v>
      </c>
      <c r="I66" s="38"/>
      <c r="J66" s="38" t="s">
        <v>9230</v>
      </c>
      <c r="K66" s="38" t="s">
        <v>9231</v>
      </c>
      <c r="L66" s="38" t="s">
        <v>1513</v>
      </c>
      <c r="M66" s="32" t="s">
        <v>1429</v>
      </c>
      <c r="N66" s="32"/>
    </row>
    <row r="67" spans="1:14" ht="26.1" customHeight="1">
      <c r="A67" s="38" t="s">
        <v>451</v>
      </c>
      <c r="B67" s="38" t="s">
        <v>1058</v>
      </c>
      <c r="C67" s="38" t="s">
        <v>450</v>
      </c>
      <c r="D67" s="38" t="s">
        <v>170</v>
      </c>
      <c r="E67" s="38" t="s">
        <v>9232</v>
      </c>
      <c r="F67" s="70" t="s">
        <v>537</v>
      </c>
      <c r="G67" s="38">
        <v>12</v>
      </c>
      <c r="H67" s="38">
        <v>7.2</v>
      </c>
      <c r="I67" s="38"/>
      <c r="J67" s="38" t="s">
        <v>9230</v>
      </c>
      <c r="K67" s="38" t="s">
        <v>9231</v>
      </c>
      <c r="L67" s="38" t="s">
        <v>1513</v>
      </c>
      <c r="M67" s="32" t="s">
        <v>1429</v>
      </c>
      <c r="N67" s="32"/>
    </row>
    <row r="68" spans="1:14" ht="26.1" customHeight="1">
      <c r="A68" s="38" t="s">
        <v>451</v>
      </c>
      <c r="B68" s="38" t="s">
        <v>1058</v>
      </c>
      <c r="C68" s="38" t="s">
        <v>450</v>
      </c>
      <c r="D68" s="38" t="s">
        <v>171</v>
      </c>
      <c r="E68" s="38" t="s">
        <v>9235</v>
      </c>
      <c r="F68" s="70" t="s">
        <v>537</v>
      </c>
      <c r="G68" s="38">
        <v>12</v>
      </c>
      <c r="H68" s="38">
        <v>7.2</v>
      </c>
      <c r="I68" s="38" t="s">
        <v>1529</v>
      </c>
      <c r="J68" s="38" t="s">
        <v>9230</v>
      </c>
      <c r="K68" s="38" t="s">
        <v>9231</v>
      </c>
      <c r="L68" s="38" t="s">
        <v>1513</v>
      </c>
      <c r="M68" s="32" t="s">
        <v>1429</v>
      </c>
      <c r="N68" s="32"/>
    </row>
    <row r="69" spans="1:14" ht="26.1" customHeight="1">
      <c r="A69" s="38" t="s">
        <v>451</v>
      </c>
      <c r="B69" s="38" t="s">
        <v>1058</v>
      </c>
      <c r="C69" s="38" t="s">
        <v>450</v>
      </c>
      <c r="D69" s="38" t="s">
        <v>172</v>
      </c>
      <c r="E69" s="38" t="s">
        <v>9239</v>
      </c>
      <c r="F69" s="70" t="s">
        <v>537</v>
      </c>
      <c r="G69" s="38">
        <v>12</v>
      </c>
      <c r="H69" s="38">
        <v>7.2</v>
      </c>
      <c r="I69" s="38"/>
      <c r="J69" s="38" t="s">
        <v>9230</v>
      </c>
      <c r="K69" s="38" t="s">
        <v>9231</v>
      </c>
      <c r="L69" s="38" t="s">
        <v>1513</v>
      </c>
      <c r="M69" s="32" t="s">
        <v>1429</v>
      </c>
      <c r="N69" s="32"/>
    </row>
    <row r="70" spans="1:14" ht="26.1" customHeight="1">
      <c r="A70" s="38" t="s">
        <v>451</v>
      </c>
      <c r="B70" s="38" t="s">
        <v>1058</v>
      </c>
      <c r="C70" s="38" t="s">
        <v>450</v>
      </c>
      <c r="D70" s="38" t="s">
        <v>175</v>
      </c>
      <c r="E70" s="38" t="s">
        <v>9249</v>
      </c>
      <c r="F70" s="70" t="s">
        <v>537</v>
      </c>
      <c r="G70" s="38">
        <v>12</v>
      </c>
      <c r="H70" s="38">
        <v>7.2</v>
      </c>
      <c r="I70" s="38"/>
      <c r="J70" s="38" t="s">
        <v>9230</v>
      </c>
      <c r="K70" s="38" t="s">
        <v>9231</v>
      </c>
      <c r="L70" s="38" t="s">
        <v>1513</v>
      </c>
      <c r="M70" s="32" t="s">
        <v>1429</v>
      </c>
      <c r="N70" s="32"/>
    </row>
    <row r="71" spans="1:14" ht="26.1" customHeight="1">
      <c r="A71" s="38" t="s">
        <v>451</v>
      </c>
      <c r="B71" s="38" t="s">
        <v>1058</v>
      </c>
      <c r="C71" s="38" t="s">
        <v>450</v>
      </c>
      <c r="D71" s="38" t="s">
        <v>176</v>
      </c>
      <c r="E71" s="38" t="s">
        <v>9253</v>
      </c>
      <c r="F71" s="70" t="s">
        <v>537</v>
      </c>
      <c r="G71" s="38">
        <v>12</v>
      </c>
      <c r="H71" s="38">
        <v>7.2</v>
      </c>
      <c r="I71" s="38"/>
      <c r="J71" s="38" t="s">
        <v>9230</v>
      </c>
      <c r="K71" s="38" t="s">
        <v>9231</v>
      </c>
      <c r="L71" s="38" t="s">
        <v>1513</v>
      </c>
      <c r="M71" s="32" t="s">
        <v>1429</v>
      </c>
      <c r="N71" s="32"/>
    </row>
    <row r="72" spans="1:14" ht="26.1" customHeight="1">
      <c r="A72" s="38" t="s">
        <v>451</v>
      </c>
      <c r="B72" s="38" t="s">
        <v>1058</v>
      </c>
      <c r="C72" s="38" t="s">
        <v>524</v>
      </c>
      <c r="D72" s="38" t="s">
        <v>177</v>
      </c>
      <c r="E72" s="38" t="s">
        <v>9256</v>
      </c>
      <c r="F72" s="70" t="s">
        <v>537</v>
      </c>
      <c r="G72" s="38"/>
      <c r="H72" s="38"/>
      <c r="I72" s="38" t="s">
        <v>85</v>
      </c>
      <c r="J72" s="38" t="s">
        <v>2891</v>
      </c>
      <c r="K72" s="38" t="s">
        <v>8661</v>
      </c>
      <c r="L72" s="38" t="s">
        <v>1513</v>
      </c>
      <c r="M72" s="32" t="s">
        <v>1429</v>
      </c>
      <c r="N72" s="32"/>
    </row>
    <row r="73" spans="1:14" ht="26.1" customHeight="1">
      <c r="A73" s="38" t="s">
        <v>451</v>
      </c>
      <c r="B73" s="38" t="s">
        <v>1058</v>
      </c>
      <c r="C73" s="38" t="s">
        <v>524</v>
      </c>
      <c r="D73" s="38" t="s">
        <v>178</v>
      </c>
      <c r="E73" s="38" t="s">
        <v>9260</v>
      </c>
      <c r="F73" s="70" t="s">
        <v>537</v>
      </c>
      <c r="G73" s="38">
        <v>6</v>
      </c>
      <c r="H73" s="38">
        <v>0.89999999999999991</v>
      </c>
      <c r="I73" s="38"/>
      <c r="J73" s="38" t="s">
        <v>2891</v>
      </c>
      <c r="K73" s="38" t="s">
        <v>8661</v>
      </c>
      <c r="L73" s="38" t="s">
        <v>1513</v>
      </c>
      <c r="M73" s="32" t="s">
        <v>1429</v>
      </c>
      <c r="N73" s="32"/>
    </row>
    <row r="74" spans="1:14" ht="26.1" customHeight="1">
      <c r="A74" s="38" t="s">
        <v>451</v>
      </c>
      <c r="B74" s="38" t="s">
        <v>1058</v>
      </c>
      <c r="C74" s="38" t="s">
        <v>524</v>
      </c>
      <c r="D74" s="38" t="s">
        <v>181</v>
      </c>
      <c r="E74" s="38" t="s">
        <v>9272</v>
      </c>
      <c r="F74" s="70" t="s">
        <v>537</v>
      </c>
      <c r="G74" s="38">
        <v>12</v>
      </c>
      <c r="H74" s="38">
        <v>7.2</v>
      </c>
      <c r="I74" s="38"/>
      <c r="J74" s="38" t="s">
        <v>9230</v>
      </c>
      <c r="K74" s="38" t="s">
        <v>9231</v>
      </c>
      <c r="L74" s="38" t="s">
        <v>1513</v>
      </c>
      <c r="M74" s="32" t="s">
        <v>1429</v>
      </c>
      <c r="N74" s="32"/>
    </row>
    <row r="75" spans="1:14" ht="26.1" customHeight="1">
      <c r="A75" s="38" t="s">
        <v>451</v>
      </c>
      <c r="B75" s="38" t="s">
        <v>1058</v>
      </c>
      <c r="C75" s="38" t="s">
        <v>524</v>
      </c>
      <c r="D75" s="38" t="s">
        <v>182</v>
      </c>
      <c r="E75" s="38" t="s">
        <v>9275</v>
      </c>
      <c r="F75" s="70" t="s">
        <v>537</v>
      </c>
      <c r="G75" s="38">
        <v>12</v>
      </c>
      <c r="H75" s="38">
        <v>7.2</v>
      </c>
      <c r="I75" s="38"/>
      <c r="J75" s="38" t="s">
        <v>9230</v>
      </c>
      <c r="K75" s="38" t="s">
        <v>9231</v>
      </c>
      <c r="L75" s="38" t="s">
        <v>1513</v>
      </c>
      <c r="M75" s="32" t="s">
        <v>1429</v>
      </c>
      <c r="N75" s="32"/>
    </row>
    <row r="76" spans="1:14" ht="26.1" customHeight="1">
      <c r="A76" s="38" t="s">
        <v>451</v>
      </c>
      <c r="B76" s="38" t="s">
        <v>1058</v>
      </c>
      <c r="C76" s="38" t="s">
        <v>524</v>
      </c>
      <c r="D76" s="38" t="s">
        <v>183</v>
      </c>
      <c r="E76" s="38" t="s">
        <v>9278</v>
      </c>
      <c r="F76" s="70" t="s">
        <v>537</v>
      </c>
      <c r="G76" s="38">
        <v>6</v>
      </c>
      <c r="H76" s="38">
        <v>0.89999999999999991</v>
      </c>
      <c r="I76" s="38" t="s">
        <v>1532</v>
      </c>
      <c r="J76" s="38" t="s">
        <v>3149</v>
      </c>
      <c r="K76" s="38" t="s">
        <v>8661</v>
      </c>
      <c r="L76" s="38" t="s">
        <v>1513</v>
      </c>
      <c r="M76" s="32" t="s">
        <v>1429</v>
      </c>
      <c r="N76" s="32"/>
    </row>
    <row r="77" spans="1:14" ht="26.1" customHeight="1">
      <c r="A77" s="38" t="s">
        <v>451</v>
      </c>
      <c r="B77" s="38" t="s">
        <v>1058</v>
      </c>
      <c r="C77" s="38" t="s">
        <v>634</v>
      </c>
      <c r="D77" s="38" t="s">
        <v>217</v>
      </c>
      <c r="E77" s="38" t="s">
        <v>9437</v>
      </c>
      <c r="F77" s="70" t="s">
        <v>537</v>
      </c>
      <c r="G77" s="38">
        <v>12</v>
      </c>
      <c r="H77" s="38">
        <v>7.2</v>
      </c>
      <c r="I77" s="38" t="s">
        <v>1569</v>
      </c>
      <c r="J77" s="38" t="s">
        <v>9230</v>
      </c>
      <c r="K77" s="38" t="s">
        <v>9231</v>
      </c>
      <c r="L77" s="38" t="s">
        <v>1513</v>
      </c>
      <c r="M77" s="32" t="s">
        <v>1429</v>
      </c>
      <c r="N77" s="32"/>
    </row>
    <row r="78" spans="1:14" ht="26.1" customHeight="1">
      <c r="A78" s="38" t="s">
        <v>451</v>
      </c>
      <c r="B78" s="38" t="s">
        <v>1058</v>
      </c>
      <c r="C78" s="38" t="s">
        <v>634</v>
      </c>
      <c r="D78" s="38" t="s">
        <v>218</v>
      </c>
      <c r="E78" s="38" t="s">
        <v>9441</v>
      </c>
      <c r="F78" s="70" t="s">
        <v>537</v>
      </c>
      <c r="G78" s="38"/>
      <c r="H78" s="38"/>
      <c r="I78" s="38"/>
      <c r="J78" s="38" t="s">
        <v>9230</v>
      </c>
      <c r="K78" s="38" t="s">
        <v>9231</v>
      </c>
      <c r="L78" s="38" t="s">
        <v>1513</v>
      </c>
      <c r="M78" s="32" t="s">
        <v>1429</v>
      </c>
      <c r="N78" s="32"/>
    </row>
    <row r="79" spans="1:14" ht="26.1" customHeight="1">
      <c r="A79" s="38" t="s">
        <v>451</v>
      </c>
      <c r="B79" s="38" t="s">
        <v>1058</v>
      </c>
      <c r="C79" s="38" t="s">
        <v>634</v>
      </c>
      <c r="D79" s="38" t="s">
        <v>232</v>
      </c>
      <c r="E79" s="38" t="s">
        <v>9502</v>
      </c>
      <c r="F79" s="70" t="s">
        <v>537</v>
      </c>
      <c r="G79" s="38">
        <v>8</v>
      </c>
      <c r="H79" s="38">
        <v>3.4</v>
      </c>
      <c r="I79" s="38" t="s">
        <v>1588</v>
      </c>
      <c r="J79" s="38" t="s">
        <v>9506</v>
      </c>
      <c r="K79" s="38" t="s">
        <v>9507</v>
      </c>
      <c r="L79" s="38" t="s">
        <v>9508</v>
      </c>
      <c r="M79" s="32" t="s">
        <v>1429</v>
      </c>
      <c r="N79" s="32"/>
    </row>
    <row r="80" spans="1:14" ht="26.1" customHeight="1">
      <c r="A80" s="38" t="s">
        <v>451</v>
      </c>
      <c r="B80" s="38" t="s">
        <v>1058</v>
      </c>
      <c r="C80" s="38" t="s">
        <v>702</v>
      </c>
      <c r="D80" s="38" t="s">
        <v>237</v>
      </c>
      <c r="E80" s="38" t="s">
        <v>9532</v>
      </c>
      <c r="F80" s="70" t="s">
        <v>537</v>
      </c>
      <c r="G80" s="38">
        <v>12</v>
      </c>
      <c r="H80" s="38">
        <v>6</v>
      </c>
      <c r="I80" s="38" t="s">
        <v>1610</v>
      </c>
      <c r="J80" s="38" t="s">
        <v>9536</v>
      </c>
      <c r="K80" s="38" t="s">
        <v>9537</v>
      </c>
      <c r="L80" s="38" t="s">
        <v>9538</v>
      </c>
      <c r="M80" s="32" t="s">
        <v>1429</v>
      </c>
      <c r="N80" s="32"/>
    </row>
    <row r="81" spans="1:14" ht="26.1" customHeight="1">
      <c r="A81" s="38" t="s">
        <v>491</v>
      </c>
      <c r="B81" s="38" t="s">
        <v>449</v>
      </c>
      <c r="C81" s="38" t="s">
        <v>450</v>
      </c>
      <c r="D81" s="38" t="s">
        <v>72</v>
      </c>
      <c r="E81" s="38" t="s">
        <v>492</v>
      </c>
      <c r="F81" s="70" t="s">
        <v>249</v>
      </c>
      <c r="G81" s="38">
        <v>10</v>
      </c>
      <c r="H81" s="38">
        <v>4</v>
      </c>
      <c r="I81" s="38" t="s">
        <v>71</v>
      </c>
      <c r="J81" s="38" t="s">
        <v>2026</v>
      </c>
      <c r="K81" s="38" t="s">
        <v>8719</v>
      </c>
      <c r="L81" s="38" t="s">
        <v>8720</v>
      </c>
      <c r="M81" s="32" t="s">
        <v>1415</v>
      </c>
      <c r="N81" s="32"/>
    </row>
    <row r="82" spans="1:14" ht="26.1" customHeight="1">
      <c r="A82" s="38" t="s">
        <v>491</v>
      </c>
      <c r="B82" s="38" t="s">
        <v>449</v>
      </c>
      <c r="C82" s="38" t="s">
        <v>450</v>
      </c>
      <c r="D82" s="38" t="s">
        <v>73</v>
      </c>
      <c r="E82" s="38" t="s">
        <v>495</v>
      </c>
      <c r="F82" s="70" t="s">
        <v>249</v>
      </c>
      <c r="G82" s="38">
        <v>10</v>
      </c>
      <c r="H82" s="38">
        <v>4</v>
      </c>
      <c r="I82" s="38" t="s">
        <v>71</v>
      </c>
      <c r="J82" s="38" t="s">
        <v>2026</v>
      </c>
      <c r="K82" s="38" t="s">
        <v>8726</v>
      </c>
      <c r="L82" s="38" t="s">
        <v>8727</v>
      </c>
      <c r="M82" s="32" t="s">
        <v>1415</v>
      </c>
      <c r="N82" s="32"/>
    </row>
    <row r="83" spans="1:14" ht="26.1" customHeight="1">
      <c r="A83" s="38" t="s">
        <v>491</v>
      </c>
      <c r="B83" s="38" t="s">
        <v>449</v>
      </c>
      <c r="C83" s="38" t="s">
        <v>450</v>
      </c>
      <c r="D83" s="38" t="s">
        <v>74</v>
      </c>
      <c r="E83" s="38" t="s">
        <v>498</v>
      </c>
      <c r="F83" s="70" t="s">
        <v>249</v>
      </c>
      <c r="G83" s="38">
        <v>10</v>
      </c>
      <c r="H83" s="38">
        <v>4.25</v>
      </c>
      <c r="I83" s="38" t="s">
        <v>71</v>
      </c>
      <c r="J83" s="38" t="s">
        <v>2026</v>
      </c>
      <c r="K83" s="38" t="s">
        <v>8733</v>
      </c>
      <c r="L83" s="38" t="s">
        <v>8734</v>
      </c>
      <c r="M83" s="32" t="s">
        <v>1415</v>
      </c>
      <c r="N83" s="32"/>
    </row>
    <row r="84" spans="1:14" ht="26.1" customHeight="1">
      <c r="A84" s="38" t="s">
        <v>491</v>
      </c>
      <c r="B84" s="38" t="s">
        <v>449</v>
      </c>
      <c r="C84" s="38" t="s">
        <v>450</v>
      </c>
      <c r="D84" s="38" t="s">
        <v>75</v>
      </c>
      <c r="E84" s="38" t="s">
        <v>500</v>
      </c>
      <c r="F84" s="70" t="s">
        <v>249</v>
      </c>
      <c r="G84" s="38">
        <v>8</v>
      </c>
      <c r="H84" s="38">
        <v>3.2</v>
      </c>
      <c r="I84" s="38" t="s">
        <v>71</v>
      </c>
      <c r="J84" s="38" t="s">
        <v>2026</v>
      </c>
      <c r="K84" s="38" t="s">
        <v>8739</v>
      </c>
      <c r="L84" s="38" t="s">
        <v>8740</v>
      </c>
      <c r="M84" s="32" t="s">
        <v>1415</v>
      </c>
      <c r="N84" s="32"/>
    </row>
    <row r="85" spans="1:14" ht="26.1" customHeight="1">
      <c r="A85" s="38" t="s">
        <v>491</v>
      </c>
      <c r="B85" s="38" t="s">
        <v>449</v>
      </c>
      <c r="C85" s="38" t="s">
        <v>450</v>
      </c>
      <c r="D85" s="38" t="s">
        <v>82</v>
      </c>
      <c r="E85" s="38" t="s">
        <v>726</v>
      </c>
      <c r="F85" s="70" t="s">
        <v>249</v>
      </c>
      <c r="G85" s="38">
        <v>6</v>
      </c>
      <c r="H85" s="38">
        <v>2.5</v>
      </c>
      <c r="I85" s="38" t="s">
        <v>75</v>
      </c>
      <c r="J85" s="38" t="s">
        <v>2026</v>
      </c>
      <c r="K85" s="38" t="s">
        <v>8785</v>
      </c>
      <c r="L85" s="38" t="s">
        <v>8786</v>
      </c>
      <c r="M85" s="32" t="s">
        <v>1415</v>
      </c>
      <c r="N85" s="32"/>
    </row>
    <row r="86" spans="1:14" ht="26.1" customHeight="1">
      <c r="A86" s="38" t="s">
        <v>491</v>
      </c>
      <c r="B86" s="38" t="s">
        <v>449</v>
      </c>
      <c r="C86" s="38" t="s">
        <v>524</v>
      </c>
      <c r="D86" s="38" t="s">
        <v>91</v>
      </c>
      <c r="E86" s="38" t="s">
        <v>536</v>
      </c>
      <c r="F86" s="70" t="s">
        <v>537</v>
      </c>
      <c r="G86" s="38">
        <v>12</v>
      </c>
      <c r="H86" s="38">
        <v>2</v>
      </c>
      <c r="I86" s="38" t="s">
        <v>538</v>
      </c>
      <c r="J86" s="38" t="s">
        <v>2306</v>
      </c>
      <c r="K86" s="38" t="s">
        <v>8841</v>
      </c>
      <c r="L86" s="38" t="s">
        <v>1513</v>
      </c>
      <c r="M86" s="32" t="s">
        <v>1429</v>
      </c>
      <c r="N86" s="32"/>
    </row>
    <row r="87" spans="1:14" ht="26.1" customHeight="1">
      <c r="A87" s="38" t="s">
        <v>491</v>
      </c>
      <c r="B87" s="38" t="s">
        <v>449</v>
      </c>
      <c r="C87" s="38" t="s">
        <v>524</v>
      </c>
      <c r="D87" s="38" t="s">
        <v>94</v>
      </c>
      <c r="E87" s="38" t="s">
        <v>545</v>
      </c>
      <c r="F87" s="70" t="s">
        <v>537</v>
      </c>
      <c r="G87" s="38"/>
      <c r="H87" s="38"/>
      <c r="I87" s="38" t="s">
        <v>546</v>
      </c>
      <c r="J87" s="38" t="s">
        <v>2344</v>
      </c>
      <c r="K87" s="38" t="s">
        <v>8841</v>
      </c>
      <c r="L87" s="38" t="s">
        <v>1513</v>
      </c>
      <c r="M87" s="32" t="s">
        <v>1429</v>
      </c>
      <c r="N87" s="32"/>
    </row>
    <row r="88" spans="1:14" ht="26.1" customHeight="1">
      <c r="A88" s="38" t="s">
        <v>491</v>
      </c>
      <c r="B88" s="38" t="s">
        <v>449</v>
      </c>
      <c r="C88" s="38" t="s">
        <v>524</v>
      </c>
      <c r="D88" s="38" t="s">
        <v>103</v>
      </c>
      <c r="E88" s="38" t="s">
        <v>572</v>
      </c>
      <c r="F88" s="70" t="s">
        <v>537</v>
      </c>
      <c r="G88" s="38">
        <v>10</v>
      </c>
      <c r="H88" s="38">
        <v>5.1428571428571432</v>
      </c>
      <c r="I88" s="38" t="s">
        <v>573</v>
      </c>
      <c r="J88" s="38" t="s">
        <v>8881</v>
      </c>
      <c r="K88" s="38" t="s">
        <v>8882</v>
      </c>
      <c r="L88" s="38" t="s">
        <v>8883</v>
      </c>
      <c r="M88" s="32" t="s">
        <v>1429</v>
      </c>
      <c r="N88" s="32"/>
    </row>
    <row r="89" spans="1:14" ht="26.1" customHeight="1">
      <c r="A89" s="38" t="s">
        <v>491</v>
      </c>
      <c r="B89" s="38" t="s">
        <v>449</v>
      </c>
      <c r="C89" s="38" t="s">
        <v>524</v>
      </c>
      <c r="D89" s="38" t="s">
        <v>104</v>
      </c>
      <c r="E89" s="38" t="s">
        <v>574</v>
      </c>
      <c r="F89" s="70" t="s">
        <v>249</v>
      </c>
      <c r="G89" s="38">
        <v>8</v>
      </c>
      <c r="H89" s="38">
        <v>3.2</v>
      </c>
      <c r="I89" s="38" t="s">
        <v>576</v>
      </c>
      <c r="J89" s="38" t="s">
        <v>2026</v>
      </c>
      <c r="K89" s="38" t="s">
        <v>8891</v>
      </c>
      <c r="L89" s="38" t="s">
        <v>8892</v>
      </c>
      <c r="M89" s="32" t="s">
        <v>1415</v>
      </c>
      <c r="N89" s="32"/>
    </row>
    <row r="90" spans="1:14" ht="26.1" customHeight="1">
      <c r="A90" s="38" t="s">
        <v>491</v>
      </c>
      <c r="B90" s="38" t="s">
        <v>449</v>
      </c>
      <c r="C90" s="38" t="s">
        <v>524</v>
      </c>
      <c r="D90" s="38" t="s">
        <v>111</v>
      </c>
      <c r="E90" s="38" t="s">
        <v>593</v>
      </c>
      <c r="F90" s="70" t="s">
        <v>249</v>
      </c>
      <c r="G90" s="38">
        <v>10</v>
      </c>
      <c r="H90" s="38"/>
      <c r="I90" s="38" t="s">
        <v>595</v>
      </c>
      <c r="J90" s="38" t="s">
        <v>2026</v>
      </c>
      <c r="K90" s="38" t="s">
        <v>8947</v>
      </c>
      <c r="L90" s="38" t="s">
        <v>8948</v>
      </c>
      <c r="M90" s="32" t="s">
        <v>1415</v>
      </c>
      <c r="N90" s="32"/>
    </row>
    <row r="91" spans="1:14" ht="26.1" customHeight="1">
      <c r="A91" s="38" t="s">
        <v>491</v>
      </c>
      <c r="B91" s="38" t="s">
        <v>449</v>
      </c>
      <c r="C91" s="38" t="s">
        <v>524</v>
      </c>
      <c r="D91" s="38" t="s">
        <v>112</v>
      </c>
      <c r="E91" s="38" t="s">
        <v>597</v>
      </c>
      <c r="F91" s="70" t="s">
        <v>249</v>
      </c>
      <c r="G91" s="38">
        <v>16</v>
      </c>
      <c r="H91" s="38"/>
      <c r="I91" s="38" t="s">
        <v>599</v>
      </c>
      <c r="J91" s="38" t="s">
        <v>2026</v>
      </c>
      <c r="K91" s="38" t="s">
        <v>8952</v>
      </c>
      <c r="L91" s="38" t="s">
        <v>8953</v>
      </c>
      <c r="M91" s="32" t="s">
        <v>1415</v>
      </c>
      <c r="N91" s="32"/>
    </row>
    <row r="92" spans="1:14" ht="26.1" customHeight="1">
      <c r="A92" s="38" t="s">
        <v>491</v>
      </c>
      <c r="B92" s="38" t="s">
        <v>449</v>
      </c>
      <c r="C92" s="38" t="s">
        <v>524</v>
      </c>
      <c r="D92" s="38" t="s">
        <v>113</v>
      </c>
      <c r="E92" s="38" t="s">
        <v>601</v>
      </c>
      <c r="F92" s="70" t="s">
        <v>249</v>
      </c>
      <c r="G92" s="38">
        <v>0</v>
      </c>
      <c r="H92" s="38"/>
      <c r="I92" s="38" t="s">
        <v>602</v>
      </c>
      <c r="J92" s="38" t="s">
        <v>1182</v>
      </c>
      <c r="K92" s="38" t="s">
        <v>8954</v>
      </c>
      <c r="L92" s="38" t="s">
        <v>8955</v>
      </c>
      <c r="M92" s="32" t="s">
        <v>8958</v>
      </c>
      <c r="N92" s="32"/>
    </row>
    <row r="93" spans="1:14" ht="26.1" customHeight="1">
      <c r="A93" s="38" t="s">
        <v>491</v>
      </c>
      <c r="B93" s="38" t="s">
        <v>449</v>
      </c>
      <c r="C93" s="38" t="s">
        <v>524</v>
      </c>
      <c r="D93" s="38" t="s">
        <v>114</v>
      </c>
      <c r="E93" s="38" t="s">
        <v>605</v>
      </c>
      <c r="F93" s="70" t="s">
        <v>249</v>
      </c>
      <c r="G93" s="38">
        <v>14</v>
      </c>
      <c r="H93" s="38"/>
      <c r="I93" s="38" t="s">
        <v>607</v>
      </c>
      <c r="J93" s="38" t="s">
        <v>2026</v>
      </c>
      <c r="K93" s="38" t="s">
        <v>8963</v>
      </c>
      <c r="L93" s="38" t="s">
        <v>8964</v>
      </c>
      <c r="M93" s="32" t="s">
        <v>1415</v>
      </c>
      <c r="N93" s="32"/>
    </row>
    <row r="94" spans="1:14" ht="26.1" customHeight="1">
      <c r="A94" s="38" t="s">
        <v>491</v>
      </c>
      <c r="B94" s="38" t="s">
        <v>449</v>
      </c>
      <c r="C94" s="38" t="s">
        <v>524</v>
      </c>
      <c r="D94" s="38" t="s">
        <v>115</v>
      </c>
      <c r="E94" s="38" t="s">
        <v>608</v>
      </c>
      <c r="F94" s="70" t="s">
        <v>537</v>
      </c>
      <c r="G94" s="38">
        <v>12</v>
      </c>
      <c r="H94" s="38">
        <v>5.0999999999999996</v>
      </c>
      <c r="I94" s="38" t="s">
        <v>1479</v>
      </c>
      <c r="J94" s="38" t="s">
        <v>7771</v>
      </c>
      <c r="K94" s="38" t="s">
        <v>8968</v>
      </c>
      <c r="L94" s="38" t="s">
        <v>8969</v>
      </c>
      <c r="M94" s="32" t="s">
        <v>7773</v>
      </c>
      <c r="N94" s="32"/>
    </row>
    <row r="95" spans="1:14" ht="26.1" customHeight="1">
      <c r="A95" s="38" t="s">
        <v>491</v>
      </c>
      <c r="B95" s="38" t="s">
        <v>449</v>
      </c>
      <c r="C95" s="38" t="s">
        <v>524</v>
      </c>
      <c r="D95" s="38" t="s">
        <v>116</v>
      </c>
      <c r="E95" s="38" t="s">
        <v>612</v>
      </c>
      <c r="F95" s="70" t="s">
        <v>537</v>
      </c>
      <c r="G95" s="38">
        <v>12</v>
      </c>
      <c r="H95" s="38">
        <v>5.0999999999999996</v>
      </c>
      <c r="I95" s="38" t="s">
        <v>8976</v>
      </c>
      <c r="J95" s="38" t="s">
        <v>1489</v>
      </c>
      <c r="K95" s="38" t="s">
        <v>8978</v>
      </c>
      <c r="L95" s="38" t="s">
        <v>1492</v>
      </c>
      <c r="M95" s="32" t="s">
        <v>1429</v>
      </c>
      <c r="N95" s="32"/>
    </row>
    <row r="96" spans="1:14" ht="26.1" customHeight="1">
      <c r="A96" s="38" t="s">
        <v>491</v>
      </c>
      <c r="B96" s="38" t="s">
        <v>449</v>
      </c>
      <c r="C96" s="38" t="s">
        <v>524</v>
      </c>
      <c r="D96" s="38" t="s">
        <v>117</v>
      </c>
      <c r="E96" s="38" t="s">
        <v>614</v>
      </c>
      <c r="F96" s="70" t="s">
        <v>249</v>
      </c>
      <c r="G96" s="38">
        <v>12</v>
      </c>
      <c r="H96" s="38">
        <v>4.8</v>
      </c>
      <c r="I96" s="38" t="s">
        <v>616</v>
      </c>
      <c r="J96" s="38" t="s">
        <v>2026</v>
      </c>
      <c r="K96" s="38" t="s">
        <v>8983</v>
      </c>
      <c r="L96" s="38" t="s">
        <v>8984</v>
      </c>
      <c r="M96" s="32" t="s">
        <v>1415</v>
      </c>
      <c r="N96" s="32"/>
    </row>
    <row r="97" spans="1:14" ht="26.1" customHeight="1">
      <c r="A97" s="38" t="s">
        <v>491</v>
      </c>
      <c r="B97" s="38" t="s">
        <v>449</v>
      </c>
      <c r="C97" s="38" t="s">
        <v>524</v>
      </c>
      <c r="D97" s="38" t="s">
        <v>118</v>
      </c>
      <c r="E97" s="38" t="s">
        <v>619</v>
      </c>
      <c r="F97" s="70" t="s">
        <v>615</v>
      </c>
      <c r="G97" s="38"/>
      <c r="H97" s="38"/>
      <c r="I97" s="38" t="s">
        <v>8987</v>
      </c>
      <c r="J97" s="38" t="s">
        <v>2591</v>
      </c>
      <c r="K97" s="38" t="s">
        <v>8989</v>
      </c>
      <c r="L97" s="38" t="s">
        <v>8990</v>
      </c>
      <c r="M97" s="32" t="s">
        <v>2605</v>
      </c>
      <c r="N97" s="32"/>
    </row>
    <row r="98" spans="1:14" ht="26.1" customHeight="1">
      <c r="A98" s="38" t="s">
        <v>491</v>
      </c>
      <c r="B98" s="38" t="s">
        <v>449</v>
      </c>
      <c r="C98" s="38" t="s">
        <v>524</v>
      </c>
      <c r="D98" s="38" t="s">
        <v>119</v>
      </c>
      <c r="E98" s="38" t="s">
        <v>1777</v>
      </c>
      <c r="F98" s="70" t="s">
        <v>615</v>
      </c>
      <c r="G98" s="38">
        <v>12</v>
      </c>
      <c r="H98" s="38">
        <v>5.0999999999999996</v>
      </c>
      <c r="I98" s="38" t="s">
        <v>7750</v>
      </c>
      <c r="J98" s="38" t="s">
        <v>1782</v>
      </c>
      <c r="K98" s="38" t="s">
        <v>7765</v>
      </c>
      <c r="L98" s="38" t="s">
        <v>7768</v>
      </c>
      <c r="M98" s="32" t="s">
        <v>7760</v>
      </c>
      <c r="N98" s="32"/>
    </row>
    <row r="99" spans="1:14" ht="26.1" customHeight="1">
      <c r="A99" s="38" t="s">
        <v>491</v>
      </c>
      <c r="B99" s="38" t="s">
        <v>449</v>
      </c>
      <c r="C99" s="38" t="s">
        <v>524</v>
      </c>
      <c r="D99" s="38" t="s">
        <v>120</v>
      </c>
      <c r="E99" s="38" t="s">
        <v>1157</v>
      </c>
      <c r="F99" s="70" t="s">
        <v>249</v>
      </c>
      <c r="G99" s="38">
        <v>0</v>
      </c>
      <c r="H99" s="38"/>
      <c r="I99" s="38" t="s">
        <v>1495</v>
      </c>
      <c r="J99" s="38" t="s">
        <v>1497</v>
      </c>
      <c r="K99" s="38" t="s">
        <v>9001</v>
      </c>
      <c r="L99" s="38" t="s">
        <v>9002</v>
      </c>
      <c r="M99" s="32" t="s">
        <v>9006</v>
      </c>
      <c r="N99" s="32"/>
    </row>
    <row r="100" spans="1:14" ht="26.1" customHeight="1">
      <c r="A100" s="38" t="s">
        <v>491</v>
      </c>
      <c r="B100" s="38" t="s">
        <v>449</v>
      </c>
      <c r="C100" s="38" t="s">
        <v>524</v>
      </c>
      <c r="D100" s="38" t="s">
        <v>239</v>
      </c>
      <c r="E100" s="38" t="s">
        <v>9562</v>
      </c>
      <c r="F100" s="70" t="s">
        <v>537</v>
      </c>
      <c r="G100" s="38"/>
      <c r="H100" s="38"/>
      <c r="I100" s="38" t="s">
        <v>102</v>
      </c>
      <c r="J100" s="38" t="s">
        <v>9546</v>
      </c>
      <c r="K100" s="38" t="s">
        <v>9566</v>
      </c>
      <c r="L100" s="38" t="s">
        <v>9548</v>
      </c>
      <c r="M100" s="32" t="s">
        <v>9560</v>
      </c>
      <c r="N100" s="32" t="s">
        <v>9570</v>
      </c>
    </row>
    <row r="101" spans="1:14" ht="26.1" customHeight="1">
      <c r="A101" s="38" t="s">
        <v>491</v>
      </c>
      <c r="B101" s="38" t="s">
        <v>449</v>
      </c>
      <c r="C101" s="38" t="s">
        <v>622</v>
      </c>
      <c r="D101" s="38" t="s">
        <v>121</v>
      </c>
      <c r="E101" s="38" t="s">
        <v>627</v>
      </c>
      <c r="F101" s="70" t="s">
        <v>537</v>
      </c>
      <c r="G101" s="38">
        <v>8</v>
      </c>
      <c r="H101" s="38">
        <v>1.3333333333333333</v>
      </c>
      <c r="I101" s="38"/>
      <c r="J101" s="38" t="s">
        <v>1488</v>
      </c>
      <c r="K101" s="38" t="s">
        <v>9012</v>
      </c>
      <c r="L101" s="38" t="s">
        <v>1491</v>
      </c>
      <c r="M101" s="32" t="s">
        <v>1429</v>
      </c>
      <c r="N101" s="32" t="s">
        <v>1611</v>
      </c>
    </row>
    <row r="102" spans="1:14" ht="26.1" customHeight="1">
      <c r="A102" s="38" t="s">
        <v>491</v>
      </c>
      <c r="B102" s="38" t="s">
        <v>449</v>
      </c>
      <c r="C102" s="38" t="s">
        <v>622</v>
      </c>
      <c r="D102" s="38" t="s">
        <v>122</v>
      </c>
      <c r="E102" s="38" t="s">
        <v>630</v>
      </c>
      <c r="F102" s="70" t="s">
        <v>537</v>
      </c>
      <c r="G102" s="38">
        <v>10</v>
      </c>
      <c r="H102" s="38">
        <v>4</v>
      </c>
      <c r="I102" s="38" t="s">
        <v>631</v>
      </c>
      <c r="J102" s="38" t="s">
        <v>9018</v>
      </c>
      <c r="K102" s="38" t="s">
        <v>9019</v>
      </c>
      <c r="L102" s="38" t="s">
        <v>9020</v>
      </c>
      <c r="M102" s="32" t="s">
        <v>1429</v>
      </c>
      <c r="N102" s="32"/>
    </row>
    <row r="103" spans="1:14" ht="26.1" customHeight="1">
      <c r="A103" s="38" t="s">
        <v>491</v>
      </c>
      <c r="B103" s="38" t="s">
        <v>449</v>
      </c>
      <c r="C103" s="38" t="s">
        <v>622</v>
      </c>
      <c r="D103" s="38" t="s">
        <v>123</v>
      </c>
      <c r="E103" s="38" t="s">
        <v>632</v>
      </c>
      <c r="F103" s="70" t="s">
        <v>537</v>
      </c>
      <c r="G103" s="38">
        <v>10</v>
      </c>
      <c r="H103" s="38">
        <v>4.25</v>
      </c>
      <c r="I103" s="38" t="s">
        <v>633</v>
      </c>
      <c r="J103" s="38" t="s">
        <v>9026</v>
      </c>
      <c r="K103" s="38" t="s">
        <v>9027</v>
      </c>
      <c r="L103" s="38" t="s">
        <v>9028</v>
      </c>
      <c r="M103" s="32" t="s">
        <v>1429</v>
      </c>
      <c r="N103" s="32"/>
    </row>
    <row r="104" spans="1:14" ht="26.1" customHeight="1">
      <c r="A104" s="38" t="s">
        <v>491</v>
      </c>
      <c r="B104" s="38" t="s">
        <v>449</v>
      </c>
      <c r="C104" s="38" t="s">
        <v>622</v>
      </c>
      <c r="D104" s="38" t="s">
        <v>124</v>
      </c>
      <c r="E104" s="38" t="s">
        <v>623</v>
      </c>
      <c r="F104" s="70" t="s">
        <v>537</v>
      </c>
      <c r="G104" s="38">
        <v>8</v>
      </c>
      <c r="H104" s="38">
        <v>3.4</v>
      </c>
      <c r="I104" s="38" t="s">
        <v>624</v>
      </c>
      <c r="J104" s="38" t="s">
        <v>9033</v>
      </c>
      <c r="K104" s="38" t="s">
        <v>9034</v>
      </c>
      <c r="L104" s="38" t="s">
        <v>9035</v>
      </c>
      <c r="M104" s="32" t="s">
        <v>1429</v>
      </c>
      <c r="N104" s="32"/>
    </row>
    <row r="105" spans="1:14" ht="26.1" customHeight="1">
      <c r="A105" s="38" t="s">
        <v>491</v>
      </c>
      <c r="B105" s="38" t="s">
        <v>449</v>
      </c>
      <c r="C105" s="38" t="s">
        <v>622</v>
      </c>
      <c r="D105" s="38" t="s">
        <v>238</v>
      </c>
      <c r="E105" s="38" t="s">
        <v>1603</v>
      </c>
      <c r="F105" s="70" t="s">
        <v>537</v>
      </c>
      <c r="G105" s="38"/>
      <c r="H105" s="38"/>
      <c r="I105" s="38"/>
      <c r="J105" s="38" t="s">
        <v>9546</v>
      </c>
      <c r="K105" s="38" t="s">
        <v>9547</v>
      </c>
      <c r="L105" s="38" t="s">
        <v>9548</v>
      </c>
      <c r="M105" s="32" t="s">
        <v>9560</v>
      </c>
      <c r="N105" s="32" t="s">
        <v>9559</v>
      </c>
    </row>
    <row r="106" spans="1:14" ht="26.1" customHeight="1">
      <c r="A106" s="38" t="s">
        <v>491</v>
      </c>
      <c r="B106" s="38" t="s">
        <v>449</v>
      </c>
      <c r="C106" s="38" t="s">
        <v>634</v>
      </c>
      <c r="D106" s="38" t="s">
        <v>151</v>
      </c>
      <c r="E106" s="38" t="s">
        <v>700</v>
      </c>
      <c r="F106" s="70" t="s">
        <v>537</v>
      </c>
      <c r="G106" s="38">
        <v>10</v>
      </c>
      <c r="H106" s="38">
        <v>4.25</v>
      </c>
      <c r="I106" s="38" t="s">
        <v>701</v>
      </c>
      <c r="J106" s="38" t="s">
        <v>9157</v>
      </c>
      <c r="K106" s="38" t="s">
        <v>9158</v>
      </c>
      <c r="L106" s="38" t="s">
        <v>9159</v>
      </c>
      <c r="M106" s="32" t="s">
        <v>1429</v>
      </c>
      <c r="N106" s="32"/>
    </row>
    <row r="107" spans="1:14" ht="26.1" customHeight="1">
      <c r="A107" s="38" t="s">
        <v>491</v>
      </c>
      <c r="B107" s="38" t="s">
        <v>449</v>
      </c>
      <c r="C107" s="38" t="s">
        <v>702</v>
      </c>
      <c r="D107" s="38" t="s">
        <v>157</v>
      </c>
      <c r="E107" s="38" t="s">
        <v>714</v>
      </c>
      <c r="F107" s="70" t="s">
        <v>537</v>
      </c>
      <c r="G107" s="38">
        <v>12</v>
      </c>
      <c r="H107" s="38">
        <v>2</v>
      </c>
      <c r="I107" s="38"/>
      <c r="J107" s="38" t="s">
        <v>2891</v>
      </c>
      <c r="K107" s="38" t="s">
        <v>8841</v>
      </c>
      <c r="L107" s="38" t="s">
        <v>1513</v>
      </c>
      <c r="M107" s="32" t="s">
        <v>1429</v>
      </c>
      <c r="N107" s="32"/>
    </row>
    <row r="108" spans="1:14" ht="26.1" customHeight="1">
      <c r="A108" s="38" t="s">
        <v>491</v>
      </c>
      <c r="B108" s="38" t="s">
        <v>449</v>
      </c>
      <c r="C108" s="38" t="s">
        <v>702</v>
      </c>
      <c r="D108" s="38" t="s">
        <v>166</v>
      </c>
      <c r="E108" s="38" t="s">
        <v>747</v>
      </c>
      <c r="F108" s="70" t="s">
        <v>537</v>
      </c>
      <c r="G108" s="38">
        <v>6</v>
      </c>
      <c r="H108" s="38">
        <v>2.5499999999999998</v>
      </c>
      <c r="I108" s="38" t="s">
        <v>748</v>
      </c>
      <c r="J108" s="38" t="s">
        <v>9218</v>
      </c>
      <c r="K108" s="38" t="s">
        <v>9219</v>
      </c>
      <c r="L108" s="38" t="s">
        <v>9220</v>
      </c>
      <c r="M108" s="32" t="s">
        <v>1429</v>
      </c>
      <c r="N108" s="32"/>
    </row>
    <row r="109" spans="1:14" ht="26.1" customHeight="1">
      <c r="A109" s="38" t="s">
        <v>491</v>
      </c>
      <c r="B109" s="38" t="s">
        <v>1058</v>
      </c>
      <c r="C109" s="38" t="s">
        <v>524</v>
      </c>
      <c r="D109" s="38" t="s">
        <v>179</v>
      </c>
      <c r="E109" s="38" t="s">
        <v>9263</v>
      </c>
      <c r="F109" s="70" t="s">
        <v>537</v>
      </c>
      <c r="G109" s="38">
        <v>12</v>
      </c>
      <c r="H109" s="38">
        <v>4.08</v>
      </c>
      <c r="I109" s="38" t="s">
        <v>1531</v>
      </c>
      <c r="J109" s="38" t="s">
        <v>3118</v>
      </c>
      <c r="K109" s="38" t="s">
        <v>8841</v>
      </c>
      <c r="L109" s="38" t="s">
        <v>9267</v>
      </c>
      <c r="M109" s="32" t="s">
        <v>1429</v>
      </c>
      <c r="N109" s="32"/>
    </row>
    <row r="110" spans="1:14" ht="26.1" customHeight="1">
      <c r="A110" s="38" t="s">
        <v>491</v>
      </c>
      <c r="B110" s="38" t="s">
        <v>1058</v>
      </c>
      <c r="C110" s="38" t="s">
        <v>524</v>
      </c>
      <c r="D110" s="38" t="s">
        <v>180</v>
      </c>
      <c r="E110" s="38" t="s">
        <v>9268</v>
      </c>
      <c r="F110" s="70" t="s">
        <v>537</v>
      </c>
      <c r="G110" s="38">
        <v>6</v>
      </c>
      <c r="H110" s="38">
        <v>1</v>
      </c>
      <c r="I110" s="38"/>
      <c r="J110" s="38" t="s">
        <v>9271</v>
      </c>
      <c r="K110" s="38" t="s">
        <v>9012</v>
      </c>
      <c r="L110" s="38" t="s">
        <v>1513</v>
      </c>
      <c r="M110" s="32" t="s">
        <v>1429</v>
      </c>
      <c r="N110" s="32"/>
    </row>
    <row r="111" spans="1:14" ht="26.1" customHeight="1">
      <c r="A111" s="38" t="s">
        <v>491</v>
      </c>
      <c r="B111" s="38" t="s">
        <v>1058</v>
      </c>
      <c r="C111" s="38" t="s">
        <v>524</v>
      </c>
      <c r="D111" s="38" t="s">
        <v>184</v>
      </c>
      <c r="E111" s="38" t="s">
        <v>9282</v>
      </c>
      <c r="F111" s="70" t="s">
        <v>537</v>
      </c>
      <c r="G111" s="38">
        <v>8</v>
      </c>
      <c r="H111" s="38">
        <v>1.3333333333333333</v>
      </c>
      <c r="I111" s="38" t="s">
        <v>1533</v>
      </c>
      <c r="J111" s="38" t="s">
        <v>3159</v>
      </c>
      <c r="K111" s="38" t="s">
        <v>8841</v>
      </c>
      <c r="L111" s="38" t="s">
        <v>1513</v>
      </c>
      <c r="M111" s="32" t="s">
        <v>1429</v>
      </c>
      <c r="N111" s="32"/>
    </row>
    <row r="112" spans="1:14" ht="26.1" customHeight="1">
      <c r="A112" s="38" t="s">
        <v>491</v>
      </c>
      <c r="B112" s="38" t="s">
        <v>1058</v>
      </c>
      <c r="C112" s="38" t="s">
        <v>524</v>
      </c>
      <c r="D112" s="38" t="s">
        <v>185</v>
      </c>
      <c r="E112" s="38" t="s">
        <v>9286</v>
      </c>
      <c r="F112" s="70" t="s">
        <v>537</v>
      </c>
      <c r="G112" s="38">
        <v>10</v>
      </c>
      <c r="H112" s="38">
        <v>2.285714285714286</v>
      </c>
      <c r="I112" s="38" t="s">
        <v>1534</v>
      </c>
      <c r="J112" s="38" t="s">
        <v>3169</v>
      </c>
      <c r="K112" s="38" t="s">
        <v>8841</v>
      </c>
      <c r="L112" s="38" t="s">
        <v>1513</v>
      </c>
      <c r="M112" s="32" t="s">
        <v>1429</v>
      </c>
      <c r="N112" s="32"/>
    </row>
    <row r="113" spans="1:14" ht="26.1" customHeight="1">
      <c r="A113" s="38" t="s">
        <v>491</v>
      </c>
      <c r="B113" s="38" t="s">
        <v>1058</v>
      </c>
      <c r="C113" s="38" t="s">
        <v>524</v>
      </c>
      <c r="D113" s="38" t="s">
        <v>186</v>
      </c>
      <c r="E113" s="38" t="s">
        <v>9292</v>
      </c>
      <c r="F113" s="70" t="s">
        <v>537</v>
      </c>
      <c r="G113" s="38">
        <v>12</v>
      </c>
      <c r="H113" s="38">
        <v>2.7428571428571429</v>
      </c>
      <c r="I113" s="38" t="s">
        <v>1535</v>
      </c>
      <c r="J113" s="38" t="s">
        <v>3179</v>
      </c>
      <c r="K113" s="38" t="s">
        <v>8841</v>
      </c>
      <c r="L113" s="38" t="s">
        <v>1513</v>
      </c>
      <c r="M113" s="32" t="s">
        <v>1429</v>
      </c>
      <c r="N113" s="32"/>
    </row>
    <row r="114" spans="1:14" ht="26.1" customHeight="1">
      <c r="A114" s="38" t="s">
        <v>491</v>
      </c>
      <c r="B114" s="38" t="s">
        <v>1058</v>
      </c>
      <c r="C114" s="38" t="s">
        <v>524</v>
      </c>
      <c r="D114" s="38" t="s">
        <v>187</v>
      </c>
      <c r="E114" s="38" t="s">
        <v>9296</v>
      </c>
      <c r="F114" s="70" t="s">
        <v>537</v>
      </c>
      <c r="G114" s="38">
        <v>12</v>
      </c>
      <c r="H114" s="38">
        <v>2.7428571428571429</v>
      </c>
      <c r="I114" s="38" t="s">
        <v>1537</v>
      </c>
      <c r="J114" s="38" t="s">
        <v>3189</v>
      </c>
      <c r="K114" s="38" t="s">
        <v>8841</v>
      </c>
      <c r="L114" s="38" t="s">
        <v>1513</v>
      </c>
      <c r="M114" s="32" t="s">
        <v>1429</v>
      </c>
      <c r="N114" s="32"/>
    </row>
    <row r="115" spans="1:14" ht="26.1" customHeight="1">
      <c r="A115" s="38" t="s">
        <v>491</v>
      </c>
      <c r="B115" s="38" t="s">
        <v>1058</v>
      </c>
      <c r="C115" s="38" t="s">
        <v>524</v>
      </c>
      <c r="D115" s="38" t="s">
        <v>188</v>
      </c>
      <c r="E115" s="38" t="s">
        <v>9300</v>
      </c>
      <c r="F115" s="70" t="s">
        <v>537</v>
      </c>
      <c r="G115" s="38">
        <v>10</v>
      </c>
      <c r="H115" s="38">
        <v>2.285714285714286</v>
      </c>
      <c r="I115" s="38" t="s">
        <v>1538</v>
      </c>
      <c r="J115" s="38" t="s">
        <v>3199</v>
      </c>
      <c r="K115" s="38" t="s">
        <v>8841</v>
      </c>
      <c r="L115" s="38" t="s">
        <v>1513</v>
      </c>
      <c r="M115" s="32" t="s">
        <v>1429</v>
      </c>
      <c r="N115" s="32"/>
    </row>
    <row r="116" spans="1:14" ht="26.1" customHeight="1">
      <c r="A116" s="38" t="s">
        <v>491</v>
      </c>
      <c r="B116" s="38" t="s">
        <v>1058</v>
      </c>
      <c r="C116" s="38" t="s">
        <v>622</v>
      </c>
      <c r="D116" s="38" t="s">
        <v>189</v>
      </c>
      <c r="E116" s="38" t="s">
        <v>9304</v>
      </c>
      <c r="F116" s="70" t="s">
        <v>537</v>
      </c>
      <c r="G116" s="38">
        <v>12</v>
      </c>
      <c r="H116" s="38">
        <v>7.2</v>
      </c>
      <c r="I116" s="38"/>
      <c r="J116" s="38" t="s">
        <v>9230</v>
      </c>
      <c r="K116" s="38" t="s">
        <v>9309</v>
      </c>
      <c r="L116" s="38" t="s">
        <v>1513</v>
      </c>
      <c r="M116" s="32" t="s">
        <v>1429</v>
      </c>
      <c r="N116" s="32"/>
    </row>
    <row r="117" spans="1:14" ht="26.1" customHeight="1">
      <c r="A117" s="38" t="s">
        <v>491</v>
      </c>
      <c r="B117" s="38" t="s">
        <v>1058</v>
      </c>
      <c r="C117" s="38" t="s">
        <v>622</v>
      </c>
      <c r="D117" s="38" t="s">
        <v>190</v>
      </c>
      <c r="E117" s="38" t="s">
        <v>9311</v>
      </c>
      <c r="F117" s="70" t="s">
        <v>537</v>
      </c>
      <c r="G117" s="38">
        <v>12</v>
      </c>
      <c r="H117" s="38">
        <v>7.2</v>
      </c>
      <c r="I117" s="38"/>
      <c r="J117" s="38" t="s">
        <v>9230</v>
      </c>
      <c r="K117" s="38" t="s">
        <v>9309</v>
      </c>
      <c r="L117" s="38" t="s">
        <v>1513</v>
      </c>
      <c r="M117" s="32" t="s">
        <v>1429</v>
      </c>
      <c r="N117" s="32"/>
    </row>
    <row r="118" spans="1:14" ht="26.1" customHeight="1">
      <c r="A118" s="38" t="s">
        <v>491</v>
      </c>
      <c r="B118" s="38" t="s">
        <v>1058</v>
      </c>
      <c r="C118" s="38" t="s">
        <v>622</v>
      </c>
      <c r="D118" s="38" t="s">
        <v>194</v>
      </c>
      <c r="E118" s="38" t="s">
        <v>9341</v>
      </c>
      <c r="F118" s="70" t="s">
        <v>537</v>
      </c>
      <c r="G118" s="38"/>
      <c r="H118" s="38"/>
      <c r="I118" s="38" t="s">
        <v>1609</v>
      </c>
      <c r="J118" s="38" t="s">
        <v>9344</v>
      </c>
      <c r="K118" s="38" t="s">
        <v>9345</v>
      </c>
      <c r="L118" s="38" t="s">
        <v>9346</v>
      </c>
      <c r="M118" s="32" t="s">
        <v>1429</v>
      </c>
      <c r="N118" s="32"/>
    </row>
    <row r="119" spans="1:14" ht="26.1" customHeight="1">
      <c r="A119" s="38" t="s">
        <v>491</v>
      </c>
      <c r="B119" s="38" t="s">
        <v>1058</v>
      </c>
      <c r="C119" s="38" t="s">
        <v>622</v>
      </c>
      <c r="D119" s="38" t="s">
        <v>195</v>
      </c>
      <c r="E119" s="38" t="s">
        <v>1159</v>
      </c>
      <c r="F119" s="70" t="s">
        <v>537</v>
      </c>
      <c r="G119" s="38"/>
      <c r="H119" s="38"/>
      <c r="I119" s="38" t="s">
        <v>1555</v>
      </c>
      <c r="J119" s="38" t="s">
        <v>1198</v>
      </c>
      <c r="K119" s="38" t="s">
        <v>9001</v>
      </c>
      <c r="L119" s="38" t="s">
        <v>9002</v>
      </c>
      <c r="M119" s="32" t="s">
        <v>1429</v>
      </c>
      <c r="N119" s="32"/>
    </row>
    <row r="120" spans="1:14" ht="26.1" customHeight="1">
      <c r="A120" s="38" t="s">
        <v>491</v>
      </c>
      <c r="B120" s="38" t="s">
        <v>1058</v>
      </c>
      <c r="C120" s="38" t="s">
        <v>622</v>
      </c>
      <c r="D120" s="38" t="s">
        <v>240</v>
      </c>
      <c r="E120" s="38" t="s">
        <v>1606</v>
      </c>
      <c r="F120" s="70" t="s">
        <v>537</v>
      </c>
      <c r="G120" s="38"/>
      <c r="H120" s="38"/>
      <c r="I120" s="38" t="s">
        <v>238</v>
      </c>
      <c r="J120" s="38" t="s">
        <v>9546</v>
      </c>
      <c r="K120" s="38" t="s">
        <v>9578</v>
      </c>
      <c r="L120" s="38" t="s">
        <v>9548</v>
      </c>
      <c r="M120" s="32" t="s">
        <v>9560</v>
      </c>
      <c r="N120" s="32" t="s">
        <v>9582</v>
      </c>
    </row>
    <row r="121" spans="1:14" ht="26.1" customHeight="1">
      <c r="A121" s="38" t="s">
        <v>491</v>
      </c>
      <c r="B121" s="38" t="s">
        <v>1058</v>
      </c>
      <c r="C121" s="38" t="s">
        <v>634</v>
      </c>
      <c r="D121" s="38" t="s">
        <v>234</v>
      </c>
      <c r="E121" s="38" t="s">
        <v>610</v>
      </c>
      <c r="F121" s="70" t="s">
        <v>537</v>
      </c>
      <c r="G121" s="38">
        <v>11</v>
      </c>
      <c r="H121" s="38">
        <v>4.7</v>
      </c>
      <c r="I121" s="38" t="s">
        <v>1063</v>
      </c>
      <c r="J121" s="38" t="s">
        <v>1188</v>
      </c>
      <c r="K121" s="38" t="s">
        <v>9519</v>
      </c>
      <c r="L121" s="38" t="s">
        <v>9520</v>
      </c>
      <c r="M121" s="32" t="s">
        <v>1429</v>
      </c>
      <c r="N121" s="32"/>
    </row>
    <row r="122" spans="1:14" ht="26.1" customHeight="1">
      <c r="A122" s="38" t="s">
        <v>491</v>
      </c>
      <c r="B122" s="38" t="s">
        <v>1058</v>
      </c>
      <c r="C122" s="38" t="s">
        <v>702</v>
      </c>
      <c r="D122" s="38" t="s">
        <v>236</v>
      </c>
      <c r="E122" s="38" t="s">
        <v>9526</v>
      </c>
      <c r="F122" s="70" t="s">
        <v>537</v>
      </c>
      <c r="G122" s="38">
        <v>12</v>
      </c>
      <c r="H122" s="38">
        <v>7.2</v>
      </c>
      <c r="I122" s="38"/>
      <c r="J122" s="38" t="s">
        <v>9230</v>
      </c>
      <c r="K122" s="38" t="s">
        <v>9309</v>
      </c>
      <c r="L122" s="38" t="s">
        <v>1513</v>
      </c>
      <c r="M122" s="32" t="s">
        <v>1429</v>
      </c>
      <c r="N122" s="32"/>
    </row>
    <row r="123" spans="1:14" ht="26.1" customHeight="1">
      <c r="A123" s="38" t="s">
        <v>504</v>
      </c>
      <c r="B123" s="38" t="s">
        <v>449</v>
      </c>
      <c r="C123" s="38" t="s">
        <v>450</v>
      </c>
      <c r="D123" s="38" t="s">
        <v>76</v>
      </c>
      <c r="E123" s="38" t="s">
        <v>505</v>
      </c>
      <c r="F123" s="70" t="s">
        <v>249</v>
      </c>
      <c r="G123" s="38">
        <v>8</v>
      </c>
      <c r="H123" s="38">
        <v>2</v>
      </c>
      <c r="I123" s="38" t="s">
        <v>71</v>
      </c>
      <c r="J123" s="38" t="s">
        <v>2026</v>
      </c>
      <c r="K123" s="38" t="s">
        <v>8746</v>
      </c>
      <c r="L123" s="38" t="s">
        <v>8747</v>
      </c>
      <c r="M123" s="32" t="s">
        <v>1415</v>
      </c>
      <c r="N123" s="32"/>
    </row>
    <row r="124" spans="1:14" ht="26.1" customHeight="1">
      <c r="A124" s="38" t="s">
        <v>504</v>
      </c>
      <c r="B124" s="38" t="s">
        <v>449</v>
      </c>
      <c r="C124" s="38" t="s">
        <v>450</v>
      </c>
      <c r="D124" s="38" t="s">
        <v>77</v>
      </c>
      <c r="E124" s="38" t="s">
        <v>508</v>
      </c>
      <c r="F124" s="70" t="s">
        <v>249</v>
      </c>
      <c r="G124" s="38">
        <v>10</v>
      </c>
      <c r="H124" s="38">
        <v>2.5</v>
      </c>
      <c r="I124" s="38" t="s">
        <v>71</v>
      </c>
      <c r="J124" s="38" t="s">
        <v>2026</v>
      </c>
      <c r="K124" s="38" t="s">
        <v>8753</v>
      </c>
      <c r="L124" s="38" t="s">
        <v>8754</v>
      </c>
      <c r="M124" s="32" t="s">
        <v>1415</v>
      </c>
      <c r="N124" s="32"/>
    </row>
    <row r="125" spans="1:14" ht="26.1" customHeight="1">
      <c r="A125" s="38" t="s">
        <v>504</v>
      </c>
      <c r="B125" s="38" t="s">
        <v>449</v>
      </c>
      <c r="C125" s="38" t="s">
        <v>450</v>
      </c>
      <c r="D125" s="38" t="s">
        <v>78</v>
      </c>
      <c r="E125" s="38" t="s">
        <v>511</v>
      </c>
      <c r="F125" s="70" t="s">
        <v>249</v>
      </c>
      <c r="G125" s="38">
        <v>6</v>
      </c>
      <c r="H125" s="38">
        <v>1.5</v>
      </c>
      <c r="I125" s="38" t="s">
        <v>77</v>
      </c>
      <c r="J125" s="38" t="s">
        <v>2026</v>
      </c>
      <c r="K125" s="38" t="s">
        <v>8761</v>
      </c>
      <c r="L125" s="38" t="s">
        <v>8762</v>
      </c>
      <c r="M125" s="32" t="s">
        <v>1415</v>
      </c>
      <c r="N125" s="32"/>
    </row>
    <row r="126" spans="1:14" ht="26.1" customHeight="1">
      <c r="A126" s="38" t="s">
        <v>504</v>
      </c>
      <c r="B126" s="38" t="s">
        <v>449</v>
      </c>
      <c r="C126" s="38" t="s">
        <v>450</v>
      </c>
      <c r="D126" s="38" t="s">
        <v>80</v>
      </c>
      <c r="E126" s="38" t="s">
        <v>518</v>
      </c>
      <c r="F126" s="70" t="s">
        <v>249</v>
      </c>
      <c r="G126" s="38">
        <v>5</v>
      </c>
      <c r="H126" s="38">
        <v>1.25</v>
      </c>
      <c r="I126" s="38" t="s">
        <v>77</v>
      </c>
      <c r="J126" s="38" t="s">
        <v>2026</v>
      </c>
      <c r="K126" s="38" t="s">
        <v>8773</v>
      </c>
      <c r="L126" s="38" t="s">
        <v>8774</v>
      </c>
      <c r="M126" s="32" t="s">
        <v>1415</v>
      </c>
      <c r="N126" s="32"/>
    </row>
    <row r="127" spans="1:14" ht="26.1" customHeight="1">
      <c r="A127" s="38" t="s">
        <v>504</v>
      </c>
      <c r="B127" s="38" t="s">
        <v>449</v>
      </c>
      <c r="C127" s="38" t="s">
        <v>524</v>
      </c>
      <c r="D127" s="38" t="s">
        <v>98</v>
      </c>
      <c r="E127" s="38" t="s">
        <v>1030</v>
      </c>
      <c r="F127" s="70" t="s">
        <v>615</v>
      </c>
      <c r="G127" s="38"/>
      <c r="H127" s="38"/>
      <c r="I127" s="38" t="s">
        <v>1036</v>
      </c>
      <c r="J127" s="38" t="s">
        <v>1168</v>
      </c>
      <c r="K127" s="38" t="s">
        <v>8856</v>
      </c>
      <c r="L127" s="38" t="s">
        <v>1513</v>
      </c>
      <c r="M127" s="32" t="s">
        <v>2408</v>
      </c>
      <c r="N127" s="32"/>
    </row>
    <row r="128" spans="1:14" ht="26.1" customHeight="1">
      <c r="A128" s="38" t="s">
        <v>504</v>
      </c>
      <c r="B128" s="38" t="s">
        <v>449</v>
      </c>
      <c r="C128" s="38" t="s">
        <v>524</v>
      </c>
      <c r="D128" s="38" t="s">
        <v>99</v>
      </c>
      <c r="E128" s="38" t="s">
        <v>560</v>
      </c>
      <c r="F128" s="70" t="s">
        <v>537</v>
      </c>
      <c r="G128" s="38">
        <v>16</v>
      </c>
      <c r="H128" s="38">
        <v>1.7999999999999998</v>
      </c>
      <c r="I128" s="38" t="s">
        <v>1150</v>
      </c>
      <c r="J128" s="38" t="s">
        <v>2419</v>
      </c>
      <c r="K128" s="38" t="s">
        <v>8856</v>
      </c>
      <c r="L128" s="38" t="s">
        <v>1513</v>
      </c>
      <c r="M128" s="32" t="s">
        <v>1429</v>
      </c>
      <c r="N128" s="32"/>
    </row>
    <row r="129" spans="1:14" ht="26.1" customHeight="1">
      <c r="A129" s="38" t="s">
        <v>504</v>
      </c>
      <c r="B129" s="38" t="s">
        <v>449</v>
      </c>
      <c r="C129" s="38" t="s">
        <v>524</v>
      </c>
      <c r="D129" s="38" t="s">
        <v>101</v>
      </c>
      <c r="E129" s="38" t="s">
        <v>564</v>
      </c>
      <c r="F129" s="70" t="s">
        <v>537</v>
      </c>
      <c r="G129" s="38">
        <v>6</v>
      </c>
      <c r="H129" s="38">
        <v>0.89999999999999991</v>
      </c>
      <c r="I129" s="38" t="s">
        <v>1151</v>
      </c>
      <c r="J129" s="38" t="s">
        <v>2436</v>
      </c>
      <c r="K129" s="38" t="s">
        <v>8856</v>
      </c>
      <c r="L129" s="38" t="s">
        <v>1513</v>
      </c>
      <c r="M129" s="32" t="s">
        <v>1429</v>
      </c>
      <c r="N129" s="32"/>
    </row>
    <row r="130" spans="1:14" ht="26.1" customHeight="1">
      <c r="A130" s="38" t="s">
        <v>504</v>
      </c>
      <c r="B130" s="38" t="s">
        <v>449</v>
      </c>
      <c r="C130" s="38" t="s">
        <v>634</v>
      </c>
      <c r="D130" s="38" t="s">
        <v>141</v>
      </c>
      <c r="E130" s="38" t="s">
        <v>677</v>
      </c>
      <c r="F130" s="70" t="s">
        <v>537</v>
      </c>
      <c r="G130" s="38">
        <v>10</v>
      </c>
      <c r="H130" s="38">
        <v>2.5</v>
      </c>
      <c r="I130" s="38" t="s">
        <v>678</v>
      </c>
      <c r="J130" s="38" t="s">
        <v>9095</v>
      </c>
      <c r="K130" s="38" t="s">
        <v>9096</v>
      </c>
      <c r="L130" s="38" t="s">
        <v>9097</v>
      </c>
      <c r="M130" s="32" t="s">
        <v>1429</v>
      </c>
      <c r="N130" s="32"/>
    </row>
    <row r="131" spans="1:14" ht="26.1" customHeight="1">
      <c r="A131" s="38" t="s">
        <v>504</v>
      </c>
      <c r="B131" s="38" t="s">
        <v>449</v>
      </c>
      <c r="C131" s="38" t="s">
        <v>634</v>
      </c>
      <c r="D131" s="38" t="s">
        <v>142</v>
      </c>
      <c r="E131" s="38" t="s">
        <v>679</v>
      </c>
      <c r="F131" s="70" t="s">
        <v>537</v>
      </c>
      <c r="G131" s="38">
        <v>6</v>
      </c>
      <c r="H131" s="38">
        <v>1.5</v>
      </c>
      <c r="I131" s="38" t="s">
        <v>78</v>
      </c>
      <c r="J131" s="38" t="s">
        <v>9101</v>
      </c>
      <c r="K131" s="38" t="s">
        <v>9102</v>
      </c>
      <c r="L131" s="38" t="s">
        <v>9103</v>
      </c>
      <c r="M131" s="32" t="s">
        <v>1429</v>
      </c>
      <c r="N131" s="32"/>
    </row>
    <row r="132" spans="1:14" ht="26.1" customHeight="1">
      <c r="A132" s="38" t="s">
        <v>504</v>
      </c>
      <c r="B132" s="38" t="s">
        <v>449</v>
      </c>
      <c r="C132" s="38" t="s">
        <v>634</v>
      </c>
      <c r="D132" s="38" t="s">
        <v>143</v>
      </c>
      <c r="E132" s="38" t="s">
        <v>681</v>
      </c>
      <c r="F132" s="70" t="s">
        <v>249</v>
      </c>
      <c r="G132" s="38">
        <v>10</v>
      </c>
      <c r="H132" s="38">
        <v>2.5</v>
      </c>
      <c r="I132" s="38" t="s">
        <v>682</v>
      </c>
      <c r="J132" s="38" t="s">
        <v>2026</v>
      </c>
      <c r="K132" s="38" t="s">
        <v>9107</v>
      </c>
      <c r="L132" s="38" t="s">
        <v>9108</v>
      </c>
      <c r="M132" s="32" t="s">
        <v>1415</v>
      </c>
      <c r="N132" s="32"/>
    </row>
    <row r="133" spans="1:14" ht="26.1" customHeight="1">
      <c r="A133" s="38" t="s">
        <v>504</v>
      </c>
      <c r="B133" s="38" t="s">
        <v>449</v>
      </c>
      <c r="C133" s="38" t="s">
        <v>634</v>
      </c>
      <c r="D133" s="38" t="s">
        <v>144</v>
      </c>
      <c r="E133" s="38" t="s">
        <v>684</v>
      </c>
      <c r="F133" s="70" t="s">
        <v>249</v>
      </c>
      <c r="G133" s="38">
        <v>8</v>
      </c>
      <c r="H133" s="38">
        <v>2</v>
      </c>
      <c r="I133" s="38" t="s">
        <v>77</v>
      </c>
      <c r="J133" s="38" t="s">
        <v>2026</v>
      </c>
      <c r="K133" s="38" t="s">
        <v>9112</v>
      </c>
      <c r="L133" s="38" t="s">
        <v>9113</v>
      </c>
      <c r="M133" s="32" t="s">
        <v>1415</v>
      </c>
      <c r="N133" s="32"/>
    </row>
    <row r="134" spans="1:14" ht="26.1" customHeight="1">
      <c r="A134" s="38" t="s">
        <v>504</v>
      </c>
      <c r="B134" s="38" t="s">
        <v>449</v>
      </c>
      <c r="C134" s="38" t="s">
        <v>634</v>
      </c>
      <c r="D134" s="38" t="s">
        <v>145</v>
      </c>
      <c r="E134" s="38" t="s">
        <v>685</v>
      </c>
      <c r="F134" s="70" t="s">
        <v>249</v>
      </c>
      <c r="G134" s="38">
        <v>12</v>
      </c>
      <c r="H134" s="38">
        <v>3.2</v>
      </c>
      <c r="I134" s="38" t="s">
        <v>686</v>
      </c>
      <c r="J134" s="38" t="s">
        <v>2026</v>
      </c>
      <c r="K134" s="38" t="s">
        <v>9117</v>
      </c>
      <c r="L134" s="38" t="s">
        <v>9118</v>
      </c>
      <c r="M134" s="32" t="s">
        <v>1415</v>
      </c>
      <c r="N134" s="32"/>
    </row>
    <row r="135" spans="1:14" ht="26.1" customHeight="1">
      <c r="A135" s="38" t="s">
        <v>504</v>
      </c>
      <c r="B135" s="38" t="s">
        <v>449</v>
      </c>
      <c r="C135" s="38" t="s">
        <v>634</v>
      </c>
      <c r="D135" s="38" t="s">
        <v>146</v>
      </c>
      <c r="E135" s="38" t="s">
        <v>688</v>
      </c>
      <c r="F135" s="70" t="s">
        <v>249</v>
      </c>
      <c r="G135" s="38">
        <v>8</v>
      </c>
      <c r="H135" s="38">
        <v>2</v>
      </c>
      <c r="I135" s="38" t="s">
        <v>145</v>
      </c>
      <c r="J135" s="38" t="s">
        <v>2026</v>
      </c>
      <c r="K135" s="38" t="s">
        <v>9122</v>
      </c>
      <c r="L135" s="38" t="s">
        <v>9123</v>
      </c>
      <c r="M135" s="32" t="s">
        <v>1415</v>
      </c>
      <c r="N135" s="32"/>
    </row>
    <row r="136" spans="1:14" ht="26.1" customHeight="1">
      <c r="A136" s="38" t="s">
        <v>504</v>
      </c>
      <c r="B136" s="38" t="s">
        <v>449</v>
      </c>
      <c r="C136" s="38" t="s">
        <v>634</v>
      </c>
      <c r="D136" s="38" t="s">
        <v>147</v>
      </c>
      <c r="E136" s="38" t="s">
        <v>690</v>
      </c>
      <c r="F136" s="70" t="s">
        <v>537</v>
      </c>
      <c r="G136" s="38">
        <v>12</v>
      </c>
      <c r="H136" s="38">
        <v>5.4</v>
      </c>
      <c r="I136" s="38" t="s">
        <v>691</v>
      </c>
      <c r="J136" s="38" t="s">
        <v>9128</v>
      </c>
      <c r="K136" s="38" t="s">
        <v>9129</v>
      </c>
      <c r="L136" s="38" t="s">
        <v>9130</v>
      </c>
      <c r="M136" s="32" t="s">
        <v>1429</v>
      </c>
      <c r="N136" s="32"/>
    </row>
    <row r="137" spans="1:14" ht="26.1" customHeight="1">
      <c r="A137" s="38" t="s">
        <v>504</v>
      </c>
      <c r="B137" s="38" t="s">
        <v>449</v>
      </c>
      <c r="C137" s="38" t="s">
        <v>634</v>
      </c>
      <c r="D137" s="38" t="s">
        <v>148</v>
      </c>
      <c r="E137" s="38" t="s">
        <v>692</v>
      </c>
      <c r="F137" s="70" t="s">
        <v>537</v>
      </c>
      <c r="G137" s="38">
        <v>10</v>
      </c>
      <c r="H137" s="38">
        <v>4.25</v>
      </c>
      <c r="I137" s="38" t="s">
        <v>693</v>
      </c>
      <c r="J137" s="38" t="s">
        <v>9136</v>
      </c>
      <c r="K137" s="38" t="s">
        <v>9137</v>
      </c>
      <c r="L137" s="38" t="s">
        <v>9138</v>
      </c>
      <c r="M137" s="32" t="s">
        <v>1429</v>
      </c>
      <c r="N137" s="32"/>
    </row>
    <row r="138" spans="1:14" ht="26.1" customHeight="1">
      <c r="A138" s="38" t="s">
        <v>504</v>
      </c>
      <c r="B138" s="38" t="s">
        <v>449</v>
      </c>
      <c r="C138" s="38" t="s">
        <v>634</v>
      </c>
      <c r="D138" s="38" t="s">
        <v>149</v>
      </c>
      <c r="E138" s="38" t="s">
        <v>694</v>
      </c>
      <c r="F138" s="70" t="s">
        <v>249</v>
      </c>
      <c r="G138" s="38">
        <v>8</v>
      </c>
      <c r="H138" s="38">
        <v>2</v>
      </c>
      <c r="I138" s="38" t="s">
        <v>695</v>
      </c>
      <c r="J138" s="38" t="s">
        <v>2026</v>
      </c>
      <c r="K138" s="38" t="s">
        <v>9144</v>
      </c>
      <c r="L138" s="38" t="s">
        <v>9145</v>
      </c>
      <c r="M138" s="32" t="s">
        <v>1415</v>
      </c>
      <c r="N138" s="32"/>
    </row>
    <row r="139" spans="1:14" ht="26.1" customHeight="1">
      <c r="A139" s="38" t="s">
        <v>504</v>
      </c>
      <c r="B139" s="38" t="s">
        <v>449</v>
      </c>
      <c r="C139" s="38" t="s">
        <v>634</v>
      </c>
      <c r="D139" s="38" t="s">
        <v>150</v>
      </c>
      <c r="E139" s="38" t="s">
        <v>697</v>
      </c>
      <c r="F139" s="70" t="s">
        <v>249</v>
      </c>
      <c r="G139" s="38">
        <v>10</v>
      </c>
      <c r="H139" s="38">
        <v>2.666666666666667</v>
      </c>
      <c r="I139" s="38" t="s">
        <v>698</v>
      </c>
      <c r="J139" s="38" t="s">
        <v>2026</v>
      </c>
      <c r="K139" s="38" t="s">
        <v>9149</v>
      </c>
      <c r="L139" s="38" t="s">
        <v>9150</v>
      </c>
      <c r="M139" s="32" t="s">
        <v>1415</v>
      </c>
      <c r="N139" s="32"/>
    </row>
    <row r="140" spans="1:14" ht="26.1" customHeight="1">
      <c r="A140" s="38" t="s">
        <v>504</v>
      </c>
      <c r="B140" s="38" t="s">
        <v>449</v>
      </c>
      <c r="C140" s="38" t="s">
        <v>702</v>
      </c>
      <c r="D140" s="38" t="s">
        <v>165</v>
      </c>
      <c r="E140" s="38" t="s">
        <v>743</v>
      </c>
      <c r="F140" s="70" t="s">
        <v>537</v>
      </c>
      <c r="G140" s="38">
        <v>8</v>
      </c>
      <c r="H140" s="38">
        <v>1.2</v>
      </c>
      <c r="I140" s="38" t="s">
        <v>744</v>
      </c>
      <c r="J140" s="38" t="s">
        <v>9208</v>
      </c>
      <c r="K140" s="38" t="s">
        <v>9209</v>
      </c>
      <c r="L140" s="38" t="s">
        <v>9210</v>
      </c>
      <c r="M140" s="32" t="s">
        <v>1429</v>
      </c>
      <c r="N140" s="32"/>
    </row>
    <row r="141" spans="1:14" ht="26.1" customHeight="1">
      <c r="A141" s="38" t="s">
        <v>504</v>
      </c>
      <c r="B141" s="38" t="s">
        <v>1058</v>
      </c>
      <c r="C141" s="38" t="s">
        <v>450</v>
      </c>
      <c r="D141" s="38" t="s">
        <v>173</v>
      </c>
      <c r="E141" s="38" t="s">
        <v>9243</v>
      </c>
      <c r="F141" s="70" t="s">
        <v>537</v>
      </c>
      <c r="G141" s="38"/>
      <c r="H141" s="38"/>
      <c r="I141" s="38"/>
      <c r="J141" s="38" t="s">
        <v>9245</v>
      </c>
      <c r="K141" s="38" t="s">
        <v>9246</v>
      </c>
      <c r="L141" s="38" t="s">
        <v>1513</v>
      </c>
      <c r="M141" s="32" t="s">
        <v>1429</v>
      </c>
      <c r="N141" s="32"/>
    </row>
    <row r="142" spans="1:14" ht="26.1" customHeight="1">
      <c r="A142" s="38" t="s">
        <v>504</v>
      </c>
      <c r="B142" s="38" t="s">
        <v>1058</v>
      </c>
      <c r="C142" s="38" t="s">
        <v>450</v>
      </c>
      <c r="D142" s="38" t="s">
        <v>174</v>
      </c>
      <c r="E142" s="38" t="s">
        <v>9247</v>
      </c>
      <c r="F142" s="70" t="s">
        <v>537</v>
      </c>
      <c r="G142" s="38"/>
      <c r="H142" s="38"/>
      <c r="I142" s="38"/>
      <c r="J142" s="38" t="s">
        <v>9245</v>
      </c>
      <c r="K142" s="38" t="s">
        <v>9246</v>
      </c>
      <c r="L142" s="38" t="s">
        <v>1513</v>
      </c>
      <c r="M142" s="32" t="s">
        <v>1429</v>
      </c>
      <c r="N142" s="32"/>
    </row>
    <row r="143" spans="1:14" ht="26.1" customHeight="1">
      <c r="A143" s="38" t="s">
        <v>504</v>
      </c>
      <c r="B143" s="38" t="s">
        <v>1058</v>
      </c>
      <c r="C143" s="38" t="s">
        <v>622</v>
      </c>
      <c r="D143" s="38" t="s">
        <v>191</v>
      </c>
      <c r="E143" s="38" t="s">
        <v>9319</v>
      </c>
      <c r="F143" s="70" t="s">
        <v>537</v>
      </c>
      <c r="G143" s="38">
        <v>10</v>
      </c>
      <c r="H143" s="38">
        <v>3.2</v>
      </c>
      <c r="I143" s="38" t="s">
        <v>1539</v>
      </c>
      <c r="J143" s="38" t="s">
        <v>9323</v>
      </c>
      <c r="K143" s="38" t="s">
        <v>9324</v>
      </c>
      <c r="L143" s="38" t="s">
        <v>9325</v>
      </c>
      <c r="M143" s="32" t="s">
        <v>1429</v>
      </c>
      <c r="N143" s="32"/>
    </row>
    <row r="144" spans="1:14" ht="26.1" customHeight="1">
      <c r="A144" s="38" t="s">
        <v>504</v>
      </c>
      <c r="B144" s="38" t="s">
        <v>1058</v>
      </c>
      <c r="C144" s="38" t="s">
        <v>622</v>
      </c>
      <c r="D144" s="38" t="s">
        <v>192</v>
      </c>
      <c r="E144" s="38" t="s">
        <v>9326</v>
      </c>
      <c r="F144" s="70" t="s">
        <v>537</v>
      </c>
      <c r="G144" s="38">
        <v>12</v>
      </c>
      <c r="H144" s="38">
        <v>6.1714285714285708</v>
      </c>
      <c r="I144" s="38" t="s">
        <v>1540</v>
      </c>
      <c r="J144" s="38" t="s">
        <v>9330</v>
      </c>
      <c r="K144" s="38" t="s">
        <v>9331</v>
      </c>
      <c r="L144" s="38" t="s">
        <v>9332</v>
      </c>
      <c r="M144" s="32" t="s">
        <v>1429</v>
      </c>
      <c r="N144" s="32"/>
    </row>
    <row r="145" spans="1:14" ht="26.1" customHeight="1">
      <c r="A145" s="38" t="s">
        <v>504</v>
      </c>
      <c r="B145" s="38" t="s">
        <v>1058</v>
      </c>
      <c r="C145" s="38" t="s">
        <v>622</v>
      </c>
      <c r="D145" s="38" t="s">
        <v>193</v>
      </c>
      <c r="E145" s="38" t="s">
        <v>9333</v>
      </c>
      <c r="F145" s="70" t="s">
        <v>537</v>
      </c>
      <c r="G145" s="38">
        <v>12</v>
      </c>
      <c r="H145" s="38">
        <v>5.0999999999999996</v>
      </c>
      <c r="I145" s="38" t="s">
        <v>1541</v>
      </c>
      <c r="J145" s="38" t="s">
        <v>9338</v>
      </c>
      <c r="K145" s="38" t="s">
        <v>9339</v>
      </c>
      <c r="L145" s="38" t="s">
        <v>9340</v>
      </c>
      <c r="M145" s="32" t="s">
        <v>1429</v>
      </c>
      <c r="N145" s="32"/>
    </row>
    <row r="146" spans="1:14" ht="26.1" customHeight="1">
      <c r="A146" s="38" t="s">
        <v>504</v>
      </c>
      <c r="B146" s="38" t="s">
        <v>1058</v>
      </c>
      <c r="C146" s="38" t="s">
        <v>634</v>
      </c>
      <c r="D146" s="38" t="s">
        <v>196</v>
      </c>
      <c r="E146" s="38" t="s">
        <v>9352</v>
      </c>
      <c r="F146" s="70" t="s">
        <v>537</v>
      </c>
      <c r="G146" s="38">
        <v>10</v>
      </c>
      <c r="H146" s="38">
        <v>1.5</v>
      </c>
      <c r="I146" s="38" t="s">
        <v>1153</v>
      </c>
      <c r="J146" s="38" t="s">
        <v>3261</v>
      </c>
      <c r="K146" s="38" t="s">
        <v>9357</v>
      </c>
      <c r="L146" s="38" t="s">
        <v>1513</v>
      </c>
      <c r="M146" s="32" t="s">
        <v>1429</v>
      </c>
      <c r="N146" s="32"/>
    </row>
    <row r="147" spans="1:14" ht="26.1" customHeight="1">
      <c r="A147" s="38" t="s">
        <v>504</v>
      </c>
      <c r="B147" s="38" t="s">
        <v>1058</v>
      </c>
      <c r="C147" s="38" t="s">
        <v>634</v>
      </c>
      <c r="D147" s="38" t="s">
        <v>197</v>
      </c>
      <c r="E147" s="38" t="s">
        <v>9359</v>
      </c>
      <c r="F147" s="70" t="s">
        <v>537</v>
      </c>
      <c r="G147" s="38">
        <v>12</v>
      </c>
      <c r="H147" s="38">
        <v>1.7999999999999998</v>
      </c>
      <c r="I147" s="38" t="s">
        <v>1543</v>
      </c>
      <c r="J147" s="38" t="s">
        <v>9362</v>
      </c>
      <c r="K147" s="38" t="s">
        <v>9357</v>
      </c>
      <c r="L147" s="38" t="s">
        <v>1513</v>
      </c>
      <c r="M147" s="32" t="s">
        <v>1429</v>
      </c>
      <c r="N147" s="32"/>
    </row>
    <row r="148" spans="1:14" ht="26.1" customHeight="1">
      <c r="A148" s="38" t="s">
        <v>504</v>
      </c>
      <c r="B148" s="38" t="s">
        <v>1058</v>
      </c>
      <c r="C148" s="38" t="s">
        <v>634</v>
      </c>
      <c r="D148" s="38" t="s">
        <v>198</v>
      </c>
      <c r="E148" s="38" t="s">
        <v>9364</v>
      </c>
      <c r="F148" s="70" t="s">
        <v>537</v>
      </c>
      <c r="G148" s="38">
        <v>12</v>
      </c>
      <c r="H148" s="38">
        <v>1.7999999999999998</v>
      </c>
      <c r="I148" s="38" t="s">
        <v>1543</v>
      </c>
      <c r="J148" s="38" t="s">
        <v>9362</v>
      </c>
      <c r="K148" s="38" t="s">
        <v>9357</v>
      </c>
      <c r="L148" s="38" t="s">
        <v>1513</v>
      </c>
      <c r="M148" s="32" t="s">
        <v>1429</v>
      </c>
      <c r="N148" s="32"/>
    </row>
    <row r="149" spans="1:14" ht="26.1" customHeight="1">
      <c r="A149" s="38" t="s">
        <v>504</v>
      </c>
      <c r="B149" s="38" t="s">
        <v>1058</v>
      </c>
      <c r="C149" s="38" t="s">
        <v>634</v>
      </c>
      <c r="D149" s="38" t="s">
        <v>199</v>
      </c>
      <c r="E149" s="38" t="s">
        <v>9368</v>
      </c>
      <c r="F149" s="70" t="s">
        <v>537</v>
      </c>
      <c r="G149" s="38">
        <v>12</v>
      </c>
      <c r="H149" s="38">
        <v>1.7999999999999998</v>
      </c>
      <c r="I149" s="38" t="s">
        <v>1545</v>
      </c>
      <c r="J149" s="38" t="s">
        <v>9372</v>
      </c>
      <c r="K149" s="38" t="s">
        <v>9357</v>
      </c>
      <c r="L149" s="38" t="s">
        <v>1513</v>
      </c>
      <c r="M149" s="32" t="s">
        <v>1429</v>
      </c>
      <c r="N149" s="32"/>
    </row>
    <row r="150" spans="1:14" ht="26.1" customHeight="1">
      <c r="A150" s="38" t="s">
        <v>504</v>
      </c>
      <c r="B150" s="38" t="s">
        <v>1058</v>
      </c>
      <c r="C150" s="38" t="s">
        <v>634</v>
      </c>
      <c r="D150" s="38" t="s">
        <v>200</v>
      </c>
      <c r="E150" s="38" t="s">
        <v>9373</v>
      </c>
      <c r="F150" s="70" t="s">
        <v>537</v>
      </c>
      <c r="G150" s="38">
        <v>12</v>
      </c>
      <c r="H150" s="38">
        <v>1.7999999999999998</v>
      </c>
      <c r="I150" s="38" t="s">
        <v>199</v>
      </c>
      <c r="J150" s="38" t="s">
        <v>199</v>
      </c>
      <c r="K150" s="38" t="s">
        <v>9357</v>
      </c>
      <c r="L150" s="38" t="s">
        <v>1513</v>
      </c>
      <c r="M150" s="32" t="s">
        <v>1429</v>
      </c>
      <c r="N150" s="32"/>
    </row>
    <row r="151" spans="1:14" ht="26.1" customHeight="1">
      <c r="A151" s="38" t="s">
        <v>504</v>
      </c>
      <c r="B151" s="38" t="s">
        <v>1058</v>
      </c>
      <c r="C151" s="38" t="s">
        <v>634</v>
      </c>
      <c r="D151" s="38" t="s">
        <v>201</v>
      </c>
      <c r="E151" s="38" t="s">
        <v>9376</v>
      </c>
      <c r="F151" s="70" t="s">
        <v>537</v>
      </c>
      <c r="G151" s="38">
        <v>12</v>
      </c>
      <c r="H151" s="38">
        <v>1.7999999999999998</v>
      </c>
      <c r="I151" s="38" t="s">
        <v>1548</v>
      </c>
      <c r="J151" s="38" t="s">
        <v>9379</v>
      </c>
      <c r="K151" s="38" t="s">
        <v>9357</v>
      </c>
      <c r="L151" s="38" t="s">
        <v>1513</v>
      </c>
      <c r="M151" s="32" t="s">
        <v>1429</v>
      </c>
      <c r="N151" s="32"/>
    </row>
    <row r="152" spans="1:14" ht="26.1" customHeight="1">
      <c r="A152" s="38" t="s">
        <v>504</v>
      </c>
      <c r="B152" s="38" t="s">
        <v>1058</v>
      </c>
      <c r="C152" s="38" t="s">
        <v>634</v>
      </c>
      <c r="D152" s="38" t="s">
        <v>202</v>
      </c>
      <c r="E152" s="38" t="s">
        <v>9380</v>
      </c>
      <c r="F152" s="70" t="s">
        <v>537</v>
      </c>
      <c r="G152" s="38">
        <v>12</v>
      </c>
      <c r="H152" s="38">
        <v>1.7999999999999998</v>
      </c>
      <c r="I152" s="38" t="s">
        <v>1550</v>
      </c>
      <c r="J152" s="38" t="s">
        <v>3306</v>
      </c>
      <c r="K152" s="38" t="s">
        <v>9357</v>
      </c>
      <c r="L152" s="38" t="s">
        <v>1513</v>
      </c>
      <c r="M152" s="32" t="s">
        <v>1429</v>
      </c>
      <c r="N152" s="32"/>
    </row>
    <row r="153" spans="1:14" ht="26.1" customHeight="1">
      <c r="A153" s="38" t="s">
        <v>504</v>
      </c>
      <c r="B153" s="38" t="s">
        <v>1058</v>
      </c>
      <c r="C153" s="38" t="s">
        <v>634</v>
      </c>
      <c r="D153" s="38" t="s">
        <v>203</v>
      </c>
      <c r="E153" s="38" t="s">
        <v>9383</v>
      </c>
      <c r="F153" s="70" t="s">
        <v>537</v>
      </c>
      <c r="G153" s="38">
        <v>10</v>
      </c>
      <c r="H153" s="38">
        <v>1.9375</v>
      </c>
      <c r="I153" s="38" t="s">
        <v>1551</v>
      </c>
      <c r="J153" s="38" t="s">
        <v>3316</v>
      </c>
      <c r="K153" s="38" t="s">
        <v>9357</v>
      </c>
      <c r="L153" s="38" t="s">
        <v>1513</v>
      </c>
      <c r="M153" s="32" t="s">
        <v>1429</v>
      </c>
      <c r="N153" s="32"/>
    </row>
    <row r="154" spans="1:14" ht="26.1" customHeight="1">
      <c r="A154" s="38" t="s">
        <v>504</v>
      </c>
      <c r="B154" s="38" t="s">
        <v>1058</v>
      </c>
      <c r="C154" s="38" t="s">
        <v>634</v>
      </c>
      <c r="D154" s="38" t="s">
        <v>204</v>
      </c>
      <c r="E154" s="38" t="s">
        <v>9386</v>
      </c>
      <c r="F154" s="70" t="s">
        <v>537</v>
      </c>
      <c r="G154" s="38">
        <v>10</v>
      </c>
      <c r="H154" s="38">
        <v>1.5</v>
      </c>
      <c r="I154" s="38" t="s">
        <v>1553</v>
      </c>
      <c r="J154" s="38" t="s">
        <v>9389</v>
      </c>
      <c r="K154" s="38" t="s">
        <v>9357</v>
      </c>
      <c r="L154" s="38" t="s">
        <v>1513</v>
      </c>
      <c r="M154" s="32" t="s">
        <v>1429</v>
      </c>
      <c r="N154" s="32"/>
    </row>
    <row r="155" spans="1:14" ht="26.1" customHeight="1">
      <c r="A155" s="38" t="s">
        <v>504</v>
      </c>
      <c r="B155" s="38" t="s">
        <v>1058</v>
      </c>
      <c r="C155" s="38" t="s">
        <v>634</v>
      </c>
      <c r="D155" s="38" t="s">
        <v>205</v>
      </c>
      <c r="E155" s="38" t="s">
        <v>9390</v>
      </c>
      <c r="F155" s="70" t="s">
        <v>537</v>
      </c>
      <c r="G155" s="38">
        <v>12</v>
      </c>
      <c r="H155" s="38">
        <v>1.7999999999999998</v>
      </c>
      <c r="I155" s="38" t="s">
        <v>1554</v>
      </c>
      <c r="J155" s="38" t="s">
        <v>9394</v>
      </c>
      <c r="K155" s="38" t="s">
        <v>9357</v>
      </c>
      <c r="L155" s="38" t="s">
        <v>1513</v>
      </c>
      <c r="M155" s="32" t="s">
        <v>1429</v>
      </c>
      <c r="N155" s="32"/>
    </row>
    <row r="156" spans="1:14" ht="26.1" customHeight="1">
      <c r="A156" s="38" t="s">
        <v>504</v>
      </c>
      <c r="B156" s="38" t="s">
        <v>1058</v>
      </c>
      <c r="C156" s="38" t="s">
        <v>634</v>
      </c>
      <c r="D156" s="38" t="s">
        <v>206</v>
      </c>
      <c r="E156" s="38" t="s">
        <v>9395</v>
      </c>
      <c r="F156" s="70" t="s">
        <v>537</v>
      </c>
      <c r="G156" s="38">
        <v>12</v>
      </c>
      <c r="H156" s="38">
        <v>1.7999999999999998</v>
      </c>
      <c r="I156" s="38" t="s">
        <v>1556</v>
      </c>
      <c r="J156" s="38" t="s">
        <v>9399</v>
      </c>
      <c r="K156" s="38" t="s">
        <v>9357</v>
      </c>
      <c r="L156" s="38" t="s">
        <v>1513</v>
      </c>
      <c r="M156" s="32" t="s">
        <v>1429</v>
      </c>
      <c r="N156" s="32"/>
    </row>
    <row r="157" spans="1:14" ht="26.1" customHeight="1">
      <c r="A157" s="38" t="s">
        <v>504</v>
      </c>
      <c r="B157" s="38" t="s">
        <v>1058</v>
      </c>
      <c r="C157" s="38" t="s">
        <v>634</v>
      </c>
      <c r="D157" s="38" t="s">
        <v>207</v>
      </c>
      <c r="E157" s="38" t="s">
        <v>9400</v>
      </c>
      <c r="F157" s="70" t="s">
        <v>537</v>
      </c>
      <c r="G157" s="38">
        <v>12</v>
      </c>
      <c r="H157" s="38">
        <v>1.7999999999999998</v>
      </c>
      <c r="I157" s="38" t="s">
        <v>1558</v>
      </c>
      <c r="J157" s="38" t="s">
        <v>9403</v>
      </c>
      <c r="K157" s="38" t="s">
        <v>9357</v>
      </c>
      <c r="L157" s="38" t="s">
        <v>1513</v>
      </c>
      <c r="M157" s="32" t="s">
        <v>1429</v>
      </c>
      <c r="N157" s="32"/>
    </row>
    <row r="158" spans="1:14" ht="26.1" customHeight="1">
      <c r="A158" s="38" t="s">
        <v>504</v>
      </c>
      <c r="B158" s="38" t="s">
        <v>1058</v>
      </c>
      <c r="C158" s="38" t="s">
        <v>634</v>
      </c>
      <c r="D158" s="38" t="s">
        <v>208</v>
      </c>
      <c r="E158" s="38" t="s">
        <v>9404</v>
      </c>
      <c r="F158" s="70" t="s">
        <v>537</v>
      </c>
      <c r="G158" s="38">
        <v>12</v>
      </c>
      <c r="H158" s="38">
        <v>1.7999999999999998</v>
      </c>
      <c r="I158" s="38" t="s">
        <v>1560</v>
      </c>
      <c r="J158" s="38" t="s">
        <v>9407</v>
      </c>
      <c r="K158" s="38" t="s">
        <v>9357</v>
      </c>
      <c r="L158" s="38" t="s">
        <v>1513</v>
      </c>
      <c r="M158" s="32" t="s">
        <v>1429</v>
      </c>
      <c r="N158" s="32"/>
    </row>
    <row r="159" spans="1:14" ht="26.1" customHeight="1">
      <c r="A159" s="38" t="s">
        <v>504</v>
      </c>
      <c r="B159" s="38" t="s">
        <v>1058</v>
      </c>
      <c r="C159" s="38" t="s">
        <v>634</v>
      </c>
      <c r="D159" s="38" t="s">
        <v>209</v>
      </c>
      <c r="E159" s="38" t="s">
        <v>9408</v>
      </c>
      <c r="F159" s="70" t="s">
        <v>537</v>
      </c>
      <c r="G159" s="38">
        <v>8</v>
      </c>
      <c r="H159" s="38">
        <v>1.2000000000000002</v>
      </c>
      <c r="I159" s="38" t="s">
        <v>1561</v>
      </c>
      <c r="J159" s="38" t="s">
        <v>9411</v>
      </c>
      <c r="K159" s="38" t="s">
        <v>9357</v>
      </c>
      <c r="L159" s="38" t="s">
        <v>1513</v>
      </c>
      <c r="M159" s="32" t="s">
        <v>1429</v>
      </c>
      <c r="N159" s="32"/>
    </row>
    <row r="160" spans="1:14" ht="26.1" customHeight="1">
      <c r="A160" s="38" t="s">
        <v>504</v>
      </c>
      <c r="B160" s="38" t="s">
        <v>1058</v>
      </c>
      <c r="C160" s="38" t="s">
        <v>634</v>
      </c>
      <c r="D160" s="38" t="s">
        <v>210</v>
      </c>
      <c r="E160" s="38" t="s">
        <v>9412</v>
      </c>
      <c r="F160" s="70" t="s">
        <v>537</v>
      </c>
      <c r="G160" s="38">
        <v>8</v>
      </c>
      <c r="H160" s="38">
        <v>1.2000000000000002</v>
      </c>
      <c r="I160" s="38" t="s">
        <v>1563</v>
      </c>
      <c r="J160" s="38" t="s">
        <v>9415</v>
      </c>
      <c r="K160" s="38" t="s">
        <v>9357</v>
      </c>
      <c r="L160" s="38" t="s">
        <v>1513</v>
      </c>
      <c r="M160" s="32" t="s">
        <v>1429</v>
      </c>
      <c r="N160" s="32"/>
    </row>
    <row r="161" spans="1:14" ht="26.1" customHeight="1">
      <c r="A161" s="38" t="s">
        <v>504</v>
      </c>
      <c r="B161" s="38" t="s">
        <v>1058</v>
      </c>
      <c r="C161" s="38" t="s">
        <v>634</v>
      </c>
      <c r="D161" s="38" t="s">
        <v>211</v>
      </c>
      <c r="E161" s="38" t="s">
        <v>9416</v>
      </c>
      <c r="F161" s="70" t="s">
        <v>537</v>
      </c>
      <c r="G161" s="38">
        <v>8</v>
      </c>
      <c r="H161" s="38">
        <v>1.2000000000000002</v>
      </c>
      <c r="I161" s="38" t="s">
        <v>210</v>
      </c>
      <c r="J161" s="38" t="s">
        <v>210</v>
      </c>
      <c r="K161" s="38" t="s">
        <v>9357</v>
      </c>
      <c r="L161" s="38" t="s">
        <v>1513</v>
      </c>
      <c r="M161" s="32" t="s">
        <v>1429</v>
      </c>
      <c r="N161" s="32"/>
    </row>
    <row r="162" spans="1:14" ht="26.1" customHeight="1">
      <c r="A162" s="38" t="s">
        <v>504</v>
      </c>
      <c r="B162" s="38" t="s">
        <v>1058</v>
      </c>
      <c r="C162" s="38" t="s">
        <v>634</v>
      </c>
      <c r="D162" s="38" t="s">
        <v>212</v>
      </c>
      <c r="E162" s="38" t="s">
        <v>9420</v>
      </c>
      <c r="F162" s="70" t="s">
        <v>537</v>
      </c>
      <c r="G162" s="38"/>
      <c r="H162" s="38"/>
      <c r="I162" s="38" t="s">
        <v>211</v>
      </c>
      <c r="J162" s="38" t="s">
        <v>211</v>
      </c>
      <c r="K162" s="38" t="s">
        <v>9357</v>
      </c>
      <c r="L162" s="38" t="s">
        <v>1513</v>
      </c>
      <c r="M162" s="32" t="s">
        <v>1429</v>
      </c>
      <c r="N162" s="32"/>
    </row>
    <row r="163" spans="1:14" ht="26.1" customHeight="1">
      <c r="A163" s="38" t="s">
        <v>504</v>
      </c>
      <c r="B163" s="38" t="s">
        <v>1058</v>
      </c>
      <c r="C163" s="38" t="s">
        <v>634</v>
      </c>
      <c r="D163" s="38" t="s">
        <v>213</v>
      </c>
      <c r="E163" s="38" t="s">
        <v>9421</v>
      </c>
      <c r="F163" s="70" t="s">
        <v>537</v>
      </c>
      <c r="G163" s="38"/>
      <c r="H163" s="38"/>
      <c r="I163" s="38" t="s">
        <v>1567</v>
      </c>
      <c r="J163" s="38" t="s">
        <v>9423</v>
      </c>
      <c r="K163" s="38" t="s">
        <v>9357</v>
      </c>
      <c r="L163" s="38" t="s">
        <v>1513</v>
      </c>
      <c r="M163" s="32" t="s">
        <v>1429</v>
      </c>
      <c r="N163" s="32"/>
    </row>
    <row r="164" spans="1:14" ht="26.1" customHeight="1">
      <c r="A164" s="38" t="s">
        <v>504</v>
      </c>
      <c r="B164" s="38" t="s">
        <v>1058</v>
      </c>
      <c r="C164" s="38" t="s">
        <v>634</v>
      </c>
      <c r="D164" s="38" t="s">
        <v>214</v>
      </c>
      <c r="E164" s="38" t="s">
        <v>9424</v>
      </c>
      <c r="F164" s="70" t="s">
        <v>537</v>
      </c>
      <c r="G164" s="38">
        <v>12</v>
      </c>
      <c r="H164" s="38">
        <v>1.7999999999999998</v>
      </c>
      <c r="I164" s="38" t="s">
        <v>1568</v>
      </c>
      <c r="J164" s="38" t="s">
        <v>3402</v>
      </c>
      <c r="K164" s="38" t="s">
        <v>9357</v>
      </c>
      <c r="L164" s="38" t="s">
        <v>1513</v>
      </c>
      <c r="M164" s="32" t="s">
        <v>1429</v>
      </c>
      <c r="N164" s="32"/>
    </row>
    <row r="165" spans="1:14" ht="26.1" customHeight="1">
      <c r="A165" s="38" t="s">
        <v>504</v>
      </c>
      <c r="B165" s="38" t="s">
        <v>1058</v>
      </c>
      <c r="C165" s="38" t="s">
        <v>634</v>
      </c>
      <c r="D165" s="38" t="s">
        <v>215</v>
      </c>
      <c r="E165" s="38" t="s">
        <v>9428</v>
      </c>
      <c r="F165" s="70" t="s">
        <v>537</v>
      </c>
      <c r="G165" s="38">
        <v>12</v>
      </c>
      <c r="H165" s="38">
        <v>4.32</v>
      </c>
      <c r="I165" s="38"/>
      <c r="J165" s="38" t="s">
        <v>9432</v>
      </c>
      <c r="K165" s="38" t="s">
        <v>9246</v>
      </c>
      <c r="L165" s="38" t="s">
        <v>1513</v>
      </c>
      <c r="M165" s="32" t="s">
        <v>1429</v>
      </c>
      <c r="N165" s="32"/>
    </row>
    <row r="166" spans="1:14" ht="26.1" customHeight="1">
      <c r="A166" s="38" t="s">
        <v>504</v>
      </c>
      <c r="B166" s="38" t="s">
        <v>1058</v>
      </c>
      <c r="C166" s="38" t="s">
        <v>634</v>
      </c>
      <c r="D166" s="38" t="s">
        <v>216</v>
      </c>
      <c r="E166" s="38" t="s">
        <v>9434</v>
      </c>
      <c r="F166" s="70" t="s">
        <v>537</v>
      </c>
      <c r="G166" s="38">
        <v>12</v>
      </c>
      <c r="H166" s="38">
        <v>4.32</v>
      </c>
      <c r="I166" s="38"/>
      <c r="J166" s="38" t="s">
        <v>9432</v>
      </c>
      <c r="K166" s="38" t="s">
        <v>9246</v>
      </c>
      <c r="L166" s="38" t="s">
        <v>1513</v>
      </c>
      <c r="M166" s="32" t="s">
        <v>1429</v>
      </c>
      <c r="N166" s="32"/>
    </row>
    <row r="167" spans="1:14" ht="26.1" customHeight="1">
      <c r="A167" s="38" t="s">
        <v>504</v>
      </c>
      <c r="B167" s="38" t="s">
        <v>1058</v>
      </c>
      <c r="C167" s="38" t="s">
        <v>634</v>
      </c>
      <c r="D167" s="38" t="s">
        <v>219</v>
      </c>
      <c r="E167" s="38" t="s">
        <v>9443</v>
      </c>
      <c r="F167" s="70" t="s">
        <v>537</v>
      </c>
      <c r="G167" s="38">
        <v>12</v>
      </c>
      <c r="H167" s="38">
        <v>1.7999999999999998</v>
      </c>
      <c r="I167" s="38" t="s">
        <v>1155</v>
      </c>
      <c r="J167" s="38" t="s">
        <v>3443</v>
      </c>
      <c r="K167" s="38" t="s">
        <v>9357</v>
      </c>
      <c r="L167" s="38" t="s">
        <v>1513</v>
      </c>
      <c r="M167" s="32" t="s">
        <v>1429</v>
      </c>
      <c r="N167" s="32"/>
    </row>
    <row r="168" spans="1:14" ht="26.1" customHeight="1">
      <c r="A168" s="38" t="s">
        <v>504</v>
      </c>
      <c r="B168" s="38" t="s">
        <v>1058</v>
      </c>
      <c r="C168" s="38" t="s">
        <v>634</v>
      </c>
      <c r="D168" s="38" t="s">
        <v>220</v>
      </c>
      <c r="E168" s="38" t="s">
        <v>9447</v>
      </c>
      <c r="F168" s="70" t="s">
        <v>537</v>
      </c>
      <c r="G168" s="38">
        <v>12</v>
      </c>
      <c r="H168" s="38">
        <v>1.7999999999999998</v>
      </c>
      <c r="I168" s="38" t="s">
        <v>1571</v>
      </c>
      <c r="J168" s="38" t="s">
        <v>9451</v>
      </c>
      <c r="K168" s="38" t="s">
        <v>9357</v>
      </c>
      <c r="L168" s="38" t="s">
        <v>1513</v>
      </c>
      <c r="M168" s="32" t="s">
        <v>1429</v>
      </c>
      <c r="N168" s="32"/>
    </row>
    <row r="169" spans="1:14" ht="26.1" customHeight="1">
      <c r="A169" s="38" t="s">
        <v>504</v>
      </c>
      <c r="B169" s="38" t="s">
        <v>1058</v>
      </c>
      <c r="C169" s="38" t="s">
        <v>634</v>
      </c>
      <c r="D169" s="38" t="s">
        <v>221</v>
      </c>
      <c r="E169" s="38" t="s">
        <v>9452</v>
      </c>
      <c r="F169" s="70" t="s">
        <v>537</v>
      </c>
      <c r="G169" s="38">
        <v>12</v>
      </c>
      <c r="H169" s="38">
        <v>1.7999999999999998</v>
      </c>
      <c r="I169" s="38" t="s">
        <v>1573</v>
      </c>
      <c r="J169" s="38" t="s">
        <v>3460</v>
      </c>
      <c r="K169" s="38" t="s">
        <v>9357</v>
      </c>
      <c r="L169" s="38" t="s">
        <v>1513</v>
      </c>
      <c r="M169" s="32" t="s">
        <v>1429</v>
      </c>
      <c r="N169" s="32"/>
    </row>
    <row r="170" spans="1:14" ht="26.1" customHeight="1">
      <c r="A170" s="38" t="s">
        <v>504</v>
      </c>
      <c r="B170" s="38" t="s">
        <v>1058</v>
      </c>
      <c r="C170" s="38" t="s">
        <v>634</v>
      </c>
      <c r="D170" s="38" t="s">
        <v>222</v>
      </c>
      <c r="E170" s="38" t="s">
        <v>9455</v>
      </c>
      <c r="F170" s="70" t="s">
        <v>537</v>
      </c>
      <c r="G170" s="38"/>
      <c r="H170" s="38"/>
      <c r="I170" s="38" t="s">
        <v>1574</v>
      </c>
      <c r="J170" s="38" t="s">
        <v>3470</v>
      </c>
      <c r="K170" s="38" t="s">
        <v>9357</v>
      </c>
      <c r="L170" s="38" t="s">
        <v>1513</v>
      </c>
      <c r="M170" s="32" t="s">
        <v>1429</v>
      </c>
      <c r="N170" s="32"/>
    </row>
    <row r="171" spans="1:14" ht="26.1" customHeight="1">
      <c r="A171" s="38" t="s">
        <v>504</v>
      </c>
      <c r="B171" s="38" t="s">
        <v>1058</v>
      </c>
      <c r="C171" s="38" t="s">
        <v>634</v>
      </c>
      <c r="D171" s="38" t="s">
        <v>223</v>
      </c>
      <c r="E171" s="38" t="s">
        <v>9456</v>
      </c>
      <c r="F171" s="70" t="s">
        <v>537</v>
      </c>
      <c r="G171" s="38">
        <v>12</v>
      </c>
      <c r="H171" s="38">
        <v>1.7999999999999998</v>
      </c>
      <c r="I171" s="38" t="s">
        <v>1576</v>
      </c>
      <c r="J171" s="38" t="s">
        <v>9460</v>
      </c>
      <c r="K171" s="38" t="s">
        <v>9357</v>
      </c>
      <c r="L171" s="38" t="s">
        <v>1513</v>
      </c>
      <c r="M171" s="32" t="s">
        <v>1429</v>
      </c>
      <c r="N171" s="32"/>
    </row>
    <row r="172" spans="1:14" ht="26.1" customHeight="1">
      <c r="A172" s="38" t="s">
        <v>504</v>
      </c>
      <c r="B172" s="38" t="s">
        <v>1058</v>
      </c>
      <c r="C172" s="38" t="s">
        <v>634</v>
      </c>
      <c r="D172" s="38" t="s">
        <v>224</v>
      </c>
      <c r="E172" s="38" t="s">
        <v>9461</v>
      </c>
      <c r="F172" s="70" t="s">
        <v>537</v>
      </c>
      <c r="G172" s="38">
        <v>10</v>
      </c>
      <c r="H172" s="38">
        <v>1.6666666666666667</v>
      </c>
      <c r="I172" s="38" t="s">
        <v>1578</v>
      </c>
      <c r="J172" s="38" t="s">
        <v>9465</v>
      </c>
      <c r="K172" s="38" t="s">
        <v>9357</v>
      </c>
      <c r="L172" s="38" t="s">
        <v>1513</v>
      </c>
      <c r="M172" s="32" t="s">
        <v>1429</v>
      </c>
      <c r="N172" s="32"/>
    </row>
    <row r="173" spans="1:14" ht="26.1" customHeight="1">
      <c r="A173" s="38" t="s">
        <v>504</v>
      </c>
      <c r="B173" s="38" t="s">
        <v>1058</v>
      </c>
      <c r="C173" s="38" t="s">
        <v>634</v>
      </c>
      <c r="D173" s="38" t="s">
        <v>225</v>
      </c>
      <c r="E173" s="38" t="s">
        <v>9467</v>
      </c>
      <c r="F173" s="70" t="s">
        <v>537</v>
      </c>
      <c r="G173" s="38">
        <v>12</v>
      </c>
      <c r="H173" s="38">
        <v>2</v>
      </c>
      <c r="I173" s="38" t="s">
        <v>1580</v>
      </c>
      <c r="J173" s="38" t="s">
        <v>9471</v>
      </c>
      <c r="K173" s="38" t="s">
        <v>9357</v>
      </c>
      <c r="L173" s="38" t="s">
        <v>1513</v>
      </c>
      <c r="M173" s="32" t="s">
        <v>1429</v>
      </c>
      <c r="N173" s="32"/>
    </row>
    <row r="174" spans="1:14" ht="26.1" customHeight="1">
      <c r="A174" s="38" t="s">
        <v>504</v>
      </c>
      <c r="B174" s="38" t="s">
        <v>1058</v>
      </c>
      <c r="C174" s="38" t="s">
        <v>634</v>
      </c>
      <c r="D174" s="38" t="s">
        <v>226</v>
      </c>
      <c r="E174" s="38" t="s">
        <v>9472</v>
      </c>
      <c r="F174" s="70" t="s">
        <v>537</v>
      </c>
      <c r="G174" s="38"/>
      <c r="H174" s="38"/>
      <c r="I174" s="38" t="s">
        <v>1581</v>
      </c>
      <c r="J174" s="38" t="s">
        <v>9474</v>
      </c>
      <c r="K174" s="38" t="s">
        <v>9357</v>
      </c>
      <c r="L174" s="38" t="s">
        <v>1513</v>
      </c>
      <c r="M174" s="32" t="s">
        <v>1429</v>
      </c>
      <c r="N174" s="32"/>
    </row>
    <row r="175" spans="1:14" ht="26.1" customHeight="1">
      <c r="A175" s="38" t="s">
        <v>504</v>
      </c>
      <c r="B175" s="38" t="s">
        <v>1058</v>
      </c>
      <c r="C175" s="38" t="s">
        <v>634</v>
      </c>
      <c r="D175" s="38" t="s">
        <v>227</v>
      </c>
      <c r="E175" s="38" t="s">
        <v>9476</v>
      </c>
      <c r="F175" s="70" t="s">
        <v>537</v>
      </c>
      <c r="G175" s="38">
        <v>12</v>
      </c>
      <c r="H175" s="38">
        <v>1.7999999999999998</v>
      </c>
      <c r="I175" s="38" t="s">
        <v>1582</v>
      </c>
      <c r="J175" s="38" t="s">
        <v>9479</v>
      </c>
      <c r="K175" s="38" t="s">
        <v>9357</v>
      </c>
      <c r="L175" s="38" t="s">
        <v>1513</v>
      </c>
      <c r="M175" s="32" t="s">
        <v>1429</v>
      </c>
      <c r="N175" s="32"/>
    </row>
    <row r="176" spans="1:14" ht="26.1" customHeight="1">
      <c r="A176" s="38" t="s">
        <v>504</v>
      </c>
      <c r="B176" s="38" t="s">
        <v>1058</v>
      </c>
      <c r="C176" s="38" t="s">
        <v>634</v>
      </c>
      <c r="D176" s="38" t="s">
        <v>228</v>
      </c>
      <c r="E176" s="38" t="s">
        <v>9480</v>
      </c>
      <c r="F176" s="70" t="s">
        <v>537</v>
      </c>
      <c r="G176" s="38">
        <v>10</v>
      </c>
      <c r="H176" s="38">
        <v>1.7</v>
      </c>
      <c r="I176" s="38" t="s">
        <v>1583</v>
      </c>
      <c r="J176" s="38" t="s">
        <v>9484</v>
      </c>
      <c r="K176" s="38" t="s">
        <v>9357</v>
      </c>
      <c r="L176" s="38" t="s">
        <v>1513</v>
      </c>
      <c r="M176" s="32" t="s">
        <v>1429</v>
      </c>
      <c r="N176" s="32"/>
    </row>
    <row r="177" spans="1:14" ht="26.1" customHeight="1">
      <c r="A177" s="38" t="s">
        <v>504</v>
      </c>
      <c r="B177" s="38" t="s">
        <v>1058</v>
      </c>
      <c r="C177" s="38" t="s">
        <v>634</v>
      </c>
      <c r="D177" s="38" t="s">
        <v>229</v>
      </c>
      <c r="E177" s="38" t="s">
        <v>9486</v>
      </c>
      <c r="F177" s="70" t="s">
        <v>537</v>
      </c>
      <c r="G177" s="38">
        <v>10</v>
      </c>
      <c r="H177" s="38">
        <v>1.5</v>
      </c>
      <c r="I177" s="38" t="s">
        <v>1584</v>
      </c>
      <c r="J177" s="38" t="s">
        <v>9489</v>
      </c>
      <c r="K177" s="38" t="s">
        <v>9357</v>
      </c>
      <c r="L177" s="38" t="s">
        <v>1513</v>
      </c>
      <c r="M177" s="32" t="s">
        <v>1429</v>
      </c>
      <c r="N177" s="32"/>
    </row>
    <row r="178" spans="1:14" ht="26.1" customHeight="1">
      <c r="A178" s="38" t="s">
        <v>504</v>
      </c>
      <c r="B178" s="38" t="s">
        <v>1058</v>
      </c>
      <c r="C178" s="38" t="s">
        <v>634</v>
      </c>
      <c r="D178" s="38" t="s">
        <v>230</v>
      </c>
      <c r="E178" s="38" t="s">
        <v>9490</v>
      </c>
      <c r="F178" s="70" t="s">
        <v>537</v>
      </c>
      <c r="G178" s="38">
        <v>10</v>
      </c>
      <c r="H178" s="38">
        <v>1.5</v>
      </c>
      <c r="I178" s="38" t="s">
        <v>1585</v>
      </c>
      <c r="J178" s="38" t="s">
        <v>9494</v>
      </c>
      <c r="K178" s="38" t="s">
        <v>9357</v>
      </c>
      <c r="L178" s="38" t="s">
        <v>1513</v>
      </c>
      <c r="M178" s="32" t="s">
        <v>1429</v>
      </c>
      <c r="N178" s="32"/>
    </row>
    <row r="179" spans="1:14">
      <c r="A179" t="s">
        <v>504</v>
      </c>
      <c r="B179" t="s">
        <v>1058</v>
      </c>
      <c r="C179" t="s">
        <v>634</v>
      </c>
      <c r="D179" t="s">
        <v>231</v>
      </c>
      <c r="E179" t="s">
        <v>9495</v>
      </c>
      <c r="F179" s="71" t="s">
        <v>537</v>
      </c>
      <c r="G179">
        <v>12</v>
      </c>
      <c r="H179">
        <v>3.2</v>
      </c>
      <c r="I179" t="s">
        <v>1586</v>
      </c>
      <c r="J179" t="s">
        <v>9499</v>
      </c>
      <c r="K179" t="s">
        <v>9500</v>
      </c>
      <c r="L179" t="s">
        <v>9501</v>
      </c>
      <c r="M179" t="s">
        <v>1429</v>
      </c>
    </row>
    <row r="180" spans="1:14">
      <c r="A180" t="s">
        <v>504</v>
      </c>
      <c r="B180" t="s">
        <v>1058</v>
      </c>
      <c r="C180" t="s">
        <v>634</v>
      </c>
      <c r="D180" t="s">
        <v>233</v>
      </c>
      <c r="E180" t="s">
        <v>9509</v>
      </c>
      <c r="F180" s="71" t="s">
        <v>537</v>
      </c>
      <c r="G180">
        <v>12</v>
      </c>
      <c r="H180">
        <v>5.0999999999999996</v>
      </c>
      <c r="I180" t="s">
        <v>1589</v>
      </c>
      <c r="J180" t="s">
        <v>9514</v>
      </c>
      <c r="K180" t="s">
        <v>9515</v>
      </c>
      <c r="L180" t="s">
        <v>9516</v>
      </c>
      <c r="M180" t="s">
        <v>1429</v>
      </c>
    </row>
    <row r="181" spans="1:14">
      <c r="A181" t="s">
        <v>504</v>
      </c>
      <c r="B181" t="s">
        <v>1058</v>
      </c>
      <c r="C181" t="s">
        <v>634</v>
      </c>
      <c r="D181" t="s">
        <v>235</v>
      </c>
      <c r="E181" t="s">
        <v>1160</v>
      </c>
      <c r="F181" s="71" t="s">
        <v>537</v>
      </c>
      <c r="I181" t="s">
        <v>1590</v>
      </c>
      <c r="J181" t="s">
        <v>1199</v>
      </c>
      <c r="K181" t="s">
        <v>9001</v>
      </c>
      <c r="L181" t="s">
        <v>9002</v>
      </c>
      <c r="M181" t="s">
        <v>1429</v>
      </c>
    </row>
    <row r="182" spans="1:14">
      <c r="A182" t="s">
        <v>451</v>
      </c>
      <c r="B182" t="s">
        <v>449</v>
      </c>
      <c r="C182" t="s">
        <v>524</v>
      </c>
      <c r="D182" t="s">
        <v>9583</v>
      </c>
      <c r="E182" t="s">
        <v>9584</v>
      </c>
      <c r="F182" t="s">
        <v>537</v>
      </c>
      <c r="I182" t="s">
        <v>102</v>
      </c>
      <c r="J182" t="s">
        <v>9591</v>
      </c>
      <c r="K182" t="s">
        <v>9592</v>
      </c>
      <c r="L182" t="s">
        <v>9593</v>
      </c>
      <c r="M182" t="s">
        <v>9600</v>
      </c>
    </row>
    <row r="183" spans="1:14">
      <c r="A183" t="s">
        <v>451</v>
      </c>
      <c r="B183" t="s">
        <v>449</v>
      </c>
      <c r="C183" t="s">
        <v>524</v>
      </c>
      <c r="D183" t="s">
        <v>9608</v>
      </c>
      <c r="E183" t="s">
        <v>9609</v>
      </c>
      <c r="F183" t="s">
        <v>537</v>
      </c>
      <c r="I183" t="s">
        <v>9583</v>
      </c>
      <c r="J183" t="s">
        <v>9591</v>
      </c>
      <c r="K183" t="s">
        <v>9592</v>
      </c>
      <c r="L183" t="s">
        <v>9593</v>
      </c>
      <c r="M183" t="s">
        <v>9600</v>
      </c>
    </row>
    <row r="184" spans="1:14">
      <c r="A184" t="s">
        <v>451</v>
      </c>
      <c r="B184" t="s">
        <v>449</v>
      </c>
      <c r="C184" t="s">
        <v>524</v>
      </c>
      <c r="D184" t="s">
        <v>9616</v>
      </c>
      <c r="E184" t="s">
        <v>9617</v>
      </c>
      <c r="F184" t="s">
        <v>537</v>
      </c>
      <c r="I184" t="s">
        <v>9621</v>
      </c>
      <c r="J184" t="s">
        <v>9591</v>
      </c>
      <c r="K184" t="s">
        <v>9592</v>
      </c>
      <c r="L184" t="s">
        <v>9593</v>
      </c>
      <c r="M184" t="s">
        <v>9600</v>
      </c>
    </row>
    <row r="185" spans="1:14">
      <c r="A185" t="s">
        <v>451</v>
      </c>
      <c r="B185" t="s">
        <v>449</v>
      </c>
      <c r="C185" t="s">
        <v>524</v>
      </c>
      <c r="D185" t="s">
        <v>9625</v>
      </c>
      <c r="E185" t="s">
        <v>9626</v>
      </c>
      <c r="F185" t="s">
        <v>537</v>
      </c>
      <c r="I185" t="s">
        <v>9631</v>
      </c>
      <c r="J185" t="s">
        <v>9591</v>
      </c>
      <c r="K185" t="s">
        <v>9592</v>
      </c>
      <c r="L185" t="s">
        <v>9593</v>
      </c>
      <c r="M185" t="s">
        <v>9600</v>
      </c>
    </row>
    <row r="186" spans="1:14">
      <c r="A186" t="s">
        <v>451</v>
      </c>
      <c r="B186" t="s">
        <v>449</v>
      </c>
      <c r="C186" t="s">
        <v>524</v>
      </c>
      <c r="D186" t="s">
        <v>9633</v>
      </c>
      <c r="E186" t="s">
        <v>9634</v>
      </c>
      <c r="F186" t="s">
        <v>537</v>
      </c>
      <c r="I186" t="s">
        <v>9639</v>
      </c>
      <c r="J186" t="s">
        <v>9591</v>
      </c>
      <c r="K186" t="s">
        <v>9592</v>
      </c>
      <c r="L186" t="s">
        <v>9593</v>
      </c>
      <c r="M186" t="s">
        <v>9600</v>
      </c>
    </row>
    <row r="187" spans="1:14">
      <c r="A187" t="s">
        <v>451</v>
      </c>
      <c r="B187" t="s">
        <v>449</v>
      </c>
      <c r="C187" t="s">
        <v>524</v>
      </c>
      <c r="D187" t="s">
        <v>9642</v>
      </c>
      <c r="E187" t="s">
        <v>9643</v>
      </c>
      <c r="F187" t="s">
        <v>537</v>
      </c>
      <c r="I187" t="s">
        <v>9633</v>
      </c>
      <c r="J187" t="s">
        <v>9591</v>
      </c>
      <c r="K187" t="s">
        <v>9592</v>
      </c>
      <c r="L187" t="s">
        <v>9593</v>
      </c>
      <c r="M187" t="s">
        <v>9600</v>
      </c>
      <c r="N187" t="s">
        <v>160</v>
      </c>
    </row>
    <row r="188" spans="1:14">
      <c r="A188" t="s">
        <v>491</v>
      </c>
      <c r="B188" t="s">
        <v>449</v>
      </c>
      <c r="C188" t="s">
        <v>524</v>
      </c>
      <c r="D188" t="s">
        <v>9651</v>
      </c>
      <c r="E188" t="s">
        <v>9652</v>
      </c>
      <c r="F188" t="s">
        <v>537</v>
      </c>
      <c r="I188" t="s">
        <v>9657</v>
      </c>
      <c r="J188" t="s">
        <v>9591</v>
      </c>
      <c r="K188" t="s">
        <v>9592</v>
      </c>
      <c r="L188" t="s">
        <v>9593</v>
      </c>
      <c r="M188" t="s">
        <v>9600</v>
      </c>
    </row>
    <row r="189" spans="1:14">
      <c r="A189" t="s">
        <v>504</v>
      </c>
      <c r="B189" t="s">
        <v>449</v>
      </c>
      <c r="C189" t="s">
        <v>524</v>
      </c>
      <c r="D189" t="s">
        <v>9661</v>
      </c>
      <c r="E189" t="s">
        <v>9662</v>
      </c>
      <c r="F189" t="s">
        <v>537</v>
      </c>
      <c r="I189" t="s">
        <v>9667</v>
      </c>
      <c r="J189" t="s">
        <v>9591</v>
      </c>
      <c r="K189" t="s">
        <v>9592</v>
      </c>
      <c r="L189" t="s">
        <v>9593</v>
      </c>
      <c r="M189" t="s">
        <v>9600</v>
      </c>
    </row>
  </sheetData>
  <mergeCells count="1">
    <mergeCell ref="A1:L1"/>
  </mergeCells>
  <conditionalFormatting sqref="F3:F181">
    <cfRule type="expression" dxfId="33" priority="1">
      <formula>$F3="Done"</formula>
    </cfRule>
    <cfRule type="expression" dxfId="32" priority="2">
      <formula>$F3="In Progress"</formula>
    </cfRule>
    <cfRule type="expression" dxfId="31" priority="3">
      <formula>$F3="Not Started"</formula>
    </cfRule>
    <cfRule type="expression" dxfId="30" priority="4">
      <formula>$F3="Blocked"</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workbookViewId="0"/>
  </sheetViews>
  <sheetFormatPr defaultRowHeight="14.25"/>
  <cols>
    <col min="1" max="1" width="25" customWidth="1"/>
    <col min="2" max="2" width="30" customWidth="1"/>
    <col min="3" max="4" width="24" customWidth="1"/>
    <col min="5" max="5" width="28" customWidth="1"/>
    <col min="6" max="7" width="52" customWidth="1"/>
    <col min="8" max="8" width="26" customWidth="1"/>
    <col min="9" max="9" width="14" customWidth="1"/>
    <col min="10" max="10" width="42" customWidth="1"/>
  </cols>
  <sheetData>
    <row r="1" spans="1:10" ht="20.25">
      <c r="A1" s="102" t="s">
        <v>9690</v>
      </c>
      <c r="B1" s="102"/>
      <c r="C1" s="102"/>
      <c r="D1" s="102"/>
      <c r="E1" s="102"/>
      <c r="F1" s="102"/>
      <c r="G1" s="102"/>
      <c r="H1" s="102"/>
      <c r="I1" s="102"/>
      <c r="J1" s="102"/>
    </row>
    <row r="2" spans="1:10">
      <c r="A2" s="2"/>
      <c r="B2" s="2"/>
      <c r="C2" s="2"/>
      <c r="D2" s="2"/>
      <c r="E2" s="2"/>
      <c r="F2" s="2"/>
      <c r="G2" s="2"/>
      <c r="H2" s="2"/>
      <c r="I2" s="2"/>
      <c r="J2" s="2"/>
    </row>
    <row r="3" spans="1:10" ht="15">
      <c r="A3" s="1" t="s">
        <v>9691</v>
      </c>
      <c r="B3" s="1" t="s">
        <v>9692</v>
      </c>
      <c r="C3" s="1" t="s">
        <v>9693</v>
      </c>
      <c r="D3" s="1" t="s">
        <v>9694</v>
      </c>
      <c r="E3" s="1" t="s">
        <v>817</v>
      </c>
      <c r="F3" s="1" t="s">
        <v>9695</v>
      </c>
      <c r="G3" s="1" t="s">
        <v>9696</v>
      </c>
      <c r="H3" s="1" t="s">
        <v>9697</v>
      </c>
      <c r="I3" s="1" t="s">
        <v>9698</v>
      </c>
      <c r="J3" s="1" t="s">
        <v>9699</v>
      </c>
    </row>
    <row r="4" spans="1:10" ht="43.5">
      <c r="A4" s="2" t="s">
        <v>9700</v>
      </c>
      <c r="B4" s="2" t="s">
        <v>9701</v>
      </c>
      <c r="C4" s="2" t="s">
        <v>9702</v>
      </c>
      <c r="D4" s="2" t="s">
        <v>9703</v>
      </c>
      <c r="E4" s="2" t="s">
        <v>9704</v>
      </c>
      <c r="F4" s="2" t="s">
        <v>9705</v>
      </c>
      <c r="G4" s="2" t="s">
        <v>9706</v>
      </c>
      <c r="H4" s="2" t="s">
        <v>9707</v>
      </c>
      <c r="I4" s="2" t="s">
        <v>9708</v>
      </c>
      <c r="J4" s="2" t="s">
        <v>9709</v>
      </c>
    </row>
    <row r="5" spans="1:10" ht="43.5">
      <c r="A5" s="2" t="s">
        <v>9710</v>
      </c>
      <c r="B5" s="2" t="s">
        <v>9711</v>
      </c>
      <c r="C5" s="2" t="s">
        <v>9712</v>
      </c>
      <c r="D5" s="2" t="s">
        <v>9713</v>
      </c>
      <c r="E5" s="2" t="s">
        <v>9714</v>
      </c>
      <c r="F5" s="2" t="s">
        <v>9715</v>
      </c>
      <c r="G5" s="2" t="s">
        <v>9716</v>
      </c>
      <c r="H5" s="2" t="s">
        <v>9707</v>
      </c>
      <c r="I5" s="2" t="s">
        <v>9708</v>
      </c>
      <c r="J5" s="2" t="s">
        <v>9717</v>
      </c>
    </row>
    <row r="6" spans="1:10" ht="43.5">
      <c r="A6" s="2" t="s">
        <v>9718</v>
      </c>
      <c r="B6" s="2" t="s">
        <v>9719</v>
      </c>
      <c r="C6" s="2" t="s">
        <v>9720</v>
      </c>
      <c r="D6" s="2" t="s">
        <v>9721</v>
      </c>
      <c r="E6" s="2" t="s">
        <v>9722</v>
      </c>
      <c r="F6" s="2" t="s">
        <v>9723</v>
      </c>
      <c r="G6" s="2" t="s">
        <v>9724</v>
      </c>
      <c r="H6" s="2" t="s">
        <v>9707</v>
      </c>
      <c r="I6" s="2" t="s">
        <v>9708</v>
      </c>
      <c r="J6" s="2" t="s">
        <v>9725</v>
      </c>
    </row>
    <row r="7" spans="1:10" ht="57.75">
      <c r="A7" s="2" t="s">
        <v>9726</v>
      </c>
      <c r="B7" s="2" t="s">
        <v>9727</v>
      </c>
      <c r="C7" s="2" t="s">
        <v>9728</v>
      </c>
      <c r="D7" s="2" t="s">
        <v>9729</v>
      </c>
      <c r="E7" s="2" t="s">
        <v>9730</v>
      </c>
      <c r="F7" s="2" t="s">
        <v>9731</v>
      </c>
      <c r="G7" s="2" t="s">
        <v>9732</v>
      </c>
      <c r="H7" s="2" t="s">
        <v>9733</v>
      </c>
      <c r="I7" s="2" t="s">
        <v>9708</v>
      </c>
      <c r="J7" s="2" t="s">
        <v>9734</v>
      </c>
    </row>
    <row r="8" spans="1:10" ht="71.25">
      <c r="A8" s="2" t="s">
        <v>9735</v>
      </c>
      <c r="B8" s="2" t="s">
        <v>9736</v>
      </c>
      <c r="C8" s="2" t="s">
        <v>9737</v>
      </c>
      <c r="D8" s="2" t="s">
        <v>9738</v>
      </c>
      <c r="E8" s="2" t="s">
        <v>9739</v>
      </c>
      <c r="F8" s="2" t="s">
        <v>9740</v>
      </c>
      <c r="G8" s="2" t="s">
        <v>9741</v>
      </c>
      <c r="H8" s="2" t="s">
        <v>9742</v>
      </c>
      <c r="I8" s="2" t="s">
        <v>9743</v>
      </c>
      <c r="J8" s="2" t="s">
        <v>9744</v>
      </c>
    </row>
    <row r="9" spans="1:10" ht="29.25">
      <c r="A9" s="2" t="s">
        <v>968</v>
      </c>
      <c r="B9" s="2" t="s">
        <v>9745</v>
      </c>
      <c r="C9" s="2" t="s">
        <v>9746</v>
      </c>
      <c r="D9" s="2" t="s">
        <v>9747</v>
      </c>
      <c r="E9" s="2" t="s">
        <v>9748</v>
      </c>
      <c r="F9" s="2" t="s">
        <v>9749</v>
      </c>
      <c r="G9" s="2" t="s">
        <v>9750</v>
      </c>
      <c r="H9" s="2" t="s">
        <v>9751</v>
      </c>
      <c r="I9" s="2" t="s">
        <v>9708</v>
      </c>
      <c r="J9" s="2" t="s">
        <v>9752</v>
      </c>
    </row>
    <row r="10" spans="1:10" ht="29.25">
      <c r="A10" s="2" t="s">
        <v>9753</v>
      </c>
      <c r="B10" s="2" t="s">
        <v>9754</v>
      </c>
      <c r="C10" s="2" t="s">
        <v>9755</v>
      </c>
      <c r="D10" s="2" t="s">
        <v>9756</v>
      </c>
      <c r="E10" s="2" t="s">
        <v>9757</v>
      </c>
      <c r="F10" s="2" t="s">
        <v>9758</v>
      </c>
      <c r="G10" s="2" t="s">
        <v>9759</v>
      </c>
      <c r="H10" s="2" t="s">
        <v>9751</v>
      </c>
      <c r="I10" s="2" t="s">
        <v>9708</v>
      </c>
      <c r="J10" s="2" t="s">
        <v>9760</v>
      </c>
    </row>
    <row r="11" spans="1:10" ht="29.25">
      <c r="A11" s="2" t="s">
        <v>9761</v>
      </c>
      <c r="B11" s="2" t="s">
        <v>9762</v>
      </c>
      <c r="C11" s="2" t="s">
        <v>9763</v>
      </c>
      <c r="D11" s="2" t="s">
        <v>9764</v>
      </c>
      <c r="E11" s="2" t="s">
        <v>9765</v>
      </c>
      <c r="F11" s="2" t="s">
        <v>9766</v>
      </c>
      <c r="G11" s="2" t="s">
        <v>9767</v>
      </c>
      <c r="H11" s="2" t="s">
        <v>9768</v>
      </c>
      <c r="I11" s="2" t="s">
        <v>9708</v>
      </c>
      <c r="J11" s="2" t="s">
        <v>9769</v>
      </c>
    </row>
    <row r="12" spans="1:10" ht="29.25">
      <c r="A12" s="2" t="s">
        <v>9770</v>
      </c>
      <c r="B12" s="2" t="s">
        <v>9771</v>
      </c>
      <c r="C12" s="2" t="s">
        <v>9772</v>
      </c>
      <c r="D12" s="2" t="s">
        <v>9773</v>
      </c>
      <c r="E12" s="2" t="s">
        <v>9774</v>
      </c>
      <c r="F12" s="2" t="s">
        <v>9775</v>
      </c>
      <c r="G12" s="2" t="s">
        <v>9776</v>
      </c>
      <c r="H12" s="2" t="s">
        <v>9777</v>
      </c>
      <c r="I12" s="2" t="s">
        <v>9708</v>
      </c>
      <c r="J12" s="2" t="s">
        <v>9778</v>
      </c>
    </row>
    <row r="13" spans="1:10" ht="29.25">
      <c r="A13" s="2" t="s">
        <v>9779</v>
      </c>
      <c r="B13" s="2" t="s">
        <v>9780</v>
      </c>
      <c r="C13" s="2" t="s">
        <v>9781</v>
      </c>
      <c r="D13" s="2" t="s">
        <v>9782</v>
      </c>
      <c r="E13" s="2" t="s">
        <v>9783</v>
      </c>
      <c r="F13" s="2" t="s">
        <v>9784</v>
      </c>
      <c r="G13" s="2" t="s">
        <v>9785</v>
      </c>
      <c r="H13" s="2" t="s">
        <v>9751</v>
      </c>
      <c r="I13" s="2" t="s">
        <v>9708</v>
      </c>
      <c r="J13" s="2" t="s">
        <v>9786</v>
      </c>
    </row>
    <row r="14" spans="1:10" ht="43.5">
      <c r="A14" s="2" t="s">
        <v>9787</v>
      </c>
      <c r="B14" s="2" t="s">
        <v>9788</v>
      </c>
      <c r="C14" s="2" t="s">
        <v>9789</v>
      </c>
      <c r="D14" s="2" t="s">
        <v>9790</v>
      </c>
      <c r="E14" s="2" t="s">
        <v>9791</v>
      </c>
      <c r="F14" s="2" t="s">
        <v>9792</v>
      </c>
      <c r="G14" s="2" t="s">
        <v>9793</v>
      </c>
      <c r="H14" s="2" t="s">
        <v>9794</v>
      </c>
      <c r="I14" s="2" t="s">
        <v>9708</v>
      </c>
      <c r="J14" s="2" t="s">
        <v>9795</v>
      </c>
    </row>
    <row r="15" spans="1:10" ht="29.25">
      <c r="A15" s="2" t="s">
        <v>9796</v>
      </c>
      <c r="B15" s="2" t="s">
        <v>9797</v>
      </c>
      <c r="C15" s="2" t="s">
        <v>9798</v>
      </c>
      <c r="D15" s="2" t="s">
        <v>9799</v>
      </c>
      <c r="E15" s="2" t="s">
        <v>9800</v>
      </c>
      <c r="F15" s="2" t="s">
        <v>9801</v>
      </c>
      <c r="G15" s="2" t="s">
        <v>9802</v>
      </c>
      <c r="H15" s="2" t="s">
        <v>9803</v>
      </c>
      <c r="I15" s="2" t="s">
        <v>9708</v>
      </c>
      <c r="J15" s="2" t="s">
        <v>9804</v>
      </c>
    </row>
    <row r="16" spans="1:10" ht="57">
      <c r="A16" s="2" t="s">
        <v>9805</v>
      </c>
      <c r="B16" s="2" t="s">
        <v>9806</v>
      </c>
      <c r="C16" s="2" t="s">
        <v>9807</v>
      </c>
      <c r="D16" s="2" t="s">
        <v>9808</v>
      </c>
      <c r="E16" s="2" t="s">
        <v>9809</v>
      </c>
      <c r="F16" s="2" t="s">
        <v>9810</v>
      </c>
      <c r="G16" s="2" t="s">
        <v>9811</v>
      </c>
      <c r="H16" s="2" t="s">
        <v>9812</v>
      </c>
      <c r="I16" s="2" t="s">
        <v>9708</v>
      </c>
      <c r="J16" s="2" t="s">
        <v>9813</v>
      </c>
    </row>
    <row r="17" spans="1:10" ht="42.75">
      <c r="A17" s="2" t="s">
        <v>9814</v>
      </c>
      <c r="B17" s="2" t="s">
        <v>9815</v>
      </c>
      <c r="C17" s="2" t="s">
        <v>9816</v>
      </c>
      <c r="D17" s="2" t="s">
        <v>9817</v>
      </c>
      <c r="E17" s="2" t="s">
        <v>9818</v>
      </c>
      <c r="F17" s="2" t="s">
        <v>9819</v>
      </c>
      <c r="G17" s="2" t="s">
        <v>9820</v>
      </c>
      <c r="H17" s="2" t="s">
        <v>9821</v>
      </c>
      <c r="I17" s="2" t="s">
        <v>9708</v>
      </c>
      <c r="J17" s="2" t="s">
        <v>9822</v>
      </c>
    </row>
  </sheetData>
  <mergeCells count="1">
    <mergeCell ref="A1:J1"/>
  </mergeCells>
  <conditionalFormatting sqref="I4:I15">
    <cfRule type="expression" dxfId="29" priority="1">
      <formula>I4="MIRRORED"</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8"/>
  <sheetViews>
    <sheetView workbookViewId="0"/>
  </sheetViews>
  <sheetFormatPr defaultRowHeight="14.25"/>
  <cols>
    <col min="1" max="1" width="12" customWidth="1"/>
    <col min="2" max="6" width="20" customWidth="1"/>
    <col min="7" max="10" width="38" customWidth="1"/>
  </cols>
  <sheetData>
    <row r="1" spans="1:10" ht="36" customHeight="1">
      <c r="A1" s="36" t="s">
        <v>0</v>
      </c>
      <c r="B1" s="36" t="s">
        <v>54</v>
      </c>
      <c r="C1" s="36" t="s">
        <v>55</v>
      </c>
      <c r="D1" s="36" t="s">
        <v>56</v>
      </c>
      <c r="E1" s="36" t="s">
        <v>10</v>
      </c>
      <c r="F1" s="36" t="s">
        <v>57</v>
      </c>
      <c r="G1" s="36" t="s">
        <v>58</v>
      </c>
      <c r="H1" s="36" t="s">
        <v>59</v>
      </c>
      <c r="I1" s="36" t="s">
        <v>60</v>
      </c>
      <c r="J1" s="37" t="s">
        <v>61</v>
      </c>
    </row>
    <row r="2" spans="1:10" ht="26.1" customHeight="1">
      <c r="A2" s="38" t="s">
        <v>62</v>
      </c>
      <c r="B2" s="38" t="str">
        <f>IF(INDEX(Backlog!$B$2:$B$188,MATCH($A2,Backlog!$A$2:$A$188,0))="","",INDEX(Backlog!$B$2:$B$188,MATCH($A2,Backlog!$A$2:$A$188,0)))</f>
        <v>M2</v>
      </c>
      <c r="C2" s="38" t="str">
        <f>IF(INDEX(Backlog!$C$2:$C$188,MATCH($A2,Backlog!$A$2:$A$188,0))="","",INDEX(Backlog!$C$2:$C$188,MATCH($A2,Backlog!$A$2:$A$188,0)))</f>
        <v>P1</v>
      </c>
      <c r="D2" s="38" t="str">
        <f>IF(INDEX(Backlog!$L$2:$L$188,MATCH($A2,Backlog!$A$2:$A$188,0))="","",INDEX(Backlog!$L$2:$L$188,MATCH($A2,Backlog!$A$2:$A$188,0)))</f>
        <v>Worker 1</v>
      </c>
      <c r="E2" s="70" t="str">
        <f>IF(INDEX(Backlog!$K$2:$K$188,MATCH($A2,Backlog!$A$2:$A$188,0))="","",INDEX(Backlog!$K$2:$K$188,MATCH($A2,Backlog!$A$2:$A$188,0)))</f>
        <v>Done</v>
      </c>
      <c r="F2" s="38">
        <f>IF(ISNUMBER(INDEX(Backlog!$AT$2:$AT$188,MATCH($A2,Backlog!$A$2:$A$188,0))),INDEX(Backlog!$AT$2:$AT$188,MATCH($A2,Backlog!$A$2:$A$188,0)),"")</f>
        <v>2.72</v>
      </c>
      <c r="G2" s="38" t="str">
        <f>IF(INDEX(Backlog!$M$2:$M$188,MATCH($A2,Backlog!$A$2:$A$188,0))="","",INDEX(Backlog!$M$2:$M$188,MATCH($A2,Backlog!$A$2:$A$188,0)))</f>
        <v>T-201</v>
      </c>
      <c r="H2" s="38" t="str">
        <f>IF(INDEX(Backlog!$N$2:$N$188,MATCH($A2,Backlog!$A$2:$A$188,0))="","",INDEX(Backlog!$N$2:$N$188,MATCH($A2,Backlog!$A$2:$A$188,0)))</f>
        <v>T-087; T-088; T-131</v>
      </c>
      <c r="I2" s="38" t="str">
        <f>IF(INDEX(Backlog!$T$2:$T$188,MATCH($A2,Backlog!$A$2:$A$188,0))="","",INDEX(Backlog!$T$2:$T$188,MATCH($A2,Backlog!$A$2:$A$188,0)))</f>
        <v>CLOSED BASELINE — no new start gate and no re-execution implied. Preserve accepted closure and clean owned scope; reopen only on a concrete, separately recorded regression. Downstream consumes the frozen contract.</v>
      </c>
      <c r="J2" s="32" t="str">
        <f>IF(INDEX(Backlog!$AN$2:$AN$188,MATCH($A2,Backlog!$A$2:$A$188,0))="","",INDEX(Backlog!$AN$2:$AN$188,MATCH($A2,Backlog!$A$2:$A$188,0)))</f>
        <v/>
      </c>
    </row>
    <row r="3" spans="1:10" ht="26.1" customHeight="1">
      <c r="A3" s="38" t="s">
        <v>63</v>
      </c>
      <c r="B3" s="38" t="str">
        <f>IF(INDEX(Backlog!$B$2:$B$188,MATCH($A3,Backlog!$A$2:$A$188,0))="","",INDEX(Backlog!$B$2:$B$188,MATCH($A3,Backlog!$A$2:$A$188,0)))</f>
        <v>M2</v>
      </c>
      <c r="C3" s="38" t="str">
        <f>IF(INDEX(Backlog!$C$2:$C$188,MATCH($A3,Backlog!$A$2:$A$188,0))="","",INDEX(Backlog!$C$2:$C$188,MATCH($A3,Backlog!$A$2:$A$188,0)))</f>
        <v>P1</v>
      </c>
      <c r="D3" s="38" t="str">
        <f>IF(INDEX(Backlog!$L$2:$L$188,MATCH($A3,Backlog!$A$2:$A$188,0))="","",INDEX(Backlog!$L$2:$L$188,MATCH($A3,Backlog!$A$2:$A$188,0)))</f>
        <v>Worker 1</v>
      </c>
      <c r="E3" s="70" t="str">
        <f>IF(INDEX(Backlog!$K$2:$K$188,MATCH($A3,Backlog!$A$2:$A$188,0))="","",INDEX(Backlog!$K$2:$K$188,MATCH($A3,Backlog!$A$2:$A$188,0)))</f>
        <v>Done</v>
      </c>
      <c r="F3" s="38">
        <f>IF(ISNUMBER(INDEX(Backlog!$AT$2:$AT$188,MATCH($A3,Backlog!$A$2:$A$188,0))),INDEX(Backlog!$AT$2:$AT$188,MATCH($A3,Backlog!$A$2:$A$188,0)),"")</f>
        <v>2.3250000000000002</v>
      </c>
      <c r="G3" s="38" t="str">
        <f>IF(INDEX(Backlog!$M$2:$M$188,MATCH($A3,Backlog!$A$2:$A$188,0))="","",INDEX(Backlog!$M$2:$M$188,MATCH($A3,Backlog!$A$2:$A$188,0)))</f>
        <v>T-086; T-088</v>
      </c>
      <c r="H3" s="38" t="str">
        <f>IF(INDEX(Backlog!$N$2:$N$188,MATCH($A3,Backlog!$A$2:$A$188,0))="","",INDEX(Backlog!$N$2:$N$188,MATCH($A3,Backlog!$A$2:$A$188,0)))</f>
        <v>T-089; T-099; T-102; T-112; T-114; T-128; T-196; T-233; T-251; T-252; T-272</v>
      </c>
      <c r="I3" s="38" t="str">
        <f>IF(INDEX(Backlog!$T$2:$T$188,MATCH($A3,Backlog!$A$2:$A$188,0))="","",INDEX(Backlog!$T$2:$T$188,MATCH($A3,Backlog!$A$2:$A$188,0)))</f>
        <v>CLOSED BASELINE — no new start gate and no re-execution implied. Preserve accepted closure and clean owned scope; reopen only on a concrete, separately recorded regression. Downstream consumes the frozen contract.</v>
      </c>
      <c r="J3" s="32" t="str">
        <f>IF(INDEX(Backlog!$AN$2:$AN$188,MATCH($A3,Backlog!$A$2:$A$188,0))="","",INDEX(Backlog!$AN$2:$AN$188,MATCH($A3,Backlog!$A$2:$A$188,0)))</f>
        <v/>
      </c>
    </row>
    <row r="4" spans="1:10" ht="26.1" customHeight="1">
      <c r="A4" s="38" t="s">
        <v>64</v>
      </c>
      <c r="B4" s="38" t="str">
        <f>IF(INDEX(Backlog!$B$2:$B$188,MATCH($A4,Backlog!$A$2:$A$188,0))="","",INDEX(Backlog!$B$2:$B$188,MATCH($A4,Backlog!$A$2:$A$188,0)))</f>
        <v>M2</v>
      </c>
      <c r="C4" s="38" t="str">
        <f>IF(INDEX(Backlog!$C$2:$C$188,MATCH($A4,Backlog!$A$2:$A$188,0))="","",INDEX(Backlog!$C$2:$C$188,MATCH($A4,Backlog!$A$2:$A$188,0)))</f>
        <v>P1</v>
      </c>
      <c r="D4" s="38" t="str">
        <f>IF(INDEX(Backlog!$L$2:$L$188,MATCH($A4,Backlog!$A$2:$A$188,0))="","",INDEX(Backlog!$L$2:$L$188,MATCH($A4,Backlog!$A$2:$A$188,0)))</f>
        <v>Worker 1</v>
      </c>
      <c r="E4" s="70" t="str">
        <f>IF(INDEX(Backlog!$K$2:$K$188,MATCH($A4,Backlog!$A$2:$A$188,0))="","",INDEX(Backlog!$K$2:$K$188,MATCH($A4,Backlog!$A$2:$A$188,0)))</f>
        <v>Done</v>
      </c>
      <c r="F4" s="38">
        <f>IF(ISNUMBER(INDEX(Backlog!$AT$2:$AT$188,MATCH($A4,Backlog!$A$2:$A$188,0))),INDEX(Backlog!$AT$2:$AT$188,MATCH($A4,Backlog!$A$2:$A$188,0)),"")</f>
        <v>2.3250000000000002</v>
      </c>
      <c r="G4" s="38" t="str">
        <f>IF(INDEX(Backlog!$M$2:$M$188,MATCH($A4,Backlog!$A$2:$A$188,0))="","",INDEX(Backlog!$M$2:$M$188,MATCH($A4,Backlog!$A$2:$A$188,0)))</f>
        <v>T-086</v>
      </c>
      <c r="H4" s="38" t="str">
        <f>IF(INDEX(Backlog!$N$2:$N$188,MATCH($A4,Backlog!$A$2:$A$188,0))="","",INDEX(Backlog!$N$2:$N$188,MATCH($A4,Backlog!$A$2:$A$188,0)))</f>
        <v>T-087; T-089; T-112; T-128; T-251; T-252; T-256; T-260; T-272</v>
      </c>
      <c r="I4" s="38" t="str">
        <f>IF(INDEX(Backlog!$T$2:$T$188,MATCH($A4,Backlog!$A$2:$A$188,0))="","",INDEX(Backlog!$T$2:$T$188,MATCH($A4,Backlog!$A$2:$A$188,0)))</f>
        <v>CLOSED BASELINE — no new start gate and no re-execution implied. Preserve accepted closure and clean owned scope; reopen only on a concrete, separately recorded regression. Downstream consumes the frozen contract.</v>
      </c>
      <c r="J4" s="32" t="str">
        <f>IF(INDEX(Backlog!$AN$2:$AN$188,MATCH($A4,Backlog!$A$2:$A$188,0))="","",INDEX(Backlog!$AN$2:$AN$188,MATCH($A4,Backlog!$A$2:$A$188,0)))</f>
        <v/>
      </c>
    </row>
    <row r="5" spans="1:10" ht="26.1" customHeight="1">
      <c r="A5" s="38" t="s">
        <v>65</v>
      </c>
      <c r="B5" s="38" t="str">
        <f>IF(INDEX(Backlog!$B$2:$B$188,MATCH($A5,Backlog!$A$2:$A$188,0))="","",INDEX(Backlog!$B$2:$B$188,MATCH($A5,Backlog!$A$2:$A$188,0)))</f>
        <v>M2</v>
      </c>
      <c r="C5" s="38" t="str">
        <f>IF(INDEX(Backlog!$C$2:$C$188,MATCH($A5,Backlog!$A$2:$A$188,0))="","",INDEX(Backlog!$C$2:$C$188,MATCH($A5,Backlog!$A$2:$A$188,0)))</f>
        <v>P1</v>
      </c>
      <c r="D5" s="38" t="str">
        <f>IF(INDEX(Backlog!$L$2:$L$188,MATCH($A5,Backlog!$A$2:$A$188,0))="","",INDEX(Backlog!$L$2:$L$188,MATCH($A5,Backlog!$A$2:$A$188,0)))</f>
        <v>Worker 1</v>
      </c>
      <c r="E5" s="70" t="str">
        <f>IF(INDEX(Backlog!$K$2:$K$188,MATCH($A5,Backlog!$A$2:$A$188,0))="","",INDEX(Backlog!$K$2:$K$188,MATCH($A5,Backlog!$A$2:$A$188,0)))</f>
        <v>Done</v>
      </c>
      <c r="F5" s="38">
        <f>IF(ISNUMBER(INDEX(Backlog!$AT$2:$AT$188,MATCH($A5,Backlog!$A$2:$A$188,0))),INDEX(Backlog!$AT$2:$AT$188,MATCH($A5,Backlog!$A$2:$A$188,0)),"")</f>
        <v>2.3250000000000002</v>
      </c>
      <c r="G5" s="38" t="str">
        <f>IF(INDEX(Backlog!$M$2:$M$188,MATCH($A5,Backlog!$A$2:$A$188,0))="","",INDEX(Backlog!$M$2:$M$188,MATCH($A5,Backlog!$A$2:$A$188,0)))</f>
        <v>T-087; T-088</v>
      </c>
      <c r="H5" s="38" t="str">
        <f>IF(INDEX(Backlog!$N$2:$N$188,MATCH($A5,Backlog!$A$2:$A$188,0))="","",INDEX(Backlog!$N$2:$N$188,MATCH($A5,Backlog!$A$2:$A$188,0)))</f>
        <v>T-090; T-092; T-095; T-099; T-106; T-114; T-128; T-183; T-243; T-244</v>
      </c>
      <c r="I5" s="38" t="str">
        <f>IF(INDEX(Backlog!$T$2:$T$188,MATCH($A5,Backlog!$A$2:$A$188,0))="","",INDEX(Backlog!$T$2:$T$188,MATCH($A5,Backlog!$A$2:$A$188,0)))</f>
        <v>CLOSED BASELINE — no new start gate and no re-execution implied. Preserve accepted closure and clean owned scope; reopen only on a concrete, separately recorded regression. Downstream consumes the frozen contract.</v>
      </c>
      <c r="J5" s="32" t="str">
        <f>IF(INDEX(Backlog!$AN$2:$AN$188,MATCH($A5,Backlog!$A$2:$A$188,0))="","",INDEX(Backlog!$AN$2:$AN$188,MATCH($A5,Backlog!$A$2:$A$188,0)))</f>
        <v/>
      </c>
    </row>
    <row r="6" spans="1:10" ht="26.1" customHeight="1">
      <c r="A6" s="38" t="s">
        <v>66</v>
      </c>
      <c r="B6" s="38" t="str">
        <f>IF(INDEX(Backlog!$B$2:$B$188,MATCH($A6,Backlog!$A$2:$A$188,0))="","",INDEX(Backlog!$B$2:$B$188,MATCH($A6,Backlog!$A$2:$A$188,0)))</f>
        <v>M2</v>
      </c>
      <c r="C6" s="38" t="str">
        <f>IF(INDEX(Backlog!$C$2:$C$188,MATCH($A6,Backlog!$A$2:$A$188,0))="","",INDEX(Backlog!$C$2:$C$188,MATCH($A6,Backlog!$A$2:$A$188,0)))</f>
        <v>P1</v>
      </c>
      <c r="D6" s="38" t="str">
        <f>IF(INDEX(Backlog!$L$2:$L$188,MATCH($A6,Backlog!$A$2:$A$188,0))="","",INDEX(Backlog!$L$2:$L$188,MATCH($A6,Backlog!$A$2:$A$188,0)))</f>
        <v>Worker 1</v>
      </c>
      <c r="E6" s="70" t="str">
        <f>IF(INDEX(Backlog!$K$2:$K$188,MATCH($A6,Backlog!$A$2:$A$188,0))="","",INDEX(Backlog!$K$2:$K$188,MATCH($A6,Backlog!$A$2:$A$188,0)))</f>
        <v>Done</v>
      </c>
      <c r="F6" s="38">
        <f>IF(ISNUMBER(INDEX(Backlog!$AT$2:$AT$188,MATCH($A6,Backlog!$A$2:$A$188,0))),INDEX(Backlog!$AT$2:$AT$188,MATCH($A6,Backlog!$A$2:$A$188,0)),"")</f>
        <v>1.7999999999999998</v>
      </c>
      <c r="G6" s="38" t="str">
        <f>IF(INDEX(Backlog!$M$2:$M$188,MATCH($A6,Backlog!$A$2:$A$188,0))="","",INDEX(Backlog!$M$2:$M$188,MATCH($A6,Backlog!$A$2:$A$188,0)))</f>
        <v>T-089</v>
      </c>
      <c r="H6" s="38" t="str">
        <f>IF(INDEX(Backlog!$N$2:$N$188,MATCH($A6,Backlog!$A$2:$A$188,0))="","",INDEX(Backlog!$N$2:$N$188,MATCH($A6,Backlog!$A$2:$A$188,0)))</f>
        <v>T-091; T-092; T-095; T-099; T-104; T-106; T-114; T-128; T-134; T-147; T-183; T-195; T-210; T-221; T-228; T-231; T-232; T-233; T-235; T-239; T-243; T-244</v>
      </c>
      <c r="I6" s="38" t="str">
        <f>IF(INDEX(Backlog!$T$2:$T$188,MATCH($A6,Backlog!$A$2:$A$188,0))="","",INDEX(Backlog!$T$2:$T$188,MATCH($A6,Backlog!$A$2:$A$188,0)))</f>
        <v>CLOSED BASELINE — no new start gate and no re-execution implied. Preserve accepted closure and clean owned scope; reopen only on a concrete, separately recorded regression. Downstream consumes the frozen contract.</v>
      </c>
      <c r="J6" s="32" t="str">
        <f>IF(INDEX(Backlog!$AN$2:$AN$188,MATCH($A6,Backlog!$A$2:$A$188,0))="","",INDEX(Backlog!$AN$2:$AN$188,MATCH($A6,Backlog!$A$2:$A$188,0)))</f>
        <v/>
      </c>
    </row>
    <row r="7" spans="1:10" ht="26.1" customHeight="1">
      <c r="A7" s="38" t="s">
        <v>67</v>
      </c>
      <c r="B7" s="38" t="str">
        <f>IF(INDEX(Backlog!$B$2:$B$188,MATCH($A7,Backlog!$A$2:$A$188,0))="","",INDEX(Backlog!$B$2:$B$188,MATCH($A7,Backlog!$A$2:$A$188,0)))</f>
        <v>M2</v>
      </c>
      <c r="C7" s="38" t="str">
        <f>IF(INDEX(Backlog!$C$2:$C$188,MATCH($A7,Backlog!$A$2:$A$188,0))="","",INDEX(Backlog!$C$2:$C$188,MATCH($A7,Backlog!$A$2:$A$188,0)))</f>
        <v>P1</v>
      </c>
      <c r="D7" s="38" t="str">
        <f>IF(INDEX(Backlog!$L$2:$L$188,MATCH($A7,Backlog!$A$2:$A$188,0))="","",INDEX(Backlog!$L$2:$L$188,MATCH($A7,Backlog!$A$2:$A$188,0)))</f>
        <v>Worker 1</v>
      </c>
      <c r="E7" s="70" t="str">
        <f>IF(INDEX(Backlog!$K$2:$K$188,MATCH($A7,Backlog!$A$2:$A$188,0))="","",INDEX(Backlog!$K$2:$K$188,MATCH($A7,Backlog!$A$2:$A$188,0)))</f>
        <v>Done</v>
      </c>
      <c r="F7" s="38">
        <f>IF(ISNUMBER(INDEX(Backlog!$AT$2:$AT$188,MATCH($A7,Backlog!$A$2:$A$188,0))),INDEX(Backlog!$AT$2:$AT$188,MATCH($A7,Backlog!$A$2:$A$188,0)),"")</f>
        <v>1.7999999999999998</v>
      </c>
      <c r="G7" s="38" t="str">
        <f>IF(INDEX(Backlog!$M$2:$M$188,MATCH($A7,Backlog!$A$2:$A$188,0))="","",INDEX(Backlog!$M$2:$M$188,MATCH($A7,Backlog!$A$2:$A$188,0)))</f>
        <v>T-090</v>
      </c>
      <c r="H7" s="38" t="str">
        <f>IF(INDEX(Backlog!$N$2:$N$188,MATCH($A7,Backlog!$A$2:$A$188,0))="","",INDEX(Backlog!$N$2:$N$188,MATCH($A7,Backlog!$A$2:$A$188,0)))</f>
        <v>T-128; T-183</v>
      </c>
      <c r="I7" s="38" t="str">
        <f>IF(INDEX(Backlog!$T$2:$T$188,MATCH($A7,Backlog!$A$2:$A$188,0))="","",INDEX(Backlog!$T$2:$T$188,MATCH($A7,Backlog!$A$2:$A$188,0)))</f>
        <v>CLOSED BASELINE — no new start gate and no re-execution implied. Preserve accepted closure and clean owned scope; reopen only on a concrete, separately recorded regression. Downstream consumes the frozen contract.</v>
      </c>
      <c r="J7" s="32" t="str">
        <f>IF(INDEX(Backlog!$AN$2:$AN$188,MATCH($A7,Backlog!$A$2:$A$188,0))="","",INDEX(Backlog!$AN$2:$AN$188,MATCH($A7,Backlog!$A$2:$A$188,0)))</f>
        <v/>
      </c>
    </row>
    <row r="8" spans="1:10" ht="26.1" customHeight="1">
      <c r="A8" s="38" t="s">
        <v>68</v>
      </c>
      <c r="B8" s="38" t="str">
        <f>IF(INDEX(Backlog!$B$2:$B$188,MATCH($A8,Backlog!$A$2:$A$188,0))="","",INDEX(Backlog!$B$2:$B$188,MATCH($A8,Backlog!$A$2:$A$188,0)))</f>
        <v>M2</v>
      </c>
      <c r="C8" s="38" t="str">
        <f>IF(INDEX(Backlog!$C$2:$C$188,MATCH($A8,Backlog!$A$2:$A$188,0))="","",INDEX(Backlog!$C$2:$C$188,MATCH($A8,Backlog!$A$2:$A$188,0)))</f>
        <v>P1</v>
      </c>
      <c r="D8" s="38" t="str">
        <f>IF(INDEX(Backlog!$L$2:$L$188,MATCH($A8,Backlog!$A$2:$A$188,0))="","",INDEX(Backlog!$L$2:$L$188,MATCH($A8,Backlog!$A$2:$A$188,0)))</f>
        <v>Worker 1</v>
      </c>
      <c r="E8" s="70" t="str">
        <f>IF(INDEX(Backlog!$K$2:$K$188,MATCH($A8,Backlog!$A$2:$A$188,0))="","",INDEX(Backlog!$K$2:$K$188,MATCH($A8,Backlog!$A$2:$A$188,0)))</f>
        <v>Done</v>
      </c>
      <c r="F8" s="38">
        <f>IF(ISNUMBER(INDEX(Backlog!$AT$2:$AT$188,MATCH($A8,Backlog!$A$2:$A$188,0))),INDEX(Backlog!$AT$2:$AT$188,MATCH($A8,Backlog!$A$2:$A$188,0)),"")</f>
        <v>1.7999999999999998</v>
      </c>
      <c r="G8" s="38" t="str">
        <f>IF(INDEX(Backlog!$M$2:$M$188,MATCH($A8,Backlog!$A$2:$A$188,0))="","",INDEX(Backlog!$M$2:$M$188,MATCH($A8,Backlog!$A$2:$A$188,0)))</f>
        <v>T-089; T-090; T-210; T-231</v>
      </c>
      <c r="H8" s="38" t="str">
        <f>IF(INDEX(Backlog!$N$2:$N$188,MATCH($A8,Backlog!$A$2:$A$188,0))="","",INDEX(Backlog!$N$2:$N$188,MATCH($A8,Backlog!$A$2:$A$188,0)))</f>
        <v>T-093; T-094; T-128; T-183; T-212; T-215; T-228; T-237; T-247</v>
      </c>
      <c r="I8" s="38" t="str">
        <f>IF(INDEX(Backlog!$T$2:$T$188,MATCH($A8,Backlog!$A$2:$A$188,0))="","",INDEX(Backlog!$T$2:$T$188,MATCH($A8,Backlog!$A$2:$A$188,0)))</f>
        <v>CLOSED BASELINE — no new start gate and no re-execution implied. Preserve accepted closure and clean owned scope; reopen only on a concrete, separately recorded regression. Downstream consumes the frozen contract.</v>
      </c>
      <c r="J8" s="32" t="str">
        <f>IF(INDEX(Backlog!$AN$2:$AN$188,MATCH($A8,Backlog!$A$2:$A$188,0))="","",INDEX(Backlog!$AN$2:$AN$188,MATCH($A8,Backlog!$A$2:$A$188,0)))</f>
        <v/>
      </c>
    </row>
    <row r="9" spans="1:10" ht="26.1" customHeight="1">
      <c r="A9" s="38" t="s">
        <v>69</v>
      </c>
      <c r="B9" s="38" t="str">
        <f>IF(INDEX(Backlog!$B$2:$B$188,MATCH($A9,Backlog!$A$2:$A$188,0))="","",INDEX(Backlog!$B$2:$B$188,MATCH($A9,Backlog!$A$2:$A$188,0)))</f>
        <v>M2</v>
      </c>
      <c r="C9" s="38" t="str">
        <f>IF(INDEX(Backlog!$C$2:$C$188,MATCH($A9,Backlog!$A$2:$A$188,0))="","",INDEX(Backlog!$C$2:$C$188,MATCH($A9,Backlog!$A$2:$A$188,0)))</f>
        <v>P1</v>
      </c>
      <c r="D9" s="38" t="str">
        <f>IF(INDEX(Backlog!$L$2:$L$188,MATCH($A9,Backlog!$A$2:$A$188,0))="","",INDEX(Backlog!$L$2:$L$188,MATCH($A9,Backlog!$A$2:$A$188,0)))</f>
        <v>Worker 1</v>
      </c>
      <c r="E9" s="70" t="str">
        <f>IF(INDEX(Backlog!$K$2:$K$188,MATCH($A9,Backlog!$A$2:$A$188,0))="","",INDEX(Backlog!$K$2:$K$188,MATCH($A9,Backlog!$A$2:$A$188,0)))</f>
        <v>Done</v>
      </c>
      <c r="F9" s="38">
        <f>IF(ISNUMBER(INDEX(Backlog!$AT$2:$AT$188,MATCH($A9,Backlog!$A$2:$A$188,0))),INDEX(Backlog!$AT$2:$AT$188,MATCH($A9,Backlog!$A$2:$A$188,0)),"")</f>
        <v>0.89999999999999991</v>
      </c>
      <c r="G9" s="38" t="str">
        <f>IF(INDEX(Backlog!$M$2:$M$188,MATCH($A9,Backlog!$A$2:$A$188,0))="","",INDEX(Backlog!$M$2:$M$188,MATCH($A9,Backlog!$A$2:$A$188,0)))</f>
        <v>T-092; T-206</v>
      </c>
      <c r="H9" s="38" t="str">
        <f>IF(INDEX(Backlog!$N$2:$N$188,MATCH($A9,Backlog!$A$2:$A$188,0))="","",INDEX(Backlog!$N$2:$N$188,MATCH($A9,Backlog!$A$2:$A$188,0)))</f>
        <v>T-094; T-128; T-183</v>
      </c>
      <c r="I9" s="38" t="str">
        <f>IF(INDEX(Backlog!$T$2:$T$188,MATCH($A9,Backlog!$A$2:$A$188,0))="","",INDEX(Backlog!$T$2:$T$188,MATCH($A9,Backlog!$A$2:$A$188,0)))</f>
        <v>CLOSED BASELINE — no new start gate and no re-execution implied. Preserve accepted closure and clean owned scope; reopen only on a concrete, separately recorded regression. Downstream consumes the frozen contract.</v>
      </c>
      <c r="J9" s="32" t="str">
        <f>IF(INDEX(Backlog!$AN$2:$AN$188,MATCH($A9,Backlog!$A$2:$A$188,0))="","",INDEX(Backlog!$AN$2:$AN$188,MATCH($A9,Backlog!$A$2:$A$188,0)))</f>
        <v/>
      </c>
    </row>
    <row r="10" spans="1:10" ht="26.1" customHeight="1">
      <c r="A10" s="38" t="s">
        <v>70</v>
      </c>
      <c r="B10" s="38" t="str">
        <f>IF(INDEX(Backlog!$B$2:$B$188,MATCH($A10,Backlog!$A$2:$A$188,0))="","",INDEX(Backlog!$B$2:$B$188,MATCH($A10,Backlog!$A$2:$A$188,0)))</f>
        <v>M2</v>
      </c>
      <c r="C10" s="38" t="str">
        <f>IF(INDEX(Backlog!$C$2:$C$188,MATCH($A10,Backlog!$A$2:$A$188,0))="","",INDEX(Backlog!$C$2:$C$188,MATCH($A10,Backlog!$A$2:$A$188,0)))</f>
        <v>P1</v>
      </c>
      <c r="D10" s="38" t="str">
        <f>IF(INDEX(Backlog!$L$2:$L$188,MATCH($A10,Backlog!$A$2:$A$188,0))="","",INDEX(Backlog!$L$2:$L$188,MATCH($A10,Backlog!$A$2:$A$188,0)))</f>
        <v>Worker 1</v>
      </c>
      <c r="E10" s="70" t="str">
        <f>IF(INDEX(Backlog!$K$2:$K$188,MATCH($A10,Backlog!$A$2:$A$188,0))="","",INDEX(Backlog!$K$2:$K$188,MATCH($A10,Backlog!$A$2:$A$188,0)))</f>
        <v>Done</v>
      </c>
      <c r="F10" s="38">
        <f>IF(ISNUMBER(INDEX(Backlog!$AT$2:$AT$188,MATCH($A10,Backlog!$A$2:$A$188,0))),INDEX(Backlog!$AT$2:$AT$188,MATCH($A10,Backlog!$A$2:$A$188,0)),"")</f>
        <v>3.6</v>
      </c>
      <c r="G10" s="38" t="str">
        <f>IF(INDEX(Backlog!$M$2:$M$188,MATCH($A10,Backlog!$A$2:$A$188,0))="","",INDEX(Backlog!$M$2:$M$188,MATCH($A10,Backlog!$A$2:$A$188,0)))</f>
        <v>T-092; T-093; T-209</v>
      </c>
      <c r="H10" s="38" t="str">
        <f>IF(INDEX(Backlog!$N$2:$N$188,MATCH($A10,Backlog!$A$2:$A$188,0))="","",INDEX(Backlog!$N$2:$N$188,MATCH($A10,Backlog!$A$2:$A$188,0)))</f>
        <v>T-095; T-128; T-183; T-196; T-253; T-256; T-258</v>
      </c>
      <c r="I10" s="38" t="str">
        <f>IF(INDEX(Backlog!$T$2:$T$188,MATCH($A10,Backlog!$A$2:$A$188,0))="","",INDEX(Backlog!$T$2:$T$188,MATCH($A10,Backlog!$A$2:$A$188,0)))</f>
        <v>CLOSED BASELINE — no new start gate and no re-execution implied. Preserve accepted closure and clean owned scope; reopen only on a concrete, separately recorded regression. Downstream consumes the frozen contract.</v>
      </c>
      <c r="J10" s="32" t="str">
        <f>IF(INDEX(Backlog!$AN$2:$AN$188,MATCH($A10,Backlog!$A$2:$A$188,0))="","",INDEX(Backlog!$AN$2:$AN$188,MATCH($A10,Backlog!$A$2:$A$188,0)))</f>
        <v/>
      </c>
    </row>
    <row r="11" spans="1:10" ht="26.1" customHeight="1">
      <c r="A11" s="38" t="s">
        <v>71</v>
      </c>
      <c r="B11" s="38" t="str">
        <f>IF(INDEX(Backlog!$B$2:$B$188,MATCH($A11,Backlog!$A$2:$A$188,0))="","",INDEX(Backlog!$B$2:$B$188,MATCH($A11,Backlog!$A$2:$A$188,0)))</f>
        <v>M2</v>
      </c>
      <c r="C11" s="38" t="str">
        <f>IF(INDEX(Backlog!$C$2:$C$188,MATCH($A11,Backlog!$A$2:$A$188,0))="","",INDEX(Backlog!$C$2:$C$188,MATCH($A11,Backlog!$A$2:$A$188,0)))</f>
        <v>P1</v>
      </c>
      <c r="D11" s="38" t="str">
        <f>IF(INDEX(Backlog!$L$2:$L$188,MATCH($A11,Backlog!$A$2:$A$188,0))="","",INDEX(Backlog!$L$2:$L$188,MATCH($A11,Backlog!$A$2:$A$188,0)))</f>
        <v>Worker 1</v>
      </c>
      <c r="E11" s="70" t="str">
        <f>IF(INDEX(Backlog!$K$2:$K$188,MATCH($A11,Backlog!$A$2:$A$188,0))="","",INDEX(Backlog!$K$2:$K$188,MATCH($A11,Backlog!$A$2:$A$188,0)))</f>
        <v>Done</v>
      </c>
      <c r="F11" s="38">
        <f>IF(ISNUMBER(INDEX(Backlog!$AT$2:$AT$188,MATCH($A11,Backlog!$A$2:$A$188,0))),INDEX(Backlog!$AT$2:$AT$188,MATCH($A11,Backlog!$A$2:$A$188,0)),"")</f>
        <v>1.5</v>
      </c>
      <c r="G11" s="38" t="str">
        <f>IF(INDEX(Backlog!$M$2:$M$188,MATCH($A11,Backlog!$A$2:$A$188,0))="","",INDEX(Backlog!$M$2:$M$188,MATCH($A11,Backlog!$A$2:$A$188,0)))</f>
        <v/>
      </c>
      <c r="H11" s="38" t="str">
        <f>IF(INDEX(Backlog!$N$2:$N$188,MATCH($A11,Backlog!$A$2:$A$188,0))="","",INDEX(Backlog!$N$2:$N$188,MATCH($A11,Backlog!$A$2:$A$188,0)))</f>
        <v>T-086; T-202; T-203; T-204; T-205; T-206; T-207; T-208; T-213; T-241</v>
      </c>
      <c r="I11" s="38" t="str">
        <f>IF(INDEX(Backlog!$T$2:$T$188,MATCH($A11,Backlog!$A$2:$A$188,0))="","",INDEX(Backlog!$T$2:$T$188,MATCH($A11,Backlog!$A$2:$A$188,0)))</f>
        <v>CLOSED BASELINE — no new start gate and no re-execution implied. Preserve accepted closure and clean owned scope; reopen only on a concrete, separately recorded regression. Downstream consumes the frozen contract.</v>
      </c>
      <c r="J11" s="32" t="str">
        <f>IF(INDEX(Backlog!$AN$2:$AN$188,MATCH($A11,Backlog!$A$2:$A$188,0))="","",INDEX(Backlog!$AN$2:$AN$188,MATCH($A11,Backlog!$A$2:$A$188,0)))</f>
        <v/>
      </c>
    </row>
    <row r="12" spans="1:10" ht="26.1" customHeight="1">
      <c r="A12" s="38" t="s">
        <v>72</v>
      </c>
      <c r="B12" s="38" t="str">
        <f>IF(INDEX(Backlog!$B$2:$B$188,MATCH($A12,Backlog!$A$2:$A$188,0))="","",INDEX(Backlog!$B$2:$B$188,MATCH($A12,Backlog!$A$2:$A$188,0)))</f>
        <v>M2</v>
      </c>
      <c r="C12" s="38" t="str">
        <f>IF(INDEX(Backlog!$C$2:$C$188,MATCH($A12,Backlog!$A$2:$A$188,0))="","",INDEX(Backlog!$C$2:$C$188,MATCH($A12,Backlog!$A$2:$A$188,0)))</f>
        <v>P1</v>
      </c>
      <c r="D12" s="38" t="str">
        <f>IF(INDEX(Backlog!$L$2:$L$188,MATCH($A12,Backlog!$A$2:$A$188,0))="","",INDEX(Backlog!$L$2:$L$188,MATCH($A12,Backlog!$A$2:$A$188,0)))</f>
        <v>Worker 2</v>
      </c>
      <c r="E12" s="70" t="str">
        <f>IF(INDEX(Backlog!$K$2:$K$188,MATCH($A12,Backlog!$A$2:$A$188,0))="","",INDEX(Backlog!$K$2:$K$188,MATCH($A12,Backlog!$A$2:$A$188,0)))</f>
        <v>Done</v>
      </c>
      <c r="F12" s="38">
        <f>IF(ISNUMBER(INDEX(Backlog!$AT$2:$AT$188,MATCH($A12,Backlog!$A$2:$A$188,0))),INDEX(Backlog!$AT$2:$AT$188,MATCH($A12,Backlog!$A$2:$A$188,0)),"")</f>
        <v>4</v>
      </c>
      <c r="G12" s="38" t="str">
        <f>IF(INDEX(Backlog!$M$2:$M$188,MATCH($A12,Backlog!$A$2:$A$188,0))="","",INDEX(Backlog!$M$2:$M$188,MATCH($A12,Backlog!$A$2:$A$188,0)))</f>
        <v>T-201</v>
      </c>
      <c r="H12" s="38" t="str">
        <f>IF(INDEX(Backlog!$N$2:$N$188,MATCH($A12,Backlog!$A$2:$A$188,0))="","",INDEX(Backlog!$N$2:$N$188,MATCH($A12,Backlog!$A$2:$A$188,0)))</f>
        <v>T-212; T-248</v>
      </c>
      <c r="I12" s="38" t="str">
        <f>IF(INDEX(Backlog!$T$2:$T$188,MATCH($A12,Backlog!$A$2:$A$188,0))="","",INDEX(Backlog!$T$2:$T$188,MATCH($A12,Backlog!$A$2:$A$188,0)))</f>
        <v>CLOSED BASELINE — no new start gate and no re-execution implied. Preserve accepted closure and clean owned scope; reopen only on a concrete, separately recorded regression. Downstream consumes the frozen contract.</v>
      </c>
      <c r="J12" s="32" t="str">
        <f>IF(INDEX(Backlog!$AN$2:$AN$188,MATCH($A12,Backlog!$A$2:$A$188,0))="","",INDEX(Backlog!$AN$2:$AN$188,MATCH($A12,Backlog!$A$2:$A$188,0)))</f>
        <v/>
      </c>
    </row>
    <row r="13" spans="1:10" ht="26.1" customHeight="1">
      <c r="A13" s="38" t="s">
        <v>73</v>
      </c>
      <c r="B13" s="38" t="str">
        <f>IF(INDEX(Backlog!$B$2:$B$188,MATCH($A13,Backlog!$A$2:$A$188,0))="","",INDEX(Backlog!$B$2:$B$188,MATCH($A13,Backlog!$A$2:$A$188,0)))</f>
        <v>M2</v>
      </c>
      <c r="C13" s="38" t="str">
        <f>IF(INDEX(Backlog!$C$2:$C$188,MATCH($A13,Backlog!$A$2:$A$188,0))="","",INDEX(Backlog!$C$2:$C$188,MATCH($A13,Backlog!$A$2:$A$188,0)))</f>
        <v>P1</v>
      </c>
      <c r="D13" s="38" t="str">
        <f>IF(INDEX(Backlog!$L$2:$L$188,MATCH($A13,Backlog!$A$2:$A$188,0))="","",INDEX(Backlog!$L$2:$L$188,MATCH($A13,Backlog!$A$2:$A$188,0)))</f>
        <v>Worker 2</v>
      </c>
      <c r="E13" s="70" t="str">
        <f>IF(INDEX(Backlog!$K$2:$K$188,MATCH($A13,Backlog!$A$2:$A$188,0))="","",INDEX(Backlog!$K$2:$K$188,MATCH($A13,Backlog!$A$2:$A$188,0)))</f>
        <v>Done</v>
      </c>
      <c r="F13" s="38">
        <f>IF(ISNUMBER(INDEX(Backlog!$AT$2:$AT$188,MATCH($A13,Backlog!$A$2:$A$188,0))),INDEX(Backlog!$AT$2:$AT$188,MATCH($A13,Backlog!$A$2:$A$188,0)),"")</f>
        <v>4</v>
      </c>
      <c r="G13" s="38" t="str">
        <f>IF(INDEX(Backlog!$M$2:$M$188,MATCH($A13,Backlog!$A$2:$A$188,0))="","",INDEX(Backlog!$M$2:$M$188,MATCH($A13,Backlog!$A$2:$A$188,0)))</f>
        <v>T-201</v>
      </c>
      <c r="H13" s="38" t="str">
        <f>IF(INDEX(Backlog!$N$2:$N$188,MATCH($A13,Backlog!$A$2:$A$188,0))="","",INDEX(Backlog!$N$2:$N$188,MATCH($A13,Backlog!$A$2:$A$188,0)))</f>
        <v>T-222; T-248</v>
      </c>
      <c r="I13" s="38" t="str">
        <f>IF(INDEX(Backlog!$T$2:$T$188,MATCH($A13,Backlog!$A$2:$A$188,0))="","",INDEX(Backlog!$T$2:$T$188,MATCH($A13,Backlog!$A$2:$A$188,0)))</f>
        <v>CLOSED BASELINE — no new start gate and no re-execution implied. Preserve accepted closure and clean owned scope; reopen only on a concrete, separately recorded regression. Downstream consumes the frozen contract.</v>
      </c>
      <c r="J13" s="32" t="str">
        <f>IF(INDEX(Backlog!$AN$2:$AN$188,MATCH($A13,Backlog!$A$2:$A$188,0))="","",INDEX(Backlog!$AN$2:$AN$188,MATCH($A13,Backlog!$A$2:$A$188,0)))</f>
        <v/>
      </c>
    </row>
    <row r="14" spans="1:10" ht="26.1" customHeight="1">
      <c r="A14" s="38" t="s">
        <v>74</v>
      </c>
      <c r="B14" s="38" t="str">
        <f>IF(INDEX(Backlog!$B$2:$B$188,MATCH($A14,Backlog!$A$2:$A$188,0))="","",INDEX(Backlog!$B$2:$B$188,MATCH($A14,Backlog!$A$2:$A$188,0)))</f>
        <v>M2</v>
      </c>
      <c r="C14" s="38" t="str">
        <f>IF(INDEX(Backlog!$C$2:$C$188,MATCH($A14,Backlog!$A$2:$A$188,0))="","",INDEX(Backlog!$C$2:$C$188,MATCH($A14,Backlog!$A$2:$A$188,0)))</f>
        <v>P1</v>
      </c>
      <c r="D14" s="38" t="str">
        <f>IF(INDEX(Backlog!$L$2:$L$188,MATCH($A14,Backlog!$A$2:$A$188,0))="","",INDEX(Backlog!$L$2:$L$188,MATCH($A14,Backlog!$A$2:$A$188,0)))</f>
        <v>Worker 2</v>
      </c>
      <c r="E14" s="70" t="str">
        <f>IF(INDEX(Backlog!$K$2:$K$188,MATCH($A14,Backlog!$A$2:$A$188,0))="","",INDEX(Backlog!$K$2:$K$188,MATCH($A14,Backlog!$A$2:$A$188,0)))</f>
        <v>Done</v>
      </c>
      <c r="F14" s="38">
        <f>IF(ISNUMBER(INDEX(Backlog!$AT$2:$AT$188,MATCH($A14,Backlog!$A$2:$A$188,0))),INDEX(Backlog!$AT$2:$AT$188,MATCH($A14,Backlog!$A$2:$A$188,0)),"")</f>
        <v>4.25</v>
      </c>
      <c r="G14" s="38" t="str">
        <f>IF(INDEX(Backlog!$M$2:$M$188,MATCH($A14,Backlog!$A$2:$A$188,0))="","",INDEX(Backlog!$M$2:$M$188,MATCH($A14,Backlog!$A$2:$A$188,0)))</f>
        <v>T-201</v>
      </c>
      <c r="H14" s="38" t="str">
        <f>IF(INDEX(Backlog!$N$2:$N$188,MATCH($A14,Backlog!$A$2:$A$188,0))="","",INDEX(Backlog!$N$2:$N$188,MATCH($A14,Backlog!$A$2:$A$188,0)))</f>
        <v>T-222; T-248</v>
      </c>
      <c r="I14" s="38" t="str">
        <f>IF(INDEX(Backlog!$T$2:$T$188,MATCH($A14,Backlog!$A$2:$A$188,0))="","",INDEX(Backlog!$T$2:$T$188,MATCH($A14,Backlog!$A$2:$A$188,0)))</f>
        <v>CLOSED BASELINE — no new start gate and no re-execution implied. Preserve accepted closure and clean owned scope; reopen only on a concrete, separately recorded regression. Downstream consumes the frozen contract.</v>
      </c>
      <c r="J14" s="32" t="str">
        <f>IF(INDEX(Backlog!$AN$2:$AN$188,MATCH($A14,Backlog!$A$2:$A$188,0))="","",INDEX(Backlog!$AN$2:$AN$188,MATCH($A14,Backlog!$A$2:$A$188,0)))</f>
        <v/>
      </c>
    </row>
    <row r="15" spans="1:10" ht="26.1" customHeight="1">
      <c r="A15" s="38" t="s">
        <v>75</v>
      </c>
      <c r="B15" s="38" t="str">
        <f>IF(INDEX(Backlog!$B$2:$B$188,MATCH($A15,Backlog!$A$2:$A$188,0))="","",INDEX(Backlog!$B$2:$B$188,MATCH($A15,Backlog!$A$2:$A$188,0)))</f>
        <v>M2</v>
      </c>
      <c r="C15" s="38" t="str">
        <f>IF(INDEX(Backlog!$C$2:$C$188,MATCH($A15,Backlog!$A$2:$A$188,0))="","",INDEX(Backlog!$C$2:$C$188,MATCH($A15,Backlog!$A$2:$A$188,0)))</f>
        <v>P1</v>
      </c>
      <c r="D15" s="38" t="str">
        <f>IF(INDEX(Backlog!$L$2:$L$188,MATCH($A15,Backlog!$A$2:$A$188,0))="","",INDEX(Backlog!$L$2:$L$188,MATCH($A15,Backlog!$A$2:$A$188,0)))</f>
        <v>Worker 2</v>
      </c>
      <c r="E15" s="70" t="str">
        <f>IF(INDEX(Backlog!$K$2:$K$188,MATCH($A15,Backlog!$A$2:$A$188,0))="","",INDEX(Backlog!$K$2:$K$188,MATCH($A15,Backlog!$A$2:$A$188,0)))</f>
        <v>Done</v>
      </c>
      <c r="F15" s="38">
        <f>IF(ISNUMBER(INDEX(Backlog!$AT$2:$AT$188,MATCH($A15,Backlog!$A$2:$A$188,0))),INDEX(Backlog!$AT$2:$AT$188,MATCH($A15,Backlog!$A$2:$A$188,0)),"")</f>
        <v>3.2</v>
      </c>
      <c r="G15" s="38" t="str">
        <f>IF(INDEX(Backlog!$M$2:$M$188,MATCH($A15,Backlog!$A$2:$A$188,0))="","",INDEX(Backlog!$M$2:$M$188,MATCH($A15,Backlog!$A$2:$A$188,0)))</f>
        <v>T-201</v>
      </c>
      <c r="H15" s="38" t="str">
        <f>IF(INDEX(Backlog!$N$2:$N$188,MATCH($A15,Backlog!$A$2:$A$188,0))="","",INDEX(Backlog!$N$2:$N$188,MATCH($A15,Backlog!$A$2:$A$188,0)))</f>
        <v>T-150; T-248; T-250; T-255; T-257</v>
      </c>
      <c r="I15" s="38" t="str">
        <f>IF(INDEX(Backlog!$T$2:$T$188,MATCH($A15,Backlog!$A$2:$A$188,0))="","",INDEX(Backlog!$T$2:$T$188,MATCH($A15,Backlog!$A$2:$A$188,0)))</f>
        <v>CLOSED BASELINE — no new start gate and no re-execution implied. Preserve accepted closure and clean owned scope; reopen only on a concrete, separately recorded regression. Downstream consumes the frozen contract.</v>
      </c>
      <c r="J15" s="32" t="str">
        <f>IF(INDEX(Backlog!$AN$2:$AN$188,MATCH($A15,Backlog!$A$2:$A$188,0))="","",INDEX(Backlog!$AN$2:$AN$188,MATCH($A15,Backlog!$A$2:$A$188,0)))</f>
        <v/>
      </c>
    </row>
    <row r="16" spans="1:10" ht="26.1" customHeight="1">
      <c r="A16" s="38" t="s">
        <v>76</v>
      </c>
      <c r="B16" s="38" t="str">
        <f>IF(INDEX(Backlog!$B$2:$B$188,MATCH($A16,Backlog!$A$2:$A$188,0))="","",INDEX(Backlog!$B$2:$B$188,MATCH($A16,Backlog!$A$2:$A$188,0)))</f>
        <v>M2</v>
      </c>
      <c r="C16" s="38" t="str">
        <f>IF(INDEX(Backlog!$C$2:$C$188,MATCH($A16,Backlog!$A$2:$A$188,0))="","",INDEX(Backlog!$C$2:$C$188,MATCH($A16,Backlog!$A$2:$A$188,0)))</f>
        <v>P1</v>
      </c>
      <c r="D16" s="38" t="str">
        <f>IF(INDEX(Backlog!$L$2:$L$188,MATCH($A16,Backlog!$A$2:$A$188,0))="","",INDEX(Backlog!$L$2:$L$188,MATCH($A16,Backlog!$A$2:$A$188,0)))</f>
        <v>Worker 3</v>
      </c>
      <c r="E16" s="70" t="str">
        <f>IF(INDEX(Backlog!$K$2:$K$188,MATCH($A16,Backlog!$A$2:$A$188,0))="","",INDEX(Backlog!$K$2:$K$188,MATCH($A16,Backlog!$A$2:$A$188,0)))</f>
        <v>Done</v>
      </c>
      <c r="F16" s="38">
        <f>IF(ISNUMBER(INDEX(Backlog!$AT$2:$AT$188,MATCH($A16,Backlog!$A$2:$A$188,0))),INDEX(Backlog!$AT$2:$AT$188,MATCH($A16,Backlog!$A$2:$A$188,0)),"")</f>
        <v>2</v>
      </c>
      <c r="G16" s="38" t="str">
        <f>IF(INDEX(Backlog!$M$2:$M$188,MATCH($A16,Backlog!$A$2:$A$188,0))="","",INDEX(Backlog!$M$2:$M$188,MATCH($A16,Backlog!$A$2:$A$188,0)))</f>
        <v>T-201</v>
      </c>
      <c r="H16" s="38" t="str">
        <f>IF(INDEX(Backlog!$N$2:$N$188,MATCH($A16,Backlog!$A$2:$A$188,0))="","",INDEX(Backlog!$N$2:$N$188,MATCH($A16,Backlog!$A$2:$A$188,0)))</f>
        <v>T-093; T-213</v>
      </c>
      <c r="I16" s="38" t="str">
        <f>IF(INDEX(Backlog!$T$2:$T$188,MATCH($A16,Backlog!$A$2:$A$188,0))="","",INDEX(Backlog!$T$2:$T$188,MATCH($A16,Backlog!$A$2:$A$188,0)))</f>
        <v>CLOSED BASELINE — no new start gate and no re-execution implied. Preserve accepted closure and clean owned scope; reopen only on a concrete, separately recorded regression. Downstream consumes the frozen contract.</v>
      </c>
      <c r="J16" s="32" t="str">
        <f>IF(INDEX(Backlog!$AN$2:$AN$188,MATCH($A16,Backlog!$A$2:$A$188,0))="","",INDEX(Backlog!$AN$2:$AN$188,MATCH($A16,Backlog!$A$2:$A$188,0)))</f>
        <v/>
      </c>
    </row>
    <row r="17" spans="1:10" ht="26.1" customHeight="1">
      <c r="A17" s="38" t="s">
        <v>77</v>
      </c>
      <c r="B17" s="38" t="str">
        <f>IF(INDEX(Backlog!$B$2:$B$188,MATCH($A17,Backlog!$A$2:$A$188,0))="","",INDEX(Backlog!$B$2:$B$188,MATCH($A17,Backlog!$A$2:$A$188,0)))</f>
        <v>M2</v>
      </c>
      <c r="C17" s="38" t="str">
        <f>IF(INDEX(Backlog!$C$2:$C$188,MATCH($A17,Backlog!$A$2:$A$188,0))="","",INDEX(Backlog!$C$2:$C$188,MATCH($A17,Backlog!$A$2:$A$188,0)))</f>
        <v>P1</v>
      </c>
      <c r="D17" s="38" t="str">
        <f>IF(INDEX(Backlog!$L$2:$L$188,MATCH($A17,Backlog!$A$2:$A$188,0))="","",INDEX(Backlog!$L$2:$L$188,MATCH($A17,Backlog!$A$2:$A$188,0)))</f>
        <v>Worker 3</v>
      </c>
      <c r="E17" s="70" t="str">
        <f>IF(INDEX(Backlog!$K$2:$K$188,MATCH($A17,Backlog!$A$2:$A$188,0))="","",INDEX(Backlog!$K$2:$K$188,MATCH($A17,Backlog!$A$2:$A$188,0)))</f>
        <v>Done</v>
      </c>
      <c r="F17" s="38">
        <f>IF(ISNUMBER(INDEX(Backlog!$AT$2:$AT$188,MATCH($A17,Backlog!$A$2:$A$188,0))),INDEX(Backlog!$AT$2:$AT$188,MATCH($A17,Backlog!$A$2:$A$188,0)),"")</f>
        <v>2.5</v>
      </c>
      <c r="G17" s="38" t="str">
        <f>IF(INDEX(Backlog!$M$2:$M$188,MATCH($A17,Backlog!$A$2:$A$188,0))="","",INDEX(Backlog!$M$2:$M$188,MATCH($A17,Backlog!$A$2:$A$188,0)))</f>
        <v>T-201</v>
      </c>
      <c r="H17" s="38" t="str">
        <f>IF(INDEX(Backlog!$N$2:$N$188,MATCH($A17,Backlog!$A$2:$A$188,0))="","",INDEX(Backlog!$N$2:$N$188,MATCH($A17,Backlog!$A$2:$A$188,0)))</f>
        <v>T-209; T-211; T-216; T-217; T-218; T-234; T-238</v>
      </c>
      <c r="I17" s="38" t="str">
        <f>IF(INDEX(Backlog!$T$2:$T$188,MATCH($A17,Backlog!$A$2:$A$188,0))="","",INDEX(Backlog!$T$2:$T$188,MATCH($A17,Backlog!$A$2:$A$188,0)))</f>
        <v>CLOSED BASELINE — no new start gate and no re-execution implied. Preserve accepted closure and clean owned scope; reopen only on a concrete, separately recorded regression. Downstream consumes the frozen contract.</v>
      </c>
      <c r="J17" s="32" t="str">
        <f>IF(INDEX(Backlog!$AN$2:$AN$188,MATCH($A17,Backlog!$A$2:$A$188,0))="","",INDEX(Backlog!$AN$2:$AN$188,MATCH($A17,Backlog!$A$2:$A$188,0)))</f>
        <v/>
      </c>
    </row>
    <row r="18" spans="1:10" ht="26.1" customHeight="1">
      <c r="A18" s="38" t="s">
        <v>78</v>
      </c>
      <c r="B18" s="38" t="str">
        <f>IF(INDEX(Backlog!$B$2:$B$188,MATCH($A18,Backlog!$A$2:$A$188,0))="","",INDEX(Backlog!$B$2:$B$188,MATCH($A18,Backlog!$A$2:$A$188,0)))</f>
        <v>M2</v>
      </c>
      <c r="C18" s="38" t="str">
        <f>IF(INDEX(Backlog!$C$2:$C$188,MATCH($A18,Backlog!$A$2:$A$188,0))="","",INDEX(Backlog!$C$2:$C$188,MATCH($A18,Backlog!$A$2:$A$188,0)))</f>
        <v>P1</v>
      </c>
      <c r="D18" s="38" t="str">
        <f>IF(INDEX(Backlog!$L$2:$L$188,MATCH($A18,Backlog!$A$2:$A$188,0))="","",INDEX(Backlog!$L$2:$L$188,MATCH($A18,Backlog!$A$2:$A$188,0)))</f>
        <v>Worker 3</v>
      </c>
      <c r="E18" s="70" t="str">
        <f>IF(INDEX(Backlog!$K$2:$K$188,MATCH($A18,Backlog!$A$2:$A$188,0))="","",INDEX(Backlog!$K$2:$K$188,MATCH($A18,Backlog!$A$2:$A$188,0)))</f>
        <v>Done</v>
      </c>
      <c r="F18" s="38">
        <f>IF(ISNUMBER(INDEX(Backlog!$AT$2:$AT$188,MATCH($A18,Backlog!$A$2:$A$188,0))),INDEX(Backlog!$AT$2:$AT$188,MATCH($A18,Backlog!$A$2:$A$188,0)),"")</f>
        <v>1.5</v>
      </c>
      <c r="G18" s="38" t="str">
        <f>IF(INDEX(Backlog!$M$2:$M$188,MATCH($A18,Backlog!$A$2:$A$188,0))="","",INDEX(Backlog!$M$2:$M$188,MATCH($A18,Backlog!$A$2:$A$188,0)))</f>
        <v>T-208</v>
      </c>
      <c r="H18" s="38" t="str">
        <f>IF(INDEX(Backlog!$N$2:$N$188,MATCH($A18,Backlog!$A$2:$A$188,0))="","",INDEX(Backlog!$N$2:$N$188,MATCH($A18,Backlog!$A$2:$A$188,0)))</f>
        <v>T-094; T-210; T-214; T-231; T-234; T-253</v>
      </c>
      <c r="I18" s="38" t="str">
        <f>IF(INDEX(Backlog!$T$2:$T$188,MATCH($A18,Backlog!$A$2:$A$188,0))="","",INDEX(Backlog!$T$2:$T$188,MATCH($A18,Backlog!$A$2:$A$188,0)))</f>
        <v>CLOSED BASELINE — no new start gate and no re-execution implied. Preserve accepted closure and clean owned scope; reopen only on a concrete, separately recorded regression. Downstream consumes the frozen contract.</v>
      </c>
      <c r="J18" s="32" t="str">
        <f>IF(INDEX(Backlog!$AN$2:$AN$188,MATCH($A18,Backlog!$A$2:$A$188,0))="","",INDEX(Backlog!$AN$2:$AN$188,MATCH($A18,Backlog!$A$2:$A$188,0)))</f>
        <v/>
      </c>
    </row>
    <row r="19" spans="1:10" ht="26.1" customHeight="1">
      <c r="A19" s="38" t="s">
        <v>79</v>
      </c>
      <c r="B19" s="38" t="str">
        <f>IF(INDEX(Backlog!$B$2:$B$188,MATCH($A19,Backlog!$A$2:$A$188,0))="","",INDEX(Backlog!$B$2:$B$188,MATCH($A19,Backlog!$A$2:$A$188,0)))</f>
        <v>M2</v>
      </c>
      <c r="C19" s="38" t="str">
        <f>IF(INDEX(Backlog!$C$2:$C$188,MATCH($A19,Backlog!$A$2:$A$188,0))="","",INDEX(Backlog!$C$2:$C$188,MATCH($A19,Backlog!$A$2:$A$188,0)))</f>
        <v>P1</v>
      </c>
      <c r="D19" s="38" t="str">
        <f>IF(INDEX(Backlog!$L$2:$L$188,MATCH($A19,Backlog!$A$2:$A$188,0))="","",INDEX(Backlog!$L$2:$L$188,MATCH($A19,Backlog!$A$2:$A$188,0)))</f>
        <v>Worker 1</v>
      </c>
      <c r="E19" s="70" t="str">
        <f>IF(INDEX(Backlog!$K$2:$K$188,MATCH($A19,Backlog!$A$2:$A$188,0))="","",INDEX(Backlog!$K$2:$K$188,MATCH($A19,Backlog!$A$2:$A$188,0)))</f>
        <v>Done</v>
      </c>
      <c r="F19" s="38">
        <f>IF(ISNUMBER(INDEX(Backlog!$AT$2:$AT$188,MATCH($A19,Backlog!$A$2:$A$188,0))),INDEX(Backlog!$AT$2:$AT$188,MATCH($A19,Backlog!$A$2:$A$188,0)),"")</f>
        <v>5.0999999999999996</v>
      </c>
      <c r="G19" s="38" t="str">
        <f>IF(INDEX(Backlog!$M$2:$M$188,MATCH($A19,Backlog!$A$2:$A$188,0))="","",INDEX(Backlog!$M$2:$M$188,MATCH($A19,Backlog!$A$2:$A$188,0)))</f>
        <v>T-090; T-209</v>
      </c>
      <c r="H19" s="38" t="str">
        <f>IF(INDEX(Backlog!$N$2:$N$188,MATCH($A19,Backlog!$A$2:$A$188,0))="","",INDEX(Backlog!$N$2:$N$188,MATCH($A19,Backlog!$A$2:$A$188,0)))</f>
        <v>T-092; T-128; T-211; T-212; T-242</v>
      </c>
      <c r="I19" s="38" t="str">
        <f>IF(INDEX(Backlog!$T$2:$T$188,MATCH($A19,Backlog!$A$2:$A$188,0))="","",INDEX(Backlog!$T$2:$T$188,MATCH($A19,Backlog!$A$2:$A$188,0)))</f>
        <v>CLOSED BASELINE — no new start gate and no re-execution implied. Preserve accepted closure and clean owned scope; reopen only on a concrete, separately recorded regression. Downstream consumes the frozen contract.</v>
      </c>
      <c r="J19" s="32" t="str">
        <f>IF(INDEX(Backlog!$AN$2:$AN$188,MATCH($A19,Backlog!$A$2:$A$188,0))="","",INDEX(Backlog!$AN$2:$AN$188,MATCH($A19,Backlog!$A$2:$A$188,0)))</f>
        <v/>
      </c>
    </row>
    <row r="20" spans="1:10" ht="26.1" customHeight="1">
      <c r="A20" s="38" t="s">
        <v>80</v>
      </c>
      <c r="B20" s="38" t="str">
        <f>IF(INDEX(Backlog!$B$2:$B$188,MATCH($A20,Backlog!$A$2:$A$188,0))="","",INDEX(Backlog!$B$2:$B$188,MATCH($A20,Backlog!$A$2:$A$188,0)))</f>
        <v>M2</v>
      </c>
      <c r="C20" s="38" t="str">
        <f>IF(INDEX(Backlog!$C$2:$C$188,MATCH($A20,Backlog!$A$2:$A$188,0))="","",INDEX(Backlog!$C$2:$C$188,MATCH($A20,Backlog!$A$2:$A$188,0)))</f>
        <v>P1</v>
      </c>
      <c r="D20" s="38" t="str">
        <f>IF(INDEX(Backlog!$L$2:$L$188,MATCH($A20,Backlog!$A$2:$A$188,0))="","",INDEX(Backlog!$L$2:$L$188,MATCH($A20,Backlog!$A$2:$A$188,0)))</f>
        <v>Worker 3</v>
      </c>
      <c r="E20" s="70" t="str">
        <f>IF(INDEX(Backlog!$K$2:$K$188,MATCH($A20,Backlog!$A$2:$A$188,0))="","",INDEX(Backlog!$K$2:$K$188,MATCH($A20,Backlog!$A$2:$A$188,0)))</f>
        <v>Done</v>
      </c>
      <c r="F20" s="38">
        <f>IF(ISNUMBER(INDEX(Backlog!$AT$2:$AT$188,MATCH($A20,Backlog!$A$2:$A$188,0))),INDEX(Backlog!$AT$2:$AT$188,MATCH($A20,Backlog!$A$2:$A$188,0)),"")</f>
        <v>1.25</v>
      </c>
      <c r="G20" s="38" t="str">
        <f>IF(INDEX(Backlog!$M$2:$M$188,MATCH($A20,Backlog!$A$2:$A$188,0))="","",INDEX(Backlog!$M$2:$M$188,MATCH($A20,Backlog!$A$2:$A$188,0)))</f>
        <v>T-208</v>
      </c>
      <c r="H20" s="38" t="str">
        <f>IF(INDEX(Backlog!$N$2:$N$188,MATCH($A20,Backlog!$A$2:$A$188,0))="","",INDEX(Backlog!$N$2:$N$188,MATCH($A20,Backlog!$A$2:$A$188,0)))</f>
        <v>T-200; T-217; T-233</v>
      </c>
      <c r="I20" s="38" t="str">
        <f>IF(INDEX(Backlog!$T$2:$T$188,MATCH($A20,Backlog!$A$2:$A$188,0))="","",INDEX(Backlog!$T$2:$T$188,MATCH($A20,Backlog!$A$2:$A$188,0)))</f>
        <v>CLOSED BASELINE — no new start gate and no re-execution implied. Preserve accepted closure and clean owned scope; reopen only on a concrete, separately recorded regression. Downstream consumes the frozen contract.</v>
      </c>
      <c r="J20" s="32" t="str">
        <f>IF(INDEX(Backlog!$AN$2:$AN$188,MATCH($A20,Backlog!$A$2:$A$188,0))="","",INDEX(Backlog!$AN$2:$AN$188,MATCH($A20,Backlog!$A$2:$A$188,0)))</f>
        <v/>
      </c>
    </row>
    <row r="21" spans="1:10" ht="26.1" customHeight="1">
      <c r="A21" s="38" t="s">
        <v>81</v>
      </c>
      <c r="B21" s="38" t="str">
        <f>IF(INDEX(Backlog!$B$2:$B$188,MATCH($A21,Backlog!$A$2:$A$188,0))="","",INDEX(Backlog!$B$2:$B$188,MATCH($A21,Backlog!$A$2:$A$188,0)))</f>
        <v>M2</v>
      </c>
      <c r="C21" s="38" t="str">
        <f>IF(INDEX(Backlog!$C$2:$C$188,MATCH($A21,Backlog!$A$2:$A$188,0))="","",INDEX(Backlog!$C$2:$C$188,MATCH($A21,Backlog!$A$2:$A$188,0)))</f>
        <v>P1</v>
      </c>
      <c r="D21" s="38" t="str">
        <f>IF(INDEX(Backlog!$L$2:$L$188,MATCH($A21,Backlog!$A$2:$A$188,0))="","",INDEX(Backlog!$L$2:$L$188,MATCH($A21,Backlog!$A$2:$A$188,0)))</f>
        <v>Worker 1</v>
      </c>
      <c r="E21" s="70" t="str">
        <f>IF(INDEX(Backlog!$K$2:$K$188,MATCH($A21,Backlog!$A$2:$A$188,0))="","",INDEX(Backlog!$K$2:$K$188,MATCH($A21,Backlog!$A$2:$A$188,0)))</f>
        <v>Done</v>
      </c>
      <c r="F21" s="38">
        <f>IF(ISNUMBER(INDEX(Backlog!$AT$2:$AT$188,MATCH($A21,Backlog!$A$2:$A$188,0))),INDEX(Backlog!$AT$2:$AT$188,MATCH($A21,Backlog!$A$2:$A$188,0)),"")</f>
        <v>2.5499999999999998</v>
      </c>
      <c r="G21" s="38" t="str">
        <f>IF(INDEX(Backlog!$M$2:$M$188,MATCH($A21,Backlog!$A$2:$A$188,0))="","",INDEX(Backlog!$M$2:$M$188,MATCH($A21,Backlog!$A$2:$A$188,0)))</f>
        <v>T-090; T-209</v>
      </c>
      <c r="H21" s="38" t="str">
        <f>IF(INDEX(Backlog!$N$2:$N$188,MATCH($A21,Backlog!$A$2:$A$188,0))="","",INDEX(Backlog!$N$2:$N$188,MATCH($A21,Backlog!$A$2:$A$188,0)))</f>
        <v>T-092; T-128; T-139; T-232; T-235</v>
      </c>
      <c r="I21" s="38" t="str">
        <f>IF(INDEX(Backlog!$T$2:$T$188,MATCH($A21,Backlog!$A$2:$A$188,0))="","",INDEX(Backlog!$T$2:$T$188,MATCH($A21,Backlog!$A$2:$A$188,0)))</f>
        <v>CLOSED BASELINE — no new start gate and no re-execution implied. Preserve accepted closure and clean owned scope; reopen only on a concrete, separately recorded regression. Downstream consumes the frozen contract.</v>
      </c>
      <c r="J21" s="32" t="str">
        <f>IF(INDEX(Backlog!$AN$2:$AN$188,MATCH($A21,Backlog!$A$2:$A$188,0))="","",INDEX(Backlog!$AN$2:$AN$188,MATCH($A21,Backlog!$A$2:$A$188,0)))</f>
        <v/>
      </c>
    </row>
    <row r="22" spans="1:10" ht="26.1" customHeight="1">
      <c r="A22" s="38" t="s">
        <v>82</v>
      </c>
      <c r="B22" s="38" t="str">
        <f>IF(INDEX(Backlog!$B$2:$B$188,MATCH($A22,Backlog!$A$2:$A$188,0))="","",INDEX(Backlog!$B$2:$B$188,MATCH($A22,Backlog!$A$2:$A$188,0)))</f>
        <v>M2</v>
      </c>
      <c r="C22" s="38" t="str">
        <f>IF(INDEX(Backlog!$C$2:$C$188,MATCH($A22,Backlog!$A$2:$A$188,0))="","",INDEX(Backlog!$C$2:$C$188,MATCH($A22,Backlog!$A$2:$A$188,0)))</f>
        <v>P1</v>
      </c>
      <c r="D22" s="38" t="str">
        <f>IF(INDEX(Backlog!$L$2:$L$188,MATCH($A22,Backlog!$A$2:$A$188,0))="","",INDEX(Backlog!$L$2:$L$188,MATCH($A22,Backlog!$A$2:$A$188,0)))</f>
        <v>Worker 2</v>
      </c>
      <c r="E22" s="70" t="str">
        <f>IF(INDEX(Backlog!$K$2:$K$188,MATCH($A22,Backlog!$A$2:$A$188,0))="","",INDEX(Backlog!$K$2:$K$188,MATCH($A22,Backlog!$A$2:$A$188,0)))</f>
        <v>Done</v>
      </c>
      <c r="F22" s="38">
        <f>IF(ISNUMBER(INDEX(Backlog!$AT$2:$AT$188,MATCH($A22,Backlog!$A$2:$A$188,0))),INDEX(Backlog!$AT$2:$AT$188,MATCH($A22,Backlog!$A$2:$A$188,0)),"")</f>
        <v>2.5</v>
      </c>
      <c r="G22" s="38" t="str">
        <f>IF(INDEX(Backlog!$M$2:$M$188,MATCH($A22,Backlog!$A$2:$A$188,0))="","",INDEX(Backlog!$M$2:$M$188,MATCH($A22,Backlog!$A$2:$A$188,0)))</f>
        <v>T-205</v>
      </c>
      <c r="H22" s="38" t="str">
        <f>IF(INDEX(Backlog!$N$2:$N$188,MATCH($A22,Backlog!$A$2:$A$188,0))="","",INDEX(Backlog!$N$2:$N$188,MATCH($A22,Backlog!$A$2:$A$188,0)))</f>
        <v>T-150; T-255; T-257; T-258</v>
      </c>
      <c r="I22" s="38" t="str">
        <f>IF(INDEX(Backlog!$T$2:$T$188,MATCH($A22,Backlog!$A$2:$A$188,0))="","",INDEX(Backlog!$T$2:$T$188,MATCH($A22,Backlog!$A$2:$A$188,0)))</f>
        <v>CLOSED BASELINE — no new start gate and no re-execution implied. Preserve accepted closure and clean owned scope; reopen only on a concrete, separately recorded regression. Downstream consumes the frozen contract.</v>
      </c>
      <c r="J22" s="32" t="str">
        <f>IF(INDEX(Backlog!$AN$2:$AN$188,MATCH($A22,Backlog!$A$2:$A$188,0))="","",INDEX(Backlog!$AN$2:$AN$188,MATCH($A22,Backlog!$A$2:$A$188,0)))</f>
        <v/>
      </c>
    </row>
    <row r="23" spans="1:10" ht="26.1" customHeight="1">
      <c r="A23" s="38" t="s">
        <v>83</v>
      </c>
      <c r="B23" s="38" t="str">
        <f>IF(INDEX(Backlog!$B$2:$B$188,MATCH($A23,Backlog!$A$2:$A$188,0))="","",INDEX(Backlog!$B$2:$B$188,MATCH($A23,Backlog!$A$2:$A$188,0)))</f>
        <v>M2</v>
      </c>
      <c r="C23" s="38" t="str">
        <f>IF(INDEX(Backlog!$C$2:$C$188,MATCH($A23,Backlog!$A$2:$A$188,0))="","",INDEX(Backlog!$C$2:$C$188,MATCH($A23,Backlog!$A$2:$A$188,0)))</f>
        <v>P1</v>
      </c>
      <c r="D23" s="38" t="str">
        <f>IF(INDEX(Backlog!$L$2:$L$188,MATCH($A23,Backlog!$A$2:$A$188,0))="","",INDEX(Backlog!$L$2:$L$188,MATCH($A23,Backlog!$A$2:$A$188,0)))</f>
        <v>Worker 1</v>
      </c>
      <c r="E23" s="70" t="str">
        <f>IF(INDEX(Backlog!$K$2:$K$188,MATCH($A23,Backlog!$A$2:$A$188,0))="","",INDEX(Backlog!$K$2:$K$188,MATCH($A23,Backlog!$A$2:$A$188,0)))</f>
        <v>Done</v>
      </c>
      <c r="F23" s="38">
        <f>IF(ISNUMBER(INDEX(Backlog!$AT$2:$AT$188,MATCH($A23,Backlog!$A$2:$A$188,0))),INDEX(Backlog!$AT$2:$AT$188,MATCH($A23,Backlog!$A$2:$A$188,0)),"")</f>
        <v>1.8</v>
      </c>
      <c r="G23" s="38" t="str">
        <f>IF(INDEX(Backlog!$M$2:$M$188,MATCH($A23,Backlog!$A$2:$A$188,0))="","",INDEX(Backlog!$M$2:$M$188,MATCH($A23,Backlog!$A$2:$A$188,0)))</f>
        <v>T-087; T-088; T-260</v>
      </c>
      <c r="H23" s="38" t="str">
        <f>IF(INDEX(Backlog!$N$2:$N$188,MATCH($A23,Backlog!$A$2:$A$188,0))="","",INDEX(Backlog!$N$2:$N$188,MATCH($A23,Backlog!$A$2:$A$188,0)))</f>
        <v>T-112; T-150; T-252; T-256; T-259; T-272</v>
      </c>
      <c r="I23" s="38" t="str">
        <f>IF(INDEX(Backlog!$T$2:$T$188,MATCH($A23,Backlog!$A$2:$A$188,0))="","",INDEX(Backlog!$T$2:$T$188,MATCH($A23,Backlog!$A$2:$A$188,0)))</f>
        <v>CLOSED BASELINE — no new start gate and no re-execution implied. Preserve accepted closure and clean owned scope; reopen only on a concrete, separately recorded regression. Downstream consumes the frozen contract.</v>
      </c>
      <c r="J23" s="32" t="str">
        <f>IF(INDEX(Backlog!$AN$2:$AN$188,MATCH($A23,Backlog!$A$2:$A$188,0))="","",INDEX(Backlog!$AN$2:$AN$188,MATCH($A23,Backlog!$A$2:$A$188,0)))</f>
        <v/>
      </c>
    </row>
    <row r="24" spans="1:10" ht="26.1" customHeight="1">
      <c r="A24" s="38" t="s">
        <v>84</v>
      </c>
      <c r="B24" s="38" t="str">
        <f>IF(INDEX(Backlog!$B$2:$B$188,MATCH($A24,Backlog!$A$2:$A$188,0))="","",INDEX(Backlog!$B$2:$B$188,MATCH($A24,Backlog!$A$2:$A$188,0)))</f>
        <v>M2</v>
      </c>
      <c r="C24" s="38" t="str">
        <f>IF(INDEX(Backlog!$C$2:$C$188,MATCH($A24,Backlog!$A$2:$A$188,0))="","",INDEX(Backlog!$C$2:$C$188,MATCH($A24,Backlog!$A$2:$A$188,0)))</f>
        <v>P1</v>
      </c>
      <c r="D24" s="38" t="str">
        <f>IF(INDEX(Backlog!$L$2:$L$188,MATCH($A24,Backlog!$A$2:$A$188,0))="","",INDEX(Backlog!$L$2:$L$188,MATCH($A24,Backlog!$A$2:$A$188,0)))</f>
        <v>Worker 1</v>
      </c>
      <c r="E24" s="70" t="str">
        <f>IF(INDEX(Backlog!$K$2:$K$188,MATCH($A24,Backlog!$A$2:$A$188,0))="","",INDEX(Backlog!$K$2:$K$188,MATCH($A24,Backlog!$A$2:$A$188,0)))</f>
        <v>Done</v>
      </c>
      <c r="F24" s="38">
        <f>IF(ISNUMBER(INDEX(Backlog!$AT$2:$AT$188,MATCH($A24,Backlog!$A$2:$A$188,0))),INDEX(Backlog!$AT$2:$AT$188,MATCH($A24,Backlog!$A$2:$A$188,0)),"")</f>
        <v>1.2</v>
      </c>
      <c r="G24" s="38" t="str">
        <f>IF(INDEX(Backlog!$M$2:$M$188,MATCH($A24,Backlog!$A$2:$A$188,0))="","",INDEX(Backlog!$M$2:$M$188,MATCH($A24,Backlog!$A$2:$A$188,0)))</f>
        <v>T-087; T-088; T-251; T-259</v>
      </c>
      <c r="H24" s="38" t="str">
        <f>IF(INDEX(Backlog!$N$2:$N$188,MATCH($A24,Backlog!$A$2:$A$188,0))="","",INDEX(Backlog!$N$2:$N$188,MATCH($A24,Backlog!$A$2:$A$188,0)))</f>
        <v>T-106; T-112; T-150; T-256; T-272</v>
      </c>
      <c r="I24" s="38" t="str">
        <f>IF(INDEX(Backlog!$T$2:$T$188,MATCH($A24,Backlog!$A$2:$A$188,0))="","",INDEX(Backlog!$T$2:$T$188,MATCH($A24,Backlog!$A$2:$A$188,0)))</f>
        <v>CLOSED BASELINE — no new start gate and no re-execution implied. Preserve accepted closure and clean owned scope; reopen only on a concrete, separately recorded regression. Downstream consumes the frozen contract.</v>
      </c>
      <c r="J24" s="32" t="str">
        <f>IF(INDEX(Backlog!$AN$2:$AN$188,MATCH($A24,Backlog!$A$2:$A$188,0))="","",INDEX(Backlog!$AN$2:$AN$188,MATCH($A24,Backlog!$A$2:$A$188,0)))</f>
        <v/>
      </c>
    </row>
    <row r="25" spans="1:10" ht="26.1" customHeight="1">
      <c r="A25" s="38" t="s">
        <v>85</v>
      </c>
      <c r="B25" s="38" t="str">
        <f>IF(INDEX(Backlog!$B$2:$B$188,MATCH($A25,Backlog!$A$2:$A$188,0))="","",INDEX(Backlog!$B$2:$B$188,MATCH($A25,Backlog!$A$2:$A$188,0)))</f>
        <v>M2</v>
      </c>
      <c r="C25" s="38" t="str">
        <f>IF(INDEX(Backlog!$C$2:$C$188,MATCH($A25,Backlog!$A$2:$A$188,0))="","",INDEX(Backlog!$C$2:$C$188,MATCH($A25,Backlog!$A$2:$A$188,0)))</f>
        <v>P1</v>
      </c>
      <c r="D25" s="38" t="str">
        <f>IF(INDEX(Backlog!$L$2:$L$188,MATCH($A25,Backlog!$A$2:$A$188,0))="","",INDEX(Backlog!$L$2:$L$188,MATCH($A25,Backlog!$A$2:$A$188,0)))</f>
        <v>Worker 1</v>
      </c>
      <c r="E25" s="70" t="str">
        <f>IF(INDEX(Backlog!$K$2:$K$188,MATCH($A25,Backlog!$A$2:$A$188,0))="","",INDEX(Backlog!$K$2:$K$188,MATCH($A25,Backlog!$A$2:$A$188,0)))</f>
        <v>Done</v>
      </c>
      <c r="F25" s="38">
        <f>IF(ISNUMBER(INDEX(Backlog!$AT$2:$AT$188,MATCH($A25,Backlog!$A$2:$A$188,0))),INDEX(Backlog!$AT$2:$AT$188,MATCH($A25,Backlog!$A$2:$A$188,0)),"")</f>
        <v>3.2</v>
      </c>
      <c r="G25" s="38" t="str">
        <f>IF(INDEX(Backlog!$M$2:$M$188,MATCH($A25,Backlog!$A$2:$A$188,0))="","",INDEX(Backlog!$M$2:$M$188,MATCH($A25,Backlog!$A$2:$A$188,0)))</f>
        <v>T-088; T-094; T-251; T-252; T-253</v>
      </c>
      <c r="H25" s="38" t="str">
        <f>IF(INDEX(Backlog!$N$2:$N$188,MATCH($A25,Backlog!$A$2:$A$188,0))="","",INDEX(Backlog!$N$2:$N$188,MATCH($A25,Backlog!$A$2:$A$188,0)))</f>
        <v>T-116; T-150; T-247; T-258</v>
      </c>
      <c r="I25" s="38" t="str">
        <f>IF(INDEX(Backlog!$T$2:$T$188,MATCH($A25,Backlog!$A$2:$A$188,0))="","",INDEX(Backlog!$T$2:$T$188,MATCH($A25,Backlog!$A$2:$A$188,0)))</f>
        <v>CLOSED BASELINE — no new start gate and no re-execution implied. Preserve accepted closure and clean owned scope; reopen only on a concrete, separately recorded regression. Downstream consumes the frozen contract.</v>
      </c>
      <c r="J25" s="32" t="str">
        <f>IF(INDEX(Backlog!$AN$2:$AN$188,MATCH($A25,Backlog!$A$2:$A$188,0))="","",INDEX(Backlog!$AN$2:$AN$188,MATCH($A25,Backlog!$A$2:$A$188,0)))</f>
        <v/>
      </c>
    </row>
    <row r="26" spans="1:10" ht="26.1" customHeight="1">
      <c r="A26" s="38" t="s">
        <v>86</v>
      </c>
      <c r="B26" s="38" t="str">
        <f>IF(INDEX(Backlog!$B$2:$B$188,MATCH($A26,Backlog!$A$2:$A$188,0))="","",INDEX(Backlog!$B$2:$B$188,MATCH($A26,Backlog!$A$2:$A$188,0)))</f>
        <v>M2</v>
      </c>
      <c r="C26" s="38" t="str">
        <f>IF(INDEX(Backlog!$C$2:$C$188,MATCH($A26,Backlog!$A$2:$A$188,0))="","",INDEX(Backlog!$C$2:$C$188,MATCH($A26,Backlog!$A$2:$A$188,0)))</f>
        <v>P1</v>
      </c>
      <c r="D26" s="38" t="str">
        <f>IF(INDEX(Backlog!$L$2:$L$188,MATCH($A26,Backlog!$A$2:$A$188,0))="","",INDEX(Backlog!$L$2:$L$188,MATCH($A26,Backlog!$A$2:$A$188,0)))</f>
        <v>Worker 1</v>
      </c>
      <c r="E26" s="70" t="str">
        <f>IF(INDEX(Backlog!$K$2:$K$188,MATCH($A26,Backlog!$A$2:$A$188,0))="","",INDEX(Backlog!$K$2:$K$188,MATCH($A26,Backlog!$A$2:$A$188,0)))</f>
        <v>Done</v>
      </c>
      <c r="F26" s="38">
        <f>IF(ISNUMBER(INDEX(Backlog!$AT$2:$AT$188,MATCH($A26,Backlog!$A$2:$A$188,0))),INDEX(Backlog!$AT$2:$AT$188,MATCH($A26,Backlog!$A$2:$A$188,0)),"")</f>
        <v>0.3</v>
      </c>
      <c r="G26" s="38" t="str">
        <f>IF(INDEX(Backlog!$M$2:$M$188,MATCH($A26,Backlog!$A$2:$A$188,0))="","",INDEX(Backlog!$M$2:$M$188,MATCH($A26,Backlog!$A$2:$A$188,0)))</f>
        <v>T-251</v>
      </c>
      <c r="H26" s="38" t="str">
        <f>IF(INDEX(Backlog!$N$2:$N$188,MATCH($A26,Backlog!$A$2:$A$188,0))="","",INDEX(Backlog!$N$2:$N$188,MATCH($A26,Backlog!$A$2:$A$188,0)))</f>
        <v>T-150; T-227; T-252; T-257</v>
      </c>
      <c r="I26" s="38" t="str">
        <f>IF(INDEX(Backlog!$T$2:$T$188,MATCH($A26,Backlog!$A$2:$A$188,0))="","",INDEX(Backlog!$T$2:$T$188,MATCH($A26,Backlog!$A$2:$A$188,0)))</f>
        <v>CLOSED BASELINE — no new start gate and no re-execution implied. Preserve accepted closure and clean owned scope; reopen only on a concrete, separately recorded regression. Downstream consumes the frozen contract.</v>
      </c>
      <c r="J26" s="32" t="str">
        <f>IF(INDEX(Backlog!$AN$2:$AN$188,MATCH($A26,Backlog!$A$2:$A$188,0))="","",INDEX(Backlog!$AN$2:$AN$188,MATCH($A26,Backlog!$A$2:$A$188,0)))</f>
        <v/>
      </c>
    </row>
    <row r="27" spans="1:10" ht="26.1" customHeight="1">
      <c r="A27" s="38" t="s">
        <v>87</v>
      </c>
      <c r="B27" s="38" t="str">
        <f>IF(INDEX(Backlog!$B$2:$B$188,MATCH($A27,Backlog!$A$2:$A$188,0))="","",INDEX(Backlog!$B$2:$B$188,MATCH($A27,Backlog!$A$2:$A$188,0)))</f>
        <v>M2</v>
      </c>
      <c r="C27" s="38" t="str">
        <f>IF(INDEX(Backlog!$C$2:$C$188,MATCH($A27,Backlog!$A$2:$A$188,0))="","",INDEX(Backlog!$C$2:$C$188,MATCH($A27,Backlog!$A$2:$A$188,0)))</f>
        <v>P1</v>
      </c>
      <c r="D27" s="38" t="str">
        <f>IF(INDEX(Backlog!$L$2:$L$188,MATCH($A27,Backlog!$A$2:$A$188,0))="","",INDEX(Backlog!$L$2:$L$188,MATCH($A27,Backlog!$A$2:$A$188,0)))</f>
        <v>Worker 1</v>
      </c>
      <c r="E27" s="70" t="str">
        <f>IF(INDEX(Backlog!$K$2:$K$188,MATCH($A27,Backlog!$A$2:$A$188,0))="","",INDEX(Backlog!$K$2:$K$188,MATCH($A27,Backlog!$A$2:$A$188,0)))</f>
        <v>Done</v>
      </c>
      <c r="F27" s="38">
        <f>IF(ISNUMBER(INDEX(Backlog!$AT$2:$AT$188,MATCH($A27,Backlog!$A$2:$A$188,0))),INDEX(Backlog!$AT$2:$AT$188,MATCH($A27,Backlog!$A$2:$A$188,0)),"")</f>
        <v>1.8</v>
      </c>
      <c r="G27" s="38" t="str">
        <f>IF(INDEX(Backlog!$M$2:$M$188,MATCH($A27,Backlog!$A$2:$A$188,0))="","",INDEX(Backlog!$M$2:$M$188,MATCH($A27,Backlog!$A$2:$A$188,0)))</f>
        <v>T-088</v>
      </c>
      <c r="H27" s="38" t="str">
        <f>IF(INDEX(Backlog!$N$2:$N$188,MATCH($A27,Backlog!$A$2:$A$188,0))="","",INDEX(Backlog!$N$2:$N$188,MATCH($A27,Backlog!$A$2:$A$188,0)))</f>
        <v>T-251</v>
      </c>
      <c r="I27" s="38" t="str">
        <f>IF(INDEX(Backlog!$T$2:$T$188,MATCH($A27,Backlog!$A$2:$A$188,0))="","",INDEX(Backlog!$T$2:$T$188,MATCH($A27,Backlog!$A$2:$A$188,0)))</f>
        <v>CLOSED BASELINE — no new start gate and no re-execution implied. Preserve accepted closure and clean owned scope; reopen only on a concrete, separately recorded regression. Downstream consumes the frozen contract.</v>
      </c>
      <c r="J27" s="32" t="str">
        <f>IF(INDEX(Backlog!$AN$2:$AN$188,MATCH($A27,Backlog!$A$2:$A$188,0))="","",INDEX(Backlog!$AN$2:$AN$188,MATCH($A27,Backlog!$A$2:$A$188,0)))</f>
        <v/>
      </c>
    </row>
    <row r="28" spans="1:10" ht="26.1" customHeight="1">
      <c r="A28" s="38" t="s">
        <v>88</v>
      </c>
      <c r="B28" s="38" t="str">
        <f>IF(INDEX(Backlog!$B$2:$B$188,MATCH($A28,Backlog!$A$2:$A$188,0))="","",INDEX(Backlog!$B$2:$B$188,MATCH($A28,Backlog!$A$2:$A$188,0)))</f>
        <v>M2</v>
      </c>
      <c r="C28" s="38" t="str">
        <f>IF(INDEX(Backlog!$C$2:$C$188,MATCH($A28,Backlog!$A$2:$A$188,0))="","",INDEX(Backlog!$C$2:$C$188,MATCH($A28,Backlog!$A$2:$A$188,0)))</f>
        <v>P2</v>
      </c>
      <c r="D28" s="38" t="str">
        <f>IF(INDEX(Backlog!$L$2:$L$188,MATCH($A28,Backlog!$A$2:$A$188,0))="","",INDEX(Backlog!$L$2:$L$188,MATCH($A28,Backlog!$A$2:$A$188,0)))</f>
        <v>Worker 1</v>
      </c>
      <c r="E28" s="70" t="str">
        <f>IF(INDEX(Backlog!$K$2:$K$188,MATCH($A28,Backlog!$A$2:$A$188,0))="","",INDEX(Backlog!$K$2:$K$188,MATCH($A28,Backlog!$A$2:$A$188,0)))</f>
        <v>Done</v>
      </c>
      <c r="F28" s="38">
        <f>IF(ISNUMBER(INDEX(Backlog!$AT$2:$AT$188,MATCH($A28,Backlog!$A$2:$A$188,0))),INDEX(Backlog!$AT$2:$AT$188,MATCH($A28,Backlog!$A$2:$A$188,0)),"")</f>
        <v>1.7999999999999998</v>
      </c>
      <c r="G28" s="38" t="str">
        <f>IF(INDEX(Backlog!$M$2:$M$188,MATCH($A28,Backlog!$A$2:$A$188,0))="","",INDEX(Backlog!$M$2:$M$188,MATCH($A28,Backlog!$A$2:$A$188,0)))</f>
        <v>T-057; T-089; T-090; T-094</v>
      </c>
      <c r="H28" s="38" t="str">
        <f>IF(INDEX(Backlog!$N$2:$N$188,MATCH($A28,Backlog!$A$2:$A$188,0))="","",INDEX(Backlog!$N$2:$N$188,MATCH($A28,Backlog!$A$2:$A$188,0)))</f>
        <v>T-096; T-098; T-102; T-103; T-104; T-107; T-109; T-114; T-128; T-134; T-183; T-196; T-221</v>
      </c>
      <c r="I28" s="38" t="str">
        <f>IF(INDEX(Backlog!$T$2:$T$188,MATCH($A28,Backlog!$A$2:$A$188,0))="","",INDEX(Backlog!$T$2:$T$188,MATCH($A28,Backlog!$A$2:$A$188,0)))</f>
        <v>CLOSED BASELINE — no new start gate and no re-execution implied. Preserve accepted closure and clean owned scope; reopen only on a concrete, separately recorded regression. Downstream consumes the frozen contract.</v>
      </c>
      <c r="J28" s="32" t="str">
        <f>IF(INDEX(Backlog!$AN$2:$AN$188,MATCH($A28,Backlog!$A$2:$A$188,0))="","",INDEX(Backlog!$AN$2:$AN$188,MATCH($A28,Backlog!$A$2:$A$188,0)))</f>
        <v/>
      </c>
    </row>
    <row r="29" spans="1:10" ht="26.1" customHeight="1">
      <c r="A29" s="38" t="s">
        <v>89</v>
      </c>
      <c r="B29" s="38" t="str">
        <f>IF(INDEX(Backlog!$B$2:$B$188,MATCH($A29,Backlog!$A$2:$A$188,0))="","",INDEX(Backlog!$B$2:$B$188,MATCH($A29,Backlog!$A$2:$A$188,0)))</f>
        <v>M2</v>
      </c>
      <c r="C29" s="38" t="str">
        <f>IF(INDEX(Backlog!$C$2:$C$188,MATCH($A29,Backlog!$A$2:$A$188,0))="","",INDEX(Backlog!$C$2:$C$188,MATCH($A29,Backlog!$A$2:$A$188,0)))</f>
        <v>P2</v>
      </c>
      <c r="D29" s="38" t="str">
        <f>IF(INDEX(Backlog!$L$2:$L$188,MATCH($A29,Backlog!$A$2:$A$188,0))="","",INDEX(Backlog!$L$2:$L$188,MATCH($A29,Backlog!$A$2:$A$188,0)))</f>
        <v>Worker 1</v>
      </c>
      <c r="E29" s="70" t="str">
        <f>IF(INDEX(Backlog!$K$2:$K$188,MATCH($A29,Backlog!$A$2:$A$188,0))="","",INDEX(Backlog!$K$2:$K$188,MATCH($A29,Backlog!$A$2:$A$188,0)))</f>
        <v>Done</v>
      </c>
      <c r="F29" s="38">
        <f>IF(ISNUMBER(INDEX(Backlog!$AT$2:$AT$188,MATCH($A29,Backlog!$A$2:$A$188,0))),INDEX(Backlog!$AT$2:$AT$188,MATCH($A29,Backlog!$A$2:$A$188,0)),"")</f>
        <v>1.2000000000000002</v>
      </c>
      <c r="G29" s="38" t="str">
        <f>IF(INDEX(Backlog!$M$2:$M$188,MATCH($A29,Backlog!$A$2:$A$188,0))="","",INDEX(Backlog!$M$2:$M$188,MATCH($A29,Backlog!$A$2:$A$188,0)))</f>
        <v>T-095</v>
      </c>
      <c r="H29" s="38" t="str">
        <f>IF(INDEX(Backlog!$N$2:$N$188,MATCH($A29,Backlog!$A$2:$A$188,0))="","",INDEX(Backlog!$N$2:$N$188,MATCH($A29,Backlog!$A$2:$A$188,0)))</f>
        <v>T-097; T-098; T-107; T-109; T-128; T-134; T-183; T-221</v>
      </c>
      <c r="I29" s="38" t="str">
        <f>IF(INDEX(Backlog!$T$2:$T$188,MATCH($A29,Backlog!$A$2:$A$188,0))="","",INDEX(Backlog!$T$2:$T$188,MATCH($A29,Backlog!$A$2:$A$188,0)))</f>
        <v>CLOSED BASELINE — no new start gate and no re-execution implied. Preserve accepted closure and clean owned scope; reopen only on a concrete, separately recorded regression. Downstream consumes the frozen contract.</v>
      </c>
      <c r="J29" s="32" t="str">
        <f>IF(INDEX(Backlog!$AN$2:$AN$188,MATCH($A29,Backlog!$A$2:$A$188,0))="","",INDEX(Backlog!$AN$2:$AN$188,MATCH($A29,Backlog!$A$2:$A$188,0)))</f>
        <v/>
      </c>
    </row>
    <row r="30" spans="1:10" ht="26.1" customHeight="1">
      <c r="A30" s="38" t="s">
        <v>90</v>
      </c>
      <c r="B30" s="38" t="str">
        <f>IF(INDEX(Backlog!$B$2:$B$188,MATCH($A30,Backlog!$A$2:$A$188,0))="","",INDEX(Backlog!$B$2:$B$188,MATCH($A30,Backlog!$A$2:$A$188,0)))</f>
        <v>M2</v>
      </c>
      <c r="C30" s="38" t="str">
        <f>IF(INDEX(Backlog!$C$2:$C$188,MATCH($A30,Backlog!$A$2:$A$188,0))="","",INDEX(Backlog!$C$2:$C$188,MATCH($A30,Backlog!$A$2:$A$188,0)))</f>
        <v>P2</v>
      </c>
      <c r="D30" s="38" t="str">
        <f>IF(INDEX(Backlog!$L$2:$L$188,MATCH($A30,Backlog!$A$2:$A$188,0))="","",INDEX(Backlog!$L$2:$L$188,MATCH($A30,Backlog!$A$2:$A$188,0)))</f>
        <v>Worker 1</v>
      </c>
      <c r="E30" s="70" t="str">
        <f>IF(INDEX(Backlog!$K$2:$K$188,MATCH($A30,Backlog!$A$2:$A$188,0))="","",INDEX(Backlog!$K$2:$K$188,MATCH($A30,Backlog!$A$2:$A$188,0)))</f>
        <v>Done</v>
      </c>
      <c r="F30" s="38">
        <f>IF(ISNUMBER(INDEX(Backlog!$AT$2:$AT$188,MATCH($A30,Backlog!$A$2:$A$188,0))),INDEX(Backlog!$AT$2:$AT$188,MATCH($A30,Backlog!$A$2:$A$188,0)),"")</f>
        <v>0.89999999999999991</v>
      </c>
      <c r="G30" s="38" t="str">
        <f>IF(INDEX(Backlog!$M$2:$M$188,MATCH($A30,Backlog!$A$2:$A$188,0))="","",INDEX(Backlog!$M$2:$M$188,MATCH($A30,Backlog!$A$2:$A$188,0)))</f>
        <v>T-096</v>
      </c>
      <c r="H30" s="38" t="str">
        <f>IF(INDEX(Backlog!$N$2:$N$188,MATCH($A30,Backlog!$A$2:$A$188,0))="","",INDEX(Backlog!$N$2:$N$188,MATCH($A30,Backlog!$A$2:$A$188,0)))</f>
        <v>T-098; T-107; T-109; T-128; T-183</v>
      </c>
      <c r="I30" s="38" t="str">
        <f>IF(INDEX(Backlog!$T$2:$T$188,MATCH($A30,Backlog!$A$2:$A$188,0))="","",INDEX(Backlog!$T$2:$T$188,MATCH($A30,Backlog!$A$2:$A$188,0)))</f>
        <v>CLOSED BASELINE — no new start gate and no re-execution implied. Preserve accepted closure and clean owned scope; reopen only on a concrete, separately recorded regression. Downstream consumes the frozen contract.</v>
      </c>
      <c r="J30" s="32" t="str">
        <f>IF(INDEX(Backlog!$AN$2:$AN$188,MATCH($A30,Backlog!$A$2:$A$188,0))="","",INDEX(Backlog!$AN$2:$AN$188,MATCH($A30,Backlog!$A$2:$A$188,0)))</f>
        <v/>
      </c>
    </row>
    <row r="31" spans="1:10" ht="26.1" customHeight="1">
      <c r="A31" s="38" t="s">
        <v>91</v>
      </c>
      <c r="B31" s="38" t="str">
        <f>IF(INDEX(Backlog!$B$2:$B$188,MATCH($A31,Backlog!$A$2:$A$188,0))="","",INDEX(Backlog!$B$2:$B$188,MATCH($A31,Backlog!$A$2:$A$188,0)))</f>
        <v>M2</v>
      </c>
      <c r="C31" s="38" t="str">
        <f>IF(INDEX(Backlog!$C$2:$C$188,MATCH($A31,Backlog!$A$2:$A$188,0))="","",INDEX(Backlog!$C$2:$C$188,MATCH($A31,Backlog!$A$2:$A$188,0)))</f>
        <v>P2</v>
      </c>
      <c r="D31" s="38" t="str">
        <f>IF(INDEX(Backlog!$L$2:$L$188,MATCH($A31,Backlog!$A$2:$A$188,0))="","",INDEX(Backlog!$L$2:$L$188,MATCH($A31,Backlog!$A$2:$A$188,0)))</f>
        <v>Worker 2</v>
      </c>
      <c r="E31" s="70" t="str">
        <f>IF(INDEX(Backlog!$K$2:$K$188,MATCH($A31,Backlog!$A$2:$A$188,0))="","",INDEX(Backlog!$K$2:$K$188,MATCH($A31,Backlog!$A$2:$A$188,0)))</f>
        <v>Not Started</v>
      </c>
      <c r="F31" s="38">
        <f>IF(ISNUMBER(INDEX(Backlog!$AT$2:$AT$188,MATCH($A31,Backlog!$A$2:$A$188,0))),INDEX(Backlog!$AT$2:$AT$188,MATCH($A31,Backlog!$A$2:$A$188,0)),"")</f>
        <v>2</v>
      </c>
      <c r="G31" s="38" t="str">
        <f>IF(INDEX(Backlog!$M$2:$M$188,MATCH($A31,Backlog!$A$2:$A$188,0))="","",INDEX(Backlog!$M$2:$M$188,MATCH($A31,Backlog!$A$2:$A$188,0)))</f>
        <v>T-095; T-096; T-097</v>
      </c>
      <c r="H31" s="38" t="str">
        <f>IF(INDEX(Backlog!$N$2:$N$188,MATCH($A31,Backlog!$A$2:$A$188,0))="","",INDEX(Backlog!$N$2:$N$188,MATCH($A31,Backlog!$A$2:$A$188,0)))</f>
        <v>T-107; T-109; T-128; T-183</v>
      </c>
      <c r="I31" s="38" t="str">
        <f>IF(INDEX(Backlog!$T$2:$T$188,MATCH($A31,Backlog!$A$2:$A$188,0))="","",INDEX(Backlog!$T$2:$T$188,MATCH($A31,Backlog!$A$2:$A$188,0)))</f>
        <v>Use the accepted M1 regression baseline; require empty index and clean owned paths, preserving unrelated user work. Then: T-060 M1 C6 surface + T-095 + T-096 + T-097.</v>
      </c>
      <c r="J31" s="32" t="str">
        <f>IF(INDEX(Backlog!$AN$2:$AN$188,MATCH($A31,Backlog!$A$2:$A$188,0))="","",INDEX(Backlog!$AN$2:$AN$188,MATCH($A31,Backlog!$A$2:$A$188,0)))</f>
        <v/>
      </c>
    </row>
    <row r="32" spans="1:10" ht="26.1" customHeight="1">
      <c r="A32" s="38" t="s">
        <v>92</v>
      </c>
      <c r="B32" s="38" t="str">
        <f>IF(INDEX(Backlog!$B$2:$B$188,MATCH($A32,Backlog!$A$2:$A$188,0))="","",INDEX(Backlog!$B$2:$B$188,MATCH($A32,Backlog!$A$2:$A$188,0)))</f>
        <v>M2</v>
      </c>
      <c r="C32" s="38" t="str">
        <f>IF(INDEX(Backlog!$C$2:$C$188,MATCH($A32,Backlog!$A$2:$A$188,0))="","",INDEX(Backlog!$C$2:$C$188,MATCH($A32,Backlog!$A$2:$A$188,0)))</f>
        <v>P2</v>
      </c>
      <c r="D32" s="38" t="str">
        <f>IF(INDEX(Backlog!$L$2:$L$188,MATCH($A32,Backlog!$A$2:$A$188,0))="","",INDEX(Backlog!$L$2:$L$188,MATCH($A32,Backlog!$A$2:$A$188,0)))</f>
        <v>Worker 1</v>
      </c>
      <c r="E32" s="70" t="str">
        <f>IF(INDEX(Backlog!$K$2:$K$188,MATCH($A32,Backlog!$A$2:$A$188,0))="","",INDEX(Backlog!$K$2:$K$188,MATCH($A32,Backlog!$A$2:$A$188,0)))</f>
        <v>Done</v>
      </c>
      <c r="F32" s="38">
        <f>IF(ISNUMBER(INDEX(Backlog!$AT$2:$AT$188,MATCH($A32,Backlog!$A$2:$A$188,0))),INDEX(Backlog!$AT$2:$AT$188,MATCH($A32,Backlog!$A$2:$A$188,0)),"")</f>
        <v>1.2000000000000002</v>
      </c>
      <c r="G32" s="38" t="str">
        <f>IF(INDEX(Backlog!$M$2:$M$188,MATCH($A32,Backlog!$A$2:$A$188,0))="","",INDEX(Backlog!$M$2:$M$188,MATCH($A32,Backlog!$A$2:$A$188,0)))</f>
        <v>T-087; T-089; T-090</v>
      </c>
      <c r="H32" s="38" t="str">
        <f>IF(INDEX(Backlog!$N$2:$N$188,MATCH($A32,Backlog!$A$2:$A$188,0))="","",INDEX(Backlog!$N$2:$N$188,MATCH($A32,Backlog!$A$2:$A$188,0)))</f>
        <v>T-100; T-101; T-104; T-107; T-108; T-109; T-114; T-128; T-183; T-261</v>
      </c>
      <c r="I32" s="38" t="str">
        <f>IF(INDEX(Backlog!$T$2:$T$188,MATCH($A32,Backlog!$A$2:$A$188,0))="","",INDEX(Backlog!$T$2:$T$188,MATCH($A32,Backlog!$A$2:$A$188,0)))</f>
        <v>CLOSED BASELINE — no new start gate and no re-execution implied. Preserve accepted closure and clean owned scope; reopen only on a concrete, separately recorded regression. Downstream consumes the frozen contract.</v>
      </c>
      <c r="J32" s="32" t="str">
        <f>IF(INDEX(Backlog!$AN$2:$AN$188,MATCH($A32,Backlog!$A$2:$A$188,0))="","",INDEX(Backlog!$AN$2:$AN$188,MATCH($A32,Backlog!$A$2:$A$188,0)))</f>
        <v/>
      </c>
    </row>
    <row r="33" spans="1:10" ht="26.1" customHeight="1">
      <c r="A33" s="38" t="s">
        <v>93</v>
      </c>
      <c r="B33" s="38" t="str">
        <f>IF(INDEX(Backlog!$B$2:$B$188,MATCH($A33,Backlog!$A$2:$A$188,0))="","",INDEX(Backlog!$B$2:$B$188,MATCH($A33,Backlog!$A$2:$A$188,0)))</f>
        <v>M2</v>
      </c>
      <c r="C33" s="38" t="str">
        <f>IF(INDEX(Backlog!$C$2:$C$188,MATCH($A33,Backlog!$A$2:$A$188,0))="","",INDEX(Backlog!$C$2:$C$188,MATCH($A33,Backlog!$A$2:$A$188,0)))</f>
        <v>P2</v>
      </c>
      <c r="D33" s="38" t="str">
        <f>IF(INDEX(Backlog!$L$2:$L$188,MATCH($A33,Backlog!$A$2:$A$188,0))="","",INDEX(Backlog!$L$2:$L$188,MATCH($A33,Backlog!$A$2:$A$188,0)))</f>
        <v>Worker 1</v>
      </c>
      <c r="E33" s="70" t="str">
        <f>IF(INDEX(Backlog!$K$2:$K$188,MATCH($A33,Backlog!$A$2:$A$188,0))="","",INDEX(Backlog!$K$2:$K$188,MATCH($A33,Backlog!$A$2:$A$188,0)))</f>
        <v>Done</v>
      </c>
      <c r="F33" s="38" t="str">
        <f>IF(ISNUMBER(INDEX(Backlog!$AT$2:$AT$188,MATCH($A33,Backlog!$A$2:$A$188,0))),INDEX(Backlog!$AT$2:$AT$188,MATCH($A33,Backlog!$A$2:$A$188,0)),"")</f>
        <v/>
      </c>
      <c r="G33" s="38" t="str">
        <f>IF(INDEX(Backlog!$M$2:$M$188,MATCH($A33,Backlog!$A$2:$A$188,0))="","",INDEX(Backlog!$M$2:$M$188,MATCH($A33,Backlog!$A$2:$A$188,0)))</f>
        <v>T-099</v>
      </c>
      <c r="H33" s="38" t="str">
        <f>IF(INDEX(Backlog!$N$2:$N$188,MATCH($A33,Backlog!$A$2:$A$188,0))="","",INDEX(Backlog!$N$2:$N$188,MATCH($A33,Backlog!$A$2:$A$188,0)))</f>
        <v>T-101; T-107; T-109; T-128; T-183; T-261</v>
      </c>
      <c r="I33" s="38" t="str">
        <f>IF(INDEX(Backlog!$T$2:$T$188,MATCH($A33,Backlog!$A$2:$A$188,0))="","",INDEX(Backlog!$T$2:$T$188,MATCH($A33,Backlog!$A$2:$A$188,0)))</f>
        <v>RUNNER-1 CANDIDATE IS PRESENT; DO NOT RERUN RUNNER 1 or require a clean owned tree relative to HEAD. Resume from the exact handoff/postimages. Resume v1.0.1 is issued; success is not yet reported. Validate HEAD against the handoff and all owned postimage hashes before continuing. Expected parent supplied for closure is 4e0f1219ddbac3163bafe7ce510b62520683a77c; do not substitute the older T-099-only HEAD. If the exact gates fail, stop and report without manual resets, cleanup of unrelated work, or a fresh mutation pack. Worker 1/CENTRAL retains the execution lock through T-100 final commit; Worker 2 remains held.</v>
      </c>
      <c r="J33" s="32" t="str">
        <f>IF(INDEX(Backlog!$AN$2:$AN$188,MATCH($A33,Backlog!$A$2:$A$188,0))="","",INDEX(Backlog!$AN$2:$AN$188,MATCH($A33,Backlog!$A$2:$A$188,0)))</f>
        <v/>
      </c>
    </row>
    <row r="34" spans="1:10" ht="26.1" customHeight="1">
      <c r="A34" s="38" t="s">
        <v>94</v>
      </c>
      <c r="B34" s="38" t="str">
        <f>IF(INDEX(Backlog!$B$2:$B$188,MATCH($A34,Backlog!$A$2:$A$188,0))="","",INDEX(Backlog!$B$2:$B$188,MATCH($A34,Backlog!$A$2:$A$188,0)))</f>
        <v>M2</v>
      </c>
      <c r="C34" s="38" t="str">
        <f>IF(INDEX(Backlog!$C$2:$C$188,MATCH($A34,Backlog!$A$2:$A$188,0))="","",INDEX(Backlog!$C$2:$C$188,MATCH($A34,Backlog!$A$2:$A$188,0)))</f>
        <v>P2</v>
      </c>
      <c r="D34" s="38" t="str">
        <f>IF(INDEX(Backlog!$L$2:$L$188,MATCH($A34,Backlog!$A$2:$A$188,0))="","",INDEX(Backlog!$L$2:$L$188,MATCH($A34,Backlog!$A$2:$A$188,0)))</f>
        <v>Worker 2</v>
      </c>
      <c r="E34" s="70" t="str">
        <f>IF(INDEX(Backlog!$K$2:$K$188,MATCH($A34,Backlog!$A$2:$A$188,0))="","",INDEX(Backlog!$K$2:$K$188,MATCH($A34,Backlog!$A$2:$A$188,0)))</f>
        <v>Not Started</v>
      </c>
      <c r="F34" s="38" t="str">
        <f>IF(ISNUMBER(INDEX(Backlog!$AT$2:$AT$188,MATCH($A34,Backlog!$A$2:$A$188,0))),INDEX(Backlog!$AT$2:$AT$188,MATCH($A34,Backlog!$A$2:$A$188,0)),"")</f>
        <v/>
      </c>
      <c r="G34" s="38" t="str">
        <f>IF(INDEX(Backlog!$M$2:$M$188,MATCH($A34,Backlog!$A$2:$A$188,0))="","",INDEX(Backlog!$M$2:$M$188,MATCH($A34,Backlog!$A$2:$A$188,0)))</f>
        <v>T-099; T-100</v>
      </c>
      <c r="H34" s="38" t="str">
        <f>IF(INDEX(Backlog!$N$2:$N$188,MATCH($A34,Backlog!$A$2:$A$188,0))="","",INDEX(Backlog!$N$2:$N$188,MATCH($A34,Backlog!$A$2:$A$188,0)))</f>
        <v>T-107; T-109; T-128; T-183</v>
      </c>
      <c r="I34" s="38" t="str">
        <f>IF(INDEX(Backlog!$T$2:$T$188,MATCH($A34,Backlog!$A$2:$A$188,0))="","",INDEX(Backlog!$T$2:$T$188,MATCH($A34,Backlog!$A$2:$A$188,0)))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T-061 final M1 API/page contract + T-099 + T-100 canonical quarantine impleme...</v>
      </c>
      <c r="J34" s="32" t="str">
        <f>IF(INDEX(Backlog!$AN$2:$AN$188,MATCH($A34,Backlog!$A$2:$A$188,0))="","",INDEX(Backlog!$AN$2:$AN$188,MATCH($A34,Backlog!$A$2:$A$188,0)))</f>
        <v/>
      </c>
    </row>
    <row r="35" spans="1:10" ht="26.1" customHeight="1">
      <c r="A35" s="38" t="s">
        <v>95</v>
      </c>
      <c r="B35" s="38" t="str">
        <f>IF(INDEX(Backlog!$B$2:$B$188,MATCH($A35,Backlog!$A$2:$A$188,0))="","",INDEX(Backlog!$B$2:$B$188,MATCH($A35,Backlog!$A$2:$A$188,0)))</f>
        <v>M2</v>
      </c>
      <c r="C35" s="38" t="str">
        <f>IF(INDEX(Backlog!$C$2:$C$188,MATCH($A35,Backlog!$A$2:$A$188,0))="","",INDEX(Backlog!$C$2:$C$188,MATCH($A35,Backlog!$A$2:$A$188,0)))</f>
        <v>P2</v>
      </c>
      <c r="D35" s="38" t="str">
        <f>IF(INDEX(Backlog!$L$2:$L$188,MATCH($A35,Backlog!$A$2:$A$188,0))="","",INDEX(Backlog!$L$2:$L$188,MATCH($A35,Backlog!$A$2:$A$188,0)))</f>
        <v>Worker 1</v>
      </c>
      <c r="E35" s="70" t="str">
        <f>IF(INDEX(Backlog!$K$2:$K$188,MATCH($A35,Backlog!$A$2:$A$188,0))="","",INDEX(Backlog!$K$2:$K$188,MATCH($A35,Backlog!$A$2:$A$188,0)))</f>
        <v>Not Started</v>
      </c>
      <c r="F35" s="38">
        <f>IF(ISNUMBER(INDEX(Backlog!$AT$2:$AT$188,MATCH($A35,Backlog!$A$2:$A$188,0))),INDEX(Backlog!$AT$2:$AT$188,MATCH($A35,Backlog!$A$2:$A$188,0)),"")</f>
        <v>1.2000000000000002</v>
      </c>
      <c r="G35" s="38" t="str">
        <f>IF(INDEX(Backlog!$M$2:$M$188,MATCH($A35,Backlog!$A$2:$A$188,0))="","",INDEX(Backlog!$M$2:$M$188,MATCH($A35,Backlog!$A$2:$A$188,0)))</f>
        <v>T-087; T-095</v>
      </c>
      <c r="H35" s="38" t="str">
        <f>IF(INDEX(Backlog!$N$2:$N$188,MATCH($A35,Backlog!$A$2:$A$188,0))="","",INDEX(Backlog!$N$2:$N$188,MATCH($A35,Backlog!$A$2:$A$188,0)))</f>
        <v>T-103; T-107; T-109; T-128; T-183</v>
      </c>
      <c r="I35" s="38" t="str">
        <f>IF(INDEX(Backlog!$T$2:$T$188,MATCH($A35,Backlog!$A$2:$A$188,0))="","",INDEX(Backlog!$T$2:$T$188,MATCH($A35,Backlog!$A$2:$A$188,0)))</f>
        <v>Use the accepted M1 regression baseline; require empty index and clean owned paths, preserving unrelated user work. Then: T-087 canonical plant schema + T-095 relationship/material identity authority.</v>
      </c>
      <c r="J35" s="32" t="str">
        <f>IF(INDEX(Backlog!$AN$2:$AN$188,MATCH($A35,Backlog!$A$2:$A$188,0))="","",INDEX(Backlog!$AN$2:$AN$188,MATCH($A35,Backlog!$A$2:$A$188,0)))</f>
        <v/>
      </c>
    </row>
    <row r="36" spans="1:10" ht="26.1" customHeight="1">
      <c r="A36" s="38" t="s">
        <v>96</v>
      </c>
      <c r="B36" s="38" t="str">
        <f>IF(INDEX(Backlog!$B$2:$B$188,MATCH($A36,Backlog!$A$2:$A$188,0))="","",INDEX(Backlog!$B$2:$B$188,MATCH($A36,Backlog!$A$2:$A$188,0)))</f>
        <v>M2</v>
      </c>
      <c r="C36" s="38" t="str">
        <f>IF(INDEX(Backlog!$C$2:$C$188,MATCH($A36,Backlog!$A$2:$A$188,0))="","",INDEX(Backlog!$C$2:$C$188,MATCH($A36,Backlog!$A$2:$A$188,0)))</f>
        <v>P2</v>
      </c>
      <c r="D36" s="38" t="str">
        <f>IF(INDEX(Backlog!$L$2:$L$188,MATCH($A36,Backlog!$A$2:$A$188,0))="","",INDEX(Backlog!$L$2:$L$188,MATCH($A36,Backlog!$A$2:$A$188,0)))</f>
        <v>Worker 1</v>
      </c>
      <c r="E36" s="70" t="str">
        <f>IF(INDEX(Backlog!$K$2:$K$188,MATCH($A36,Backlog!$A$2:$A$188,0))="","",INDEX(Backlog!$K$2:$K$188,MATCH($A36,Backlog!$A$2:$A$188,0)))</f>
        <v>Not Started</v>
      </c>
      <c r="F36" s="38" t="str">
        <f>IF(ISNUMBER(INDEX(Backlog!$AT$2:$AT$188,MATCH($A36,Backlog!$A$2:$A$188,0))),INDEX(Backlog!$AT$2:$AT$188,MATCH($A36,Backlog!$A$2:$A$188,0)),"")</f>
        <v/>
      </c>
      <c r="G36" s="38" t="str">
        <f>IF(INDEX(Backlog!$M$2:$M$188,MATCH($A36,Backlog!$A$2:$A$188,0))="","",INDEX(Backlog!$M$2:$M$188,MATCH($A36,Backlog!$A$2:$A$188,0)))</f>
        <v>T-095; T-102</v>
      </c>
      <c r="H36" s="38" t="str">
        <f>IF(INDEX(Backlog!$N$2:$N$188,MATCH($A36,Backlog!$A$2:$A$188,0))="","",INDEX(Backlog!$N$2:$N$188,MATCH($A36,Backlog!$A$2:$A$188,0)))</f>
        <v>T-107; T-109; T-128; T-183</v>
      </c>
      <c r="I36" s="38" t="str">
        <f>IF(INDEX(Backlog!$T$2:$T$188,MATCH($A36,Backlog!$A$2:$A$188,0))="","",INDEX(Backlog!$T$2:$T$188,MATCH($A36,Backlog!$A$2:$A$188,0)))</f>
        <v>Use the accepted M1 regression baseline; require empty index and clean owned paths, preserving unrelated user work. Then: T-095 + T-102 canonical relationship/identity authority.</v>
      </c>
      <c r="J36" s="32" t="str">
        <f>IF(INDEX(Backlog!$AN$2:$AN$188,MATCH($A36,Backlog!$A$2:$A$188,0))="","",INDEX(Backlog!$AN$2:$AN$188,MATCH($A36,Backlog!$A$2:$A$188,0)))</f>
        <v/>
      </c>
    </row>
    <row r="37" spans="1:10" ht="26.1" customHeight="1">
      <c r="A37" s="38" t="s">
        <v>97</v>
      </c>
      <c r="B37" s="38" t="str">
        <f>IF(INDEX(Backlog!$B$2:$B$188,MATCH($A37,Backlog!$A$2:$A$188,0))="","",INDEX(Backlog!$B$2:$B$188,MATCH($A37,Backlog!$A$2:$A$188,0)))</f>
        <v>M2</v>
      </c>
      <c r="C37" s="38" t="str">
        <f>IF(INDEX(Backlog!$C$2:$C$188,MATCH($A37,Backlog!$A$2:$A$188,0))="","",INDEX(Backlog!$C$2:$C$188,MATCH($A37,Backlog!$A$2:$A$188,0)))</f>
        <v>P2</v>
      </c>
      <c r="D37" s="38" t="str">
        <f>IF(INDEX(Backlog!$L$2:$L$188,MATCH($A37,Backlog!$A$2:$A$188,0))="","",INDEX(Backlog!$L$2:$L$188,MATCH($A37,Backlog!$A$2:$A$188,0)))</f>
        <v>Worker 1</v>
      </c>
      <c r="E37" s="70" t="str">
        <f>IF(INDEX(Backlog!$K$2:$K$188,MATCH($A37,Backlog!$A$2:$A$188,0))="","",INDEX(Backlog!$K$2:$K$188,MATCH($A37,Backlog!$A$2:$A$188,0)))</f>
        <v>Not Started</v>
      </c>
      <c r="F37" s="38" t="str">
        <f>IF(ISNUMBER(INDEX(Backlog!$AT$2:$AT$188,MATCH($A37,Backlog!$A$2:$A$188,0))),INDEX(Backlog!$AT$2:$AT$188,MATCH($A37,Backlog!$A$2:$A$188,0)),"")</f>
        <v/>
      </c>
      <c r="G37" s="38" t="str">
        <f>IF(INDEX(Backlog!$M$2:$M$188,MATCH($A37,Backlog!$A$2:$A$188,0))="","",INDEX(Backlog!$M$2:$M$188,MATCH($A37,Backlog!$A$2:$A$188,0)))</f>
        <v>T-090; T-095; T-099; T-261</v>
      </c>
      <c r="H37" s="38" t="str">
        <f>IF(INDEX(Backlog!$N$2:$N$188,MATCH($A37,Backlog!$A$2:$A$188,0))="","",INDEX(Backlog!$N$2:$N$188,MATCH($A37,Backlog!$A$2:$A$188,0)))</f>
        <v>T-107; T-108; T-109; T-128; T-183; T-247</v>
      </c>
      <c r="I37" s="38" t="str">
        <f>IF(INDEX(Backlog!$T$2:$T$188,MATCH($A37,Backlog!$A$2:$A$188,0))="","",INDEX(Backlog!$T$2:$T$188,MATCH($A37,Backlog!$A$2:$A$188,0)))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T-090 canonical versioned mapping definitions + T-095 relationship authority ...</v>
      </c>
      <c r="J37" s="32" t="str">
        <f>IF(INDEX(Backlog!$AN$2:$AN$188,MATCH($A37,Backlog!$A$2:$A$188,0))="","",INDEX(Backlog!$AN$2:$AN$188,MATCH($A37,Backlog!$A$2:$A$188,0)))</f>
        <v/>
      </c>
    </row>
    <row r="38" spans="1:10" ht="26.1" customHeight="1">
      <c r="A38" s="38" t="s">
        <v>98</v>
      </c>
      <c r="B38" s="38" t="str">
        <f>IF(INDEX(Backlog!$B$2:$B$188,MATCH($A38,Backlog!$A$2:$A$188,0))="","",INDEX(Backlog!$B$2:$B$188,MATCH($A38,Backlog!$A$2:$A$188,0)))</f>
        <v>M2</v>
      </c>
      <c r="C38" s="38" t="str">
        <f>IF(INDEX(Backlog!$C$2:$C$188,MATCH($A38,Backlog!$A$2:$A$188,0))="","",INDEX(Backlog!$C$2:$C$188,MATCH($A38,Backlog!$A$2:$A$188,0)))</f>
        <v>P2</v>
      </c>
      <c r="D38" s="38" t="str">
        <f>IF(INDEX(Backlog!$L$2:$L$188,MATCH($A38,Backlog!$A$2:$A$188,0))="","",INDEX(Backlog!$L$2:$L$188,MATCH($A38,Backlog!$A$2:$A$188,0)))</f>
        <v>Worker 3</v>
      </c>
      <c r="E38" s="70" t="str">
        <f>IF(INDEX(Backlog!$K$2:$K$188,MATCH($A38,Backlog!$A$2:$A$188,0))="","",INDEX(Backlog!$K$2:$K$188,MATCH($A38,Backlog!$A$2:$A$188,0)))</f>
        <v>Done</v>
      </c>
      <c r="F38" s="38" t="str">
        <f>IF(ISNUMBER(INDEX(Backlog!$AT$2:$AT$188,MATCH($A38,Backlog!$A$2:$A$188,0))),INDEX(Backlog!$AT$2:$AT$188,MATCH($A38,Backlog!$A$2:$A$188,0)),"")</f>
        <v/>
      </c>
      <c r="G38" s="38" t="str">
        <f>IF(INDEX(Backlog!$M$2:$M$188,MATCH($A38,Backlog!$A$2:$A$188,0))="","",INDEX(Backlog!$M$2:$M$188,MATCH($A38,Backlog!$A$2:$A$188,0)))</f>
        <v>T-064; T-089; T-090; T-252</v>
      </c>
      <c r="H38" s="38" t="str">
        <f>IF(INDEX(Backlog!$N$2:$N$188,MATCH($A38,Backlog!$A$2:$A$188,0))="","",INDEX(Backlog!$N$2:$N$188,MATCH($A38,Backlog!$A$2:$A$188,0)))</f>
        <v>T-107; T-122; T-125; T-245; T-261; T-263; T-275</v>
      </c>
      <c r="I38" s="38" t="str">
        <f>IF(INDEX(Backlog!$T$2:$T$188,MATCH($A38,Backlog!$A$2:$A$188,0))="","",INDEX(Backlog!$T$2:$T$188,MATCH($A38,Backlog!$A$2:$A$188,0)))</f>
        <v>Consume accepted producer contracts; remaining dependencies: T-064; T-089; T-090; T-252. No private scheduler/definition authority. Source-present is not closure proof.</v>
      </c>
      <c r="J38" s="32" t="str">
        <f>IF(INDEX(Backlog!$AN$2:$AN$188,MATCH($A38,Backlog!$A$2:$A$188,0))="","",INDEX(Backlog!$AN$2:$AN$188,MATCH($A38,Backlog!$A$2:$A$188,0)))</f>
        <v/>
      </c>
    </row>
    <row r="39" spans="1:10" ht="26.1" customHeight="1">
      <c r="A39" s="38" t="s">
        <v>99</v>
      </c>
      <c r="B39" s="38" t="str">
        <f>IF(INDEX(Backlog!$B$2:$B$188,MATCH($A39,Backlog!$A$2:$A$188,0))="","",INDEX(Backlog!$B$2:$B$188,MATCH($A39,Backlog!$A$2:$A$188,0)))</f>
        <v>M2</v>
      </c>
      <c r="C39" s="38" t="str">
        <f>IF(INDEX(Backlog!$C$2:$C$188,MATCH($A39,Backlog!$A$2:$A$188,0))="","",INDEX(Backlog!$C$2:$C$188,MATCH($A39,Backlog!$A$2:$A$188,0)))</f>
        <v>P2</v>
      </c>
      <c r="D39" s="38" t="str">
        <f>IF(INDEX(Backlog!$L$2:$L$188,MATCH($A39,Backlog!$A$2:$A$188,0))="","",INDEX(Backlog!$L$2:$L$188,MATCH($A39,Backlog!$A$2:$A$188,0)))</f>
        <v>Worker 3</v>
      </c>
      <c r="E39" s="70" t="str">
        <f>IF(INDEX(Backlog!$K$2:$K$188,MATCH($A39,Backlog!$A$2:$A$188,0))="","",INDEX(Backlog!$K$2:$K$188,MATCH($A39,Backlog!$A$2:$A$188,0)))</f>
        <v>In Progress</v>
      </c>
      <c r="F39" s="38">
        <f>IF(ISNUMBER(INDEX(Backlog!$AT$2:$AT$188,MATCH($A39,Backlog!$A$2:$A$188,0))),INDEX(Backlog!$AT$2:$AT$188,MATCH($A39,Backlog!$A$2:$A$188,0)),"")</f>
        <v>1.7999999999999998</v>
      </c>
      <c r="G39" s="38" t="str">
        <f>IF(INDEX(Backlog!$M$2:$M$188,MATCH($A39,Backlog!$A$2:$A$188,0))="","",INDEX(Backlog!$M$2:$M$188,MATCH($A39,Backlog!$A$2:$A$188,0)))</f>
        <v>T-095; T-096; T-097; T-098; T-099; T-100; T-101; T-102; T-103; T-104; T-106</v>
      </c>
      <c r="H39" s="38" t="str">
        <f>IF(INDEX(Backlog!$N$2:$N$188,MATCH($A39,Backlog!$A$2:$A$188,0))="","",INDEX(Backlog!$N$2:$N$188,MATCH($A39,Backlog!$A$2:$A$188,0)))</f>
        <v>T-122; T-125; T-141; T-187; T-192; T-275</v>
      </c>
      <c r="I39" s="38" t="str">
        <f>IF(INDEX(Backlog!$T$2:$T$188,MATCH($A39,Backlog!$A$2:$A$188,0))="","",INDEX(Backlog!$T$2:$T$188,MATCH($A39,Backlog!$A$2:$A$188,0)))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canonical job contract + T-095..T-105 canonical data/relationship path;...</v>
      </c>
      <c r="J39" s="32" t="str">
        <f>IF(INDEX(Backlog!$AN$2:$AN$188,MATCH($A39,Backlog!$A$2:$A$188,0))="","",INDEX(Backlog!$AN$2:$AN$188,MATCH($A39,Backlog!$A$2:$A$188,0)))</f>
        <v/>
      </c>
    </row>
    <row r="40" spans="1:10" ht="26.1" customHeight="1">
      <c r="A40" s="38" t="s">
        <v>100</v>
      </c>
      <c r="B40" s="38" t="str">
        <f>IF(INDEX(Backlog!$B$2:$B$188,MATCH($A40,Backlog!$A$2:$A$188,0))="","",INDEX(Backlog!$B$2:$B$188,MATCH($A40,Backlog!$A$2:$A$188,0)))</f>
        <v>M2</v>
      </c>
      <c r="C40" s="38" t="str">
        <f>IF(INDEX(Backlog!$C$2:$C$188,MATCH($A40,Backlog!$A$2:$A$188,0))="","",INDEX(Backlog!$C$2:$C$188,MATCH($A40,Backlog!$A$2:$A$188,0)))</f>
        <v>P2</v>
      </c>
      <c r="D40" s="38" t="str">
        <f>IF(INDEX(Backlog!$L$2:$L$188,MATCH($A40,Backlog!$A$2:$A$188,0))="","",INDEX(Backlog!$L$2:$L$188,MATCH($A40,Backlog!$A$2:$A$188,0)))</f>
        <v>Worker 1</v>
      </c>
      <c r="E40" s="70" t="str">
        <f>IF(INDEX(Backlog!$K$2:$K$188,MATCH($A40,Backlog!$A$2:$A$188,0))="","",INDEX(Backlog!$K$2:$K$188,MATCH($A40,Backlog!$A$2:$A$188,0)))</f>
        <v>Not Started</v>
      </c>
      <c r="F40" s="38" t="str">
        <f>IF(ISNUMBER(INDEX(Backlog!$AT$2:$AT$188,MATCH($A40,Backlog!$A$2:$A$188,0))),INDEX(Backlog!$AT$2:$AT$188,MATCH($A40,Backlog!$A$2:$A$188,0)),"")</f>
        <v/>
      </c>
      <c r="G40" s="38" t="str">
        <f>IF(INDEX(Backlog!$M$2:$M$188,MATCH($A40,Backlog!$A$2:$A$188,0))="","",INDEX(Backlog!$M$2:$M$188,MATCH($A40,Backlog!$A$2:$A$188,0)))</f>
        <v>T-099; T-104</v>
      </c>
      <c r="H40" s="38" t="str">
        <f>IF(INDEX(Backlog!$N$2:$N$188,MATCH($A40,Backlog!$A$2:$A$188,0))="","",INDEX(Backlog!$N$2:$N$188,MATCH($A40,Backlog!$A$2:$A$188,0)))</f>
        <v>T-109; T-110; T-247; T-271</v>
      </c>
      <c r="I40" s="38" t="str">
        <f>IF(INDEX(Backlog!$T$2:$T$188,MATCH($A40,Backlog!$A$2:$A$188,0))="","",INDEX(Backlog!$T$2:$T$188,MATCH($A40,Backlog!$A$2:$A$188,0)))</f>
        <v>Consume accepted producer contracts; remaining dependencies: T-099; T-104. No private scheduler/definition authority. Source-present is not closure proof.</v>
      </c>
      <c r="J40" s="32" t="str">
        <f>IF(INDEX(Backlog!$AN$2:$AN$188,MATCH($A40,Backlog!$A$2:$A$188,0))="","",INDEX(Backlog!$AN$2:$AN$188,MATCH($A40,Backlog!$A$2:$A$188,0)))</f>
        <v/>
      </c>
    </row>
    <row r="41" spans="1:10" ht="26.1" customHeight="1">
      <c r="A41" s="38" t="s">
        <v>101</v>
      </c>
      <c r="B41" s="38" t="str">
        <f>IF(INDEX(Backlog!$B$2:$B$188,MATCH($A41,Backlog!$A$2:$A$188,0))="","",INDEX(Backlog!$B$2:$B$188,MATCH($A41,Backlog!$A$2:$A$188,0)))</f>
        <v>M2</v>
      </c>
      <c r="C41" s="38" t="str">
        <f>IF(INDEX(Backlog!$C$2:$C$188,MATCH($A41,Backlog!$A$2:$A$188,0))="","",INDEX(Backlog!$C$2:$C$188,MATCH($A41,Backlog!$A$2:$A$188,0)))</f>
        <v>P2</v>
      </c>
      <c r="D41" s="38" t="str">
        <f>IF(INDEX(Backlog!$L$2:$L$188,MATCH($A41,Backlog!$A$2:$A$188,0))="","",INDEX(Backlog!$L$2:$L$188,MATCH($A41,Backlog!$A$2:$A$188,0)))</f>
        <v>Worker 3</v>
      </c>
      <c r="E41" s="70" t="str">
        <f>IF(INDEX(Backlog!$K$2:$K$188,MATCH($A41,Backlog!$A$2:$A$188,0))="","",INDEX(Backlog!$K$2:$K$188,MATCH($A41,Backlog!$A$2:$A$188,0)))</f>
        <v>Not Started</v>
      </c>
      <c r="F41" s="38">
        <f>IF(ISNUMBER(INDEX(Backlog!$AT$2:$AT$188,MATCH($A41,Backlog!$A$2:$A$188,0))),INDEX(Backlog!$AT$2:$AT$188,MATCH($A41,Backlog!$A$2:$A$188,0)),"")</f>
        <v>0.89999999999999991</v>
      </c>
      <c r="G41" s="38" t="str">
        <f>IF(INDEX(Backlog!$M$2:$M$188,MATCH($A41,Backlog!$A$2:$A$188,0))="","",INDEX(Backlog!$M$2:$M$188,MATCH($A41,Backlog!$A$2:$A$188,0)))</f>
        <v>T-095; T-096; T-097; T-098; T-099; T-100; T-101; T-102; T-103; T-104; T-108</v>
      </c>
      <c r="H41" s="38" t="str">
        <f>IF(INDEX(Backlog!$N$2:$N$188,MATCH($A41,Backlog!$A$2:$A$188,0))="","",INDEX(Backlog!$N$2:$N$188,MATCH($A41,Backlog!$A$2:$A$188,0)))</f>
        <v>T-110; T-136; T-187</v>
      </c>
      <c r="I41" s="38" t="str">
        <f>IF(INDEX(Backlog!$T$2:$T$188,MATCH($A41,Backlog!$A$2:$A$188,0))="","",INDEX(Backlog!$T$2:$T$188,MATCH($A41,Backlog!$A$2:$A$188,0)))</f>
        <v>Use the accepted M1 regression baseline; require empty index and clean owned paths, preserving unrelated user work. Then: T-095..T-105; T-108</v>
      </c>
      <c r="J41" s="32" t="str">
        <f>IF(INDEX(Backlog!$AN$2:$AN$188,MATCH($A41,Backlog!$A$2:$A$188,0))="","",INDEX(Backlog!$AN$2:$AN$188,MATCH($A41,Backlog!$A$2:$A$188,0)))</f>
        <v/>
      </c>
    </row>
    <row r="42" spans="1:10" ht="26.1" customHeight="1">
      <c r="A42" s="38" t="s">
        <v>102</v>
      </c>
      <c r="B42" s="38" t="str">
        <f>IF(INDEX(Backlog!$B$2:$B$188,MATCH($A42,Backlog!$A$2:$A$188,0))="","",INDEX(Backlog!$B$2:$B$188,MATCH($A42,Backlog!$A$2:$A$188,0)))</f>
        <v>M2</v>
      </c>
      <c r="C42" s="38" t="str">
        <f>IF(INDEX(Backlog!$C$2:$C$188,MATCH($A42,Backlog!$A$2:$A$188,0))="","",INDEX(Backlog!$C$2:$C$188,MATCH($A42,Backlog!$A$2:$A$188,0)))</f>
        <v>P2</v>
      </c>
      <c r="D42" s="38" t="str">
        <f>IF(INDEX(Backlog!$L$2:$L$188,MATCH($A42,Backlog!$A$2:$A$188,0))="","",INDEX(Backlog!$L$2:$L$188,MATCH($A42,Backlog!$A$2:$A$188,0)))</f>
        <v>Worker 1</v>
      </c>
      <c r="E42" s="70" t="str">
        <f>IF(INDEX(Backlog!$K$2:$K$188,MATCH($A42,Backlog!$A$2:$A$188,0))="","",INDEX(Backlog!$K$2:$K$188,MATCH($A42,Backlog!$A$2:$A$188,0)))</f>
        <v>Done</v>
      </c>
      <c r="F42" s="38">
        <f>IF(ISNUMBER(INDEX(Backlog!$AT$2:$AT$188,MATCH($A42,Backlog!$A$2:$A$188,0))),INDEX(Backlog!$AT$2:$AT$188,MATCH($A42,Backlog!$A$2:$A$188,0)),"")</f>
        <v>2.25</v>
      </c>
      <c r="G42" s="38" t="str">
        <f>IF(INDEX(Backlog!$M$2:$M$188,MATCH($A42,Backlog!$A$2:$A$188,0))="","",INDEX(Backlog!$M$2:$M$188,MATCH($A42,Backlog!$A$2:$A$188,0)))</f>
        <v>T-201</v>
      </c>
      <c r="H42" s="38" t="str">
        <f>IF(INDEX(Backlog!$N$2:$N$188,MATCH($A42,Backlog!$A$2:$A$188,0))="","",INDEX(Backlog!$N$2:$N$188,MATCH($A42,Backlog!$A$2:$A$188,0)))</f>
        <v>T-150; T-224; T-247; T-254; T-266; T-268</v>
      </c>
      <c r="I42" s="38" t="str">
        <f>IF(INDEX(Backlog!$T$2:$T$188,MATCH($A42,Backlog!$A$2:$A$188,0))="","",INDEX(Backlog!$T$2:$T$188,MATCH($A42,Backlog!$A$2:$A$188,0)))</f>
        <v>CLOSED BASELINE — no new start gate and no re-execution implied. Preserve accepted closure and clean owned scope; reopen only on a concrete, separately recorded regression. Downstream consumes the frozen contract.</v>
      </c>
      <c r="J42" s="32" t="str">
        <f>IF(INDEX(Backlog!$AN$2:$AN$188,MATCH($A42,Backlog!$A$2:$A$188,0))="","",INDEX(Backlog!$AN$2:$AN$188,MATCH($A42,Backlog!$A$2:$A$188,0)))</f>
        <v/>
      </c>
    </row>
    <row r="43" spans="1:10" ht="26.1" customHeight="1">
      <c r="A43" s="38" t="s">
        <v>103</v>
      </c>
      <c r="B43" s="38" t="str">
        <f>IF(INDEX(Backlog!$B$2:$B$188,MATCH($A43,Backlog!$A$2:$A$188,0))="","",INDEX(Backlog!$B$2:$B$188,MATCH($A43,Backlog!$A$2:$A$188,0)))</f>
        <v>M2</v>
      </c>
      <c r="C43" s="38" t="str">
        <f>IF(INDEX(Backlog!$C$2:$C$188,MATCH($A43,Backlog!$A$2:$A$188,0))="","",INDEX(Backlog!$C$2:$C$188,MATCH($A43,Backlog!$A$2:$A$188,0)))</f>
        <v>P2</v>
      </c>
      <c r="D43" s="38" t="str">
        <f>IF(INDEX(Backlog!$L$2:$L$188,MATCH($A43,Backlog!$A$2:$A$188,0))="","",INDEX(Backlog!$L$2:$L$188,MATCH($A43,Backlog!$A$2:$A$188,0)))</f>
        <v>Worker 2</v>
      </c>
      <c r="E43" s="70" t="str">
        <f>IF(INDEX(Backlog!$K$2:$K$188,MATCH($A43,Backlog!$A$2:$A$188,0))="","",INDEX(Backlog!$K$2:$K$188,MATCH($A43,Backlog!$A$2:$A$188,0)))</f>
        <v>Not Started</v>
      </c>
      <c r="F43" s="38">
        <f>IF(ISNUMBER(INDEX(Backlog!$AT$2:$AT$188,MATCH($A43,Backlog!$A$2:$A$188,0))),INDEX(Backlog!$AT$2:$AT$188,MATCH($A43,Backlog!$A$2:$A$188,0)),"")</f>
        <v>5.1428571428571432</v>
      </c>
      <c r="G43" s="38" t="str">
        <f>IF(INDEX(Backlog!$M$2:$M$188,MATCH($A43,Backlog!$A$2:$A$188,0))="","",INDEX(Backlog!$M$2:$M$188,MATCH($A43,Backlog!$A$2:$A$188,0)))</f>
        <v>T-202; T-210; T-211; T-092; T-234; T-235; T-236</v>
      </c>
      <c r="H43" s="38" t="str">
        <f>IF(INDEX(Backlog!$N$2:$N$188,MATCH($A43,Backlog!$A$2:$A$188,0))="","",INDEX(Backlog!$N$2:$N$188,MATCH($A43,Backlog!$A$2:$A$188,0)))</f>
        <v>T-150; T-247</v>
      </c>
      <c r="I43" s="38" t="str">
        <f>IF(INDEX(Backlog!$T$2:$T$188,MATCH($A43,Backlog!$A$2:$A$188,0))="","",INDEX(Backlog!$T$2:$T$188,MATCH($A43,Backlog!$A$2:$A$188,0)))</f>
        <v>T-202 + T-210/T-211 + T-092 + committed T-234/T-235/T-236.</v>
      </c>
      <c r="J43" s="32" t="str">
        <f>IF(INDEX(Backlog!$AN$2:$AN$188,MATCH($A43,Backlog!$A$2:$A$188,0))="","",INDEX(Backlog!$AN$2:$AN$188,MATCH($A43,Backlog!$A$2:$A$188,0)))</f>
        <v/>
      </c>
    </row>
    <row r="44" spans="1:10" ht="26.1" customHeight="1">
      <c r="A44" s="38" t="s">
        <v>104</v>
      </c>
      <c r="B44" s="38" t="str">
        <f>IF(INDEX(Backlog!$B$2:$B$188,MATCH($A44,Backlog!$A$2:$A$188,0))="","",INDEX(Backlog!$B$2:$B$188,MATCH($A44,Backlog!$A$2:$A$188,0)))</f>
        <v>M2</v>
      </c>
      <c r="C44" s="38" t="str">
        <f>IF(INDEX(Backlog!$C$2:$C$188,MATCH($A44,Backlog!$A$2:$A$188,0))="","",INDEX(Backlog!$C$2:$C$188,MATCH($A44,Backlog!$A$2:$A$188,0)))</f>
        <v>P2</v>
      </c>
      <c r="D44" s="38" t="str">
        <f>IF(INDEX(Backlog!$L$2:$L$188,MATCH($A44,Backlog!$A$2:$A$188,0))="","",INDEX(Backlog!$L$2:$L$188,MATCH($A44,Backlog!$A$2:$A$188,0)))</f>
        <v>Worker 2</v>
      </c>
      <c r="E44" s="70" t="str">
        <f>IF(INDEX(Backlog!$K$2:$K$188,MATCH($A44,Backlog!$A$2:$A$188,0))="","",INDEX(Backlog!$K$2:$K$188,MATCH($A44,Backlog!$A$2:$A$188,0)))</f>
        <v>Done</v>
      </c>
      <c r="F44" s="38">
        <f>IF(ISNUMBER(INDEX(Backlog!$AT$2:$AT$188,MATCH($A44,Backlog!$A$2:$A$188,0))),INDEX(Backlog!$AT$2:$AT$188,MATCH($A44,Backlog!$A$2:$A$188,0)),"")</f>
        <v>3.2</v>
      </c>
      <c r="G44" s="38" t="str">
        <f>IF(INDEX(Backlog!$M$2:$M$188,MATCH($A44,Backlog!$A$2:$A$188,0))="","",INDEX(Backlog!$M$2:$M$188,MATCH($A44,Backlog!$A$2:$A$188,0)))</f>
        <v>T-201; T-206</v>
      </c>
      <c r="H44" s="38" t="str">
        <f>IF(INDEX(Backlog!$N$2:$N$188,MATCH($A44,Backlog!$A$2:$A$188,0))="","",INDEX(Backlog!$N$2:$N$188,MATCH($A44,Backlog!$A$2:$A$188,0)))</f>
        <v>T-227; T-247</v>
      </c>
      <c r="I44" s="38" t="str">
        <f>IF(INDEX(Backlog!$T$2:$T$188,MATCH($A44,Backlog!$A$2:$A$188,0))="","",INDEX(Backlog!$T$2:$T$188,MATCH($A44,Backlog!$A$2:$A$188,0)))</f>
        <v>CLOSED BASELINE — no new start gate and no re-execution implied. Preserve accepted closure and clean owned scope; reopen only on a concrete, separately recorded regression. Downstream consumes the frozen contract.</v>
      </c>
      <c r="J44" s="32" t="str">
        <f>IF(INDEX(Backlog!$AN$2:$AN$188,MATCH($A44,Backlog!$A$2:$A$188,0))="","",INDEX(Backlog!$AN$2:$AN$188,MATCH($A44,Backlog!$A$2:$A$188,0)))</f>
        <v/>
      </c>
    </row>
    <row r="45" spans="1:10" ht="26.1" customHeight="1">
      <c r="A45" s="38" t="s">
        <v>105</v>
      </c>
      <c r="B45" s="38" t="str">
        <f>IF(INDEX(Backlog!$B$2:$B$188,MATCH($A45,Backlog!$A$2:$A$188,0))="","",INDEX(Backlog!$B$2:$B$188,MATCH($A45,Backlog!$A$2:$A$188,0)))</f>
        <v>M2</v>
      </c>
      <c r="C45" s="38" t="str">
        <f>IF(INDEX(Backlog!$C$2:$C$188,MATCH($A45,Backlog!$A$2:$A$188,0))="","",INDEX(Backlog!$C$2:$C$188,MATCH($A45,Backlog!$A$2:$A$188,0)))</f>
        <v>P2</v>
      </c>
      <c r="D45" s="38" t="str">
        <f>IF(INDEX(Backlog!$L$2:$L$188,MATCH($A45,Backlog!$A$2:$A$188,0))="","",INDEX(Backlog!$L$2:$L$188,MATCH($A45,Backlog!$A$2:$A$188,0)))</f>
        <v>Worker 3</v>
      </c>
      <c r="E45" s="70" t="str">
        <f>IF(INDEX(Backlog!$K$2:$K$188,MATCH($A45,Backlog!$A$2:$A$188,0))="","",INDEX(Backlog!$K$2:$K$188,MATCH($A45,Backlog!$A$2:$A$188,0)))</f>
        <v>Done</v>
      </c>
      <c r="F45" s="38" t="str">
        <f>IF(ISNUMBER(INDEX(Backlog!$AT$2:$AT$188,MATCH($A45,Backlog!$A$2:$A$188,0))),INDEX(Backlog!$AT$2:$AT$188,MATCH($A45,Backlog!$A$2:$A$188,0)),"")</f>
        <v/>
      </c>
      <c r="G45" s="38" t="str">
        <f>IF(INDEX(Backlog!$M$2:$M$188,MATCH($A45,Backlog!$A$2:$A$188,0))="","",INDEX(Backlog!$M$2:$M$188,MATCH($A45,Backlog!$A$2:$A$188,0)))</f>
        <v>T-207</v>
      </c>
      <c r="H45" s="38" t="str">
        <f>IF(INDEX(Backlog!$N$2:$N$188,MATCH($A45,Backlog!$A$2:$A$188,0))="","",INDEX(Backlog!$N$2:$N$188,MATCH($A45,Backlog!$A$2:$A$188,0)))</f>
        <v>T-153; T-225</v>
      </c>
      <c r="I45" s="38" t="str">
        <f>IF(INDEX(Backlog!$T$2:$T$188,MATCH($A45,Backlog!$A$2:$A$188,0))="","",INDEX(Backlog!$T$2:$T$188,MATCH($A45,Backlog!$A$2:$A$188,0)))</f>
        <v>Release 1 MUST — start after T-207 connector-truth authority. Site/customer OT certification may require customer access, but the executable production OPC UA runtime itself cannot be deferred past M2.</v>
      </c>
      <c r="J45" s="32" t="str">
        <f>IF(INDEX(Backlog!$AN$2:$AN$188,MATCH($A45,Backlog!$A$2:$A$188,0))="","",INDEX(Backlog!$AN$2:$AN$188,MATCH($A45,Backlog!$A$2:$A$188,0)))</f>
        <v/>
      </c>
    </row>
    <row r="46" spans="1:10" ht="26.1" customHeight="1">
      <c r="A46" s="38" t="s">
        <v>106</v>
      </c>
      <c r="B46" s="38" t="str">
        <f>IF(INDEX(Backlog!$B$2:$B$188,MATCH($A46,Backlog!$A$2:$A$188,0))="","",INDEX(Backlog!$B$2:$B$188,MATCH($A46,Backlog!$A$2:$A$188,0)))</f>
        <v>M2</v>
      </c>
      <c r="C46" s="38" t="str">
        <f>IF(INDEX(Backlog!$C$2:$C$188,MATCH($A46,Backlog!$A$2:$A$188,0))="","",INDEX(Backlog!$C$2:$C$188,MATCH($A46,Backlog!$A$2:$A$188,0)))</f>
        <v>P2</v>
      </c>
      <c r="D46" s="38" t="str">
        <f>IF(INDEX(Backlog!$L$2:$L$188,MATCH($A46,Backlog!$A$2:$A$188,0))="","",INDEX(Backlog!$L$2:$L$188,MATCH($A46,Backlog!$A$2:$A$188,0)))</f>
        <v>Worker 3</v>
      </c>
      <c r="E46" s="70" t="str">
        <f>IF(INDEX(Backlog!$K$2:$K$188,MATCH($A46,Backlog!$A$2:$A$188,0))="","",INDEX(Backlog!$K$2:$K$188,MATCH($A46,Backlog!$A$2:$A$188,0)))</f>
        <v>Done</v>
      </c>
      <c r="F46" s="38" t="str">
        <f>IF(ISNUMBER(INDEX(Backlog!$AT$2:$AT$188,MATCH($A46,Backlog!$A$2:$A$188,0))),INDEX(Backlog!$AT$2:$AT$188,MATCH($A46,Backlog!$A$2:$A$188,0)),"")</f>
        <v/>
      </c>
      <c r="G46" s="38" t="str">
        <f>IF(INDEX(Backlog!$M$2:$M$188,MATCH($A46,Backlog!$A$2:$A$188,0))="","",INDEX(Backlog!$M$2:$M$188,MATCH($A46,Backlog!$A$2:$A$188,0)))</f>
        <v>T-224</v>
      </c>
      <c r="H46" s="38" t="str">
        <f>IF(INDEX(Backlog!$N$2:$N$188,MATCH($A46,Backlog!$A$2:$A$188,0))="","",INDEX(Backlog!$N$2:$N$188,MATCH($A46,Backlog!$A$2:$A$188,0)))</f>
        <v>T-153; T-226; T-270</v>
      </c>
      <c r="I46" s="38" t="str">
        <f>IF(INDEX(Backlog!$T$2:$T$188,MATCH($A46,Backlog!$A$2:$A$188,0))="","",INDEX(Backlog!$T$2:$T$188,MATCH($A46,Backlog!$A$2:$A$188,0)))</f>
        <v>T-224.</v>
      </c>
      <c r="J46" s="32" t="str">
        <f>IF(INDEX(Backlog!$AN$2:$AN$188,MATCH($A46,Backlog!$A$2:$A$188,0))="","",INDEX(Backlog!$AN$2:$AN$188,MATCH($A46,Backlog!$A$2:$A$188,0)))</f>
        <v/>
      </c>
    </row>
    <row r="47" spans="1:10" ht="26.1" customHeight="1">
      <c r="A47" s="38" t="s">
        <v>107</v>
      </c>
      <c r="B47" s="38" t="str">
        <f>IF(INDEX(Backlog!$B$2:$B$188,MATCH($A47,Backlog!$A$2:$A$188,0))="","",INDEX(Backlog!$B$2:$B$188,MATCH($A47,Backlog!$A$2:$A$188,0)))</f>
        <v>M2</v>
      </c>
      <c r="C47" s="38" t="str">
        <f>IF(INDEX(Backlog!$C$2:$C$188,MATCH($A47,Backlog!$A$2:$A$188,0))="","",INDEX(Backlog!$C$2:$C$188,MATCH($A47,Backlog!$A$2:$A$188,0)))</f>
        <v>P2</v>
      </c>
      <c r="D47" s="38" t="str">
        <f>IF(INDEX(Backlog!$L$2:$L$188,MATCH($A47,Backlog!$A$2:$A$188,0))="","",INDEX(Backlog!$L$2:$L$188,MATCH($A47,Backlog!$A$2:$A$188,0)))</f>
        <v>Worker 3</v>
      </c>
      <c r="E47" s="70" t="str">
        <f>IF(INDEX(Backlog!$K$2:$K$188,MATCH($A47,Backlog!$A$2:$A$188,0))="","",INDEX(Backlog!$K$2:$K$188,MATCH($A47,Backlog!$A$2:$A$188,0)))</f>
        <v>Not Started</v>
      </c>
      <c r="F47" s="38" t="str">
        <f>IF(ISNUMBER(INDEX(Backlog!$AT$2:$AT$188,MATCH($A47,Backlog!$A$2:$A$188,0))),INDEX(Backlog!$AT$2:$AT$188,MATCH($A47,Backlog!$A$2:$A$188,0)),"")</f>
        <v/>
      </c>
      <c r="G47" s="38" t="str">
        <f>IF(INDEX(Backlog!$M$2:$M$188,MATCH($A47,Backlog!$A$2:$A$188,0))="","",INDEX(Backlog!$M$2:$M$188,MATCH($A47,Backlog!$A$2:$A$188,0)))</f>
        <v>T-225; T-233; T-270; T-272; T-275</v>
      </c>
      <c r="H47" s="38" t="str">
        <f>IF(INDEX(Backlog!$N$2:$N$188,MATCH($A47,Backlog!$A$2:$A$188,0))="","",INDEX(Backlog!$N$2:$N$188,MATCH($A47,Backlog!$A$2:$A$188,0)))</f>
        <v>T-150; T-153</v>
      </c>
      <c r="I47" s="38" t="str">
        <f>IF(INDEX(Backlog!$T$2:$T$188,MATCH($A47,Backlog!$A$2:$A$188,0))="","",INDEX(Backlog!$T$2:$T$188,MATCH($A47,Backlog!$A$2:$A$188,0)))</f>
        <v>T-225 + T-216 Source Time Authority.</v>
      </c>
      <c r="J47" s="32" t="str">
        <f>IF(INDEX(Backlog!$AN$2:$AN$188,MATCH($A47,Backlog!$A$2:$A$188,0))="","",INDEX(Backlog!$AN$2:$AN$188,MATCH($A47,Backlog!$A$2:$A$188,0)))</f>
        <v/>
      </c>
    </row>
    <row r="48" spans="1:10" ht="26.1" customHeight="1">
      <c r="A48" s="38" t="s">
        <v>108</v>
      </c>
      <c r="B48" s="38" t="str">
        <f>IF(INDEX(Backlog!$B$2:$B$188,MATCH($A48,Backlog!$A$2:$A$188,0))="","",INDEX(Backlog!$B$2:$B$188,MATCH($A48,Backlog!$A$2:$A$188,0)))</f>
        <v>M2</v>
      </c>
      <c r="C48" s="38" t="str">
        <f>IF(INDEX(Backlog!$C$2:$C$188,MATCH($A48,Backlog!$A$2:$A$188,0))="","",INDEX(Backlog!$C$2:$C$188,MATCH($A48,Backlog!$A$2:$A$188,0)))</f>
        <v>P2</v>
      </c>
      <c r="D48" s="38" t="str">
        <f>IF(INDEX(Backlog!$L$2:$L$188,MATCH($A48,Backlog!$A$2:$A$188,0))="","",INDEX(Backlog!$L$2:$L$188,MATCH($A48,Backlog!$A$2:$A$188,0)))</f>
        <v>Worker 1</v>
      </c>
      <c r="E48" s="70" t="str">
        <f>IF(INDEX(Backlog!$K$2:$K$188,MATCH($A48,Backlog!$A$2:$A$188,0))="","",INDEX(Backlog!$K$2:$K$188,MATCH($A48,Backlog!$A$2:$A$188,0)))</f>
        <v>Not Started</v>
      </c>
      <c r="F48" s="38">
        <f>IF(ISNUMBER(INDEX(Backlog!$AT$2:$AT$188,MATCH($A48,Backlog!$A$2:$A$188,0))),INDEX(Backlog!$AT$2:$AT$188,MATCH($A48,Backlog!$A$2:$A$188,0)),"")</f>
        <v>2.5499999999999998</v>
      </c>
      <c r="G48" s="38" t="str">
        <f>IF(INDEX(Backlog!$M$2:$M$188,MATCH($A48,Backlog!$A$2:$A$188,0))="","",INDEX(Backlog!$M$2:$M$188,MATCH($A48,Backlog!$A$2:$A$188,0)))</f>
        <v>T-090; T-231; T-214</v>
      </c>
      <c r="H48" s="38" t="str">
        <f>IF(INDEX(Backlog!$N$2:$N$188,MATCH($A48,Backlog!$A$2:$A$188,0))="","",INDEX(Backlog!$N$2:$N$188,MATCH($A48,Backlog!$A$2:$A$188,0)))</f>
        <v>T-215</v>
      </c>
      <c r="I48" s="38" t="str">
        <f>IF(INDEX(Backlog!$T$2:$T$188,MATCH($A48,Backlog!$A$2:$A$188,0))="","",INDEX(Backlog!$T$2:$T$188,MATCH($A48,Backlog!$A$2:$A$188,0)))</f>
        <v>T-090 + T-231 + committed T-214 contract.</v>
      </c>
      <c r="J48" s="32" t="str">
        <f>IF(INDEX(Backlog!$AN$2:$AN$188,MATCH($A48,Backlog!$A$2:$A$188,0))="","",INDEX(Backlog!$AN$2:$AN$188,MATCH($A48,Backlog!$A$2:$A$188,0)))</f>
        <v/>
      </c>
    </row>
    <row r="49" spans="1:10" ht="26.1" customHeight="1">
      <c r="A49" s="38" t="s">
        <v>109</v>
      </c>
      <c r="B49" s="38" t="str">
        <f>IF(INDEX(Backlog!$B$2:$B$188,MATCH($A49,Backlog!$A$2:$A$188,0))="","",INDEX(Backlog!$B$2:$B$188,MATCH($A49,Backlog!$A$2:$A$188,0)))</f>
        <v>M2</v>
      </c>
      <c r="C49" s="38" t="str">
        <f>IF(INDEX(Backlog!$C$2:$C$188,MATCH($A49,Backlog!$A$2:$A$188,0))="","",INDEX(Backlog!$C$2:$C$188,MATCH($A49,Backlog!$A$2:$A$188,0)))</f>
        <v>P2</v>
      </c>
      <c r="D49" s="38" t="str">
        <f>IF(INDEX(Backlog!$L$2:$L$188,MATCH($A49,Backlog!$A$2:$A$188,0))="","",INDEX(Backlog!$L$2:$L$188,MATCH($A49,Backlog!$A$2:$A$188,0)))</f>
        <v>Worker 1</v>
      </c>
      <c r="E49" s="70" t="str">
        <f>IF(INDEX(Backlog!$K$2:$K$188,MATCH($A49,Backlog!$A$2:$A$188,0))="","",INDEX(Backlog!$K$2:$K$188,MATCH($A49,Backlog!$A$2:$A$188,0)))</f>
        <v>Done</v>
      </c>
      <c r="F49" s="38">
        <f>IF(ISNUMBER(INDEX(Backlog!$AT$2:$AT$188,MATCH($A49,Backlog!$A$2:$A$188,0))),INDEX(Backlog!$AT$2:$AT$188,MATCH($A49,Backlog!$A$2:$A$188,0)),"")</f>
        <v>2.125</v>
      </c>
      <c r="G49" s="38" t="str">
        <f>IF(INDEX(Backlog!$M$2:$M$188,MATCH($A49,Backlog!$A$2:$A$188,0))="","",INDEX(Backlog!$M$2:$M$188,MATCH($A49,Backlog!$A$2:$A$188,0)))</f>
        <v>T-087; T-090; T-216</v>
      </c>
      <c r="H49" s="38" t="str">
        <f>IF(INDEX(Backlog!$N$2:$N$188,MATCH($A49,Backlog!$A$2:$A$188,0))="","",INDEX(Backlog!$N$2:$N$188,MATCH($A49,Backlog!$A$2:$A$188,0)))</f>
        <v>T-221; T-226; T-270</v>
      </c>
      <c r="I49" s="38" t="str">
        <f>IF(INDEX(Backlog!$T$2:$T$188,MATCH($A49,Backlog!$A$2:$A$188,0))="","",INDEX(Backlog!$T$2:$T$188,MATCH($A49,Backlog!$A$2:$A$188,0)))</f>
        <v>T-087 + T-090 + committed T-216 contract.</v>
      </c>
      <c r="J49" s="32" t="str">
        <f>IF(INDEX(Backlog!$AN$2:$AN$188,MATCH($A49,Backlog!$A$2:$A$188,0))="","",INDEX(Backlog!$AN$2:$AN$188,MATCH($A49,Backlog!$A$2:$A$188,0)))</f>
        <v/>
      </c>
    </row>
    <row r="50" spans="1:10" ht="26.1" customHeight="1">
      <c r="A50" s="38" t="s">
        <v>110</v>
      </c>
      <c r="B50" s="38" t="str">
        <f>IF(INDEX(Backlog!$B$2:$B$188,MATCH($A50,Backlog!$A$2:$A$188,0))="","",INDEX(Backlog!$B$2:$B$188,MATCH($A50,Backlog!$A$2:$A$188,0)))</f>
        <v>M2</v>
      </c>
      <c r="C50" s="38" t="str">
        <f>IF(INDEX(Backlog!$C$2:$C$188,MATCH($A50,Backlog!$A$2:$A$188,0))="","",INDEX(Backlog!$C$2:$C$188,MATCH($A50,Backlog!$A$2:$A$188,0)))</f>
        <v>P2</v>
      </c>
      <c r="D50" s="38" t="str">
        <f>IF(INDEX(Backlog!$L$2:$L$188,MATCH($A50,Backlog!$A$2:$A$188,0))="","",INDEX(Backlog!$L$2:$L$188,MATCH($A50,Backlog!$A$2:$A$188,0)))</f>
        <v>Worker 1</v>
      </c>
      <c r="E50" s="70" t="str">
        <f>IF(INDEX(Backlog!$K$2:$K$188,MATCH($A50,Backlog!$A$2:$A$188,0))="","",INDEX(Backlog!$K$2:$K$188,MATCH($A50,Backlog!$A$2:$A$188,0)))</f>
        <v>Not Started</v>
      </c>
      <c r="F50" s="38" t="str">
        <f>IF(ISNUMBER(INDEX(Backlog!$AT$2:$AT$188,MATCH($A50,Backlog!$A$2:$A$188,0))),INDEX(Backlog!$AT$2:$AT$188,MATCH($A50,Backlog!$A$2:$A$188,0)),"")</f>
        <v/>
      </c>
      <c r="G50" s="38" t="str">
        <f>IF(INDEX(Backlog!$M$2:$M$188,MATCH($A50,Backlog!$A$2:$A$188,0))="","",INDEX(Backlog!$M$2:$M$188,MATCH($A50,Backlog!$A$2:$A$188,0)))</f>
        <v>T-090; T-231; T-234</v>
      </c>
      <c r="H50" s="38" t="str">
        <f>IF(INDEX(Backlog!$N$2:$N$188,MATCH($A50,Backlog!$A$2:$A$188,0))="","",INDEX(Backlog!$N$2:$N$188,MATCH($A50,Backlog!$A$2:$A$188,0)))</f>
        <v>T-164; T-212; T-237; T-247</v>
      </c>
      <c r="I50" s="38" t="str">
        <f>IF(INDEX(Backlog!$T$2:$T$188,MATCH($A50,Backlog!$A$2:$A$188,0))="","",INDEX(Backlog!$T$2:$T$188,MATCH($A50,Backlog!$A$2:$A$188,0)))</f>
        <v>T-090 + T-231 + committed T-234 contract.</v>
      </c>
      <c r="J50" s="32" t="str">
        <f>IF(INDEX(Backlog!$AN$2:$AN$188,MATCH($A50,Backlog!$A$2:$A$188,0))="","",INDEX(Backlog!$AN$2:$AN$188,MATCH($A50,Backlog!$A$2:$A$188,0)))</f>
        <v/>
      </c>
    </row>
    <row r="51" spans="1:10" ht="26.1" customHeight="1">
      <c r="A51" s="38" t="s">
        <v>111</v>
      </c>
      <c r="B51" s="38" t="str">
        <f>IF(INDEX(Backlog!$B$2:$B$188,MATCH($A51,Backlog!$A$2:$A$188,0))="","",INDEX(Backlog!$B$2:$B$188,MATCH($A51,Backlog!$A$2:$A$188,0)))</f>
        <v>M2</v>
      </c>
      <c r="C51" s="38" t="str">
        <f>IF(INDEX(Backlog!$C$2:$C$188,MATCH($A51,Backlog!$A$2:$A$188,0))="","",INDEX(Backlog!$C$2:$C$188,MATCH($A51,Backlog!$A$2:$A$188,0)))</f>
        <v>P2</v>
      </c>
      <c r="D51" s="38" t="str">
        <f>IF(INDEX(Backlog!$L$2:$L$188,MATCH($A51,Backlog!$A$2:$A$188,0))="","",INDEX(Backlog!$L$2:$L$188,MATCH($A51,Backlog!$A$2:$A$188,0)))</f>
        <v>Worker 2</v>
      </c>
      <c r="E51" s="70" t="str">
        <f>IF(INDEX(Backlog!$K$2:$K$188,MATCH($A51,Backlog!$A$2:$A$188,0))="","",INDEX(Backlog!$K$2:$K$188,MATCH($A51,Backlog!$A$2:$A$188,0)))</f>
        <v>Done</v>
      </c>
      <c r="F51" s="38" t="str">
        <f>IF(ISNUMBER(INDEX(Backlog!$AT$2:$AT$188,MATCH($A51,Backlog!$A$2:$A$188,0))),INDEX(Backlog!$AT$2:$AT$188,MATCH($A51,Backlog!$A$2:$A$188,0)),"")</f>
        <v/>
      </c>
      <c r="G51" s="38" t="str">
        <f>IF(INDEX(Backlog!$M$2:$M$188,MATCH($A51,Backlog!$A$2:$A$188,0))="","",INDEX(Backlog!$M$2:$M$188,MATCH($A51,Backlog!$A$2:$A$188,0)))</f>
        <v>T-032; T-201</v>
      </c>
      <c r="H51" s="38" t="str">
        <f>IF(INDEX(Backlog!$N$2:$N$188,MATCH($A51,Backlog!$A$2:$A$188,0))="","",INDEX(Backlog!$N$2:$N$188,MATCH($A51,Backlog!$A$2:$A$188,0)))</f>
        <v>T-242; T-243; T-247; T-248; T-253; T-261</v>
      </c>
      <c r="I51" s="38" t="str">
        <f>IF(INDEX(Backlog!$T$2:$T$188,MATCH($A51,Backlog!$A$2:$A$188,0))="","",INDEX(Backlog!$T$2:$T$188,MATCH($A51,Backlog!$A$2:$A$188,0)))</f>
        <v>CLOSED BASELINE — no new start gate and no re-execution implied. Preserve accepted closure and clean owned scope; reopen only on a concrete, separately recorded regression. Downstream consumes the frozen contract.</v>
      </c>
      <c r="J51" s="32" t="str">
        <f>IF(INDEX(Backlog!$AN$2:$AN$188,MATCH($A51,Backlog!$A$2:$A$188,0))="","",INDEX(Backlog!$AN$2:$AN$188,MATCH($A51,Backlog!$A$2:$A$188,0)))</f>
        <v/>
      </c>
    </row>
    <row r="52" spans="1:10" ht="26.1" customHeight="1">
      <c r="A52" s="38" t="s">
        <v>112</v>
      </c>
      <c r="B52" s="38" t="str">
        <f>IF(INDEX(Backlog!$B$2:$B$188,MATCH($A52,Backlog!$A$2:$A$188,0))="","",INDEX(Backlog!$B$2:$B$188,MATCH($A52,Backlog!$A$2:$A$188,0)))</f>
        <v>M2</v>
      </c>
      <c r="C52" s="38" t="str">
        <f>IF(INDEX(Backlog!$C$2:$C$188,MATCH($A52,Backlog!$A$2:$A$188,0))="","",INDEX(Backlog!$C$2:$C$188,MATCH($A52,Backlog!$A$2:$A$188,0)))</f>
        <v>P2</v>
      </c>
      <c r="D52" s="38" t="str">
        <f>IF(INDEX(Backlog!$L$2:$L$188,MATCH($A52,Backlog!$A$2:$A$188,0))="","",INDEX(Backlog!$L$2:$L$188,MATCH($A52,Backlog!$A$2:$A$188,0)))</f>
        <v>Worker 2</v>
      </c>
      <c r="E52" s="70" t="str">
        <f>IF(INDEX(Backlog!$K$2:$K$188,MATCH($A52,Backlog!$A$2:$A$188,0))="","",INDEX(Backlog!$K$2:$K$188,MATCH($A52,Backlog!$A$2:$A$188,0)))</f>
        <v>Done</v>
      </c>
      <c r="F52" s="38" t="str">
        <f>IF(ISNUMBER(INDEX(Backlog!$AT$2:$AT$188,MATCH($A52,Backlog!$A$2:$A$188,0))),INDEX(Backlog!$AT$2:$AT$188,MATCH($A52,Backlog!$A$2:$A$188,0)),"")</f>
        <v/>
      </c>
      <c r="G52" s="38" t="str">
        <f>IF(INDEX(Backlog!$M$2:$M$188,MATCH($A52,Backlog!$A$2:$A$188,0))="","",INDEX(Backlog!$M$2:$M$188,MATCH($A52,Backlog!$A$2:$A$188,0)))</f>
        <v>T-241; T-210</v>
      </c>
      <c r="H52" s="38" t="str">
        <f>IF(INDEX(Backlog!$N$2:$N$188,MATCH($A52,Backlog!$A$2:$A$188,0))="","",INDEX(Backlog!$N$2:$N$188,MATCH($A52,Backlog!$A$2:$A$188,0)))</f>
        <v>T-243; T-247; T-261</v>
      </c>
      <c r="I52" s="38" t="str">
        <f>IF(INDEX(Backlog!$T$2:$T$188,MATCH($A52,Backlog!$A$2:$A$188,0))="","",INDEX(Backlog!$T$2:$T$188,MATCH($A52,Backlog!$A$2:$A$188,0)))</f>
        <v>CLOSED BASELINE — no new start gate and no re-execution implied. Preserve accepted closure and clean owned scope; reopen only on a concrete, separately recorded regression. Downstream consumes the frozen contract.</v>
      </c>
      <c r="J52" s="32" t="str">
        <f>IF(INDEX(Backlog!$AN$2:$AN$188,MATCH($A52,Backlog!$A$2:$A$188,0))="","",INDEX(Backlog!$AN$2:$AN$188,MATCH($A52,Backlog!$A$2:$A$188,0)))</f>
        <v/>
      </c>
    </row>
    <row r="53" spans="1:10" ht="26.1" customHeight="1">
      <c r="A53" s="38" t="s">
        <v>113</v>
      </c>
      <c r="B53" s="38" t="str">
        <f>IF(INDEX(Backlog!$B$2:$B$188,MATCH($A53,Backlog!$A$2:$A$188,0))="","",INDEX(Backlog!$B$2:$B$188,MATCH($A53,Backlog!$A$2:$A$188,0)))</f>
        <v>M2</v>
      </c>
      <c r="C53" s="38" t="str">
        <f>IF(INDEX(Backlog!$C$2:$C$188,MATCH($A53,Backlog!$A$2:$A$188,0))="","",INDEX(Backlog!$C$2:$C$188,MATCH($A53,Backlog!$A$2:$A$188,0)))</f>
        <v>P2</v>
      </c>
      <c r="D53" s="38" t="str">
        <f>IF(INDEX(Backlog!$L$2:$L$188,MATCH($A53,Backlog!$A$2:$A$188,0))="","",INDEX(Backlog!$L$2:$L$188,MATCH($A53,Backlog!$A$2:$A$188,0)))</f>
        <v>Worker 2</v>
      </c>
      <c r="E53" s="70" t="str">
        <f>IF(INDEX(Backlog!$K$2:$K$188,MATCH($A53,Backlog!$A$2:$A$188,0))="","",INDEX(Backlog!$K$2:$K$188,MATCH($A53,Backlog!$A$2:$A$188,0)))</f>
        <v>Done</v>
      </c>
      <c r="F53" s="38" t="str">
        <f>IF(ISNUMBER(INDEX(Backlog!$AT$2:$AT$188,MATCH($A53,Backlog!$A$2:$A$188,0))),INDEX(Backlog!$AT$2:$AT$188,MATCH($A53,Backlog!$A$2:$A$188,0)),"")</f>
        <v/>
      </c>
      <c r="G53" s="38" t="str">
        <f>IF(INDEX(Backlog!$M$2:$M$188,MATCH($A53,Backlog!$A$2:$A$188,0))="","",INDEX(Backlog!$M$2:$M$188,MATCH($A53,Backlog!$A$2:$A$188,0)))</f>
        <v>T-241; T-242; T-089; T-090; T-253</v>
      </c>
      <c r="H53" s="38" t="str">
        <f>IF(INDEX(Backlog!$N$2:$N$188,MATCH($A53,Backlog!$A$2:$A$188,0))="","",INDEX(Backlog!$N$2:$N$188,MATCH($A53,Backlog!$A$2:$A$188,0)))</f>
        <v>T-245; T-246; T-247; T-248; T-261; T-262</v>
      </c>
      <c r="I53" s="38" t="str">
        <f>IF(INDEX(Backlog!$T$2:$T$188,MATCH($A53,Backlog!$A$2:$A$188,0))="","",INDEX(Backlog!$T$2:$T$188,MATCH($A53,Backlog!$A$2:$A$188,0)))</f>
        <v>Consume accepted producer contracts; remaining dependencies: T-241; T-242; T-089; T-090; T-253. No private scheduler/definition authority. Source-present is not closure proof.</v>
      </c>
      <c r="J53" s="32" t="str">
        <f>IF(INDEX(Backlog!$AN$2:$AN$188,MATCH($A53,Backlog!$A$2:$A$188,0))="","",INDEX(Backlog!$AN$2:$AN$188,MATCH($A53,Backlog!$A$2:$A$188,0)))</f>
        <v/>
      </c>
    </row>
    <row r="54" spans="1:10" ht="26.1" customHeight="1">
      <c r="A54" s="38" t="s">
        <v>114</v>
      </c>
      <c r="B54" s="38" t="str">
        <f>IF(INDEX(Backlog!$B$2:$B$188,MATCH($A54,Backlog!$A$2:$A$188,0))="","",INDEX(Backlog!$B$2:$B$188,MATCH($A54,Backlog!$A$2:$A$188,0)))</f>
        <v>M2</v>
      </c>
      <c r="C54" s="38" t="str">
        <f>IF(INDEX(Backlog!$C$2:$C$188,MATCH($A54,Backlog!$A$2:$A$188,0))="","",INDEX(Backlog!$C$2:$C$188,MATCH($A54,Backlog!$A$2:$A$188,0)))</f>
        <v>P2</v>
      </c>
      <c r="D54" s="38" t="str">
        <f>IF(INDEX(Backlog!$L$2:$L$188,MATCH($A54,Backlog!$A$2:$A$188,0))="","",INDEX(Backlog!$L$2:$L$188,MATCH($A54,Backlog!$A$2:$A$188,0)))</f>
        <v>Worker 2</v>
      </c>
      <c r="E54" s="70" t="str">
        <f>IF(INDEX(Backlog!$K$2:$K$188,MATCH($A54,Backlog!$A$2:$A$188,0))="","",INDEX(Backlog!$K$2:$K$188,MATCH($A54,Backlog!$A$2:$A$188,0)))</f>
        <v>Done</v>
      </c>
      <c r="F54" s="38" t="str">
        <f>IF(ISNUMBER(INDEX(Backlog!$AT$2:$AT$188,MATCH($A54,Backlog!$A$2:$A$188,0))),INDEX(Backlog!$AT$2:$AT$188,MATCH($A54,Backlog!$A$2:$A$188,0)),"")</f>
        <v/>
      </c>
      <c r="G54" s="38" t="str">
        <f>IF(INDEX(Backlog!$M$2:$M$188,MATCH($A54,Backlog!$A$2:$A$188,0))="","",INDEX(Backlog!$M$2:$M$188,MATCH($A54,Backlog!$A$2:$A$188,0)))</f>
        <v>T-035; T-036; T-089; T-090</v>
      </c>
      <c r="H54" s="38" t="str">
        <f>IF(INDEX(Backlog!$N$2:$N$188,MATCH($A54,Backlog!$A$2:$A$188,0))="","",INDEX(Backlog!$N$2:$N$188,MATCH($A54,Backlog!$A$2:$A$188,0)))</f>
        <v>T-245; T-247; T-248; T-253</v>
      </c>
      <c r="I54" s="38" t="str">
        <f>IF(INDEX(Backlog!$T$2:$T$188,MATCH($A54,Backlog!$A$2:$A$188,0))="","",INDEX(Backlog!$T$2:$T$188,MATCH($A54,Backlog!$A$2:$A$188,0)))</f>
        <v>CLOSED BASELINE — no new start gate and no re-execution implied. Preserve accepted closure and clean owned scope; reopen only on a concrete, separately recorded regression. Downstream consumes the frozen contract.</v>
      </c>
      <c r="J54" s="32" t="str">
        <f>IF(INDEX(Backlog!$AN$2:$AN$188,MATCH($A54,Backlog!$A$2:$A$188,0))="","",INDEX(Backlog!$AN$2:$AN$188,MATCH($A54,Backlog!$A$2:$A$188,0)))</f>
        <v/>
      </c>
    </row>
    <row r="55" spans="1:10" ht="26.1" customHeight="1">
      <c r="A55" s="38" t="s">
        <v>115</v>
      </c>
      <c r="B55" s="38" t="str">
        <f>IF(INDEX(Backlog!$B$2:$B$188,MATCH($A55,Backlog!$A$2:$A$188,0))="","",INDEX(Backlog!$B$2:$B$188,MATCH($A55,Backlog!$A$2:$A$188,0)))</f>
        <v>M2</v>
      </c>
      <c r="C55" s="38" t="str">
        <f>IF(INDEX(Backlog!$C$2:$C$188,MATCH($A55,Backlog!$A$2:$A$188,0))="","",INDEX(Backlog!$C$2:$C$188,MATCH($A55,Backlog!$A$2:$A$188,0)))</f>
        <v>P2</v>
      </c>
      <c r="D55" s="38" t="str">
        <f>IF(INDEX(Backlog!$L$2:$L$188,MATCH($A55,Backlog!$A$2:$A$188,0))="","",INDEX(Backlog!$L$2:$L$188,MATCH($A55,Backlog!$A$2:$A$188,0)))</f>
        <v>Worker 2</v>
      </c>
      <c r="E55" s="70" t="str">
        <f>IF(INDEX(Backlog!$K$2:$K$188,MATCH($A55,Backlog!$A$2:$A$188,0))="","",INDEX(Backlog!$K$2:$K$188,MATCH($A55,Backlog!$A$2:$A$188,0)))</f>
        <v>In Progress</v>
      </c>
      <c r="F55" s="38">
        <f>IF(ISNUMBER(INDEX(Backlog!$AT$2:$AT$188,MATCH($A55,Backlog!$A$2:$A$188,0))),INDEX(Backlog!$AT$2:$AT$188,MATCH($A55,Backlog!$A$2:$A$188,0)),"")</f>
        <v>5.0999999999999996</v>
      </c>
      <c r="G55" s="38" t="str">
        <f>IF(INDEX(Backlog!$M$2:$M$188,MATCH($A55,Backlog!$A$2:$A$188,0))="","",INDEX(Backlog!$M$2:$M$188,MATCH($A55,Backlog!$A$2:$A$188,0)))</f>
        <v>T-243; T-244; T-106; T-261; T-262</v>
      </c>
      <c r="H55" s="38" t="str">
        <f>IF(INDEX(Backlog!$N$2:$N$188,MATCH($A55,Backlog!$A$2:$A$188,0))="","",INDEX(Backlog!$N$2:$N$188,MATCH($A55,Backlog!$A$2:$A$188,0)))</f>
        <v>T-247; T-248</v>
      </c>
      <c r="I55" s="38" t="str">
        <f>IF(INDEX(Backlog!$T$2:$T$188,MATCH($A55,Backlog!$A$2:$A$188,0))="","",INDEX(Backlog!$T$2:$T$188,MATCH($A55,Backlog!$A$2:$A$188,0)))</f>
        <v>QUEUED after T-261 closure; current mutation sequence is T-099 → T-100 → T-261 → T-245. T-245 consumes the proven executor/runtime and per-block evidence, never recreates them. Retain all listed canonical prerequisite contracts.</v>
      </c>
      <c r="J55" s="32" t="str">
        <f>IF(INDEX(Backlog!$AN$2:$AN$188,MATCH($A55,Backlog!$A$2:$A$188,0))="","",INDEX(Backlog!$AN$2:$AN$188,MATCH($A55,Backlog!$A$2:$A$188,0)))</f>
        <v/>
      </c>
    </row>
    <row r="56" spans="1:10" ht="26.1" customHeight="1">
      <c r="A56" s="38" t="s">
        <v>116</v>
      </c>
      <c r="B56" s="38" t="str">
        <f>IF(INDEX(Backlog!$B$2:$B$188,MATCH($A56,Backlog!$A$2:$A$188,0))="","",INDEX(Backlog!$B$2:$B$188,MATCH($A56,Backlog!$A$2:$A$188,0)))</f>
        <v>M2</v>
      </c>
      <c r="C56" s="38" t="str">
        <f>IF(INDEX(Backlog!$C$2:$C$188,MATCH($A56,Backlog!$A$2:$A$188,0))="","",INDEX(Backlog!$C$2:$C$188,MATCH($A56,Backlog!$A$2:$A$188,0)))</f>
        <v>P2</v>
      </c>
      <c r="D56" s="38" t="str">
        <f>IF(INDEX(Backlog!$L$2:$L$188,MATCH($A56,Backlog!$A$2:$A$188,0))="","",INDEX(Backlog!$L$2:$L$188,MATCH($A56,Backlog!$A$2:$A$188,0)))</f>
        <v>Worker 2</v>
      </c>
      <c r="E56" s="70" t="str">
        <f>IF(INDEX(Backlog!$K$2:$K$188,MATCH($A56,Backlog!$A$2:$A$188,0))="","",INDEX(Backlog!$K$2:$K$188,MATCH($A56,Backlog!$A$2:$A$188,0)))</f>
        <v>Not Started</v>
      </c>
      <c r="F56" s="38">
        <f>IF(ISNUMBER(INDEX(Backlog!$AT$2:$AT$188,MATCH($A56,Backlog!$A$2:$A$188,0))),INDEX(Backlog!$AT$2:$AT$188,MATCH($A56,Backlog!$A$2:$A$188,0)),"")</f>
        <v>5.0999999999999996</v>
      </c>
      <c r="G56" s="38" t="str">
        <f>IF(INDEX(Backlog!$M$2:$M$188,MATCH($A56,Backlog!$A$2:$A$188,0))="","",INDEX(Backlog!$M$2:$M$188,MATCH($A56,Backlog!$A$2:$A$188,0)))</f>
        <v>T-092; T-207; T-212; T-213; T-241; T-242; T-243; T-244; T-245; T-253; T-254; T-256; T-258; T-104; T-108; T-211; T-235; T-262; T-125; T-265; T-266; T-274; T-271; T-272; T-273</v>
      </c>
      <c r="H56" s="38" t="str">
        <f>IF(INDEX(Backlog!$N$2:$N$188,MATCH($A56,Backlog!$A$2:$A$188,0))="","",INDEX(Backlog!$N$2:$N$188,MATCH($A56,Backlog!$A$2:$A$188,0)))</f>
        <v>T-150</v>
      </c>
      <c r="I56" s="38" t="str">
        <f>IF(INDEX(Backlog!$T$2:$T$188,MATCH($A56,Backlog!$A$2:$A$188,0))="","",INDEX(Backlog!$T$2:$T$188,MATCH($A56,Backlog!$A$2:$A$188,0)))</f>
        <v>T-213 complete + T-092 green.
v2.22.1 — Completion prerequisites are the task IDs in column M; contract-only predecessors, if any, are exclusively in column AN. Do not use the rejected v2.22.0 positional columns.</v>
      </c>
      <c r="J56" s="32" t="str">
        <f>IF(INDEX(Backlog!$AN$2:$AN$188,MATCH($A56,Backlog!$A$2:$A$188,0))="","",INDEX(Backlog!$AN$2:$AN$188,MATCH($A56,Backlog!$A$2:$A$188,0)))</f>
        <v/>
      </c>
    </row>
    <row r="57" spans="1:10" ht="26.1" customHeight="1">
      <c r="A57" s="38" t="s">
        <v>117</v>
      </c>
      <c r="B57" s="38" t="str">
        <f>IF(INDEX(Backlog!$B$2:$B$188,MATCH($A57,Backlog!$A$2:$A$188,0))="","",INDEX(Backlog!$B$2:$B$188,MATCH($A57,Backlog!$A$2:$A$188,0)))</f>
        <v>M2</v>
      </c>
      <c r="C57" s="38" t="str">
        <f>IF(INDEX(Backlog!$C$2:$C$188,MATCH($A57,Backlog!$A$2:$A$188,0))="","",INDEX(Backlog!$C$2:$C$188,MATCH($A57,Backlog!$A$2:$A$188,0)))</f>
        <v>P2</v>
      </c>
      <c r="D57" s="38" t="str">
        <f>IF(INDEX(Backlog!$L$2:$L$188,MATCH($A57,Backlog!$A$2:$A$188,0))="","",INDEX(Backlog!$L$2:$L$188,MATCH($A57,Backlog!$A$2:$A$188,0)))</f>
        <v>Worker 2</v>
      </c>
      <c r="E57" s="70" t="str">
        <f>IF(INDEX(Backlog!$K$2:$K$188,MATCH($A57,Backlog!$A$2:$A$188,0))="","",INDEX(Backlog!$K$2:$K$188,MATCH($A57,Backlog!$A$2:$A$188,0)))</f>
        <v>Done</v>
      </c>
      <c r="F57" s="38">
        <f>IF(ISNUMBER(INDEX(Backlog!$AT$2:$AT$188,MATCH($A57,Backlog!$A$2:$A$188,0))),INDEX(Backlog!$AT$2:$AT$188,MATCH($A57,Backlog!$A$2:$A$188,0)),"")</f>
        <v>4.8</v>
      </c>
      <c r="G57" s="38" t="str">
        <f>IF(INDEX(Backlog!$M$2:$M$188,MATCH($A57,Backlog!$A$2:$A$188,0))="","",INDEX(Backlog!$M$2:$M$188,MATCH($A57,Backlog!$A$2:$A$188,0)))</f>
        <v>T-094; T-209; T-241; T-244</v>
      </c>
      <c r="H57" s="38" t="str">
        <f>IF(INDEX(Backlog!$N$2:$N$188,MATCH($A57,Backlog!$A$2:$A$188,0))="","",INDEX(Backlog!$N$2:$N$188,MATCH($A57,Backlog!$A$2:$A$188,0)))</f>
        <v>T-150; T-243; T-247; T-256; T-262</v>
      </c>
      <c r="I57" s="38" t="str">
        <f>IF(INDEX(Backlog!$T$2:$T$188,MATCH($A57,Backlog!$A$2:$A$188,0))="","",INDEX(Backlog!$T$2:$T$188,MATCH($A57,Backlog!$A$2:$A$188,0)))</f>
        <v>CLOSED BASELINE — no new start gate and no re-execution implied. Preserve accepted closure and clean owned scope; reopen only on a concrete, separately recorded regression. Downstream consumes the frozen contract.</v>
      </c>
      <c r="J57" s="32" t="str">
        <f>IF(INDEX(Backlog!$AN$2:$AN$188,MATCH($A57,Backlog!$A$2:$A$188,0))="","",INDEX(Backlog!$AN$2:$AN$188,MATCH($A57,Backlog!$A$2:$A$188,0)))</f>
        <v/>
      </c>
    </row>
    <row r="58" spans="1:10" ht="26.1" customHeight="1">
      <c r="A58" s="38" t="s">
        <v>118</v>
      </c>
      <c r="B58" s="38" t="str">
        <f>IF(INDEX(Backlog!$B$2:$B$188,MATCH($A58,Backlog!$A$2:$A$188,0))="","",INDEX(Backlog!$B$2:$B$188,MATCH($A58,Backlog!$A$2:$A$188,0)))</f>
        <v>M2</v>
      </c>
      <c r="C58" s="38" t="str">
        <f>IF(INDEX(Backlog!$C$2:$C$188,MATCH($A58,Backlog!$A$2:$A$188,0))="","",INDEX(Backlog!$C$2:$C$188,MATCH($A58,Backlog!$A$2:$A$188,0)))</f>
        <v>P2</v>
      </c>
      <c r="D58" s="38" t="str">
        <f>IF(INDEX(Backlog!$L$2:$L$188,MATCH($A58,Backlog!$A$2:$A$188,0))="","",INDEX(Backlog!$L$2:$L$188,MATCH($A58,Backlog!$A$2:$A$188,0)))</f>
        <v>Worker 2</v>
      </c>
      <c r="E58" s="70" t="str">
        <f>IF(INDEX(Backlog!$K$2:$K$188,MATCH($A58,Backlog!$A$2:$A$188,0))="","",INDEX(Backlog!$K$2:$K$188,MATCH($A58,Backlog!$A$2:$A$188,0)))</f>
        <v>In Progress</v>
      </c>
      <c r="F58" s="38" t="str">
        <f>IF(ISNUMBER(INDEX(Backlog!$AT$2:$AT$188,MATCH($A58,Backlog!$A$2:$A$188,0))),INDEX(Backlog!$AT$2:$AT$188,MATCH($A58,Backlog!$A$2:$A$188,0)),"")</f>
        <v/>
      </c>
      <c r="G58" s="38" t="str">
        <f>IF(INDEX(Backlog!$M$2:$M$188,MATCH($A58,Backlog!$A$2:$A$188,0))="","",INDEX(Backlog!$M$2:$M$188,MATCH($A58,Backlog!$A$2:$A$188,0)))</f>
        <v>T-207; T-273; T-275</v>
      </c>
      <c r="H58" s="38" t="str">
        <f>IF(INDEX(Backlog!$N$2:$N$188,MATCH($A58,Backlog!$A$2:$A$188,0))="","",INDEX(Backlog!$N$2:$N$188,MATCH($A58,Backlog!$A$2:$A$188,0)))</f>
        <v>T-150; T-153; T-247; T-274</v>
      </c>
      <c r="I58" s="38" t="str">
        <f>IF(INDEX(Backlog!$T$2:$T$188,MATCH($A58,Backlog!$A$2:$A$188,0))="","",INDEX(Backlog!$T$2:$T$188,MATCH($A58,Backlog!$A$2:$A$188,0)))</f>
        <v>Original UI/website convergence is frozen at f8a35725. Only the v2.22 backend-provider-authority delta is outstanding. Consume T-207 and existing contracts on disjoint paths; column M remains the completion-prerequisite list. This is not permission to redo the closed UI/website scope.</v>
      </c>
      <c r="J58" s="32" t="str">
        <f>IF(INDEX(Backlog!$AN$2:$AN$188,MATCH($A58,Backlog!$A$2:$A$188,0))="","",INDEX(Backlog!$AN$2:$AN$188,MATCH($A58,Backlog!$A$2:$A$188,0)))</f>
        <v/>
      </c>
    </row>
    <row r="59" spans="1:10" ht="26.1" customHeight="1">
      <c r="A59" s="38" t="s">
        <v>119</v>
      </c>
      <c r="B59" s="38" t="str">
        <f>IF(INDEX(Backlog!$B$2:$B$188,MATCH($A59,Backlog!$A$2:$A$188,0))="","",INDEX(Backlog!$B$2:$B$188,MATCH($A59,Backlog!$A$2:$A$188,0)))</f>
        <v>M2</v>
      </c>
      <c r="C59" s="38" t="str">
        <f>IF(INDEX(Backlog!$C$2:$C$188,MATCH($A59,Backlog!$A$2:$A$188,0))="","",INDEX(Backlog!$C$2:$C$188,MATCH($A59,Backlog!$A$2:$A$188,0)))</f>
        <v>P2</v>
      </c>
      <c r="D59" s="38" t="str">
        <f>IF(INDEX(Backlog!$L$2:$L$188,MATCH($A59,Backlog!$A$2:$A$188,0))="","",INDEX(Backlog!$L$2:$L$188,MATCH($A59,Backlog!$A$2:$A$188,0)))</f>
        <v>Worker 2</v>
      </c>
      <c r="E59" s="70" t="str">
        <f>IF(INDEX(Backlog!$K$2:$K$188,MATCH($A59,Backlog!$A$2:$A$188,0))="","",INDEX(Backlog!$K$2:$K$188,MATCH($A59,Backlog!$A$2:$A$188,0)))</f>
        <v>Done</v>
      </c>
      <c r="F59" s="38">
        <f>IF(ISNUMBER(INDEX(Backlog!$AT$2:$AT$188,MATCH($A59,Backlog!$A$2:$A$188,0))),INDEX(Backlog!$AT$2:$AT$188,MATCH($A59,Backlog!$A$2:$A$188,0)),"")</f>
        <v>5.0999999999999996</v>
      </c>
      <c r="G59" s="38" t="str">
        <f>IF(INDEX(Backlog!$M$2:$M$188,MATCH($A59,Backlog!$A$2:$A$188,0))="","",INDEX(Backlog!$M$2:$M$188,MATCH($A59,Backlog!$A$2:$A$188,0)))</f>
        <v>T-106; T-241; T-242; T-243; T-099; T-262; T-100</v>
      </c>
      <c r="H59" s="38" t="str">
        <f>IF(INDEX(Backlog!$N$2:$N$188,MATCH($A59,Backlog!$A$2:$A$188,0))="","",INDEX(Backlog!$N$2:$N$188,MATCH($A59,Backlog!$A$2:$A$188,0)))</f>
        <v>T-104; T-245</v>
      </c>
      <c r="I59" s="38" t="str">
        <f>IF(INDEX(Backlog!$T$2:$T$188,MATCH($A59,Backlog!$A$2:$A$188,0))="","",INDEX(Backlog!$T$2:$T$188,MATCH($A59,Backlog!$A$2:$A$188,0)))</f>
        <v>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v>
      </c>
      <c r="J59" s="32" t="str">
        <f>IF(INDEX(Backlog!$AN$2:$AN$188,MATCH($A59,Backlog!$A$2:$A$188,0))="","",INDEX(Backlog!$AN$2:$AN$188,MATCH($A59,Backlog!$A$2:$A$188,0)))</f>
        <v/>
      </c>
    </row>
    <row r="60" spans="1:10" ht="26.1" customHeight="1">
      <c r="A60" s="38" t="s">
        <v>120</v>
      </c>
      <c r="B60" s="38" t="str">
        <f>IF(INDEX(Backlog!$B$2:$B$188,MATCH($A60,Backlog!$A$2:$A$188,0))="","",INDEX(Backlog!$B$2:$B$188,MATCH($A60,Backlog!$A$2:$A$188,0)))</f>
        <v>M2</v>
      </c>
      <c r="C60" s="38" t="str">
        <f>IF(INDEX(Backlog!$C$2:$C$188,MATCH($A60,Backlog!$A$2:$A$188,0))="","",INDEX(Backlog!$C$2:$C$188,MATCH($A60,Backlog!$A$2:$A$188,0)))</f>
        <v>P2</v>
      </c>
      <c r="D60" s="38" t="str">
        <f>IF(INDEX(Backlog!$L$2:$L$188,MATCH($A60,Backlog!$A$2:$A$188,0))="","",INDEX(Backlog!$L$2:$L$188,MATCH($A60,Backlog!$A$2:$A$188,0)))</f>
        <v>Worker 2</v>
      </c>
      <c r="E60" s="70" t="str">
        <f>IF(INDEX(Backlog!$K$2:$K$188,MATCH($A60,Backlog!$A$2:$A$188,0))="","",INDEX(Backlog!$K$2:$K$188,MATCH($A60,Backlog!$A$2:$A$188,0)))</f>
        <v>Done</v>
      </c>
      <c r="F60" s="38" t="str">
        <f>IF(ISNUMBER(INDEX(Backlog!$AT$2:$AT$188,MATCH($A60,Backlog!$A$2:$A$188,0))),INDEX(Backlog!$AT$2:$AT$188,MATCH($A60,Backlog!$A$2:$A$188,0)),"")</f>
        <v/>
      </c>
      <c r="G60" s="38" t="str">
        <f>IF(INDEX(Backlog!$M$2:$M$188,MATCH($A60,Backlog!$A$2:$A$188,0))="","",INDEX(Backlog!$M$2:$M$188,MATCH($A60,Backlog!$A$2:$A$188,0)))</f>
        <v>T-253; T-243</v>
      </c>
      <c r="H60" s="38" t="str">
        <f>IF(INDEX(Backlog!$N$2:$N$188,MATCH($A60,Backlog!$A$2:$A$188,0))="","",INDEX(Backlog!$N$2:$N$188,MATCH($A60,Backlog!$A$2:$A$188,0)))</f>
        <v>T-245; T-247; T-261</v>
      </c>
      <c r="I60" s="38" t="str">
        <f>IF(INDEX(Backlog!$T$2:$T$188,MATCH($A60,Backlog!$A$2:$A$188,0))="","",INDEX(Backlog!$T$2:$T$188,MATCH($A60,Backlog!$A$2:$A$188,0)))</f>
        <v>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v>
      </c>
      <c r="J60" s="32" t="str">
        <f>IF(INDEX(Backlog!$AN$2:$AN$188,MATCH($A60,Backlog!$A$2:$A$188,0))="","",INDEX(Backlog!$AN$2:$AN$188,MATCH($A60,Backlog!$A$2:$A$188,0)))</f>
        <v/>
      </c>
    </row>
    <row r="61" spans="1:10" ht="26.1" customHeight="1">
      <c r="A61" s="38" t="s">
        <v>121</v>
      </c>
      <c r="B61" s="38" t="str">
        <f>IF(INDEX(Backlog!$B$2:$B$188,MATCH($A61,Backlog!$A$2:$A$188,0))="","",INDEX(Backlog!$B$2:$B$188,MATCH($A61,Backlog!$A$2:$A$188,0)))</f>
        <v>M2</v>
      </c>
      <c r="C61" s="38" t="str">
        <f>IF(INDEX(Backlog!$C$2:$C$188,MATCH($A61,Backlog!$A$2:$A$188,0))="","",INDEX(Backlog!$C$2:$C$188,MATCH($A61,Backlog!$A$2:$A$188,0)))</f>
        <v>P3</v>
      </c>
      <c r="D61" s="38" t="str">
        <f>IF(INDEX(Backlog!$L$2:$L$188,MATCH($A61,Backlog!$A$2:$A$188,0))="","",INDEX(Backlog!$L$2:$L$188,MATCH($A61,Backlog!$A$2:$A$188,0)))</f>
        <v>Worker 2</v>
      </c>
      <c r="E61" s="70" t="str">
        <f>IF(INDEX(Backlog!$K$2:$K$188,MATCH($A61,Backlog!$A$2:$A$188,0))="","",INDEX(Backlog!$K$2:$K$188,MATCH($A61,Backlog!$A$2:$A$188,0)))</f>
        <v>Not Started</v>
      </c>
      <c r="F61" s="38">
        <f>IF(ISNUMBER(INDEX(Backlog!$AT$2:$AT$188,MATCH($A61,Backlog!$A$2:$A$188,0))),INDEX(Backlog!$AT$2:$AT$188,MATCH($A61,Backlog!$A$2:$A$188,0)),"")</f>
        <v>1.3333333333333333</v>
      </c>
      <c r="G61" s="38" t="str">
        <f>IF(INDEX(Backlog!$M$2:$M$188,MATCH($A61,Backlog!$A$2:$A$188,0))="","",INDEX(Backlog!$M$2:$M$188,MATCH($A61,Backlog!$A$2:$A$188,0)))</f>
        <v/>
      </c>
      <c r="H61" s="38" t="str">
        <f>IF(INDEX(Backlog!$N$2:$N$188,MATCH($A61,Backlog!$A$2:$A$188,0))="","",INDEX(Backlog!$N$2:$N$188,MATCH($A61,Backlog!$A$2:$A$188,0)))</f>
        <v>T-248</v>
      </c>
      <c r="I61" s="38" t="str">
        <f>IF(INDEX(Backlog!$T$2:$T$188,MATCH($A61,Backlog!$A$2:$A$188,0))="","",INDEX(Backlog!$T$2:$T$188,MATCH($A61,Backlog!$A$2:$A$188,0)))</f>
        <v>R1 route inventory and six shell contracts frozen. Contract-ready handoffs from T-196/T-197/T-198/T-199/T-200 are recorded separately in column AN. Do not wait for the entire M3 implementation or ship a simulated M3 page.</v>
      </c>
      <c r="J61" s="32" t="str">
        <f>IF(INDEX(Backlog!$AN$2:$AN$188,MATCH($A61,Backlog!$A$2:$A$188,0))="","",INDEX(Backlog!$AN$2:$AN$188,MATCH($A61,Backlog!$A$2:$A$188,0)))</f>
        <v>T-196; T-197; T-198; T-199; T-200; T-265; T-266</v>
      </c>
    </row>
    <row r="62" spans="1:10" ht="26.1" customHeight="1">
      <c r="A62" s="38" t="s">
        <v>122</v>
      </c>
      <c r="B62" s="38" t="str">
        <f>IF(INDEX(Backlog!$B$2:$B$188,MATCH($A62,Backlog!$A$2:$A$188,0))="","",INDEX(Backlog!$B$2:$B$188,MATCH($A62,Backlog!$A$2:$A$188,0)))</f>
        <v>M2</v>
      </c>
      <c r="C62" s="38" t="str">
        <f>IF(INDEX(Backlog!$C$2:$C$188,MATCH($A62,Backlog!$A$2:$A$188,0))="","",INDEX(Backlog!$C$2:$C$188,MATCH($A62,Backlog!$A$2:$A$188,0)))</f>
        <v>P3</v>
      </c>
      <c r="D62" s="38" t="str">
        <f>IF(INDEX(Backlog!$L$2:$L$188,MATCH($A62,Backlog!$A$2:$A$188,0))="","",INDEX(Backlog!$L$2:$L$188,MATCH($A62,Backlog!$A$2:$A$188,0)))</f>
        <v>Worker 2</v>
      </c>
      <c r="E62" s="70" t="str">
        <f>IF(INDEX(Backlog!$K$2:$K$188,MATCH($A62,Backlog!$A$2:$A$188,0))="","",INDEX(Backlog!$K$2:$K$188,MATCH($A62,Backlog!$A$2:$A$188,0)))</f>
        <v>Not Started</v>
      </c>
      <c r="F62" s="38">
        <f>IF(ISNUMBER(INDEX(Backlog!$AT$2:$AT$188,MATCH($A62,Backlog!$A$2:$A$188,0))),INDEX(Backlog!$AT$2:$AT$188,MATCH($A62,Backlog!$A$2:$A$188,0)),"")</f>
        <v>4</v>
      </c>
      <c r="G62" s="38" t="str">
        <f>IF(INDEX(Backlog!$M$2:$M$188,MATCH($A62,Backlog!$A$2:$A$188,0))="","",INDEX(Backlog!$M$2:$M$188,MATCH($A62,Backlog!$A$2:$A$188,0)))</f>
        <v>T-092; T-214; T-232</v>
      </c>
      <c r="H62" s="38" t="str">
        <f>IF(INDEX(Backlog!$N$2:$N$188,MATCH($A62,Backlog!$A$2:$A$188,0))="","",INDEX(Backlog!$N$2:$N$188,MATCH($A62,Backlog!$A$2:$A$188,0)))</f>
        <v>T-150; T-222</v>
      </c>
      <c r="I62" s="38" t="str">
        <f>IF(INDEX(Backlog!$T$2:$T$188,MATCH($A62,Backlog!$A$2:$A$188,0))="","",INDEX(Backlog!$T$2:$T$188,MATCH($A62,Backlog!$A$2:$A$188,0)))</f>
        <v>T-092 + T-214.</v>
      </c>
      <c r="J62" s="32" t="str">
        <f>IF(INDEX(Backlog!$AN$2:$AN$188,MATCH($A62,Backlog!$A$2:$A$188,0))="","",INDEX(Backlog!$AN$2:$AN$188,MATCH($A62,Backlog!$A$2:$A$188,0)))</f>
        <v/>
      </c>
    </row>
    <row r="63" spans="1:10" ht="26.1" customHeight="1">
      <c r="A63" s="38" t="s">
        <v>123</v>
      </c>
      <c r="B63" s="38" t="str">
        <f>IF(INDEX(Backlog!$B$2:$B$188,MATCH($A63,Backlog!$A$2:$A$188,0))="","",INDEX(Backlog!$B$2:$B$188,MATCH($A63,Backlog!$A$2:$A$188,0)))</f>
        <v>M2</v>
      </c>
      <c r="C63" s="38" t="str">
        <f>IF(INDEX(Backlog!$C$2:$C$188,MATCH($A63,Backlog!$A$2:$A$188,0))="","",INDEX(Backlog!$C$2:$C$188,MATCH($A63,Backlog!$A$2:$A$188,0)))</f>
        <v>P3</v>
      </c>
      <c r="D63" s="38" t="str">
        <f>IF(INDEX(Backlog!$L$2:$L$188,MATCH($A63,Backlog!$A$2:$A$188,0))="","",INDEX(Backlog!$L$2:$L$188,MATCH($A63,Backlog!$A$2:$A$188,0)))</f>
        <v>Worker 2</v>
      </c>
      <c r="E63" s="70" t="str">
        <f>IF(INDEX(Backlog!$K$2:$K$188,MATCH($A63,Backlog!$A$2:$A$188,0))="","",INDEX(Backlog!$K$2:$K$188,MATCH($A63,Backlog!$A$2:$A$188,0)))</f>
        <v>Not Started</v>
      </c>
      <c r="F63" s="38">
        <f>IF(ISNUMBER(INDEX(Backlog!$AT$2:$AT$188,MATCH($A63,Backlog!$A$2:$A$188,0))),INDEX(Backlog!$AT$2:$AT$188,MATCH($A63,Backlog!$A$2:$A$188,0)),"")</f>
        <v>4.25</v>
      </c>
      <c r="G63" s="38" t="str">
        <f>IF(INDEX(Backlog!$M$2:$M$188,MATCH($A63,Backlog!$A$2:$A$188,0))="","",INDEX(Backlog!$M$2:$M$188,MATCH($A63,Backlog!$A$2:$A$188,0)))</f>
        <v>T-219; T-220; T-215; T-203; T-204</v>
      </c>
      <c r="H63" s="38" t="str">
        <f>IF(INDEX(Backlog!$N$2:$N$188,MATCH($A63,Backlog!$A$2:$A$188,0))="","",INDEX(Backlog!$N$2:$N$188,MATCH($A63,Backlog!$A$2:$A$188,0)))</f>
        <v>T-150</v>
      </c>
      <c r="I63" s="38" t="str">
        <f>IF(INDEX(Backlog!$T$2:$T$188,MATCH($A63,Backlog!$A$2:$A$188,0))="","",INDEX(Backlog!$T$2:$T$188,MATCH($A63,Backlog!$A$2:$A$188,0)))</f>
        <v>T-219/T-220 result contract + T-215 + T-203/T-204. Do not create a demo-only store.</v>
      </c>
      <c r="J63" s="32" t="str">
        <f>IF(INDEX(Backlog!$AN$2:$AN$188,MATCH($A63,Backlog!$A$2:$A$188,0))="","",INDEX(Backlog!$AN$2:$AN$188,MATCH($A63,Backlog!$A$2:$A$188,0)))</f>
        <v/>
      </c>
    </row>
    <row r="64" spans="1:10" ht="26.1" customHeight="1">
      <c r="A64" s="38" t="s">
        <v>124</v>
      </c>
      <c r="B64" s="38" t="str">
        <f>IF(INDEX(Backlog!$B$2:$B$188,MATCH($A64,Backlog!$A$2:$A$188,0))="","",INDEX(Backlog!$B$2:$B$188,MATCH($A64,Backlog!$A$2:$A$188,0)))</f>
        <v>M2</v>
      </c>
      <c r="C64" s="38" t="str">
        <f>IF(INDEX(Backlog!$C$2:$C$188,MATCH($A64,Backlog!$A$2:$A$188,0))="","",INDEX(Backlog!$C$2:$C$188,MATCH($A64,Backlog!$A$2:$A$188,0)))</f>
        <v>P3</v>
      </c>
      <c r="D64" s="38" t="str">
        <f>IF(INDEX(Backlog!$L$2:$L$188,MATCH($A64,Backlog!$A$2:$A$188,0))="","",INDEX(Backlog!$L$2:$L$188,MATCH($A64,Backlog!$A$2:$A$188,0)))</f>
        <v>Worker 2</v>
      </c>
      <c r="E64" s="70" t="str">
        <f>IF(INDEX(Backlog!$K$2:$K$188,MATCH($A64,Backlog!$A$2:$A$188,0))="","",INDEX(Backlog!$K$2:$K$188,MATCH($A64,Backlog!$A$2:$A$188,0)))</f>
        <v>Not Started</v>
      </c>
      <c r="F64" s="38">
        <f>IF(ISNUMBER(INDEX(Backlog!$AT$2:$AT$188,MATCH($A64,Backlog!$A$2:$A$188,0))),INDEX(Backlog!$AT$2:$AT$188,MATCH($A64,Backlog!$A$2:$A$188,0)),"")</f>
        <v>3.4</v>
      </c>
      <c r="G64" s="38" t="str">
        <f>IF(INDEX(Backlog!$M$2:$M$188,MATCH($A64,Backlog!$A$2:$A$188,0))="","",INDEX(Backlog!$M$2:$M$188,MATCH($A64,Backlog!$A$2:$A$188,0)))</f>
        <v>T-094; T-250; T-256</v>
      </c>
      <c r="H64" s="38" t="str">
        <f>IF(INDEX(Backlog!$N$2:$N$188,MATCH($A64,Backlog!$A$2:$A$188,0))="","",INDEX(Backlog!$N$2:$N$188,MATCH($A64,Backlog!$A$2:$A$188,0)))</f>
        <v>T-150; T-247</v>
      </c>
      <c r="I64" s="38" t="str">
        <f>IF(INDEX(Backlog!$T$2:$T$188,MATCH($A64,Backlog!$A$2:$A$188,0))="","",INDEX(Backlog!$T$2:$T$188,MATCH($A64,Backlog!$A$2:$A$188,0)))</f>
        <v>WAIT for T-256 CLOSED and its frontend-consumer handoff manifest. Then perform bounded frontend-only convergence; do not re-investigate backend genericity.</v>
      </c>
      <c r="J64" s="32" t="str">
        <f>IF(INDEX(Backlog!$AN$2:$AN$188,MATCH($A64,Backlog!$A$2:$A$188,0))="","",INDEX(Backlog!$AN$2:$AN$188,MATCH($A64,Backlog!$A$2:$A$188,0)))</f>
        <v/>
      </c>
    </row>
    <row r="65" spans="1:10" ht="26.1" customHeight="1">
      <c r="A65" s="38" t="s">
        <v>125</v>
      </c>
      <c r="B65" s="38" t="str">
        <f>IF(INDEX(Backlog!$B$2:$B$188,MATCH($A65,Backlog!$A$2:$A$188,0))="","",INDEX(Backlog!$B$2:$B$188,MATCH($A65,Backlog!$A$2:$A$188,0)))</f>
        <v>M2</v>
      </c>
      <c r="C65" s="38" t="str">
        <f>IF(INDEX(Backlog!$C$2:$C$188,MATCH($A65,Backlog!$A$2:$A$188,0))="","",INDEX(Backlog!$C$2:$C$188,MATCH($A65,Backlog!$A$2:$A$188,0)))</f>
        <v>P4</v>
      </c>
      <c r="D65" s="38" t="str">
        <f>IF(INDEX(Backlog!$L$2:$L$188,MATCH($A65,Backlog!$A$2:$A$188,0))="","",INDEX(Backlog!$L$2:$L$188,MATCH($A65,Backlog!$A$2:$A$188,0)))</f>
        <v>Worker 3</v>
      </c>
      <c r="E65" s="70" t="str">
        <f>IF(INDEX(Backlog!$K$2:$K$188,MATCH($A65,Backlog!$A$2:$A$188,0))="","",INDEX(Backlog!$K$2:$K$188,MATCH($A65,Backlog!$A$2:$A$188,0)))</f>
        <v>Done</v>
      </c>
      <c r="F65" s="38">
        <f>IF(ISNUMBER(INDEX(Backlog!$AT$2:$AT$188,MATCH($A65,Backlog!$A$2:$A$188,0))),INDEX(Backlog!$AT$2:$AT$188,MATCH($A65,Backlog!$A$2:$A$188,0)),"")</f>
        <v>0</v>
      </c>
      <c r="G65" s="38" t="str">
        <f>IF(INDEX(Backlog!$M$2:$M$188,MATCH($A65,Backlog!$A$2:$A$188,0))="","",INDEX(Backlog!$M$2:$M$188,MATCH($A65,Backlog!$A$2:$A$188,0)))</f>
        <v/>
      </c>
      <c r="H65" s="38" t="str">
        <f>IF(INDEX(Backlog!$N$2:$N$188,MATCH($A65,Backlog!$A$2:$A$188,0))="","",INDEX(Backlog!$N$2:$N$188,MATCH($A65,Backlog!$A$2:$A$188,0)))</f>
        <v>T-122; T-138; T-246</v>
      </c>
      <c r="I65" s="38" t="str">
        <f>IF(INDEX(Backlog!$T$2:$T$188,MATCH($A65,Backlog!$A$2:$A$188,0))="","",INDEX(Backlog!$T$2:$T$188,MATCH($A65,Backlog!$A$2:$A$188,0)))</f>
        <v>CLOSED BASELINE — no new start gate and no re-execution implied. Preserve accepted closure and clean owned scope; reopen only on a concrete, separately recorded regression. Downstream consumes the frozen contract.</v>
      </c>
      <c r="J65" s="32" t="str">
        <f>IF(INDEX(Backlog!$AN$2:$AN$188,MATCH($A65,Backlog!$A$2:$A$188,0))="","",INDEX(Backlog!$AN$2:$AN$188,MATCH($A65,Backlog!$A$2:$A$188,0)))</f>
        <v/>
      </c>
    </row>
    <row r="66" spans="1:10" ht="26.1" customHeight="1">
      <c r="A66" s="38" t="s">
        <v>126</v>
      </c>
      <c r="B66" s="38" t="str">
        <f>IF(INDEX(Backlog!$B$2:$B$188,MATCH($A66,Backlog!$A$2:$A$188,0))="","",INDEX(Backlog!$B$2:$B$188,MATCH($A66,Backlog!$A$2:$A$188,0)))</f>
        <v>M2</v>
      </c>
      <c r="C66" s="38" t="str">
        <f>IF(INDEX(Backlog!$C$2:$C$188,MATCH($A66,Backlog!$A$2:$A$188,0))="","",INDEX(Backlog!$C$2:$C$188,MATCH($A66,Backlog!$A$2:$A$188,0)))</f>
        <v>P4</v>
      </c>
      <c r="D66" s="38" t="str">
        <f>IF(INDEX(Backlog!$L$2:$L$188,MATCH($A66,Backlog!$A$2:$A$188,0))="","",INDEX(Backlog!$L$2:$L$188,MATCH($A66,Backlog!$A$2:$A$188,0)))</f>
        <v>Worker 3</v>
      </c>
      <c r="E66" s="70" t="str">
        <f>IF(INDEX(Backlog!$K$2:$K$188,MATCH($A66,Backlog!$A$2:$A$188,0))="","",INDEX(Backlog!$K$2:$K$188,MATCH($A66,Backlog!$A$2:$A$188,0)))</f>
        <v>Done</v>
      </c>
      <c r="F66" s="38">
        <f>IF(ISNUMBER(INDEX(Backlog!$AT$2:$AT$188,MATCH($A66,Backlog!$A$2:$A$188,0))),INDEX(Backlog!$AT$2:$AT$188,MATCH($A66,Backlog!$A$2:$A$188,0)),"")</f>
        <v>0</v>
      </c>
      <c r="G66" s="38" t="str">
        <f>IF(INDEX(Backlog!$M$2:$M$188,MATCH($A66,Backlog!$A$2:$A$188,0))="","",INDEX(Backlog!$M$2:$M$188,MATCH($A66,Backlog!$A$2:$A$188,0)))</f>
        <v/>
      </c>
      <c r="H66" s="38" t="str">
        <f>IF(INDEX(Backlog!$N$2:$N$188,MATCH($A66,Backlog!$A$2:$A$188,0))="","",INDEX(Backlog!$N$2:$N$188,MATCH($A66,Backlog!$A$2:$A$188,0)))</f>
        <v>T-122; T-175; T-187</v>
      </c>
      <c r="I66" s="38" t="str">
        <f>IF(INDEX(Backlog!$T$2:$T$188,MATCH($A66,Backlog!$A$2:$A$188,0))="","",INDEX(Backlog!$T$2:$T$188,MATCH($A66,Backlog!$A$2:$A$188,0)))</f>
        <v>CLOSED BASELINE — no new start gate and no re-execution implied. Preserve accepted closure and clean owned scope; reopen only on a concrete, separately recorded regression. Downstream consumes the frozen contract.</v>
      </c>
      <c r="J66" s="32" t="str">
        <f>IF(INDEX(Backlog!$AN$2:$AN$188,MATCH($A66,Backlog!$A$2:$A$188,0))="","",INDEX(Backlog!$AN$2:$AN$188,MATCH($A66,Backlog!$A$2:$A$188,0)))</f>
        <v/>
      </c>
    </row>
    <row r="67" spans="1:10" ht="26.1" customHeight="1">
      <c r="A67" s="38" t="s">
        <v>127</v>
      </c>
      <c r="B67" s="38" t="str">
        <f>IF(INDEX(Backlog!$B$2:$B$188,MATCH($A67,Backlog!$A$2:$A$188,0))="","",INDEX(Backlog!$B$2:$B$188,MATCH($A67,Backlog!$A$2:$A$188,0)))</f>
        <v>M2</v>
      </c>
      <c r="C67" s="38" t="str">
        <f>IF(INDEX(Backlog!$C$2:$C$188,MATCH($A67,Backlog!$A$2:$A$188,0))="","",INDEX(Backlog!$C$2:$C$188,MATCH($A67,Backlog!$A$2:$A$188,0)))</f>
        <v>P4</v>
      </c>
      <c r="D67" s="38" t="str">
        <f>IF(INDEX(Backlog!$L$2:$L$188,MATCH($A67,Backlog!$A$2:$A$188,0))="","",INDEX(Backlog!$L$2:$L$188,MATCH($A67,Backlog!$A$2:$A$188,0)))</f>
        <v>Worker 3</v>
      </c>
      <c r="E67" s="70" t="str">
        <f>IF(INDEX(Backlog!$K$2:$K$188,MATCH($A67,Backlog!$A$2:$A$188,0))="","",INDEX(Backlog!$K$2:$K$188,MATCH($A67,Backlog!$A$2:$A$188,0)))</f>
        <v>Done</v>
      </c>
      <c r="F67" s="38">
        <f>IF(ISNUMBER(INDEX(Backlog!$AT$2:$AT$188,MATCH($A67,Backlog!$A$2:$A$188,0))),INDEX(Backlog!$AT$2:$AT$188,MATCH($A67,Backlog!$A$2:$A$188,0)),"")</f>
        <v>0</v>
      </c>
      <c r="G67" s="38" t="str">
        <f>IF(INDEX(Backlog!$M$2:$M$188,MATCH($A67,Backlog!$A$2:$A$188,0))="","",INDEX(Backlog!$M$2:$M$188,MATCH($A67,Backlog!$A$2:$A$188,0)))</f>
        <v/>
      </c>
      <c r="H67" s="38" t="str">
        <f>IF(INDEX(Backlog!$N$2:$N$188,MATCH($A67,Backlog!$A$2:$A$188,0))="","",INDEX(Backlog!$N$2:$N$188,MATCH($A67,Backlog!$A$2:$A$188,0)))</f>
        <v>T-175; T-184; T-187</v>
      </c>
      <c r="I67" s="38" t="str">
        <f>IF(INDEX(Backlog!$T$2:$T$188,MATCH($A67,Backlog!$A$2:$A$188,0))="","",INDEX(Backlog!$T$2:$T$188,MATCH($A67,Backlog!$A$2:$A$188,0)))</f>
        <v>CLOSED BASELINE — no new start gate and no re-execution implied. Preserve accepted closure and clean owned scope; reopen only on a concrete, separately recorded regression. Downstream consumes the frozen contract.</v>
      </c>
      <c r="J67" s="32" t="str">
        <f>IF(INDEX(Backlog!$AN$2:$AN$188,MATCH($A67,Backlog!$A$2:$A$188,0))="","",INDEX(Backlog!$AN$2:$AN$188,MATCH($A67,Backlog!$A$2:$A$188,0)))</f>
        <v/>
      </c>
    </row>
    <row r="68" spans="1:10" ht="26.1" customHeight="1">
      <c r="A68" s="38" t="s">
        <v>128</v>
      </c>
      <c r="B68" s="38" t="str">
        <f>IF(INDEX(Backlog!$B$2:$B$188,MATCH($A68,Backlog!$A$2:$A$188,0))="","",INDEX(Backlog!$B$2:$B$188,MATCH($A68,Backlog!$A$2:$A$188,0)))</f>
        <v>M2</v>
      </c>
      <c r="C68" s="38" t="str">
        <f>IF(INDEX(Backlog!$C$2:$C$188,MATCH($A68,Backlog!$A$2:$A$188,0))="","",INDEX(Backlog!$C$2:$C$188,MATCH($A68,Backlog!$A$2:$A$188,0)))</f>
        <v>P4</v>
      </c>
      <c r="D68" s="38" t="str">
        <f>IF(INDEX(Backlog!$L$2:$L$188,MATCH($A68,Backlog!$A$2:$A$188,0))="","",INDEX(Backlog!$L$2:$L$188,MATCH($A68,Backlog!$A$2:$A$188,0)))</f>
        <v>Worker 3</v>
      </c>
      <c r="E68" s="70" t="str">
        <f>IF(INDEX(Backlog!$K$2:$K$188,MATCH($A68,Backlog!$A$2:$A$188,0))="","",INDEX(Backlog!$K$2:$K$188,MATCH($A68,Backlog!$A$2:$A$188,0)))</f>
        <v>Done</v>
      </c>
      <c r="F68" s="38">
        <f>IF(ISNUMBER(INDEX(Backlog!$AT$2:$AT$188,MATCH($A68,Backlog!$A$2:$A$188,0))),INDEX(Backlog!$AT$2:$AT$188,MATCH($A68,Backlog!$A$2:$A$188,0)),"")</f>
        <v>0</v>
      </c>
      <c r="G68" s="38" t="str">
        <f>IF(INDEX(Backlog!$M$2:$M$188,MATCH($A68,Backlog!$A$2:$A$188,0))="","",INDEX(Backlog!$M$2:$M$188,MATCH($A68,Backlog!$A$2:$A$188,0)))</f>
        <v/>
      </c>
      <c r="H68" s="38" t="str">
        <f>IF(INDEX(Backlog!$N$2:$N$188,MATCH($A68,Backlog!$A$2:$A$188,0))="","",INDEX(Backlog!$N$2:$N$188,MATCH($A68,Backlog!$A$2:$A$188,0)))</f>
        <v>T-185; T-187</v>
      </c>
      <c r="I68" s="38" t="str">
        <f>IF(INDEX(Backlog!$T$2:$T$188,MATCH($A68,Backlog!$A$2:$A$188,0))="","",INDEX(Backlog!$T$2:$T$188,MATCH($A68,Backlog!$A$2:$A$188,0)))</f>
        <v>CLOSED BASELINE — no new start gate and no re-execution implied. Preserve accepted closure and clean owned scope; reopen only on a concrete, separately recorded regression. Downstream consumes the frozen contract.</v>
      </c>
      <c r="J68" s="32" t="str">
        <f>IF(INDEX(Backlog!$AN$2:$AN$188,MATCH($A68,Backlog!$A$2:$A$188,0))="","",INDEX(Backlog!$AN$2:$AN$188,MATCH($A68,Backlog!$A$2:$A$188,0)))</f>
        <v/>
      </c>
    </row>
    <row r="69" spans="1:10" ht="26.1" customHeight="1">
      <c r="A69" s="38" t="s">
        <v>129</v>
      </c>
      <c r="B69" s="38" t="str">
        <f>IF(INDEX(Backlog!$B$2:$B$188,MATCH($A69,Backlog!$A$2:$A$188,0))="","",INDEX(Backlog!$B$2:$B$188,MATCH($A69,Backlog!$A$2:$A$188,0)))</f>
        <v>M2</v>
      </c>
      <c r="C69" s="38" t="str">
        <f>IF(INDEX(Backlog!$C$2:$C$188,MATCH($A69,Backlog!$A$2:$A$188,0))="","",INDEX(Backlog!$C$2:$C$188,MATCH($A69,Backlog!$A$2:$A$188,0)))</f>
        <v>P4</v>
      </c>
      <c r="D69" s="38" t="str">
        <f>IF(INDEX(Backlog!$L$2:$L$188,MATCH($A69,Backlog!$A$2:$A$188,0))="","",INDEX(Backlog!$L$2:$L$188,MATCH($A69,Backlog!$A$2:$A$188,0)))</f>
        <v>Worker 3</v>
      </c>
      <c r="E69" s="70" t="str">
        <f>IF(INDEX(Backlog!$K$2:$K$188,MATCH($A69,Backlog!$A$2:$A$188,0))="","",INDEX(Backlog!$K$2:$K$188,MATCH($A69,Backlog!$A$2:$A$188,0)))</f>
        <v>Done</v>
      </c>
      <c r="F69" s="38">
        <f>IF(ISNUMBER(INDEX(Backlog!$AT$2:$AT$188,MATCH($A69,Backlog!$A$2:$A$188,0))),INDEX(Backlog!$AT$2:$AT$188,MATCH($A69,Backlog!$A$2:$A$188,0)),"")</f>
        <v>0</v>
      </c>
      <c r="G69" s="38" t="str">
        <f>IF(INDEX(Backlog!$M$2:$M$188,MATCH($A69,Backlog!$A$2:$A$188,0))="","",INDEX(Backlog!$M$2:$M$188,MATCH($A69,Backlog!$A$2:$A$188,0)))</f>
        <v/>
      </c>
      <c r="H69" s="38" t="str">
        <f>IF(INDEX(Backlog!$N$2:$N$188,MATCH($A69,Backlog!$A$2:$A$188,0))="","",INDEX(Backlog!$N$2:$N$188,MATCH($A69,Backlog!$A$2:$A$188,0)))</f>
        <v>T-131; T-186; T-187</v>
      </c>
      <c r="I69" s="38" t="str">
        <f>IF(INDEX(Backlog!$T$2:$T$188,MATCH($A69,Backlog!$A$2:$A$188,0))="","",INDEX(Backlog!$T$2:$T$188,MATCH($A69,Backlog!$A$2:$A$188,0)))</f>
        <v>CLOSED BASELINE — no new start gate and no re-execution implied. Preserve accepted closure and clean owned scope; reopen only on a concrete, separately recorded regression. Downstream consumes the frozen contract.</v>
      </c>
      <c r="J69" s="32" t="str">
        <f>IF(INDEX(Backlog!$AN$2:$AN$188,MATCH($A69,Backlog!$A$2:$A$188,0))="","",INDEX(Backlog!$AN$2:$AN$188,MATCH($A69,Backlog!$A$2:$A$188,0)))</f>
        <v/>
      </c>
    </row>
    <row r="70" spans="1:10" ht="26.1" customHeight="1">
      <c r="A70" s="38" t="s">
        <v>130</v>
      </c>
      <c r="B70" s="38" t="str">
        <f>IF(INDEX(Backlog!$B$2:$B$188,MATCH($A70,Backlog!$A$2:$A$188,0))="","",INDEX(Backlog!$B$2:$B$188,MATCH($A70,Backlog!$A$2:$A$188,0)))</f>
        <v>M2</v>
      </c>
      <c r="C70" s="38" t="str">
        <f>IF(INDEX(Backlog!$C$2:$C$188,MATCH($A70,Backlog!$A$2:$A$188,0))="","",INDEX(Backlog!$C$2:$C$188,MATCH($A70,Backlog!$A$2:$A$188,0)))</f>
        <v>P4</v>
      </c>
      <c r="D70" s="38" t="str">
        <f>IF(INDEX(Backlog!$L$2:$L$188,MATCH($A70,Backlog!$A$2:$A$188,0))="","",INDEX(Backlog!$L$2:$L$188,MATCH($A70,Backlog!$A$2:$A$188,0)))</f>
        <v>Worker 3</v>
      </c>
      <c r="E70" s="70" t="str">
        <f>IF(INDEX(Backlog!$K$2:$K$188,MATCH($A70,Backlog!$A$2:$A$188,0))="","",INDEX(Backlog!$K$2:$K$188,MATCH($A70,Backlog!$A$2:$A$188,0)))</f>
        <v>Done</v>
      </c>
      <c r="F70" s="38">
        <f>IF(ISNUMBER(INDEX(Backlog!$AT$2:$AT$188,MATCH($A70,Backlog!$A$2:$A$188,0))),INDEX(Backlog!$AT$2:$AT$188,MATCH($A70,Backlog!$A$2:$A$188,0)),"")</f>
        <v>0</v>
      </c>
      <c r="G70" s="38" t="str">
        <f>IF(INDEX(Backlog!$M$2:$M$188,MATCH($A70,Backlog!$A$2:$A$188,0))="","",INDEX(Backlog!$M$2:$M$188,MATCH($A70,Backlog!$A$2:$A$188,0)))</f>
        <v/>
      </c>
      <c r="H70" s="38" t="str">
        <f>IF(INDEX(Backlog!$N$2:$N$188,MATCH($A70,Backlog!$A$2:$A$188,0))="","",INDEX(Backlog!$N$2:$N$188,MATCH($A70,Backlog!$A$2:$A$188,0)))</f>
        <v>T-187</v>
      </c>
      <c r="I70" s="38" t="str">
        <f>IF(INDEX(Backlog!$T$2:$T$188,MATCH($A70,Backlog!$A$2:$A$188,0))="","",INDEX(Backlog!$T$2:$T$188,MATCH($A70,Backlog!$A$2:$A$188,0)))</f>
        <v>CLOSED BASELINE — no new start gate and no re-execution implied. Preserve accepted closure and clean owned scope; reopen only on a concrete, separately recorded regression. Downstream consumes the frozen contract.</v>
      </c>
      <c r="J70" s="32" t="str">
        <f>IF(INDEX(Backlog!$AN$2:$AN$188,MATCH($A70,Backlog!$A$2:$A$188,0))="","",INDEX(Backlog!$AN$2:$AN$188,MATCH($A70,Backlog!$A$2:$A$188,0)))</f>
        <v/>
      </c>
    </row>
    <row r="71" spans="1:10" ht="26.1" customHeight="1">
      <c r="A71" s="38" t="s">
        <v>131</v>
      </c>
      <c r="B71" s="38" t="str">
        <f>IF(INDEX(Backlog!$B$2:$B$188,MATCH($A71,Backlog!$A$2:$A$188,0))="","",INDEX(Backlog!$B$2:$B$188,MATCH($A71,Backlog!$A$2:$A$188,0)))</f>
        <v>M2</v>
      </c>
      <c r="C71" s="38" t="str">
        <f>IF(INDEX(Backlog!$C$2:$C$188,MATCH($A71,Backlog!$A$2:$A$188,0))="","",INDEX(Backlog!$C$2:$C$188,MATCH($A71,Backlog!$A$2:$A$188,0)))</f>
        <v>P4</v>
      </c>
      <c r="D71" s="38" t="str">
        <f>IF(INDEX(Backlog!$L$2:$L$188,MATCH($A71,Backlog!$A$2:$A$188,0))="","",INDEX(Backlog!$L$2:$L$188,MATCH($A71,Backlog!$A$2:$A$188,0)))</f>
        <v>Worker 3</v>
      </c>
      <c r="E71" s="70" t="str">
        <f>IF(INDEX(Backlog!$K$2:$K$188,MATCH($A71,Backlog!$A$2:$A$188,0))="","",INDEX(Backlog!$K$2:$K$188,MATCH($A71,Backlog!$A$2:$A$188,0)))</f>
        <v>Done</v>
      </c>
      <c r="F71" s="38">
        <f>IF(ISNUMBER(INDEX(Backlog!$AT$2:$AT$188,MATCH($A71,Backlog!$A$2:$A$188,0))),INDEX(Backlog!$AT$2:$AT$188,MATCH($A71,Backlog!$A$2:$A$188,0)),"")</f>
        <v>0</v>
      </c>
      <c r="G71" s="38" t="str">
        <f>IF(INDEX(Backlog!$M$2:$M$188,MATCH($A71,Backlog!$A$2:$A$188,0))="","",INDEX(Backlog!$M$2:$M$188,MATCH($A71,Backlog!$A$2:$A$188,0)))</f>
        <v/>
      </c>
      <c r="H71" s="38" t="str">
        <f>IF(INDEX(Backlog!$N$2:$N$188,MATCH($A71,Backlog!$A$2:$A$188,0))="","",INDEX(Backlog!$N$2:$N$188,MATCH($A71,Backlog!$A$2:$A$188,0)))</f>
        <v>T-140; T-187</v>
      </c>
      <c r="I71" s="38" t="str">
        <f>IF(INDEX(Backlog!$T$2:$T$188,MATCH($A71,Backlog!$A$2:$A$188,0))="","",INDEX(Backlog!$T$2:$T$188,MATCH($A71,Backlog!$A$2:$A$188,0)))</f>
        <v>CLOSED BASELINE — no new start gate and no re-execution implied. Preserve accepted closure and clean owned scope; reopen only on a concrete, separately recorded regression. Downstream consumes the frozen contract.</v>
      </c>
      <c r="J71" s="32" t="str">
        <f>IF(INDEX(Backlog!$AN$2:$AN$188,MATCH($A71,Backlog!$A$2:$A$188,0))="","",INDEX(Backlog!$AN$2:$AN$188,MATCH($A71,Backlog!$A$2:$A$188,0)))</f>
        <v/>
      </c>
    </row>
    <row r="72" spans="1:10" ht="26.1" customHeight="1">
      <c r="A72" s="38" t="s">
        <v>132</v>
      </c>
      <c r="B72" s="38" t="str">
        <f>IF(INDEX(Backlog!$B$2:$B$188,MATCH($A72,Backlog!$A$2:$A$188,0))="","",INDEX(Backlog!$B$2:$B$188,MATCH($A72,Backlog!$A$2:$A$188,0)))</f>
        <v>M2</v>
      </c>
      <c r="C72" s="38" t="str">
        <f>IF(INDEX(Backlog!$C$2:$C$188,MATCH($A72,Backlog!$A$2:$A$188,0))="","",INDEX(Backlog!$C$2:$C$188,MATCH($A72,Backlog!$A$2:$A$188,0)))</f>
        <v>P4</v>
      </c>
      <c r="D72" s="38" t="str">
        <f>IF(INDEX(Backlog!$L$2:$L$188,MATCH($A72,Backlog!$A$2:$A$188,0))="","",INDEX(Backlog!$L$2:$L$188,MATCH($A72,Backlog!$A$2:$A$188,0)))</f>
        <v>Worker 3</v>
      </c>
      <c r="E72" s="70" t="str">
        <f>IF(INDEX(Backlog!$K$2:$K$188,MATCH($A72,Backlog!$A$2:$A$188,0))="","",INDEX(Backlog!$K$2:$K$188,MATCH($A72,Backlog!$A$2:$A$188,0)))</f>
        <v>Done</v>
      </c>
      <c r="F72" s="38">
        <f>IF(ISNUMBER(INDEX(Backlog!$AT$2:$AT$188,MATCH($A72,Backlog!$A$2:$A$188,0))),INDEX(Backlog!$AT$2:$AT$188,MATCH($A72,Backlog!$A$2:$A$188,0)),"")</f>
        <v>0</v>
      </c>
      <c r="G72" s="38" t="str">
        <f>IF(INDEX(Backlog!$M$2:$M$188,MATCH($A72,Backlog!$A$2:$A$188,0))="","",INDEX(Backlog!$M$2:$M$188,MATCH($A72,Backlog!$A$2:$A$188,0)))</f>
        <v/>
      </c>
      <c r="H72" s="38" t="str">
        <f>IF(INDEX(Backlog!$N$2:$N$188,MATCH($A72,Backlog!$A$2:$A$188,0))="","",INDEX(Backlog!$N$2:$N$188,MATCH($A72,Backlog!$A$2:$A$188,0)))</f>
        <v>T-187</v>
      </c>
      <c r="I72" s="38" t="str">
        <f>IF(INDEX(Backlog!$T$2:$T$188,MATCH($A72,Backlog!$A$2:$A$188,0))="","",INDEX(Backlog!$T$2:$T$188,MATCH($A72,Backlog!$A$2:$A$188,0)))</f>
        <v>CLOSED BASELINE — no new start gate and no re-execution implied. Preserve accepted closure and clean owned scope; reopen only on a concrete, separately recorded regression. Downstream consumes the frozen contract.</v>
      </c>
      <c r="J72" s="32" t="str">
        <f>IF(INDEX(Backlog!$AN$2:$AN$188,MATCH($A72,Backlog!$A$2:$A$188,0))="","",INDEX(Backlog!$AN$2:$AN$188,MATCH($A72,Backlog!$A$2:$A$188,0)))</f>
        <v/>
      </c>
    </row>
    <row r="73" spans="1:10" ht="26.1" customHeight="1">
      <c r="A73" s="38" t="s">
        <v>133</v>
      </c>
      <c r="B73" s="38" t="str">
        <f>IF(INDEX(Backlog!$B$2:$B$188,MATCH($A73,Backlog!$A$2:$A$188,0))="","",INDEX(Backlog!$B$2:$B$188,MATCH($A73,Backlog!$A$2:$A$188,0)))</f>
        <v>M2</v>
      </c>
      <c r="C73" s="38" t="str">
        <f>IF(INDEX(Backlog!$C$2:$C$188,MATCH($A73,Backlog!$A$2:$A$188,0))="","",INDEX(Backlog!$C$2:$C$188,MATCH($A73,Backlog!$A$2:$A$188,0)))</f>
        <v>P4</v>
      </c>
      <c r="D73" s="38" t="str">
        <f>IF(INDEX(Backlog!$L$2:$L$188,MATCH($A73,Backlog!$A$2:$A$188,0))="","",INDEX(Backlog!$L$2:$L$188,MATCH($A73,Backlog!$A$2:$A$188,0)))</f>
        <v>Worker 3</v>
      </c>
      <c r="E73" s="70" t="str">
        <f>IF(INDEX(Backlog!$K$2:$K$188,MATCH($A73,Backlog!$A$2:$A$188,0))="","",INDEX(Backlog!$K$2:$K$188,MATCH($A73,Backlog!$A$2:$A$188,0)))</f>
        <v>Done</v>
      </c>
      <c r="F73" s="38">
        <f>IF(ISNUMBER(INDEX(Backlog!$AT$2:$AT$188,MATCH($A73,Backlog!$A$2:$A$188,0))),INDEX(Backlog!$AT$2:$AT$188,MATCH($A73,Backlog!$A$2:$A$188,0)),"")</f>
        <v>0</v>
      </c>
      <c r="G73" s="38" t="str">
        <f>IF(INDEX(Backlog!$M$2:$M$188,MATCH($A73,Backlog!$A$2:$A$188,0))="","",INDEX(Backlog!$M$2:$M$188,MATCH($A73,Backlog!$A$2:$A$188,0)))</f>
        <v>T-168; T-169</v>
      </c>
      <c r="H73" s="38" t="str">
        <f>IF(INDEX(Backlog!$N$2:$N$188,MATCH($A73,Backlog!$A$2:$A$188,0))="","",INDEX(Backlog!$N$2:$N$188,MATCH($A73,Backlog!$A$2:$A$188,0)))</f>
        <v>T-187</v>
      </c>
      <c r="I73" s="38" t="str">
        <f>IF(INDEX(Backlog!$T$2:$T$188,MATCH($A73,Backlog!$A$2:$A$188,0))="","",INDEX(Backlog!$T$2:$T$188,MATCH($A73,Backlog!$A$2:$A$188,0)))</f>
        <v>CLOSED BASELINE — no new start gate and no re-execution implied. Preserve accepted closure and clean owned scope; reopen only on a concrete, separately recorded regression. Downstream consumes the frozen contract.</v>
      </c>
      <c r="J73" s="32" t="str">
        <f>IF(INDEX(Backlog!$AN$2:$AN$188,MATCH($A73,Backlog!$A$2:$A$188,0))="","",INDEX(Backlog!$AN$2:$AN$188,MATCH($A73,Backlog!$A$2:$A$188,0)))</f>
        <v/>
      </c>
    </row>
    <row r="74" spans="1:10" ht="26.1" customHeight="1">
      <c r="A74" s="38" t="s">
        <v>134</v>
      </c>
      <c r="B74" s="38" t="str">
        <f>IF(INDEX(Backlog!$B$2:$B$188,MATCH($A74,Backlog!$A$2:$A$188,0))="","",INDEX(Backlog!$B$2:$B$188,MATCH($A74,Backlog!$A$2:$A$188,0)))</f>
        <v>M2</v>
      </c>
      <c r="C74" s="38" t="str">
        <f>IF(INDEX(Backlog!$C$2:$C$188,MATCH($A74,Backlog!$A$2:$A$188,0))="","",INDEX(Backlog!$C$2:$C$188,MATCH($A74,Backlog!$A$2:$A$188,0)))</f>
        <v>P4</v>
      </c>
      <c r="D74" s="38" t="str">
        <f>IF(INDEX(Backlog!$L$2:$L$188,MATCH($A74,Backlog!$A$2:$A$188,0))="","",INDEX(Backlog!$L$2:$L$188,MATCH($A74,Backlog!$A$2:$A$188,0)))</f>
        <v>Worker 3</v>
      </c>
      <c r="E74" s="70" t="str">
        <f>IF(INDEX(Backlog!$K$2:$K$188,MATCH($A74,Backlog!$A$2:$A$188,0))="","",INDEX(Backlog!$K$2:$K$188,MATCH($A74,Backlog!$A$2:$A$188,0)))</f>
        <v>Done</v>
      </c>
      <c r="F74" s="38">
        <f>IF(ISNUMBER(INDEX(Backlog!$AT$2:$AT$188,MATCH($A74,Backlog!$A$2:$A$188,0))),INDEX(Backlog!$AT$2:$AT$188,MATCH($A74,Backlog!$A$2:$A$188,0)),"")</f>
        <v>0</v>
      </c>
      <c r="G74" s="38" t="str">
        <f>IF(INDEX(Backlog!$M$2:$M$188,MATCH($A74,Backlog!$A$2:$A$188,0))="","",INDEX(Backlog!$M$2:$M$188,MATCH($A74,Backlog!$A$2:$A$188,0)))</f>
        <v/>
      </c>
      <c r="H74" s="38" t="str">
        <f>IF(INDEX(Backlog!$N$2:$N$188,MATCH($A74,Backlog!$A$2:$A$188,0))="","",INDEX(Backlog!$N$2:$N$188,MATCH($A74,Backlog!$A$2:$A$188,0)))</f>
        <v>T-140; T-187; T-191</v>
      </c>
      <c r="I74" s="38" t="str">
        <f>IF(INDEX(Backlog!$T$2:$T$188,MATCH($A74,Backlog!$A$2:$A$188,0))="","",INDEX(Backlog!$T$2:$T$188,MATCH($A74,Backlog!$A$2:$A$188,0)))</f>
        <v>CLOSED BASELINE — no new start gate and no re-execution implied. Preserve accepted closure and clean owned scope; reopen only on a concrete, separately recorded regression. Downstream consumes the frozen contract.</v>
      </c>
      <c r="J74" s="32" t="str">
        <f>IF(INDEX(Backlog!$AN$2:$AN$188,MATCH($A74,Backlog!$A$2:$A$188,0))="","",INDEX(Backlog!$AN$2:$AN$188,MATCH($A74,Backlog!$A$2:$A$188,0)))</f>
        <v/>
      </c>
    </row>
    <row r="75" spans="1:10" ht="26.1" customHeight="1">
      <c r="A75" s="38" t="s">
        <v>135</v>
      </c>
      <c r="B75" s="38" t="str">
        <f>IF(INDEX(Backlog!$B$2:$B$188,MATCH($A75,Backlog!$A$2:$A$188,0))="","",INDEX(Backlog!$B$2:$B$188,MATCH($A75,Backlog!$A$2:$A$188,0)))</f>
        <v>M2</v>
      </c>
      <c r="C75" s="38" t="str">
        <f>IF(INDEX(Backlog!$C$2:$C$188,MATCH($A75,Backlog!$A$2:$A$188,0))="","",INDEX(Backlog!$C$2:$C$188,MATCH($A75,Backlog!$A$2:$A$188,0)))</f>
        <v>P4</v>
      </c>
      <c r="D75" s="38" t="str">
        <f>IF(INDEX(Backlog!$L$2:$L$188,MATCH($A75,Backlog!$A$2:$A$188,0))="","",INDEX(Backlog!$L$2:$L$188,MATCH($A75,Backlog!$A$2:$A$188,0)))</f>
        <v>Worker 3</v>
      </c>
      <c r="E75" s="70" t="str">
        <f>IF(INDEX(Backlog!$K$2:$K$188,MATCH($A75,Backlog!$A$2:$A$188,0))="","",INDEX(Backlog!$K$2:$K$188,MATCH($A75,Backlog!$A$2:$A$188,0)))</f>
        <v>Done</v>
      </c>
      <c r="F75" s="38">
        <f>IF(ISNUMBER(INDEX(Backlog!$AT$2:$AT$188,MATCH($A75,Backlog!$A$2:$A$188,0))),INDEX(Backlog!$AT$2:$AT$188,MATCH($A75,Backlog!$A$2:$A$188,0)),"")</f>
        <v>0</v>
      </c>
      <c r="G75" s="38" t="str">
        <f>IF(INDEX(Backlog!$M$2:$M$188,MATCH($A75,Backlog!$A$2:$A$188,0))="","",INDEX(Backlog!$M$2:$M$188,MATCH($A75,Backlog!$A$2:$A$188,0)))</f>
        <v/>
      </c>
      <c r="H75" s="38" t="str">
        <f>IF(INDEX(Backlog!$N$2:$N$188,MATCH($A75,Backlog!$A$2:$A$188,0))="","",INDEX(Backlog!$N$2:$N$188,MATCH($A75,Backlog!$A$2:$A$188,0)))</f>
        <v>T-146; T-147</v>
      </c>
      <c r="I75" s="38" t="str">
        <f>IF(INDEX(Backlog!$T$2:$T$188,MATCH($A75,Backlog!$A$2:$A$188,0))="","",INDEX(Backlog!$T$2:$T$188,MATCH($A75,Backlog!$A$2:$A$188,0)))</f>
        <v>CLOSED BASELINE — no new start gate and no re-execution implied. Preserve accepted closure and clean owned scope; reopen only on a concrete, separately recorded regression. Downstream consumes the frozen contract.</v>
      </c>
      <c r="J75" s="32" t="str">
        <f>IF(INDEX(Backlog!$AN$2:$AN$188,MATCH($A75,Backlog!$A$2:$A$188,0))="","",INDEX(Backlog!$AN$2:$AN$188,MATCH($A75,Backlog!$A$2:$A$188,0)))</f>
        <v/>
      </c>
    </row>
    <row r="76" spans="1:10" ht="26.1" customHeight="1">
      <c r="A76" s="38" t="s">
        <v>136</v>
      </c>
      <c r="B76" s="38" t="str">
        <f>IF(INDEX(Backlog!$B$2:$B$188,MATCH($A76,Backlog!$A$2:$A$188,0))="","",INDEX(Backlog!$B$2:$B$188,MATCH($A76,Backlog!$A$2:$A$188,0)))</f>
        <v>M2</v>
      </c>
      <c r="C76" s="38" t="str">
        <f>IF(INDEX(Backlog!$C$2:$C$188,MATCH($A76,Backlog!$A$2:$A$188,0))="","",INDEX(Backlog!$C$2:$C$188,MATCH($A76,Backlog!$A$2:$A$188,0)))</f>
        <v>P4</v>
      </c>
      <c r="D76" s="38" t="str">
        <f>IF(INDEX(Backlog!$L$2:$L$188,MATCH($A76,Backlog!$A$2:$A$188,0))="","",INDEX(Backlog!$L$2:$L$188,MATCH($A76,Backlog!$A$2:$A$188,0)))</f>
        <v>Worker 3</v>
      </c>
      <c r="E76" s="70" t="str">
        <f>IF(INDEX(Backlog!$K$2:$K$188,MATCH($A76,Backlog!$A$2:$A$188,0))="","",INDEX(Backlog!$K$2:$K$188,MATCH($A76,Backlog!$A$2:$A$188,0)))</f>
        <v>Done</v>
      </c>
      <c r="F76" s="38">
        <f>IF(ISNUMBER(INDEX(Backlog!$AT$2:$AT$188,MATCH($A76,Backlog!$A$2:$A$188,0))),INDEX(Backlog!$AT$2:$AT$188,MATCH($A76,Backlog!$A$2:$A$188,0)),"")</f>
        <v>0</v>
      </c>
      <c r="G76" s="38" t="str">
        <f>IF(INDEX(Backlog!$M$2:$M$188,MATCH($A76,Backlog!$A$2:$A$188,0))="","",INDEX(Backlog!$M$2:$M$188,MATCH($A76,Backlog!$A$2:$A$188,0)))</f>
        <v/>
      </c>
      <c r="H76" s="38" t="str">
        <f>IF(INDEX(Backlog!$N$2:$N$188,MATCH($A76,Backlog!$A$2:$A$188,0))="","",INDEX(Backlog!$N$2:$N$188,MATCH($A76,Backlog!$A$2:$A$188,0)))</f>
        <v>T-143</v>
      </c>
      <c r="I76" s="38" t="str">
        <f>IF(INDEX(Backlog!$T$2:$T$188,MATCH($A76,Backlog!$A$2:$A$188,0))="","",INDEX(Backlog!$T$2:$T$188,MATCH($A76,Backlog!$A$2:$A$188,0)))</f>
        <v>CLOSED BASELINE — no new start gate and no re-execution implied. Preserve accepted closure and clean owned scope; reopen only on a concrete, separately recorded regression. Downstream consumes the frozen contract.</v>
      </c>
      <c r="J76" s="32" t="str">
        <f>IF(INDEX(Backlog!$AN$2:$AN$188,MATCH($A76,Backlog!$A$2:$A$188,0))="","",INDEX(Backlog!$AN$2:$AN$188,MATCH($A76,Backlog!$A$2:$A$188,0)))</f>
        <v/>
      </c>
    </row>
    <row r="77" spans="1:10" ht="26.1" customHeight="1">
      <c r="A77" s="38" t="s">
        <v>137</v>
      </c>
      <c r="B77" s="38" t="str">
        <f>IF(INDEX(Backlog!$B$2:$B$188,MATCH($A77,Backlog!$A$2:$A$188,0))="","",INDEX(Backlog!$B$2:$B$188,MATCH($A77,Backlog!$A$2:$A$188,0)))</f>
        <v>M2</v>
      </c>
      <c r="C77" s="38" t="str">
        <f>IF(INDEX(Backlog!$C$2:$C$188,MATCH($A77,Backlog!$A$2:$A$188,0))="","",INDEX(Backlog!$C$2:$C$188,MATCH($A77,Backlog!$A$2:$A$188,0)))</f>
        <v>P4</v>
      </c>
      <c r="D77" s="38" t="str">
        <f>IF(INDEX(Backlog!$L$2:$L$188,MATCH($A77,Backlog!$A$2:$A$188,0))="","",INDEX(Backlog!$L$2:$L$188,MATCH($A77,Backlog!$A$2:$A$188,0)))</f>
        <v>Worker 3</v>
      </c>
      <c r="E77" s="70" t="str">
        <f>IF(INDEX(Backlog!$K$2:$K$188,MATCH($A77,Backlog!$A$2:$A$188,0))="","",INDEX(Backlog!$K$2:$K$188,MATCH($A77,Backlog!$A$2:$A$188,0)))</f>
        <v>Done</v>
      </c>
      <c r="F77" s="38">
        <f>IF(ISNUMBER(INDEX(Backlog!$AT$2:$AT$188,MATCH($A77,Backlog!$A$2:$A$188,0))),INDEX(Backlog!$AT$2:$AT$188,MATCH($A77,Backlog!$A$2:$A$188,0)),"")</f>
        <v>0</v>
      </c>
      <c r="G77" s="38" t="str">
        <f>IF(INDEX(Backlog!$M$2:$M$188,MATCH($A77,Backlog!$A$2:$A$188,0))="","",INDEX(Backlog!$M$2:$M$188,MATCH($A77,Backlog!$A$2:$A$188,0)))</f>
        <v/>
      </c>
      <c r="H77" s="38" t="str">
        <f>IF(INDEX(Backlog!$N$2:$N$188,MATCH($A77,Backlog!$A$2:$A$188,0))="","",INDEX(Backlog!$N$2:$N$188,MATCH($A77,Backlog!$A$2:$A$188,0)))</f>
        <v>T-138; T-223; T-228</v>
      </c>
      <c r="I77" s="38" t="str">
        <f>IF(INDEX(Backlog!$T$2:$T$188,MATCH($A77,Backlog!$A$2:$A$188,0))="","",INDEX(Backlog!$T$2:$T$188,MATCH($A77,Backlog!$A$2:$A$188,0)))</f>
        <v>CLOSED BASELINE — no new start gate and no re-execution implied. Preserve accepted closure and clean owned scope; reopen only on a concrete, separately recorded regression. Downstream consumes the frozen contract.</v>
      </c>
      <c r="J77" s="32" t="str">
        <f>IF(INDEX(Backlog!$AN$2:$AN$188,MATCH($A77,Backlog!$A$2:$A$188,0))="","",INDEX(Backlog!$AN$2:$AN$188,MATCH($A77,Backlog!$A$2:$A$188,0)))</f>
        <v/>
      </c>
    </row>
    <row r="78" spans="1:10" ht="26.1" customHeight="1">
      <c r="A78" s="38" t="s">
        <v>138</v>
      </c>
      <c r="B78" s="38" t="str">
        <f>IF(INDEX(Backlog!$B$2:$B$188,MATCH($A78,Backlog!$A$2:$A$188,0))="","",INDEX(Backlog!$B$2:$B$188,MATCH($A78,Backlog!$A$2:$A$188,0)))</f>
        <v>M2</v>
      </c>
      <c r="C78" s="38" t="str">
        <f>IF(INDEX(Backlog!$C$2:$C$188,MATCH($A78,Backlog!$A$2:$A$188,0))="","",INDEX(Backlog!$C$2:$C$188,MATCH($A78,Backlog!$A$2:$A$188,0)))</f>
        <v>P4</v>
      </c>
      <c r="D78" s="38" t="str">
        <f>IF(INDEX(Backlog!$L$2:$L$188,MATCH($A78,Backlog!$A$2:$A$188,0))="","",INDEX(Backlog!$L$2:$L$188,MATCH($A78,Backlog!$A$2:$A$188,0)))</f>
        <v>Worker 3</v>
      </c>
      <c r="E78" s="70" t="str">
        <f>IF(INDEX(Backlog!$K$2:$K$188,MATCH($A78,Backlog!$A$2:$A$188,0))="","",INDEX(Backlog!$K$2:$K$188,MATCH($A78,Backlog!$A$2:$A$188,0)))</f>
        <v>Done</v>
      </c>
      <c r="F78" s="38">
        <f>IF(ISNUMBER(INDEX(Backlog!$AT$2:$AT$188,MATCH($A78,Backlog!$A$2:$A$188,0))),INDEX(Backlog!$AT$2:$AT$188,MATCH($A78,Backlog!$A$2:$A$188,0)),"")</f>
        <v>0</v>
      </c>
      <c r="G78" s="38" t="str">
        <f>IF(INDEX(Backlog!$M$2:$M$188,MATCH($A78,Backlog!$A$2:$A$188,0))="","",INDEX(Backlog!$M$2:$M$188,MATCH($A78,Backlog!$A$2:$A$188,0)))</f>
        <v/>
      </c>
      <c r="H78" s="38" t="str">
        <f>IF(INDEX(Backlog!$N$2:$N$188,MATCH($A78,Backlog!$A$2:$A$188,0))="","",INDEX(Backlog!$N$2:$N$188,MATCH($A78,Backlog!$A$2:$A$188,0)))</f>
        <v>T-138; T-223; T-228</v>
      </c>
      <c r="I78" s="38" t="str">
        <f>IF(INDEX(Backlog!$T$2:$T$188,MATCH($A78,Backlog!$A$2:$A$188,0))="","",INDEX(Backlog!$T$2:$T$188,MATCH($A78,Backlog!$A$2:$A$188,0)))</f>
        <v>CLOSED BASELINE — no new start gate and no re-execution implied. Preserve accepted closure and clean owned scope; reopen only on a concrete, separately recorded regression. Downstream consumes the frozen contract.</v>
      </c>
      <c r="J78" s="32" t="str">
        <f>IF(INDEX(Backlog!$AN$2:$AN$188,MATCH($A78,Backlog!$A$2:$A$188,0))="","",INDEX(Backlog!$AN$2:$AN$188,MATCH($A78,Backlog!$A$2:$A$188,0)))</f>
        <v/>
      </c>
    </row>
    <row r="79" spans="1:10" ht="26.1" customHeight="1">
      <c r="A79" s="38" t="s">
        <v>139</v>
      </c>
      <c r="B79" s="38" t="str">
        <f>IF(INDEX(Backlog!$B$2:$B$188,MATCH($A79,Backlog!$A$2:$A$188,0))="","",INDEX(Backlog!$B$2:$B$188,MATCH($A79,Backlog!$A$2:$A$188,0)))</f>
        <v>M2</v>
      </c>
      <c r="C79" s="38" t="str">
        <f>IF(INDEX(Backlog!$C$2:$C$188,MATCH($A79,Backlog!$A$2:$A$188,0))="","",INDEX(Backlog!$C$2:$C$188,MATCH($A79,Backlog!$A$2:$A$188,0)))</f>
        <v>P4</v>
      </c>
      <c r="D79" s="38" t="str">
        <f>IF(INDEX(Backlog!$L$2:$L$188,MATCH($A79,Backlog!$A$2:$A$188,0))="","",INDEX(Backlog!$L$2:$L$188,MATCH($A79,Backlog!$A$2:$A$188,0)))</f>
        <v>Worker 3</v>
      </c>
      <c r="E79" s="70" t="str">
        <f>IF(INDEX(Backlog!$K$2:$K$188,MATCH($A79,Backlog!$A$2:$A$188,0))="","",INDEX(Backlog!$K$2:$K$188,MATCH($A79,Backlog!$A$2:$A$188,0)))</f>
        <v>Done</v>
      </c>
      <c r="F79" s="38">
        <f>IF(ISNUMBER(INDEX(Backlog!$AT$2:$AT$188,MATCH($A79,Backlog!$A$2:$A$188,0))),INDEX(Backlog!$AT$2:$AT$188,MATCH($A79,Backlog!$A$2:$A$188,0)),"")</f>
        <v>0</v>
      </c>
      <c r="G79" s="38" t="str">
        <f>IF(INDEX(Backlog!$M$2:$M$188,MATCH($A79,Backlog!$A$2:$A$188,0))="","",INDEX(Backlog!$M$2:$M$188,MATCH($A79,Backlog!$A$2:$A$188,0)))</f>
        <v/>
      </c>
      <c r="H79" s="38" t="str">
        <f>IF(INDEX(Backlog!$N$2:$N$188,MATCH($A79,Backlog!$A$2:$A$188,0))="","",INDEX(Backlog!$N$2:$N$188,MATCH($A79,Backlog!$A$2:$A$188,0)))</f>
        <v>T-138; T-223; T-228</v>
      </c>
      <c r="I79" s="38" t="str">
        <f>IF(INDEX(Backlog!$T$2:$T$188,MATCH($A79,Backlog!$A$2:$A$188,0))="","",INDEX(Backlog!$T$2:$T$188,MATCH($A79,Backlog!$A$2:$A$188,0)))</f>
        <v>CLOSED BASELINE — no new start gate and no re-execution implied. Preserve accepted closure and clean owned scope; reopen only on a concrete, separately recorded regression. Downstream consumes the frozen contract.</v>
      </c>
      <c r="J79" s="32" t="str">
        <f>IF(INDEX(Backlog!$AN$2:$AN$188,MATCH($A79,Backlog!$A$2:$A$188,0))="","",INDEX(Backlog!$AN$2:$AN$188,MATCH($A79,Backlog!$A$2:$A$188,0)))</f>
        <v/>
      </c>
    </row>
    <row r="80" spans="1:10" ht="26.1" customHeight="1">
      <c r="A80" s="38" t="s">
        <v>140</v>
      </c>
      <c r="B80" s="38" t="str">
        <f>IF(INDEX(Backlog!$B$2:$B$188,MATCH($A80,Backlog!$A$2:$A$188,0))="","",INDEX(Backlog!$B$2:$B$188,MATCH($A80,Backlog!$A$2:$A$188,0)))</f>
        <v>M2</v>
      </c>
      <c r="C80" s="38" t="str">
        <f>IF(INDEX(Backlog!$C$2:$C$188,MATCH($A80,Backlog!$A$2:$A$188,0))="","",INDEX(Backlog!$C$2:$C$188,MATCH($A80,Backlog!$A$2:$A$188,0)))</f>
        <v>P4</v>
      </c>
      <c r="D80" s="38" t="str">
        <f>IF(INDEX(Backlog!$L$2:$L$188,MATCH($A80,Backlog!$A$2:$A$188,0))="","",INDEX(Backlog!$L$2:$L$188,MATCH($A80,Backlog!$A$2:$A$188,0)))</f>
        <v>Worker 3</v>
      </c>
      <c r="E80" s="70" t="str">
        <f>IF(INDEX(Backlog!$K$2:$K$188,MATCH($A80,Backlog!$A$2:$A$188,0))="","",INDEX(Backlog!$K$2:$K$188,MATCH($A80,Backlog!$A$2:$A$188,0)))</f>
        <v>Done</v>
      </c>
      <c r="F80" s="38">
        <f>IF(ISNUMBER(INDEX(Backlog!$AT$2:$AT$188,MATCH($A80,Backlog!$A$2:$A$188,0))),INDEX(Backlog!$AT$2:$AT$188,MATCH($A80,Backlog!$A$2:$A$188,0)),"")</f>
        <v>0</v>
      </c>
      <c r="G80" s="38" t="str">
        <f>IF(INDEX(Backlog!$M$2:$M$188,MATCH($A80,Backlog!$A$2:$A$188,0))="","",INDEX(Backlog!$M$2:$M$188,MATCH($A80,Backlog!$A$2:$A$188,0)))</f>
        <v/>
      </c>
      <c r="H80" s="38" t="str">
        <f>IF(INDEX(Backlog!$N$2:$N$188,MATCH($A80,Backlog!$A$2:$A$188,0))="","",INDEX(Backlog!$N$2:$N$188,MATCH($A80,Backlog!$A$2:$A$188,0)))</f>
        <v/>
      </c>
      <c r="I80" s="38" t="str">
        <f>IF(INDEX(Backlog!$T$2:$T$188,MATCH($A80,Backlog!$A$2:$A$188,0))="","",INDEX(Backlog!$T$2:$T$188,MATCH($A80,Backlog!$A$2:$A$188,0)))</f>
        <v>CLOSED BASELINE — no new start gate and no re-execution implied. Preserve accepted closure and clean owned scope; reopen only on a concrete, separately recorded regression. Downstream consumes the frozen contract.</v>
      </c>
      <c r="J80" s="32" t="str">
        <f>IF(INDEX(Backlog!$AN$2:$AN$188,MATCH($A80,Backlog!$A$2:$A$188,0))="","",INDEX(Backlog!$AN$2:$AN$188,MATCH($A80,Backlog!$A$2:$A$188,0)))</f>
        <v/>
      </c>
    </row>
    <row r="81" spans="1:10" ht="26.1" customHeight="1">
      <c r="A81" s="38" t="s">
        <v>141</v>
      </c>
      <c r="B81" s="38" t="str">
        <f>IF(INDEX(Backlog!$B$2:$B$188,MATCH($A81,Backlog!$A$2:$A$188,0))="","",INDEX(Backlog!$B$2:$B$188,MATCH($A81,Backlog!$A$2:$A$188,0)))</f>
        <v>M2</v>
      </c>
      <c r="C81" s="38" t="str">
        <f>IF(INDEX(Backlog!$C$2:$C$188,MATCH($A81,Backlog!$A$2:$A$188,0))="","",INDEX(Backlog!$C$2:$C$188,MATCH($A81,Backlog!$A$2:$A$188,0)))</f>
        <v>P4</v>
      </c>
      <c r="D81" s="38" t="str">
        <f>IF(INDEX(Backlog!$L$2:$L$188,MATCH($A81,Backlog!$A$2:$A$188,0))="","",INDEX(Backlog!$L$2:$L$188,MATCH($A81,Backlog!$A$2:$A$188,0)))</f>
        <v>Worker 3</v>
      </c>
      <c r="E81" s="70" t="str">
        <f>IF(INDEX(Backlog!$K$2:$K$188,MATCH($A81,Backlog!$A$2:$A$188,0))="","",INDEX(Backlog!$K$2:$K$188,MATCH($A81,Backlog!$A$2:$A$188,0)))</f>
        <v>Not Started</v>
      </c>
      <c r="F81" s="38">
        <f>IF(ISNUMBER(INDEX(Backlog!$AT$2:$AT$188,MATCH($A81,Backlog!$A$2:$A$188,0))),INDEX(Backlog!$AT$2:$AT$188,MATCH($A81,Backlog!$A$2:$A$188,0)),"")</f>
        <v>2.5</v>
      </c>
      <c r="G81" s="38" t="str">
        <f>IF(INDEX(Backlog!$M$2:$M$188,MATCH($A81,Backlog!$A$2:$A$188,0))="","",INDEX(Backlog!$M$2:$M$188,MATCH($A81,Backlog!$A$2:$A$188,0)))</f>
        <v>T-208; T-210</v>
      </c>
      <c r="H81" s="38" t="str">
        <f>IF(INDEX(Backlog!$N$2:$N$188,MATCH($A81,Backlog!$A$2:$A$188,0))="","",INDEX(Backlog!$N$2:$N$188,MATCH($A81,Backlog!$A$2:$A$188,0)))</f>
        <v>T-212; T-247</v>
      </c>
      <c r="I81" s="38" t="str">
        <f>IF(INDEX(Backlog!$T$2:$T$188,MATCH($A81,Backlog!$A$2:$A$188,0))="","",INDEX(Backlog!$T$2:$T$188,MATCH($A81,Backlog!$A$2:$A$188,0)))</f>
        <v>T-208 fixture + T-210 frozen contract. No production DI/persistence until consumer hand-off.</v>
      </c>
      <c r="J81" s="32" t="str">
        <f>IF(INDEX(Backlog!$AN$2:$AN$188,MATCH($A81,Backlog!$A$2:$A$188,0))="","",INDEX(Backlog!$AN$2:$AN$188,MATCH($A81,Backlog!$A$2:$A$188,0)))</f>
        <v/>
      </c>
    </row>
    <row r="82" spans="1:10" ht="26.1" customHeight="1">
      <c r="A82" s="38" t="s">
        <v>142</v>
      </c>
      <c r="B82" s="38" t="str">
        <f>IF(INDEX(Backlog!$B$2:$B$188,MATCH($A82,Backlog!$A$2:$A$188,0))="","",INDEX(Backlog!$B$2:$B$188,MATCH($A82,Backlog!$A$2:$A$188,0)))</f>
        <v>M2</v>
      </c>
      <c r="C82" s="38" t="str">
        <f>IF(INDEX(Backlog!$C$2:$C$188,MATCH($A82,Backlog!$A$2:$A$188,0))="","",INDEX(Backlog!$C$2:$C$188,MATCH($A82,Backlog!$A$2:$A$188,0)))</f>
        <v>P4</v>
      </c>
      <c r="D82" s="38" t="str">
        <f>IF(INDEX(Backlog!$L$2:$L$188,MATCH($A82,Backlog!$A$2:$A$188,0))="","",INDEX(Backlog!$L$2:$L$188,MATCH($A82,Backlog!$A$2:$A$188,0)))</f>
        <v>Worker 3</v>
      </c>
      <c r="E82" s="70" t="str">
        <f>IF(INDEX(Backlog!$K$2:$K$188,MATCH($A82,Backlog!$A$2:$A$188,0))="","",INDEX(Backlog!$K$2:$K$188,MATCH($A82,Backlog!$A$2:$A$188,0)))</f>
        <v>Not Started</v>
      </c>
      <c r="F82" s="38">
        <f>IF(ISNUMBER(INDEX(Backlog!$AT$2:$AT$188,MATCH($A82,Backlog!$A$2:$A$188,0))),INDEX(Backlog!$AT$2:$AT$188,MATCH($A82,Backlog!$A$2:$A$188,0)),"")</f>
        <v>1.5</v>
      </c>
      <c r="G82" s="38" t="str">
        <f>IF(INDEX(Backlog!$M$2:$M$188,MATCH($A82,Backlog!$A$2:$A$188,0))="","",INDEX(Backlog!$M$2:$M$188,MATCH($A82,Backlog!$A$2:$A$188,0)))</f>
        <v>T-209</v>
      </c>
      <c r="H82" s="38" t="str">
        <f>IF(INDEX(Backlog!$N$2:$N$188,MATCH($A82,Backlog!$A$2:$A$188,0))="","",INDEX(Backlog!$N$2:$N$188,MATCH($A82,Backlog!$A$2:$A$188,0)))</f>
        <v>T-215; T-223; T-232; T-238; T-239; T-264</v>
      </c>
      <c r="I82" s="38" t="str">
        <f>IF(INDEX(Backlog!$T$2:$T$188,MATCH($A82,Backlog!$A$2:$A$188,0))="","",INDEX(Backlog!$T$2:$T$188,MATCH($A82,Backlog!$A$2:$A$188,0)))</f>
        <v>T-209 frozen generic subject contract.</v>
      </c>
      <c r="J82" s="32" t="str">
        <f>IF(INDEX(Backlog!$AN$2:$AN$188,MATCH($A82,Backlog!$A$2:$A$188,0))="","",INDEX(Backlog!$AN$2:$AN$188,MATCH($A82,Backlog!$A$2:$A$188,0)))</f>
        <v/>
      </c>
    </row>
    <row r="83" spans="1:10" ht="26.1" customHeight="1">
      <c r="A83" s="38" t="s">
        <v>143</v>
      </c>
      <c r="B83" s="38" t="str">
        <f>IF(INDEX(Backlog!$B$2:$B$188,MATCH($A83,Backlog!$A$2:$A$188,0))="","",INDEX(Backlog!$B$2:$B$188,MATCH($A83,Backlog!$A$2:$A$188,0)))</f>
        <v>M2</v>
      </c>
      <c r="C83" s="38" t="str">
        <f>IF(INDEX(Backlog!$C$2:$C$188,MATCH($A83,Backlog!$A$2:$A$188,0))="","",INDEX(Backlog!$C$2:$C$188,MATCH($A83,Backlog!$A$2:$A$188,0)))</f>
        <v>P4</v>
      </c>
      <c r="D83" s="38" t="str">
        <f>IF(INDEX(Backlog!$L$2:$L$188,MATCH($A83,Backlog!$A$2:$A$188,0))="","",INDEX(Backlog!$L$2:$L$188,MATCH($A83,Backlog!$A$2:$A$188,0)))</f>
        <v>Worker 3</v>
      </c>
      <c r="E83" s="70" t="str">
        <f>IF(INDEX(Backlog!$K$2:$K$188,MATCH($A83,Backlog!$A$2:$A$188,0))="","",INDEX(Backlog!$K$2:$K$188,MATCH($A83,Backlog!$A$2:$A$188,0)))</f>
        <v>Done</v>
      </c>
      <c r="F83" s="38">
        <f>IF(ISNUMBER(INDEX(Backlog!$AT$2:$AT$188,MATCH($A83,Backlog!$A$2:$A$188,0))),INDEX(Backlog!$AT$2:$AT$188,MATCH($A83,Backlog!$A$2:$A$188,0)),"")</f>
        <v>2.5</v>
      </c>
      <c r="G83" s="38" t="str">
        <f>IF(INDEX(Backlog!$M$2:$M$188,MATCH($A83,Backlog!$A$2:$A$188,0))="","",INDEX(Backlog!$M$2:$M$188,MATCH($A83,Backlog!$A$2:$A$188,0)))</f>
        <v>T-208; T-216</v>
      </c>
      <c r="H83" s="38" t="str">
        <f>IF(INDEX(Backlog!$N$2:$N$188,MATCH($A83,Backlog!$A$2:$A$188,0))="","",INDEX(Backlog!$N$2:$N$188,MATCH($A83,Backlog!$A$2:$A$188,0)))</f>
        <v>T-219; T-236</v>
      </c>
      <c r="I83" s="38" t="str">
        <f>IF(INDEX(Backlog!$T$2:$T$188,MATCH($A83,Backlog!$A$2:$A$188,0))="","",INDEX(Backlog!$T$2:$T$188,MATCH($A83,Backlog!$A$2:$A$188,0)))</f>
        <v>CLOSED BASELINE — no new start gate and no re-execution implied. Preserve accepted closure and clean owned scope; reopen only on a concrete, separately recorded regression. Downstream consumes the frozen contract.</v>
      </c>
      <c r="J83" s="32" t="str">
        <f>IF(INDEX(Backlog!$AN$2:$AN$188,MATCH($A83,Backlog!$A$2:$A$188,0))="","",INDEX(Backlog!$AN$2:$AN$188,MATCH($A83,Backlog!$A$2:$A$188,0)))</f>
        <v/>
      </c>
    </row>
    <row r="84" spans="1:10" ht="26.1" customHeight="1">
      <c r="A84" s="38" t="s">
        <v>144</v>
      </c>
      <c r="B84" s="38" t="str">
        <f>IF(INDEX(Backlog!$B$2:$B$188,MATCH($A84,Backlog!$A$2:$A$188,0))="","",INDEX(Backlog!$B$2:$B$188,MATCH($A84,Backlog!$A$2:$A$188,0)))</f>
        <v>M2</v>
      </c>
      <c r="C84" s="38" t="str">
        <f>IF(INDEX(Backlog!$C$2:$C$188,MATCH($A84,Backlog!$A$2:$A$188,0))="","",INDEX(Backlog!$C$2:$C$188,MATCH($A84,Backlog!$A$2:$A$188,0)))</f>
        <v>P4</v>
      </c>
      <c r="D84" s="38" t="str">
        <f>IF(INDEX(Backlog!$L$2:$L$188,MATCH($A84,Backlog!$A$2:$A$188,0))="","",INDEX(Backlog!$L$2:$L$188,MATCH($A84,Backlog!$A$2:$A$188,0)))</f>
        <v>Worker 3</v>
      </c>
      <c r="E84" s="70" t="str">
        <f>IF(INDEX(Backlog!$K$2:$K$188,MATCH($A84,Backlog!$A$2:$A$188,0))="","",INDEX(Backlog!$K$2:$K$188,MATCH($A84,Backlog!$A$2:$A$188,0)))</f>
        <v>Done</v>
      </c>
      <c r="F84" s="38">
        <f>IF(ISNUMBER(INDEX(Backlog!$AT$2:$AT$188,MATCH($A84,Backlog!$A$2:$A$188,0))),INDEX(Backlog!$AT$2:$AT$188,MATCH($A84,Backlog!$A$2:$A$188,0)),"")</f>
        <v>2</v>
      </c>
      <c r="G84" s="38" t="str">
        <f>IF(INDEX(Backlog!$M$2:$M$188,MATCH($A84,Backlog!$A$2:$A$188,0))="","",INDEX(Backlog!$M$2:$M$188,MATCH($A84,Backlog!$A$2:$A$188,0)))</f>
        <v>T-208</v>
      </c>
      <c r="H84" s="38" t="str">
        <f>IF(INDEX(Backlog!$N$2:$N$188,MATCH($A84,Backlog!$A$2:$A$188,0))="","",INDEX(Backlog!$N$2:$N$188,MATCH($A84,Backlog!$A$2:$A$188,0)))</f>
        <v>T-219</v>
      </c>
      <c r="I84" s="38" t="str">
        <f>IF(INDEX(Backlog!$T$2:$T$188,MATCH($A84,Backlog!$A$2:$A$188,0))="","",INDEX(Backlog!$T$2:$T$188,MATCH($A84,Backlog!$A$2:$A$188,0)))</f>
        <v>CLOSED BASELINE — no new start gate and no re-execution implied. Preserve accepted closure and clean owned scope; reopen only on a concrete, separately recorded regression. Downstream consumes the frozen contract.</v>
      </c>
      <c r="J84" s="32" t="str">
        <f>IF(INDEX(Backlog!$AN$2:$AN$188,MATCH($A84,Backlog!$A$2:$A$188,0))="","",INDEX(Backlog!$AN$2:$AN$188,MATCH($A84,Backlog!$A$2:$A$188,0)))</f>
        <v/>
      </c>
    </row>
    <row r="85" spans="1:10" ht="26.1" customHeight="1">
      <c r="A85" s="38" t="s">
        <v>145</v>
      </c>
      <c r="B85" s="38" t="str">
        <f>IF(INDEX(Backlog!$B$2:$B$188,MATCH($A85,Backlog!$A$2:$A$188,0))="","",INDEX(Backlog!$B$2:$B$188,MATCH($A85,Backlog!$A$2:$A$188,0)))</f>
        <v>M2</v>
      </c>
      <c r="C85" s="38" t="str">
        <f>IF(INDEX(Backlog!$C$2:$C$188,MATCH($A85,Backlog!$A$2:$A$188,0))="","",INDEX(Backlog!$C$2:$C$188,MATCH($A85,Backlog!$A$2:$A$188,0)))</f>
        <v>P4</v>
      </c>
      <c r="D85" s="38" t="str">
        <f>IF(INDEX(Backlog!$L$2:$L$188,MATCH($A85,Backlog!$A$2:$A$188,0))="","",INDEX(Backlog!$L$2:$L$188,MATCH($A85,Backlog!$A$2:$A$188,0)))</f>
        <v>Worker 3</v>
      </c>
      <c r="E85" s="70" t="str">
        <f>IF(INDEX(Backlog!$K$2:$K$188,MATCH($A85,Backlog!$A$2:$A$188,0))="","",INDEX(Backlog!$K$2:$K$188,MATCH($A85,Backlog!$A$2:$A$188,0)))</f>
        <v>Done</v>
      </c>
      <c r="F85" s="38">
        <f>IF(ISNUMBER(INDEX(Backlog!$AT$2:$AT$188,MATCH($A85,Backlog!$A$2:$A$188,0))),INDEX(Backlog!$AT$2:$AT$188,MATCH($A85,Backlog!$A$2:$A$188,0)),"")</f>
        <v>3.2</v>
      </c>
      <c r="G85" s="38" t="str">
        <f>IF(INDEX(Backlog!$M$2:$M$188,MATCH($A85,Backlog!$A$2:$A$188,0))="","",INDEX(Backlog!$M$2:$M$188,MATCH($A85,Backlog!$A$2:$A$188,0)))</f>
        <v>T-217; T-218; T-236</v>
      </c>
      <c r="H85" s="38" t="str">
        <f>IF(INDEX(Backlog!$N$2:$N$188,MATCH($A85,Backlog!$A$2:$A$188,0))="","",INDEX(Backlog!$N$2:$N$188,MATCH($A85,Backlog!$A$2:$A$188,0)))</f>
        <v>T-220; T-221; T-222; T-223</v>
      </c>
      <c r="I85" s="38" t="str">
        <f>IF(INDEX(Backlog!$T$2:$T$188,MATCH($A85,Backlog!$A$2:$A$188,0))="","",INDEX(Backlog!$T$2:$T$188,MATCH($A85,Backlog!$A$2:$A$188,0)))</f>
        <v>CLOSED BASELINE — no new start gate and no re-execution implied. Preserve accepted closure and clean owned scope; reopen only on a concrete, separately recorded regression. Downstream consumes the frozen contract.</v>
      </c>
      <c r="J85" s="32" t="str">
        <f>IF(INDEX(Backlog!$AN$2:$AN$188,MATCH($A85,Backlog!$A$2:$A$188,0))="","",INDEX(Backlog!$AN$2:$AN$188,MATCH($A85,Backlog!$A$2:$A$188,0)))</f>
        <v/>
      </c>
    </row>
    <row r="86" spans="1:10" ht="26.1" customHeight="1">
      <c r="A86" s="38" t="s">
        <v>146</v>
      </c>
      <c r="B86" s="38" t="str">
        <f>IF(INDEX(Backlog!$B$2:$B$188,MATCH($A86,Backlog!$A$2:$A$188,0))="","",INDEX(Backlog!$B$2:$B$188,MATCH($A86,Backlog!$A$2:$A$188,0)))</f>
        <v>M2</v>
      </c>
      <c r="C86" s="38" t="str">
        <f>IF(INDEX(Backlog!$C$2:$C$188,MATCH($A86,Backlog!$A$2:$A$188,0))="","",INDEX(Backlog!$C$2:$C$188,MATCH($A86,Backlog!$A$2:$A$188,0)))</f>
        <v>P4</v>
      </c>
      <c r="D86" s="38" t="str">
        <f>IF(INDEX(Backlog!$L$2:$L$188,MATCH($A86,Backlog!$A$2:$A$188,0))="","",INDEX(Backlog!$L$2:$L$188,MATCH($A86,Backlog!$A$2:$A$188,0)))</f>
        <v>Worker 3</v>
      </c>
      <c r="E86" s="70" t="str">
        <f>IF(INDEX(Backlog!$K$2:$K$188,MATCH($A86,Backlog!$A$2:$A$188,0))="","",INDEX(Backlog!$K$2:$K$188,MATCH($A86,Backlog!$A$2:$A$188,0)))</f>
        <v>Done</v>
      </c>
      <c r="F86" s="38">
        <f>IF(ISNUMBER(INDEX(Backlog!$AT$2:$AT$188,MATCH($A86,Backlog!$A$2:$A$188,0))),INDEX(Backlog!$AT$2:$AT$188,MATCH($A86,Backlog!$A$2:$A$188,0)),"")</f>
        <v>2</v>
      </c>
      <c r="G86" s="38" t="str">
        <f>IF(INDEX(Backlog!$M$2:$M$188,MATCH($A86,Backlog!$A$2:$A$188,0))="","",INDEX(Backlog!$M$2:$M$188,MATCH($A86,Backlog!$A$2:$A$188,0)))</f>
        <v>T-219</v>
      </c>
      <c r="H86" s="38" t="str">
        <f>IF(INDEX(Backlog!$N$2:$N$188,MATCH($A86,Backlog!$A$2:$A$188,0))="","",INDEX(Backlog!$N$2:$N$188,MATCH($A86,Backlog!$A$2:$A$188,0)))</f>
        <v>T-221; T-222; T-223</v>
      </c>
      <c r="I86" s="38" t="str">
        <f>IF(INDEX(Backlog!$T$2:$T$188,MATCH($A86,Backlog!$A$2:$A$188,0))="","",INDEX(Backlog!$T$2:$T$188,MATCH($A86,Backlog!$A$2:$A$188,0)))</f>
        <v>CLOSED BASELINE — no new start gate and no re-execution implied. Preserve accepted closure and clean owned scope; reopen only on a concrete, separately recorded regression. Downstream consumes the frozen contract.</v>
      </c>
      <c r="J86" s="32" t="str">
        <f>IF(INDEX(Backlog!$AN$2:$AN$188,MATCH($A86,Backlog!$A$2:$A$188,0))="","",INDEX(Backlog!$AN$2:$AN$188,MATCH($A86,Backlog!$A$2:$A$188,0)))</f>
        <v/>
      </c>
    </row>
    <row r="87" spans="1:10" ht="26.1" customHeight="1">
      <c r="A87" s="38" t="s">
        <v>147</v>
      </c>
      <c r="B87" s="38" t="str">
        <f>IF(INDEX(Backlog!$B$2:$B$188,MATCH($A87,Backlog!$A$2:$A$188,0))="","",INDEX(Backlog!$B$2:$B$188,MATCH($A87,Backlog!$A$2:$A$188,0)))</f>
        <v>M2</v>
      </c>
      <c r="C87" s="38" t="str">
        <f>IF(INDEX(Backlog!$C$2:$C$188,MATCH($A87,Backlog!$A$2:$A$188,0))="","",INDEX(Backlog!$C$2:$C$188,MATCH($A87,Backlog!$A$2:$A$188,0)))</f>
        <v>P4</v>
      </c>
      <c r="D87" s="38" t="str">
        <f>IF(INDEX(Backlog!$L$2:$L$188,MATCH($A87,Backlog!$A$2:$A$188,0))="","",INDEX(Backlog!$L$2:$L$188,MATCH($A87,Backlog!$A$2:$A$188,0)))</f>
        <v>Worker 3</v>
      </c>
      <c r="E87" s="70" t="str">
        <f>IF(INDEX(Backlog!$K$2:$K$188,MATCH($A87,Backlog!$A$2:$A$188,0))="","",INDEX(Backlog!$K$2:$K$188,MATCH($A87,Backlog!$A$2:$A$188,0)))</f>
        <v>Not Started</v>
      </c>
      <c r="F87" s="38">
        <f>IF(ISNUMBER(INDEX(Backlog!$AT$2:$AT$188,MATCH($A87,Backlog!$A$2:$A$188,0))),INDEX(Backlog!$AT$2:$AT$188,MATCH($A87,Backlog!$A$2:$A$188,0)),"")</f>
        <v>5.4</v>
      </c>
      <c r="G87" s="38" t="str">
        <f>IF(INDEX(Backlog!$M$2:$M$188,MATCH($A87,Backlog!$A$2:$A$188,0))="","",INDEX(Backlog!$M$2:$M$188,MATCH($A87,Backlog!$A$2:$A$188,0)))</f>
        <v>T-112; T-114; T-090; T-095; T-096; T-219; T-220; T-233</v>
      </c>
      <c r="H87" s="38" t="str">
        <f>IF(INDEX(Backlog!$N$2:$N$188,MATCH($A87,Backlog!$A$2:$A$188,0))="","",INDEX(Backlog!$N$2:$N$188,MATCH($A87,Backlog!$A$2:$A$188,0)))</f>
        <v/>
      </c>
      <c r="I87" s="38" t="str">
        <f>IF(INDEX(Backlog!$T$2:$T$188,MATCH($A87,Backlog!$A$2:$A$188,0))="","",INDEX(Backlog!$T$2:$T$188,MATCH($A87,Backlog!$A$2:$A$188,0)))</f>
        <v>T-112 + T-114 + T-090 + T-095/T-096 + T-219 + T-220. If security hand-off is not green, remain on pure-kernel evidence and do not create insecure tables.</v>
      </c>
      <c r="J87" s="32" t="str">
        <f>IF(INDEX(Backlog!$AN$2:$AN$188,MATCH($A87,Backlog!$A$2:$A$188,0))="","",INDEX(Backlog!$AN$2:$AN$188,MATCH($A87,Backlog!$A$2:$A$188,0)))</f>
        <v/>
      </c>
    </row>
    <row r="88" spans="1:10" ht="26.1" customHeight="1">
      <c r="A88" s="38" t="s">
        <v>148</v>
      </c>
      <c r="B88" s="38" t="str">
        <f>IF(INDEX(Backlog!$B$2:$B$188,MATCH($A88,Backlog!$A$2:$A$188,0))="","",INDEX(Backlog!$B$2:$B$188,MATCH($A88,Backlog!$A$2:$A$188,0)))</f>
        <v>M2</v>
      </c>
      <c r="C88" s="38" t="str">
        <f>IF(INDEX(Backlog!$C$2:$C$188,MATCH($A88,Backlog!$A$2:$A$188,0))="","",INDEX(Backlog!$C$2:$C$188,MATCH($A88,Backlog!$A$2:$A$188,0)))</f>
        <v>P4</v>
      </c>
      <c r="D88" s="38" t="str">
        <f>IF(INDEX(Backlog!$L$2:$L$188,MATCH($A88,Backlog!$A$2:$A$188,0))="","",INDEX(Backlog!$L$2:$L$188,MATCH($A88,Backlog!$A$2:$A$188,0)))</f>
        <v>Worker 3</v>
      </c>
      <c r="E88" s="70" t="str">
        <f>IF(INDEX(Backlog!$K$2:$K$188,MATCH($A88,Backlog!$A$2:$A$188,0))="","",INDEX(Backlog!$K$2:$K$188,MATCH($A88,Backlog!$A$2:$A$188,0)))</f>
        <v>Not Started</v>
      </c>
      <c r="F88" s="38">
        <f>IF(ISNUMBER(INDEX(Backlog!$AT$2:$AT$188,MATCH($A88,Backlog!$A$2:$A$188,0))),INDEX(Backlog!$AT$2:$AT$188,MATCH($A88,Backlog!$A$2:$A$188,0)),"")</f>
        <v>4.25</v>
      </c>
      <c r="G88" s="38" t="str">
        <f>IF(INDEX(Backlog!$M$2:$M$188,MATCH($A88,Backlog!$A$2:$A$188,0))="","",INDEX(Backlog!$M$2:$M$188,MATCH($A88,Backlog!$A$2:$A$188,0)))</f>
        <v>T-179; T-180; T-181; T-214; T-219; T-220</v>
      </c>
      <c r="H88" s="38" t="str">
        <f>IF(INDEX(Backlog!$N$2:$N$188,MATCH($A88,Backlog!$A$2:$A$188,0))="","",INDEX(Backlog!$N$2:$N$188,MATCH($A88,Backlog!$A$2:$A$188,0)))</f>
        <v>T-150</v>
      </c>
      <c r="I88" s="38" t="str">
        <f>IF(INDEX(Backlog!$T$2:$T$188,MATCH($A88,Backlog!$A$2:$A$188,0))="","",INDEX(Backlog!$T$2:$T$188,MATCH($A88,Backlog!$A$2:$A$188,0)))</f>
        <v>T-179/T-180/T-181 CLOSED + T-214 + T-219/T-220. No canonical persistence dependency for September explanation.</v>
      </c>
      <c r="J88" s="32" t="str">
        <f>IF(INDEX(Backlog!$AN$2:$AN$188,MATCH($A88,Backlog!$A$2:$A$188,0))="","",INDEX(Backlog!$AN$2:$AN$188,MATCH($A88,Backlog!$A$2:$A$188,0)))</f>
        <v/>
      </c>
    </row>
    <row r="89" spans="1:10" ht="26.1" customHeight="1">
      <c r="A89" s="38" t="s">
        <v>149</v>
      </c>
      <c r="B89" s="38" t="str">
        <f>IF(INDEX(Backlog!$B$2:$B$188,MATCH($A89,Backlog!$A$2:$A$188,0))="","",INDEX(Backlog!$B$2:$B$188,MATCH($A89,Backlog!$A$2:$A$188,0)))</f>
        <v>M2</v>
      </c>
      <c r="C89" s="38" t="str">
        <f>IF(INDEX(Backlog!$C$2:$C$188,MATCH($A89,Backlog!$A$2:$A$188,0))="","",INDEX(Backlog!$C$2:$C$188,MATCH($A89,Backlog!$A$2:$A$188,0)))</f>
        <v>P4</v>
      </c>
      <c r="D89" s="38" t="str">
        <f>IF(INDEX(Backlog!$L$2:$L$188,MATCH($A89,Backlog!$A$2:$A$188,0))="","",INDEX(Backlog!$L$2:$L$188,MATCH($A89,Backlog!$A$2:$A$188,0)))</f>
        <v>Worker 3</v>
      </c>
      <c r="E89" s="70" t="str">
        <f>IF(INDEX(Backlog!$K$2:$K$188,MATCH($A89,Backlog!$A$2:$A$188,0))="","",INDEX(Backlog!$K$2:$K$188,MATCH($A89,Backlog!$A$2:$A$188,0)))</f>
        <v>Done</v>
      </c>
      <c r="F89" s="38">
        <f>IF(ISNUMBER(INDEX(Backlog!$AT$2:$AT$188,MATCH($A89,Backlog!$A$2:$A$188,0))),INDEX(Backlog!$AT$2:$AT$188,MATCH($A89,Backlog!$A$2:$A$188,0)),"")</f>
        <v>2</v>
      </c>
      <c r="G89" s="38" t="str">
        <f>IF(INDEX(Backlog!$M$2:$M$188,MATCH($A89,Backlog!$A$2:$A$188,0))="","",INDEX(Backlog!$M$2:$M$188,MATCH($A89,Backlog!$A$2:$A$188,0)))</f>
        <v>T-208; T-209</v>
      </c>
      <c r="H89" s="38" t="str">
        <f>IF(INDEX(Backlog!$N$2:$N$188,MATCH($A89,Backlog!$A$2:$A$188,0))="","",INDEX(Backlog!$N$2:$N$188,MATCH($A89,Backlog!$A$2:$A$188,0)))</f>
        <v>T-212; T-235; T-236</v>
      </c>
      <c r="I89" s="38" t="str">
        <f>IF(INDEX(Backlog!$T$2:$T$188,MATCH($A89,Backlog!$A$2:$A$188,0))="","",INDEX(Backlog!$T$2:$T$188,MATCH($A89,Backlog!$A$2:$A$188,0)))</f>
        <v>CLOSED BASELINE — no new start gate and no re-execution implied. Preserve accepted closure and clean owned scope; reopen only on a concrete, separately recorded regression. Downstream consumes the frozen contract.</v>
      </c>
      <c r="J89" s="32" t="str">
        <f>IF(INDEX(Backlog!$AN$2:$AN$188,MATCH($A89,Backlog!$A$2:$A$188,0))="","",INDEX(Backlog!$AN$2:$AN$188,MATCH($A89,Backlog!$A$2:$A$188,0)))</f>
        <v/>
      </c>
    </row>
    <row r="90" spans="1:10" ht="26.1" customHeight="1">
      <c r="A90" s="38" t="s">
        <v>150</v>
      </c>
      <c r="B90" s="38" t="str">
        <f>IF(INDEX(Backlog!$B$2:$B$188,MATCH($A90,Backlog!$A$2:$A$188,0))="","",INDEX(Backlog!$B$2:$B$188,MATCH($A90,Backlog!$A$2:$A$188,0)))</f>
        <v>M2</v>
      </c>
      <c r="C90" s="38" t="str">
        <f>IF(INDEX(Backlog!$C$2:$C$188,MATCH($A90,Backlog!$A$2:$A$188,0))="","",INDEX(Backlog!$C$2:$C$188,MATCH($A90,Backlog!$A$2:$A$188,0)))</f>
        <v>P4</v>
      </c>
      <c r="D90" s="38" t="str">
        <f>IF(INDEX(Backlog!$L$2:$L$188,MATCH($A90,Backlog!$A$2:$A$188,0))="","",INDEX(Backlog!$L$2:$L$188,MATCH($A90,Backlog!$A$2:$A$188,0)))</f>
        <v>Worker 3</v>
      </c>
      <c r="E90" s="70" t="str">
        <f>IF(INDEX(Backlog!$K$2:$K$188,MATCH($A90,Backlog!$A$2:$A$188,0))="","",INDEX(Backlog!$K$2:$K$188,MATCH($A90,Backlog!$A$2:$A$188,0)))</f>
        <v>Done</v>
      </c>
      <c r="F90" s="38">
        <f>IF(ISNUMBER(INDEX(Backlog!$AT$2:$AT$188,MATCH($A90,Backlog!$A$2:$A$188,0))),INDEX(Backlog!$AT$2:$AT$188,MATCH($A90,Backlog!$A$2:$A$188,0)),"")</f>
        <v>2.666666666666667</v>
      </c>
      <c r="G90" s="38" t="str">
        <f>IF(INDEX(Backlog!$M$2:$M$188,MATCH($A90,Backlog!$A$2:$A$188,0))="","",INDEX(Backlog!$M$2:$M$188,MATCH($A90,Backlog!$A$2:$A$188,0)))</f>
        <v>T-217; T-234</v>
      </c>
      <c r="H90" s="38" t="str">
        <f>IF(INDEX(Backlog!$N$2:$N$188,MATCH($A90,Backlog!$A$2:$A$188,0))="","",INDEX(Backlog!$N$2:$N$188,MATCH($A90,Backlog!$A$2:$A$188,0)))</f>
        <v>T-212; T-219</v>
      </c>
      <c r="I90" s="38" t="str">
        <f>IF(INDEX(Backlog!$T$2:$T$188,MATCH($A90,Backlog!$A$2:$A$188,0))="","",INDEX(Backlog!$T$2:$T$188,MATCH($A90,Backlog!$A$2:$A$188,0)))</f>
        <v>CLOSED BASELINE — no new start gate and no re-execution implied. Preserve accepted closure and clean owned scope; reopen only on a concrete, separately recorded regression. Downstream consumes the frozen contract.</v>
      </c>
      <c r="J90" s="32" t="str">
        <f>IF(INDEX(Backlog!$AN$2:$AN$188,MATCH($A90,Backlog!$A$2:$A$188,0))="","",INDEX(Backlog!$AN$2:$AN$188,MATCH($A90,Backlog!$A$2:$A$188,0)))</f>
        <v/>
      </c>
    </row>
    <row r="91" spans="1:10" ht="26.1" customHeight="1">
      <c r="A91" s="38" t="s">
        <v>151</v>
      </c>
      <c r="B91" s="38" t="str">
        <f>IF(INDEX(Backlog!$B$2:$B$188,MATCH($A91,Backlog!$A$2:$A$188,0))="","",INDEX(Backlog!$B$2:$B$188,MATCH($A91,Backlog!$A$2:$A$188,0)))</f>
        <v>M2</v>
      </c>
      <c r="C91" s="38" t="str">
        <f>IF(INDEX(Backlog!$C$2:$C$188,MATCH($A91,Backlog!$A$2:$A$188,0))="","",INDEX(Backlog!$C$2:$C$188,MATCH($A91,Backlog!$A$2:$A$188,0)))</f>
        <v>P4</v>
      </c>
      <c r="D91" s="38" t="str">
        <f>IF(INDEX(Backlog!$L$2:$L$188,MATCH($A91,Backlog!$A$2:$A$188,0))="","",INDEX(Backlog!$L$2:$L$188,MATCH($A91,Backlog!$A$2:$A$188,0)))</f>
        <v>Worker 2</v>
      </c>
      <c r="E91" s="70" t="str">
        <f>IF(INDEX(Backlog!$K$2:$K$188,MATCH($A91,Backlog!$A$2:$A$188,0))="","",INDEX(Backlog!$K$2:$K$188,MATCH($A91,Backlog!$A$2:$A$188,0)))</f>
        <v>Not Started</v>
      </c>
      <c r="F91" s="38">
        <f>IF(ISNUMBER(INDEX(Backlog!$AT$2:$AT$188,MATCH($A91,Backlog!$A$2:$A$188,0))),INDEX(Backlog!$AT$2:$AT$188,MATCH($A91,Backlog!$A$2:$A$188,0)),"")</f>
        <v>4.25</v>
      </c>
      <c r="G91" s="38" t="str">
        <f>IF(INDEX(Backlog!$M$2:$M$188,MATCH($A91,Backlog!$A$2:$A$188,0))="","",INDEX(Backlog!$M$2:$M$188,MATCH($A91,Backlog!$A$2:$A$188,0)))</f>
        <v>T-092; T-235</v>
      </c>
      <c r="H91" s="38" t="str">
        <f>IF(INDEX(Backlog!$N$2:$N$188,MATCH($A91,Backlog!$A$2:$A$188,0))="","",INDEX(Backlog!$N$2:$N$188,MATCH($A91,Backlog!$A$2:$A$188,0)))</f>
        <v>T-164</v>
      </c>
      <c r="I91" s="38" t="str">
        <f>IF(INDEX(Backlog!$T$2:$T$188,MATCH($A91,Backlog!$A$2:$A$188,0))="","",INDEX(Backlog!$T$2:$T$188,MATCH($A91,Backlog!$A$2:$A$188,0)))</f>
        <v>T-092 + T-235; can run in parallel with T-222 on separate files.</v>
      </c>
      <c r="J91" s="32" t="str">
        <f>IF(INDEX(Backlog!$AN$2:$AN$188,MATCH($A91,Backlog!$A$2:$A$188,0))="","",INDEX(Backlog!$AN$2:$AN$188,MATCH($A91,Backlog!$A$2:$A$188,0)))</f>
        <v/>
      </c>
    </row>
    <row r="92" spans="1:10" ht="26.1" customHeight="1">
      <c r="A92" s="38" t="s">
        <v>152</v>
      </c>
      <c r="B92" s="38" t="str">
        <f>IF(INDEX(Backlog!$B$2:$B$188,MATCH($A92,Backlog!$A$2:$A$188,0))="","",INDEX(Backlog!$B$2:$B$188,MATCH($A92,Backlog!$A$2:$A$188,0)))</f>
        <v>M2</v>
      </c>
      <c r="C92" s="38" t="str">
        <f>IF(INDEX(Backlog!$C$2:$C$188,MATCH($A92,Backlog!$A$2:$A$188,0))="","",INDEX(Backlog!$C$2:$C$188,MATCH($A92,Backlog!$A$2:$A$188,0)))</f>
        <v>P5</v>
      </c>
      <c r="D92" s="38" t="str">
        <f>IF(INDEX(Backlog!$L$2:$L$188,MATCH($A92,Backlog!$A$2:$A$188,0))="","",INDEX(Backlog!$L$2:$L$188,MATCH($A92,Backlog!$A$2:$A$188,0)))</f>
        <v>Worker 1</v>
      </c>
      <c r="E92" s="70" t="str">
        <f>IF(INDEX(Backlog!$K$2:$K$188,MATCH($A92,Backlog!$A$2:$A$188,0))="","",INDEX(Backlog!$K$2:$K$188,MATCH($A92,Backlog!$A$2:$A$188,0)))</f>
        <v>Not Started</v>
      </c>
      <c r="F92" s="38">
        <f>IF(ISNUMBER(INDEX(Backlog!$AT$2:$AT$188,MATCH($A92,Backlog!$A$2:$A$188,0))),INDEX(Backlog!$AT$2:$AT$188,MATCH($A92,Backlog!$A$2:$A$188,0)),"")</f>
        <v>2.3250000000000002</v>
      </c>
      <c r="G92" s="38" t="str">
        <f>IF(INDEX(Backlog!$M$2:$M$188,MATCH($A92,Backlog!$A$2:$A$188,0))="","",INDEX(Backlog!$M$2:$M$188,MATCH($A92,Backlog!$A$2:$A$188,0)))</f>
        <v>T-087; T-088; T-251; T-252</v>
      </c>
      <c r="H92" s="38" t="str">
        <f>IF(INDEX(Backlog!$N$2:$N$188,MATCH($A92,Backlog!$A$2:$A$188,0))="","",INDEX(Backlog!$N$2:$N$188,MATCH($A92,Backlog!$A$2:$A$188,0)))</f>
        <v>T-122; T-128; T-129; T-130; T-135; T-183; T-184; T-185; T-187; T-195; T-198; T-221; T-230</v>
      </c>
      <c r="I92" s="38" t="str">
        <f>IF(INDEX(Backlog!$T$2:$T$188,MATCH($A92,Backlog!$A$2:$A$188,0))="","",INDEX(Backlog!$T$2:$T$188,MATCH($A92,Backlog!$A$2:$A$188,0)))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T-087/T-088 canonical migration authority available; establish FORCE RLS guar...</v>
      </c>
      <c r="J92" s="32" t="str">
        <f>IF(INDEX(Backlog!$AN$2:$AN$188,MATCH($A92,Backlog!$A$2:$A$188,0))="","",INDEX(Backlog!$AN$2:$AN$188,MATCH($A92,Backlog!$A$2:$A$188,0)))</f>
        <v/>
      </c>
    </row>
    <row r="93" spans="1:10" ht="26.1" customHeight="1">
      <c r="A93" s="38" t="s">
        <v>153</v>
      </c>
      <c r="B93" s="38" t="str">
        <f>IF(INDEX(Backlog!$B$2:$B$188,MATCH($A93,Backlog!$A$2:$A$188,0))="","",INDEX(Backlog!$B$2:$B$188,MATCH($A93,Backlog!$A$2:$A$188,0)))</f>
        <v>M2</v>
      </c>
      <c r="C93" s="38" t="str">
        <f>IF(INDEX(Backlog!$C$2:$C$188,MATCH($A93,Backlog!$A$2:$A$188,0))="","",INDEX(Backlog!$C$2:$C$188,MATCH($A93,Backlog!$A$2:$A$188,0)))</f>
        <v>P5</v>
      </c>
      <c r="D93" s="38" t="str">
        <f>IF(INDEX(Backlog!$L$2:$L$188,MATCH($A93,Backlog!$A$2:$A$188,0))="","",INDEX(Backlog!$L$2:$L$188,MATCH($A93,Backlog!$A$2:$A$188,0)))</f>
        <v>Worker 1</v>
      </c>
      <c r="E93" s="70" t="str">
        <f>IF(INDEX(Backlog!$K$2:$K$188,MATCH($A93,Backlog!$A$2:$A$188,0))="","",INDEX(Backlog!$K$2:$K$188,MATCH($A93,Backlog!$A$2:$A$188,0)))</f>
        <v>Not Started</v>
      </c>
      <c r="F93" s="38" t="str">
        <f>IF(ISNUMBER(INDEX(Backlog!$AT$2:$AT$188,MATCH($A93,Backlog!$A$2:$A$188,0))),INDEX(Backlog!$AT$2:$AT$188,MATCH($A93,Backlog!$A$2:$A$188,0)),"")</f>
        <v/>
      </c>
      <c r="G93" s="38" t="str">
        <f>IF(INDEX(Backlog!$M$2:$M$188,MATCH($A93,Backlog!$A$2:$A$188,0))="","",INDEX(Backlog!$M$2:$M$188,MATCH($A93,Backlog!$A$2:$A$188,0)))</f>
        <v/>
      </c>
      <c r="H93" s="38" t="str">
        <f>IF(INDEX(Backlog!$N$2:$N$188,MATCH($A93,Backlog!$A$2:$A$188,0))="","",INDEX(Backlog!$N$2:$N$188,MATCH($A93,Backlog!$A$2:$A$188,0)))</f>
        <v>T-122; T-200</v>
      </c>
      <c r="I93" s="38" t="str">
        <f>IF(INDEX(Backlog!$T$2:$T$188,MATCH($A93,Backlog!$A$2:$A$188,0))="","",INDEX(Backlog!$T$2:$T$188,MATCH($A93,Backlog!$A$2:$A$188,0)))</f>
        <v>Use the accepted M1 regression baseline; require empty index and clean owned paths, preserving unrelated user work. Then: Release 1 dependency order</v>
      </c>
      <c r="J93" s="32" t="str">
        <f>IF(INDEX(Backlog!$AN$2:$AN$188,MATCH($A93,Backlog!$A$2:$A$188,0))="","",INDEX(Backlog!$AN$2:$AN$188,MATCH($A93,Backlog!$A$2:$A$188,0)))</f>
        <v/>
      </c>
    </row>
    <row r="94" spans="1:10" ht="26.1" customHeight="1">
      <c r="A94" s="38" t="s">
        <v>154</v>
      </c>
      <c r="B94" s="38" t="str">
        <f>IF(INDEX(Backlog!$B$2:$B$188,MATCH($A94,Backlog!$A$2:$A$188,0))="","",INDEX(Backlog!$B$2:$B$188,MATCH($A94,Backlog!$A$2:$A$188,0)))</f>
        <v>M2</v>
      </c>
      <c r="C94" s="38" t="str">
        <f>IF(INDEX(Backlog!$C$2:$C$188,MATCH($A94,Backlog!$A$2:$A$188,0))="","",INDEX(Backlog!$C$2:$C$188,MATCH($A94,Backlog!$A$2:$A$188,0)))</f>
        <v>P5</v>
      </c>
      <c r="D94" s="38" t="str">
        <f>IF(INDEX(Backlog!$L$2:$L$188,MATCH($A94,Backlog!$A$2:$A$188,0))="","",INDEX(Backlog!$L$2:$L$188,MATCH($A94,Backlog!$A$2:$A$188,0)))</f>
        <v>Worker 1</v>
      </c>
      <c r="E94" s="70" t="str">
        <f>IF(INDEX(Backlog!$K$2:$K$188,MATCH($A94,Backlog!$A$2:$A$188,0))="","",INDEX(Backlog!$K$2:$K$188,MATCH($A94,Backlog!$A$2:$A$188,0)))</f>
        <v>Not Started</v>
      </c>
      <c r="F94" s="38">
        <f>IF(ISNUMBER(INDEX(Backlog!$AT$2:$AT$188,MATCH($A94,Backlog!$A$2:$A$188,0))),INDEX(Backlog!$AT$2:$AT$188,MATCH($A94,Backlog!$A$2:$A$188,0)),"")</f>
        <v>0.89999999999999991</v>
      </c>
      <c r="G94" s="38" t="str">
        <f>IF(INDEX(Backlog!$M$2:$M$188,MATCH($A94,Backlog!$A$2:$A$188,0))="","",INDEX(Backlog!$M$2:$M$188,MATCH($A94,Backlog!$A$2:$A$188,0)))</f>
        <v>T-087; T-089; T-090; T-095; T-099</v>
      </c>
      <c r="H94" s="38" t="str">
        <f>IF(INDEX(Backlog!$N$2:$N$188,MATCH($A94,Backlog!$A$2:$A$188,0))="","",INDEX(Backlog!$N$2:$N$188,MATCH($A94,Backlog!$A$2:$A$188,0)))</f>
        <v>T-122; T-128; T-129; T-130; T-135; T-183; T-184; T-185; T-187; T-195; T-198; T-221; T-230</v>
      </c>
      <c r="I94" s="38" t="str">
        <f>IF(INDEX(Backlog!$T$2:$T$188,MATCH($A94,Backlog!$A$2:$A$188,0))="","",INDEX(Backlog!$T$2:$T$188,MATCH($A94,Backlog!$A$2:$A$188,0)))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 + T-089/T-090 + T-095/T-099 canonical Release 1 tables available; establish t...</v>
      </c>
      <c r="J94" s="32" t="str">
        <f>IF(INDEX(Backlog!$AN$2:$AN$188,MATCH($A94,Backlog!$A$2:$A$188,0))="","",INDEX(Backlog!$AN$2:$AN$188,MATCH($A94,Backlog!$A$2:$A$188,0)))</f>
        <v/>
      </c>
    </row>
    <row r="95" spans="1:10" ht="26.1" customHeight="1">
      <c r="A95" s="38" t="s">
        <v>155</v>
      </c>
      <c r="B95" s="38" t="str">
        <f>IF(INDEX(Backlog!$B$2:$B$188,MATCH($A95,Backlog!$A$2:$A$188,0))="","",INDEX(Backlog!$B$2:$B$188,MATCH($A95,Backlog!$A$2:$A$188,0)))</f>
        <v>M2</v>
      </c>
      <c r="C95" s="38" t="str">
        <f>IF(INDEX(Backlog!$C$2:$C$188,MATCH($A95,Backlog!$A$2:$A$188,0))="","",INDEX(Backlog!$C$2:$C$188,MATCH($A95,Backlog!$A$2:$A$188,0)))</f>
        <v>P5</v>
      </c>
      <c r="D95" s="38" t="str">
        <f>IF(INDEX(Backlog!$L$2:$L$188,MATCH($A95,Backlog!$A$2:$A$188,0))="","",INDEX(Backlog!$L$2:$L$188,MATCH($A95,Backlog!$A$2:$A$188,0)))</f>
        <v>Worker 1</v>
      </c>
      <c r="E95" s="70" t="str">
        <f>IF(INDEX(Backlog!$K$2:$K$188,MATCH($A95,Backlog!$A$2:$A$188,0))="","",INDEX(Backlog!$K$2:$K$188,MATCH($A95,Backlog!$A$2:$A$188,0)))</f>
        <v>Not Started</v>
      </c>
      <c r="F95" s="38">
        <f>IF(ISNUMBER(INDEX(Backlog!$AT$2:$AT$188,MATCH($A95,Backlog!$A$2:$A$188,0))),INDEX(Backlog!$AT$2:$AT$188,MATCH($A95,Backlog!$A$2:$A$188,0)),"")</f>
        <v>0.77500000000000002</v>
      </c>
      <c r="G95" s="38" t="str">
        <f>IF(INDEX(Backlog!$M$2:$M$188,MATCH($A95,Backlog!$A$2:$A$188,0))="","",INDEX(Backlog!$M$2:$M$188,MATCH($A95,Backlog!$A$2:$A$188,0)))</f>
        <v/>
      </c>
      <c r="H95" s="38" t="str">
        <f>IF(INDEX(Backlog!$N$2:$N$188,MATCH($A95,Backlog!$A$2:$A$188,0))="","",INDEX(Backlog!$N$2:$N$188,MATCH($A95,Backlog!$A$2:$A$188,0)))</f>
        <v>T-150</v>
      </c>
      <c r="I95" s="38" t="str">
        <f>IF(INDEX(Backlog!$T$2:$T$188,MATCH($A95,Backlog!$A$2:$A$188,0))="","",INDEX(Backlog!$T$2:$T$188,MATCH($A95,Backlog!$A$2:$A$188,0)))</f>
        <v>Use the accepted M1 regression baseline; require empty index and clean owned paths, preserving unrelated user work. Then: Release 1 dependency order</v>
      </c>
      <c r="J95" s="32" t="str">
        <f>IF(INDEX(Backlog!$AN$2:$AN$188,MATCH($A95,Backlog!$A$2:$A$188,0))="","",INDEX(Backlog!$AN$2:$AN$188,MATCH($A95,Backlog!$A$2:$A$188,0)))</f>
        <v/>
      </c>
    </row>
    <row r="96" spans="1:10" ht="26.1" customHeight="1">
      <c r="A96" s="38" t="s">
        <v>156</v>
      </c>
      <c r="B96" s="38" t="str">
        <f>IF(INDEX(Backlog!$B$2:$B$188,MATCH($A96,Backlog!$A$2:$A$188,0))="","",INDEX(Backlog!$B$2:$B$188,MATCH($A96,Backlog!$A$2:$A$188,0)))</f>
        <v>M2</v>
      </c>
      <c r="C96" s="38" t="str">
        <f>IF(INDEX(Backlog!$C$2:$C$188,MATCH($A96,Backlog!$A$2:$A$188,0))="","",INDEX(Backlog!$C$2:$C$188,MATCH($A96,Backlog!$A$2:$A$188,0)))</f>
        <v>P5</v>
      </c>
      <c r="D96" s="38" t="str">
        <f>IF(INDEX(Backlog!$L$2:$L$188,MATCH($A96,Backlog!$A$2:$A$188,0))="","",INDEX(Backlog!$L$2:$L$188,MATCH($A96,Backlog!$A$2:$A$188,0)))</f>
        <v>Worker 1</v>
      </c>
      <c r="E96" s="70" t="str">
        <f>IF(INDEX(Backlog!$K$2:$K$188,MATCH($A96,Backlog!$A$2:$A$188,0))="","",INDEX(Backlog!$K$2:$K$188,MATCH($A96,Backlog!$A$2:$A$188,0)))</f>
        <v>Not Started</v>
      </c>
      <c r="F96" s="38">
        <f>IF(ISNUMBER(INDEX(Backlog!$AT$2:$AT$188,MATCH($A96,Backlog!$A$2:$A$188,0))),INDEX(Backlog!$AT$2:$AT$188,MATCH($A96,Backlog!$A$2:$A$188,0)),"")</f>
        <v>1.7999999999999998</v>
      </c>
      <c r="G96" s="38" t="str">
        <f>IF(INDEX(Backlog!$M$2:$M$188,MATCH($A96,Backlog!$A$2:$A$188,0))="","",INDEX(Backlog!$M$2:$M$188,MATCH($A96,Backlog!$A$2:$A$188,0)))</f>
        <v/>
      </c>
      <c r="H96" s="38" t="str">
        <f>IF(INDEX(Backlog!$N$2:$N$188,MATCH($A96,Backlog!$A$2:$A$188,0))="","",INDEX(Backlog!$N$2:$N$188,MATCH($A96,Backlog!$A$2:$A$188,0)))</f>
        <v>T-121; T-197; T-198; T-200</v>
      </c>
      <c r="I96" s="38" t="str">
        <f>IF(INDEX(Backlog!$T$2:$T$188,MATCH($A96,Backlog!$A$2:$A$188,0))="","",INDEX(Backlog!$T$2:$T$188,MATCH($A96,Backlog!$A$2:$A$188,0)))</f>
        <v>Use the accepted M1 regression baseline; require empty index and clean owned paths, preserving unrelated user work. Then: Release 1 dependency order</v>
      </c>
      <c r="J96" s="32" t="str">
        <f>IF(INDEX(Backlog!$AN$2:$AN$188,MATCH($A96,Backlog!$A$2:$A$188,0))="","",INDEX(Backlog!$AN$2:$AN$188,MATCH($A96,Backlog!$A$2:$A$188,0)))</f>
        <v/>
      </c>
    </row>
    <row r="97" spans="1:10" ht="26.1" customHeight="1">
      <c r="A97" s="38" t="s">
        <v>157</v>
      </c>
      <c r="B97" s="38" t="str">
        <f>IF(INDEX(Backlog!$B$2:$B$188,MATCH($A97,Backlog!$A$2:$A$188,0))="","",INDEX(Backlog!$B$2:$B$188,MATCH($A97,Backlog!$A$2:$A$188,0)))</f>
        <v>M2</v>
      </c>
      <c r="C97" s="38" t="str">
        <f>IF(INDEX(Backlog!$C$2:$C$188,MATCH($A97,Backlog!$A$2:$A$188,0))="","",INDEX(Backlog!$C$2:$C$188,MATCH($A97,Backlog!$A$2:$A$188,0)))</f>
        <v>P5</v>
      </c>
      <c r="D97" s="38" t="str">
        <f>IF(INDEX(Backlog!$L$2:$L$188,MATCH($A97,Backlog!$A$2:$A$188,0))="","",INDEX(Backlog!$L$2:$L$188,MATCH($A97,Backlog!$A$2:$A$188,0)))</f>
        <v>Worker 2</v>
      </c>
      <c r="E97" s="70" t="str">
        <f>IF(INDEX(Backlog!$K$2:$K$188,MATCH($A97,Backlog!$A$2:$A$188,0))="","",INDEX(Backlog!$K$2:$K$188,MATCH($A97,Backlog!$A$2:$A$188,0)))</f>
        <v>Not Started</v>
      </c>
      <c r="F97" s="38">
        <f>IF(ISNUMBER(INDEX(Backlog!$AT$2:$AT$188,MATCH($A97,Backlog!$A$2:$A$188,0))),INDEX(Backlog!$AT$2:$AT$188,MATCH($A97,Backlog!$A$2:$A$188,0)),"")</f>
        <v>2</v>
      </c>
      <c r="G97" s="38" t="str">
        <f>IF(INDEX(Backlog!$M$2:$M$188,MATCH($A97,Backlog!$A$2:$A$188,0))="","",INDEX(Backlog!$M$2:$M$188,MATCH($A97,Backlog!$A$2:$A$188,0)))</f>
        <v/>
      </c>
      <c r="H97" s="38" t="str">
        <f>IF(INDEX(Backlog!$N$2:$N$188,MATCH($A97,Backlog!$A$2:$A$188,0))="","",INDEX(Backlog!$N$2:$N$188,MATCH($A97,Backlog!$A$2:$A$188,0)))</f>
        <v/>
      </c>
      <c r="I97" s="38" t="str">
        <f>IF(INDEX(Backlog!$T$2:$T$188,MATCH($A97,Backlog!$A$2:$A$188,0))="","",INDEX(Backlog!$T$2:$T$188,MATCH($A97,Backlog!$A$2:$A$188,0)))</f>
        <v>Use the accepted M1 regression baseline; require empty index and clean owned paths, preserving unrelated user work. Then: Release 1 dependency order</v>
      </c>
      <c r="J97" s="32" t="str">
        <f>IF(INDEX(Backlog!$AN$2:$AN$188,MATCH($A97,Backlog!$A$2:$A$188,0))="","",INDEX(Backlog!$AN$2:$AN$188,MATCH($A97,Backlog!$A$2:$A$188,0)))</f>
        <v/>
      </c>
    </row>
    <row r="98" spans="1:10" ht="26.1" customHeight="1">
      <c r="A98" s="38" t="s">
        <v>158</v>
      </c>
      <c r="B98" s="38" t="str">
        <f>IF(INDEX(Backlog!$B$2:$B$188,MATCH($A98,Backlog!$A$2:$A$188,0))="","",INDEX(Backlog!$B$2:$B$188,MATCH($A98,Backlog!$A$2:$A$188,0)))</f>
        <v>M2</v>
      </c>
      <c r="C98" s="38" t="str">
        <f>IF(INDEX(Backlog!$C$2:$C$188,MATCH($A98,Backlog!$A$2:$A$188,0))="","",INDEX(Backlog!$C$2:$C$188,MATCH($A98,Backlog!$A$2:$A$188,0)))</f>
        <v>P5</v>
      </c>
      <c r="D98" s="38" t="str">
        <f>IF(INDEX(Backlog!$L$2:$L$188,MATCH($A98,Backlog!$A$2:$A$188,0))="","",INDEX(Backlog!$L$2:$L$188,MATCH($A98,Backlog!$A$2:$A$188,0)))</f>
        <v>Worker 1</v>
      </c>
      <c r="E98" s="70" t="str">
        <f>IF(INDEX(Backlog!$K$2:$K$188,MATCH($A98,Backlog!$A$2:$A$188,0))="","",INDEX(Backlog!$K$2:$K$188,MATCH($A98,Backlog!$A$2:$A$188,0)))</f>
        <v>Not Started</v>
      </c>
      <c r="F98" s="38" t="str">
        <f>IF(ISNUMBER(INDEX(Backlog!$AT$2:$AT$188,MATCH($A98,Backlog!$A$2:$A$188,0))),INDEX(Backlog!$AT$2:$AT$188,MATCH($A98,Backlog!$A$2:$A$188,0)),"")</f>
        <v/>
      </c>
      <c r="G98" s="38" t="str">
        <f>IF(INDEX(Backlog!$M$2:$M$188,MATCH($A98,Backlog!$A$2:$A$188,0))="","",INDEX(Backlog!$M$2:$M$188,MATCH($A98,Backlog!$A$2:$A$188,0)))</f>
        <v>T-119</v>
      </c>
      <c r="H98" s="38" t="str">
        <f>IF(INDEX(Backlog!$N$2:$N$188,MATCH($A98,Backlog!$A$2:$A$188,0))="","",INDEX(Backlog!$N$2:$N$188,MATCH($A98,Backlog!$A$2:$A$188,0)))</f>
        <v>T-127</v>
      </c>
      <c r="I98" s="38" t="str">
        <f>IF(INDEX(Backlog!$T$2:$T$188,MATCH($A98,Backlog!$A$2:$A$188,0))="","",INDEX(Backlog!$T$2:$T$188,MATCH($A98,Backlog!$A$2:$A$188,0)))</f>
        <v>Use the accepted M1 regression baseline; require empty index and clean owned paths, preserving unrelated user work. Then: T-119 role catalogue/enforcement + licence authority.</v>
      </c>
      <c r="J98" s="32" t="str">
        <f>IF(INDEX(Backlog!$AN$2:$AN$188,MATCH($A98,Backlog!$A$2:$A$188,0))="","",INDEX(Backlog!$AN$2:$AN$188,MATCH($A98,Backlog!$A$2:$A$188,0)))</f>
        <v/>
      </c>
    </row>
    <row r="99" spans="1:10" ht="26.1" customHeight="1">
      <c r="A99" s="38" t="s">
        <v>159</v>
      </c>
      <c r="B99" s="38" t="str">
        <f>IF(INDEX(Backlog!$B$2:$B$188,MATCH($A99,Backlog!$A$2:$A$188,0))="","",INDEX(Backlog!$B$2:$B$188,MATCH($A99,Backlog!$A$2:$A$188,0)))</f>
        <v>M2</v>
      </c>
      <c r="C99" s="38" t="str">
        <f>IF(INDEX(Backlog!$C$2:$C$188,MATCH($A99,Backlog!$A$2:$A$188,0))="","",INDEX(Backlog!$C$2:$C$188,MATCH($A99,Backlog!$A$2:$A$188,0)))</f>
        <v>P5</v>
      </c>
      <c r="D99" s="38" t="str">
        <f>IF(INDEX(Backlog!$L$2:$L$188,MATCH($A99,Backlog!$A$2:$A$188,0))="","",INDEX(Backlog!$L$2:$L$188,MATCH($A99,Backlog!$A$2:$A$188,0)))</f>
        <v>Worker 1</v>
      </c>
      <c r="E99" s="70" t="str">
        <f>IF(INDEX(Backlog!$K$2:$K$188,MATCH($A99,Backlog!$A$2:$A$188,0))="","",INDEX(Backlog!$K$2:$K$188,MATCH($A99,Backlog!$A$2:$A$188,0)))</f>
        <v>Not Started</v>
      </c>
      <c r="F99" s="38" t="str">
        <f>IF(ISNUMBER(INDEX(Backlog!$AT$2:$AT$188,MATCH($A99,Backlog!$A$2:$A$188,0))),INDEX(Backlog!$AT$2:$AT$188,MATCH($A99,Backlog!$A$2:$A$188,0)),"")</f>
        <v/>
      </c>
      <c r="G99" s="38" t="str">
        <f>IF(INDEX(Backlog!$M$2:$M$188,MATCH($A99,Backlog!$A$2:$A$188,0))="","",INDEX(Backlog!$M$2:$M$188,MATCH($A99,Backlog!$A$2:$A$188,0)))</f>
        <v/>
      </c>
      <c r="H99" s="38" t="str">
        <f>IF(INDEX(Backlog!$N$2:$N$188,MATCH($A99,Backlog!$A$2:$A$188,0))="","",INDEX(Backlog!$N$2:$N$188,MATCH($A99,Backlog!$A$2:$A$188,0)))</f>
        <v>T-122; T-150</v>
      </c>
      <c r="I99" s="38" t="str">
        <f>IF(INDEX(Backlog!$T$2:$T$188,MATCH($A99,Backlog!$A$2:$A$188,0))="","",INDEX(Backlog!$T$2:$T$188,MATCH($A99,Backlog!$A$2:$A$188,0)))</f>
        <v>Use the accepted M1 regression baseline; require empty index and clean owned paths, preserving unrelated user work. Then: Release 1 dependency order</v>
      </c>
      <c r="J99" s="32" t="str">
        <f>IF(INDEX(Backlog!$AN$2:$AN$188,MATCH($A99,Backlog!$A$2:$A$188,0))="","",INDEX(Backlog!$AN$2:$AN$188,MATCH($A99,Backlog!$A$2:$A$188,0)))</f>
        <v/>
      </c>
    </row>
    <row r="100" spans="1:10" ht="26.1" customHeight="1">
      <c r="A100" s="38" t="s">
        <v>160</v>
      </c>
      <c r="B100" s="38" t="str">
        <f>IF(INDEX(Backlog!$B$2:$B$188,MATCH($A100,Backlog!$A$2:$A$188,0))="","",INDEX(Backlog!$B$2:$B$188,MATCH($A100,Backlog!$A$2:$A$188,0)))</f>
        <v>M2</v>
      </c>
      <c r="C100" s="38" t="str">
        <f>IF(INDEX(Backlog!$C$2:$C$188,MATCH($A100,Backlog!$A$2:$A$188,0))="","",INDEX(Backlog!$C$2:$C$188,MATCH($A100,Backlog!$A$2:$A$188,0)))</f>
        <v>P5</v>
      </c>
      <c r="D100" s="38" t="str">
        <f>IF(INDEX(Backlog!$L$2:$L$188,MATCH($A100,Backlog!$A$2:$A$188,0))="","",INDEX(Backlog!$L$2:$L$188,MATCH($A100,Backlog!$A$2:$A$188,0)))</f>
        <v>Worker 1</v>
      </c>
      <c r="E100" s="70" t="str">
        <f>IF(INDEX(Backlog!$K$2:$K$188,MATCH($A100,Backlog!$A$2:$A$188,0))="","",INDEX(Backlog!$K$2:$K$188,MATCH($A100,Backlog!$A$2:$A$188,0)))</f>
        <v>Not Started</v>
      </c>
      <c r="F100" s="38">
        <f>IF(ISNUMBER(INDEX(Backlog!$AT$2:$AT$188,MATCH($A100,Backlog!$A$2:$A$188,0))),INDEX(Backlog!$AT$2:$AT$188,MATCH($A100,Backlog!$A$2:$A$188,0)),"")</f>
        <v>3.2</v>
      </c>
      <c r="G100" s="38" t="str">
        <f>IF(INDEX(Backlog!$M$2:$M$188,MATCH($A100,Backlog!$A$2:$A$188,0))="","",INDEX(Backlog!$M$2:$M$188,MATCH($A100,Backlog!$A$2:$A$188,0)))</f>
        <v/>
      </c>
      <c r="H100" s="38" t="str">
        <f>IF(INDEX(Backlog!$N$2:$N$188,MATCH($A100,Backlog!$A$2:$A$188,0))="","",INDEX(Backlog!$N$2:$N$188,MATCH($A100,Backlog!$A$2:$A$188,0)))</f>
        <v>T-150; T-199</v>
      </c>
      <c r="I100" s="38" t="str">
        <f>IF(INDEX(Backlog!$T$2:$T$188,MATCH($A100,Backlog!$A$2:$A$188,0))="","",INDEX(Backlog!$T$2:$T$188,MATCH($A100,Backlog!$A$2:$A$188,0)))</f>
        <v>Use the accepted M1 regression baseline; require empty index and clean owned paths, preserving unrelated user work. Then: Release 1 dependency order</v>
      </c>
      <c r="J100" s="32" t="str">
        <f>IF(INDEX(Backlog!$AN$2:$AN$188,MATCH($A100,Backlog!$A$2:$A$188,0))="","",INDEX(Backlog!$AN$2:$AN$188,MATCH($A100,Backlog!$A$2:$A$188,0)))</f>
        <v/>
      </c>
    </row>
    <row r="101" spans="1:10" ht="26.1" customHeight="1">
      <c r="A101" s="38" t="s">
        <v>161</v>
      </c>
      <c r="B101" s="38" t="str">
        <f>IF(INDEX(Backlog!$B$2:$B$188,MATCH($A101,Backlog!$A$2:$A$188,0))="","",INDEX(Backlog!$B$2:$B$188,MATCH($A101,Backlog!$A$2:$A$188,0)))</f>
        <v>M2</v>
      </c>
      <c r="C101" s="38" t="str">
        <f>IF(INDEX(Backlog!$C$2:$C$188,MATCH($A101,Backlog!$A$2:$A$188,0))="","",INDEX(Backlog!$C$2:$C$188,MATCH($A101,Backlog!$A$2:$A$188,0)))</f>
        <v>P5</v>
      </c>
      <c r="D101" s="38" t="str">
        <f>IF(INDEX(Backlog!$L$2:$L$188,MATCH($A101,Backlog!$A$2:$A$188,0))="","",INDEX(Backlog!$L$2:$L$188,MATCH($A101,Backlog!$A$2:$A$188,0)))</f>
        <v>Worker 1</v>
      </c>
      <c r="E101" s="70" t="str">
        <f>IF(INDEX(Backlog!$K$2:$K$188,MATCH($A101,Backlog!$A$2:$A$188,0))="","",INDEX(Backlog!$K$2:$K$188,MATCH($A101,Backlog!$A$2:$A$188,0)))</f>
        <v>Not Started</v>
      </c>
      <c r="F101" s="38">
        <f>IF(ISNUMBER(INDEX(Backlog!$AT$2:$AT$188,MATCH($A101,Backlog!$A$2:$A$188,0))),INDEX(Backlog!$AT$2:$AT$188,MATCH($A101,Backlog!$A$2:$A$188,0)),"")</f>
        <v>3.2</v>
      </c>
      <c r="G101" s="38" t="str">
        <f>IF(INDEX(Backlog!$M$2:$M$188,MATCH($A101,Backlog!$A$2:$A$188,0))="","",INDEX(Backlog!$M$2:$M$188,MATCH($A101,Backlog!$A$2:$A$188,0)))</f>
        <v>T-106; T-107</v>
      </c>
      <c r="H101" s="38" t="str">
        <f>IF(INDEX(Backlog!$N$2:$N$188,MATCH($A101,Backlog!$A$2:$A$188,0))="","",INDEX(Backlog!$N$2:$N$188,MATCH($A101,Backlog!$A$2:$A$188,0)))</f>
        <v>T-150; T-247</v>
      </c>
      <c r="I101" s="38" t="str">
        <f>IF(INDEX(Backlog!$T$2:$T$188,MATCH($A101,Backlog!$A$2:$A$188,0))="","",INDEX(Backlog!$T$2:$T$188,MATCH($A101,Backlog!$A$2:$A$188,0)))</f>
        <v>Use the accepted M1 regression baseline; require empty index and clean owned paths, preserving unrelated user work. Then: Release 1 dependency order</v>
      </c>
      <c r="J101" s="32" t="str">
        <f>IF(INDEX(Backlog!$AN$2:$AN$188,MATCH($A101,Backlog!$A$2:$A$188,0))="","",INDEX(Backlog!$AN$2:$AN$188,MATCH($A101,Backlog!$A$2:$A$188,0)))</f>
        <v/>
      </c>
    </row>
    <row r="102" spans="1:10" ht="26.1" customHeight="1">
      <c r="A102" s="38" t="s">
        <v>162</v>
      </c>
      <c r="B102" s="38" t="str">
        <f>IF(INDEX(Backlog!$B$2:$B$188,MATCH($A102,Backlog!$A$2:$A$188,0))="","",INDEX(Backlog!$B$2:$B$188,MATCH($A102,Backlog!$A$2:$A$188,0)))</f>
        <v>M2</v>
      </c>
      <c r="C102" s="38" t="str">
        <f>IF(INDEX(Backlog!$C$2:$C$188,MATCH($A102,Backlog!$A$2:$A$188,0))="","",INDEX(Backlog!$C$2:$C$188,MATCH($A102,Backlog!$A$2:$A$188,0)))</f>
        <v>P5</v>
      </c>
      <c r="D102" s="38" t="str">
        <f>IF(INDEX(Backlog!$L$2:$L$188,MATCH($A102,Backlog!$A$2:$A$188,0))="","",INDEX(Backlog!$L$2:$L$188,MATCH($A102,Backlog!$A$2:$A$188,0)))</f>
        <v>Worker 1</v>
      </c>
      <c r="E102" s="70" t="str">
        <f>IF(INDEX(Backlog!$K$2:$K$188,MATCH($A102,Backlog!$A$2:$A$188,0))="","",INDEX(Backlog!$K$2:$K$188,MATCH($A102,Backlog!$A$2:$A$188,0)))</f>
        <v>Not Started</v>
      </c>
      <c r="F102" s="38">
        <f>IF(ISNUMBER(INDEX(Backlog!$AT$2:$AT$188,MATCH($A102,Backlog!$A$2:$A$188,0))),INDEX(Backlog!$AT$2:$AT$188,MATCH($A102,Backlog!$A$2:$A$188,0)),"")</f>
        <v>0.9</v>
      </c>
      <c r="G102" s="38" t="str">
        <f>IF(INDEX(Backlog!$M$2:$M$188,MATCH($A102,Backlog!$A$2:$A$188,0))="","",INDEX(Backlog!$M$2:$M$188,MATCH($A102,Backlog!$A$2:$A$188,0)))</f>
        <v/>
      </c>
      <c r="H102" s="38" t="str">
        <f>IF(INDEX(Backlog!$N$2:$N$188,MATCH($A102,Backlog!$A$2:$A$188,0))="","",INDEX(Backlog!$N$2:$N$188,MATCH($A102,Backlog!$A$2:$A$188,0)))</f>
        <v>T-150</v>
      </c>
      <c r="I102" s="38" t="str">
        <f>IF(INDEX(Backlog!$T$2:$T$188,MATCH($A102,Backlog!$A$2:$A$188,0))="","",INDEX(Backlog!$T$2:$T$188,MATCH($A102,Backlog!$A$2:$A$188,0)))</f>
        <v>Use the accepted M1 regression baseline; require empty index and clean owned paths, preserving unrelated user work. Then: Release 1 dependency order</v>
      </c>
      <c r="J102" s="32" t="str">
        <f>IF(INDEX(Backlog!$AN$2:$AN$188,MATCH($A102,Backlog!$A$2:$A$188,0))="","",INDEX(Backlog!$AN$2:$AN$188,MATCH($A102,Backlog!$A$2:$A$188,0)))</f>
        <v/>
      </c>
    </row>
    <row r="103" spans="1:10" ht="26.1" customHeight="1">
      <c r="A103" s="38" t="s">
        <v>163</v>
      </c>
      <c r="B103" s="38" t="str">
        <f>IF(INDEX(Backlog!$B$2:$B$188,MATCH($A103,Backlog!$A$2:$A$188,0))="","",INDEX(Backlog!$B$2:$B$188,MATCH($A103,Backlog!$A$2:$A$188,0)))</f>
        <v>M2</v>
      </c>
      <c r="C103" s="38" t="str">
        <f>IF(INDEX(Backlog!$C$2:$C$188,MATCH($A103,Backlog!$A$2:$A$188,0))="","",INDEX(Backlog!$C$2:$C$188,MATCH($A103,Backlog!$A$2:$A$188,0)))</f>
        <v>P5</v>
      </c>
      <c r="D103" s="38" t="str">
        <f>IF(INDEX(Backlog!$L$2:$L$188,MATCH($A103,Backlog!$A$2:$A$188,0))="","",INDEX(Backlog!$L$2:$L$188,MATCH($A103,Backlog!$A$2:$A$188,0)))</f>
        <v>Worker 1</v>
      </c>
      <c r="E103" s="70" t="str">
        <f>IF(INDEX(Backlog!$K$2:$K$188,MATCH($A103,Backlog!$A$2:$A$188,0))="","",INDEX(Backlog!$K$2:$K$188,MATCH($A103,Backlog!$A$2:$A$188,0)))</f>
        <v>Not Started</v>
      </c>
      <c r="F103" s="38">
        <f>IF(ISNUMBER(INDEX(Backlog!$AT$2:$AT$188,MATCH($A103,Backlog!$A$2:$A$188,0))),INDEX(Backlog!$AT$2:$AT$188,MATCH($A103,Backlog!$A$2:$A$188,0)),"")</f>
        <v>4.08</v>
      </c>
      <c r="G103" s="38" t="str">
        <f>IF(INDEX(Backlog!$M$2:$M$188,MATCH($A103,Backlog!$A$2:$A$188,0))="","",INDEX(Backlog!$M$2:$M$188,MATCH($A103,Backlog!$A$2:$A$188,0)))</f>
        <v>T-115; T-123; T-124; T-125; T-126; T-205; T-207; T-212; T-215; T-222; T-223; T-226; T-227; T-247; T-250; T-251; T-252; T-253; T-254; T-255; T-256; T-257; T-258; T-259; T-273; T-274</v>
      </c>
      <c r="H103" s="38" t="str">
        <f>IF(INDEX(Backlog!$N$2:$N$188,MATCH($A103,Backlog!$A$2:$A$188,0))="","",INDEX(Backlog!$N$2:$N$188,MATCH($A103,Backlog!$A$2:$A$188,0)))</f>
        <v/>
      </c>
      <c r="I103" s="38" t="str">
        <f>IF(INDEX(Backlog!$T$2:$T$188,MATCH($A103,Backlog!$A$2:$A$188,0))="","",INDEX(Backlog!$T$2:$T$188,MATCH($A103,Backlog!$A$2:$A$188,0)))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T-192 + T-148 exact route/shell inventory + T-194 API-alias retirement + all ...</v>
      </c>
      <c r="J103" s="32" t="str">
        <f>IF(INDEX(Backlog!$AN$2:$AN$188,MATCH($A103,Backlog!$A$2:$A$188,0))="","",INDEX(Backlog!$AN$2:$AN$188,MATCH($A103,Backlog!$A$2:$A$188,0)))</f>
        <v/>
      </c>
    </row>
    <row r="104" spans="1:10" ht="26.1" customHeight="1">
      <c r="A104" s="38" t="s">
        <v>164</v>
      </c>
      <c r="B104" s="38" t="str">
        <f>IF(INDEX(Backlog!$B$2:$B$188,MATCH($A104,Backlog!$A$2:$A$188,0))="","",INDEX(Backlog!$B$2:$B$188,MATCH($A104,Backlog!$A$2:$A$188,0)))</f>
        <v>M2</v>
      </c>
      <c r="C104" s="38" t="str">
        <f>IF(INDEX(Backlog!$C$2:$C$188,MATCH($A104,Backlog!$A$2:$A$188,0))="","",INDEX(Backlog!$C$2:$C$188,MATCH($A104,Backlog!$A$2:$A$188,0)))</f>
        <v>P5</v>
      </c>
      <c r="D104" s="38" t="str">
        <f>IF(INDEX(Backlog!$L$2:$L$188,MATCH($A104,Backlog!$A$2:$A$188,0))="","",INDEX(Backlog!$L$2:$L$188,MATCH($A104,Backlog!$A$2:$A$188,0)))</f>
        <v>Worker 1</v>
      </c>
      <c r="E104" s="70" t="str">
        <f>IF(INDEX(Backlog!$K$2:$K$188,MATCH($A104,Backlog!$A$2:$A$188,0))="","",INDEX(Backlog!$K$2:$K$188,MATCH($A104,Backlog!$A$2:$A$188,0)))</f>
        <v>Not Started</v>
      </c>
      <c r="F104" s="38">
        <f>IF(ISNUMBER(INDEX(Backlog!$AT$2:$AT$188,MATCH($A104,Backlog!$A$2:$A$188,0))),INDEX(Backlog!$AT$2:$AT$188,MATCH($A104,Backlog!$A$2:$A$188,0)),"")</f>
        <v>2.25</v>
      </c>
      <c r="G104" s="38" t="str">
        <f>IF(INDEX(Backlog!$M$2:$M$188,MATCH($A104,Backlog!$A$2:$A$188,0))="","",INDEX(Backlog!$M$2:$M$188,MATCH($A104,Backlog!$A$2:$A$188,0)))</f>
        <v>T-213; T-259</v>
      </c>
      <c r="H104" s="38" t="str">
        <f>IF(INDEX(Backlog!$N$2:$N$188,MATCH($A104,Backlog!$A$2:$A$188,0))="","",INDEX(Backlog!$N$2:$N$188,MATCH($A104,Backlog!$A$2:$A$188,0)))</f>
        <v>T-150</v>
      </c>
      <c r="I104" s="38" t="str">
        <f>IF(INDEX(Backlog!$T$2:$T$188,MATCH($A104,Backlog!$A$2:$A$188,0))="","",INDEX(Backlog!$T$2:$T$188,MATCH($A104,Backlog!$A$2:$A$188,0)))</f>
        <v>Prepare before installation; can start after customer data assessment T-213.</v>
      </c>
      <c r="J104" s="32" t="str">
        <f>IF(INDEX(Backlog!$AN$2:$AN$188,MATCH($A104,Backlog!$A$2:$A$188,0))="","",INDEX(Backlog!$AN$2:$AN$188,MATCH($A104,Backlog!$A$2:$A$188,0)))</f>
        <v/>
      </c>
    </row>
    <row r="105" spans="1:10" ht="26.1" customHeight="1">
      <c r="A105" s="38" t="s">
        <v>165</v>
      </c>
      <c r="B105" s="38" t="str">
        <f>IF(INDEX(Backlog!$B$2:$B$188,MATCH($A105,Backlog!$A$2:$A$188,0))="","",INDEX(Backlog!$B$2:$B$188,MATCH($A105,Backlog!$A$2:$A$188,0)))</f>
        <v>M2</v>
      </c>
      <c r="C105" s="38" t="str">
        <f>IF(INDEX(Backlog!$C$2:$C$188,MATCH($A105,Backlog!$A$2:$A$188,0))="","",INDEX(Backlog!$C$2:$C$188,MATCH($A105,Backlog!$A$2:$A$188,0)))</f>
        <v>P5</v>
      </c>
      <c r="D105" s="38" t="str">
        <f>IF(INDEX(Backlog!$L$2:$L$188,MATCH($A105,Backlog!$A$2:$A$188,0))="","",INDEX(Backlog!$L$2:$L$188,MATCH($A105,Backlog!$A$2:$A$188,0)))</f>
        <v>Worker 3</v>
      </c>
      <c r="E105" s="70" t="str">
        <f>IF(INDEX(Backlog!$K$2:$K$188,MATCH($A105,Backlog!$A$2:$A$188,0))="","",INDEX(Backlog!$K$2:$K$188,MATCH($A105,Backlog!$A$2:$A$188,0)))</f>
        <v>Not Started</v>
      </c>
      <c r="F105" s="38">
        <f>IF(ISNUMBER(INDEX(Backlog!$AT$2:$AT$188,MATCH($A105,Backlog!$A$2:$A$188,0))),INDEX(Backlog!$AT$2:$AT$188,MATCH($A105,Backlog!$A$2:$A$188,0)),"")</f>
        <v>1.2</v>
      </c>
      <c r="G105" s="38" t="str">
        <f>IF(INDEX(Backlog!$M$2:$M$188,MATCH($A105,Backlog!$A$2:$A$188,0))="","",INDEX(Backlog!$M$2:$M$188,MATCH($A105,Backlog!$A$2:$A$188,0)))</f>
        <v>T-205; T-250</v>
      </c>
      <c r="H105" s="38" t="str">
        <f>IF(INDEX(Backlog!$N$2:$N$188,MATCH($A105,Backlog!$A$2:$A$188,0))="","",INDEX(Backlog!$N$2:$N$188,MATCH($A105,Backlog!$A$2:$A$188,0)))</f>
        <v>T-150</v>
      </c>
      <c r="I105" s="38" t="str">
        <f>IF(INDEX(Backlog!$T$2:$T$188,MATCH($A105,Backlog!$A$2:$A$188,0))="","",INDEX(Backlog!$T$2:$T$188,MATCH($A105,Backlog!$A$2:$A$188,0)))</f>
        <v>Run after T-106 or on a disjoint tooling-only lane; no runtime feature mutation.</v>
      </c>
      <c r="J105" s="32" t="str">
        <f>IF(INDEX(Backlog!$AN$2:$AN$188,MATCH($A105,Backlog!$A$2:$A$188,0))="","",INDEX(Backlog!$AN$2:$AN$188,MATCH($A105,Backlog!$A$2:$A$188,0)))</f>
        <v/>
      </c>
    </row>
    <row r="106" spans="1:10" ht="26.1" customHeight="1">
      <c r="A106" s="38" t="s">
        <v>166</v>
      </c>
      <c r="B106" s="38" t="str">
        <f>IF(INDEX(Backlog!$B$2:$B$188,MATCH($A106,Backlog!$A$2:$A$188,0))="","",INDEX(Backlog!$B$2:$B$188,MATCH($A106,Backlog!$A$2:$A$188,0)))</f>
        <v>M2</v>
      </c>
      <c r="C106" s="38" t="str">
        <f>IF(INDEX(Backlog!$C$2:$C$188,MATCH($A106,Backlog!$A$2:$A$188,0))="","",INDEX(Backlog!$C$2:$C$188,MATCH($A106,Backlog!$A$2:$A$188,0)))</f>
        <v>P5</v>
      </c>
      <c r="D106" s="38" t="str">
        <f>IF(INDEX(Backlog!$L$2:$L$188,MATCH($A106,Backlog!$A$2:$A$188,0))="","",INDEX(Backlog!$L$2:$L$188,MATCH($A106,Backlog!$A$2:$A$188,0)))</f>
        <v>Worker 2</v>
      </c>
      <c r="E106" s="70" t="str">
        <f>IF(INDEX(Backlog!$K$2:$K$188,MATCH($A106,Backlog!$A$2:$A$188,0))="","",INDEX(Backlog!$K$2:$K$188,MATCH($A106,Backlog!$A$2:$A$188,0)))</f>
        <v>Not Started</v>
      </c>
      <c r="F106" s="38">
        <f>IF(ISNUMBER(INDEX(Backlog!$AT$2:$AT$188,MATCH($A106,Backlog!$A$2:$A$188,0))),INDEX(Backlog!$AT$2:$AT$188,MATCH($A106,Backlog!$A$2:$A$188,0)),"")</f>
        <v>2.5499999999999998</v>
      </c>
      <c r="G106" s="38" t="str">
        <f>IF(INDEX(Backlog!$M$2:$M$188,MATCH($A106,Backlog!$A$2:$A$188,0))="","",INDEX(Backlog!$M$2:$M$188,MATCH($A106,Backlog!$A$2:$A$188,0)))</f>
        <v>T-205; T-250; T-259</v>
      </c>
      <c r="H106" s="38" t="str">
        <f>IF(INDEX(Backlog!$N$2:$N$188,MATCH($A106,Backlog!$A$2:$A$188,0))="","",INDEX(Backlog!$N$2:$N$188,MATCH($A106,Backlog!$A$2:$A$188,0)))</f>
        <v>T-150; T-248</v>
      </c>
      <c r="I106" s="38" t="str">
        <f>IF(INDEX(Backlog!$T$2:$T$188,MATCH($A106,Backlog!$A$2:$A$188,0))="","",INDEX(Backlog!$T$2:$T$188,MATCH($A106,Backlog!$A$2:$A$188,0)))</f>
        <v>Run on frontend test/config/report files only after current authoring lane reaches a clean handoff; no product feature scope.</v>
      </c>
      <c r="J106" s="32" t="str">
        <f>IF(INDEX(Backlog!$AN$2:$AN$188,MATCH($A106,Backlog!$A$2:$A$188,0))="","",INDEX(Backlog!$AN$2:$AN$188,MATCH($A106,Backlog!$A$2:$A$188,0)))</f>
        <v/>
      </c>
    </row>
    <row r="107" spans="1:10" ht="26.1" customHeight="1">
      <c r="A107" s="38" t="s">
        <v>167</v>
      </c>
      <c r="B107" s="38" t="str">
        <f>IF(INDEX(Backlog!$B$2:$B$188,MATCH($A107,Backlog!$A$2:$A$188,0))="","",INDEX(Backlog!$B$2:$B$188,MATCH($A107,Backlog!$A$2:$A$188,0)))</f>
        <v>M3</v>
      </c>
      <c r="C107" s="38" t="str">
        <f>IF(INDEX(Backlog!$C$2:$C$188,MATCH($A107,Backlog!$A$2:$A$188,0))="","",INDEX(Backlog!$C$2:$C$188,MATCH($A107,Backlog!$A$2:$A$188,0)))</f>
        <v>P1</v>
      </c>
      <c r="D107" s="38" t="str">
        <f>IF(INDEX(Backlog!$L$2:$L$188,MATCH($A107,Backlog!$A$2:$A$188,0))="","",INDEX(Backlog!$L$2:$L$188,MATCH($A107,Backlog!$A$2:$A$188,0)))</f>
        <v>Worker 1</v>
      </c>
      <c r="E107" s="70" t="str">
        <f>IF(INDEX(Backlog!$K$2:$K$188,MATCH($A107,Backlog!$A$2:$A$188,0))="","",INDEX(Backlog!$K$2:$K$188,MATCH($A107,Backlog!$A$2:$A$188,0)))</f>
        <v>Not Started</v>
      </c>
      <c r="F107" s="38" t="str">
        <f>IF(ISNUMBER(INDEX(Backlog!$AT$2:$AT$188,MATCH($A107,Backlog!$A$2:$A$188,0))),INDEX(Backlog!$AT$2:$AT$188,MATCH($A107,Backlog!$A$2:$A$188,0)),"")</f>
        <v/>
      </c>
      <c r="G107" s="38" t="str">
        <f>IF(INDEX(Backlog!$M$2:$M$188,MATCH($A107,Backlog!$A$2:$A$188,0))="","",INDEX(Backlog!$M$2:$M$188,MATCH($A107,Backlog!$A$2:$A$188,0)))</f>
        <v>T-108; T-109</v>
      </c>
      <c r="H107" s="38" t="str">
        <f>IF(INDEX(Backlog!$N$2:$N$188,MATCH($A107,Backlog!$A$2:$A$188,0))="","",INDEX(Backlog!$N$2:$N$188,MATCH($A107,Backlog!$A$2:$A$188,0)))</f>
        <v>T-249</v>
      </c>
      <c r="I107" s="38" t="str">
        <f>IF(INDEX(Backlog!$T$2:$T$188,MATCH($A107,Backlog!$A$2:$A$188,0))="","",INDEX(Backlog!$T$2:$T$188,MATCH($A107,Backlog!$A$2:$A$188,0)))</f>
        <v>Consume accepted producer contracts; remaining dependencies: T-108; T-109. No private scheduler/definition authority. Source-present is not closure proof.</v>
      </c>
      <c r="J107" s="32" t="str">
        <f>IF(INDEX(Backlog!$AN$2:$AN$188,MATCH($A107,Backlog!$A$2:$A$188,0))="","",INDEX(Backlog!$AN$2:$AN$188,MATCH($A107,Backlog!$A$2:$A$188,0)))</f>
        <v/>
      </c>
    </row>
    <row r="108" spans="1:10" ht="26.1" customHeight="1">
      <c r="A108" s="38" t="s">
        <v>168</v>
      </c>
      <c r="B108" s="38" t="str">
        <f>IF(INDEX(Backlog!$B$2:$B$188,MATCH($A108,Backlog!$A$2:$A$188,0))="","",INDEX(Backlog!$B$2:$B$188,MATCH($A108,Backlog!$A$2:$A$188,0)))</f>
        <v>M3</v>
      </c>
      <c r="C108" s="38" t="str">
        <f>IF(INDEX(Backlog!$C$2:$C$188,MATCH($A108,Backlog!$A$2:$A$188,0))="","",INDEX(Backlog!$C$2:$C$188,MATCH($A108,Backlog!$A$2:$A$188,0)))</f>
        <v>P1</v>
      </c>
      <c r="D108" s="38" t="str">
        <f>IF(INDEX(Backlog!$L$2:$L$188,MATCH($A108,Backlog!$A$2:$A$188,0))="","",INDEX(Backlog!$L$2:$L$188,MATCH($A108,Backlog!$A$2:$A$188,0)))</f>
        <v>Worker 1</v>
      </c>
      <c r="E108" s="70" t="str">
        <f>IF(INDEX(Backlog!$K$2:$K$188,MATCH($A108,Backlog!$A$2:$A$188,0))="","",INDEX(Backlog!$K$2:$K$188,MATCH($A108,Backlog!$A$2:$A$188,0)))</f>
        <v>Not Started</v>
      </c>
      <c r="F108" s="38">
        <f>IF(ISNUMBER(INDEX(Backlog!$AT$2:$AT$188,MATCH($A108,Backlog!$A$2:$A$188,0))),INDEX(Backlog!$AT$2:$AT$188,MATCH($A108,Backlog!$A$2:$A$188,0)),"")</f>
        <v>3.2</v>
      </c>
      <c r="G108" s="38" t="str">
        <f>IF(INDEX(Backlog!$M$2:$M$188,MATCH($A108,Backlog!$A$2:$A$188,0))="","",INDEX(Backlog!$M$2:$M$188,MATCH($A108,Backlog!$A$2:$A$188,0)))</f>
        <v>T-106; T-107; T-112; T-113; T-114; T-117; T-137; T-168; T-123</v>
      </c>
      <c r="H108" s="38" t="str">
        <f>IF(INDEX(Backlog!$N$2:$N$188,MATCH($A108,Backlog!$A$2:$A$188,0))="","",INDEX(Backlog!$N$2:$N$188,MATCH($A108,Backlog!$A$2:$A$188,0)))</f>
        <v>T-141; T-185; T-192</v>
      </c>
      <c r="I108" s="38" t="str">
        <f>IF(INDEX(Backlog!$T$2:$T$188,MATCH($A108,Backlog!$A$2:$A$188,0))="","",INDEX(Backlog!$T$2:$T$188,MATCH($A108,Backlog!$A$2:$A$188,0)))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 T-107 + T-112 + T-113 + T-114 + T-117; T-137/T-168 runtime contracts ...</v>
      </c>
      <c r="J108" s="32" t="str">
        <f>IF(INDEX(Backlog!$AN$2:$AN$188,MATCH($A108,Backlog!$A$2:$A$188,0))="","",INDEX(Backlog!$AN$2:$AN$188,MATCH($A108,Backlog!$A$2:$A$188,0)))</f>
        <v/>
      </c>
    </row>
    <row r="109" spans="1:10" ht="26.1" customHeight="1">
      <c r="A109" s="38" t="s">
        <v>169</v>
      </c>
      <c r="B109" s="38" t="str">
        <f>IF(INDEX(Backlog!$B$2:$B$188,MATCH($A109,Backlog!$A$2:$A$188,0))="","",INDEX(Backlog!$B$2:$B$188,MATCH($A109,Backlog!$A$2:$A$188,0)))</f>
        <v>M3</v>
      </c>
      <c r="C109" s="38" t="str">
        <f>IF(INDEX(Backlog!$C$2:$C$188,MATCH($A109,Backlog!$A$2:$A$188,0))="","",INDEX(Backlog!$C$2:$C$188,MATCH($A109,Backlog!$A$2:$A$188,0)))</f>
        <v>P1</v>
      </c>
      <c r="D109" s="38" t="str">
        <f>IF(INDEX(Backlog!$L$2:$L$188,MATCH($A109,Backlog!$A$2:$A$188,0))="","",INDEX(Backlog!$L$2:$L$188,MATCH($A109,Backlog!$A$2:$A$188,0)))</f>
        <v>Worker 1</v>
      </c>
      <c r="E109" s="70" t="str">
        <f>IF(INDEX(Backlog!$K$2:$K$188,MATCH($A109,Backlog!$A$2:$A$188,0))="","",INDEX(Backlog!$K$2:$K$188,MATCH($A109,Backlog!$A$2:$A$188,0)))</f>
        <v>Not Started</v>
      </c>
      <c r="F109" s="38">
        <f>IF(ISNUMBER(INDEX(Backlog!$AT$2:$AT$188,MATCH($A109,Backlog!$A$2:$A$188,0))),INDEX(Backlog!$AT$2:$AT$188,MATCH($A109,Backlog!$A$2:$A$188,0)),"")</f>
        <v>7.2</v>
      </c>
      <c r="G109" s="38" t="str">
        <f>IF(INDEX(Backlog!$M$2:$M$188,MATCH($A109,Backlog!$A$2:$A$188,0))="","",INDEX(Backlog!$M$2:$M$188,MATCH($A109,Backlog!$A$2:$A$188,0)))</f>
        <v/>
      </c>
      <c r="H109" s="38" t="str">
        <f>IF(INDEX(Backlog!$N$2:$N$188,MATCH($A109,Backlog!$A$2:$A$188,0))="","",INDEX(Backlog!$N$2:$N$188,MATCH($A109,Backlog!$A$2:$A$188,0)))</f>
        <v/>
      </c>
      <c r="I109" s="38" t="str">
        <f>IF(INDEX(Backlog!$T$2:$T$188,MATCH($A109,Backlog!$A$2:$A$188,0))="","",INDEX(Backlog!$T$2:$T$188,MATCH($A109,Backlog!$A$2:$A$188,0)))</f>
        <v>WAIT for deployed Release 1 + real customer/site evidence. M3 sequence</v>
      </c>
      <c r="J109" s="32" t="str">
        <f>IF(INDEX(Backlog!$AN$2:$AN$188,MATCH($A109,Backlog!$A$2:$A$188,0))="","",INDEX(Backlog!$AN$2:$AN$188,MATCH($A109,Backlog!$A$2:$A$188,0)))</f>
        <v/>
      </c>
    </row>
    <row r="110" spans="1:10" ht="26.1" customHeight="1">
      <c r="A110" s="38" t="s">
        <v>170</v>
      </c>
      <c r="B110" s="38" t="str">
        <f>IF(INDEX(Backlog!$B$2:$B$188,MATCH($A110,Backlog!$A$2:$A$188,0))="","",INDEX(Backlog!$B$2:$B$188,MATCH($A110,Backlog!$A$2:$A$188,0)))</f>
        <v>M3</v>
      </c>
      <c r="C110" s="38" t="str">
        <f>IF(INDEX(Backlog!$C$2:$C$188,MATCH($A110,Backlog!$A$2:$A$188,0))="","",INDEX(Backlog!$C$2:$C$188,MATCH($A110,Backlog!$A$2:$A$188,0)))</f>
        <v>P1</v>
      </c>
      <c r="D110" s="38" t="str">
        <f>IF(INDEX(Backlog!$L$2:$L$188,MATCH($A110,Backlog!$A$2:$A$188,0))="","",INDEX(Backlog!$L$2:$L$188,MATCH($A110,Backlog!$A$2:$A$188,0)))</f>
        <v>Worker 1</v>
      </c>
      <c r="E110" s="70" t="str">
        <f>IF(INDEX(Backlog!$K$2:$K$188,MATCH($A110,Backlog!$A$2:$A$188,0))="","",INDEX(Backlog!$K$2:$K$188,MATCH($A110,Backlog!$A$2:$A$188,0)))</f>
        <v>Not Started</v>
      </c>
      <c r="F110" s="38">
        <f>IF(ISNUMBER(INDEX(Backlog!$AT$2:$AT$188,MATCH($A110,Backlog!$A$2:$A$188,0))),INDEX(Backlog!$AT$2:$AT$188,MATCH($A110,Backlog!$A$2:$A$188,0)),"")</f>
        <v>7.2</v>
      </c>
      <c r="G110" s="38" t="str">
        <f>IF(INDEX(Backlog!$M$2:$M$188,MATCH($A110,Backlog!$A$2:$A$188,0))="","",INDEX(Backlog!$M$2:$M$188,MATCH($A110,Backlog!$A$2:$A$188,0)))</f>
        <v/>
      </c>
      <c r="H110" s="38" t="str">
        <f>IF(INDEX(Backlog!$N$2:$N$188,MATCH($A110,Backlog!$A$2:$A$188,0))="","",INDEX(Backlog!$N$2:$N$188,MATCH($A110,Backlog!$A$2:$A$188,0)))</f>
        <v/>
      </c>
      <c r="I110" s="38" t="str">
        <f>IF(INDEX(Backlog!$T$2:$T$188,MATCH($A110,Backlog!$A$2:$A$188,0))="","",INDEX(Backlog!$T$2:$T$188,MATCH($A110,Backlog!$A$2:$A$188,0)))</f>
        <v>WAIT for deployed Release 1 + real customer/site evidence. M3 sequence</v>
      </c>
      <c r="J110" s="32" t="str">
        <f>IF(INDEX(Backlog!$AN$2:$AN$188,MATCH($A110,Backlog!$A$2:$A$188,0))="","",INDEX(Backlog!$AN$2:$AN$188,MATCH($A110,Backlog!$A$2:$A$188,0)))</f>
        <v/>
      </c>
    </row>
    <row r="111" spans="1:10" ht="26.1" customHeight="1">
      <c r="A111" s="38" t="s">
        <v>171</v>
      </c>
      <c r="B111" s="38" t="str">
        <f>IF(INDEX(Backlog!$B$2:$B$188,MATCH($A111,Backlog!$A$2:$A$188,0))="","",INDEX(Backlog!$B$2:$B$188,MATCH($A111,Backlog!$A$2:$A$188,0)))</f>
        <v>M3</v>
      </c>
      <c r="C111" s="38" t="str">
        <f>IF(INDEX(Backlog!$C$2:$C$188,MATCH($A111,Backlog!$A$2:$A$188,0))="","",INDEX(Backlog!$C$2:$C$188,MATCH($A111,Backlog!$A$2:$A$188,0)))</f>
        <v>P1</v>
      </c>
      <c r="D111" s="38" t="str">
        <f>IF(INDEX(Backlog!$L$2:$L$188,MATCH($A111,Backlog!$A$2:$A$188,0))="","",INDEX(Backlog!$L$2:$L$188,MATCH($A111,Backlog!$A$2:$A$188,0)))</f>
        <v>Worker 1</v>
      </c>
      <c r="E111" s="70" t="str">
        <f>IF(INDEX(Backlog!$K$2:$K$188,MATCH($A111,Backlog!$A$2:$A$188,0))="","",INDEX(Backlog!$K$2:$K$188,MATCH($A111,Backlog!$A$2:$A$188,0)))</f>
        <v>Not Started</v>
      </c>
      <c r="F111" s="38">
        <f>IF(ISNUMBER(INDEX(Backlog!$AT$2:$AT$188,MATCH($A111,Backlog!$A$2:$A$188,0))),INDEX(Backlog!$AT$2:$AT$188,MATCH($A111,Backlog!$A$2:$A$188,0)),"")</f>
        <v>7.2</v>
      </c>
      <c r="G111" s="38" t="str">
        <f>IF(INDEX(Backlog!$M$2:$M$188,MATCH($A111,Backlog!$A$2:$A$188,0))="","",INDEX(Backlog!$M$2:$M$188,MATCH($A111,Backlog!$A$2:$A$188,0)))</f>
        <v>T-224; T-225; T-226; T-254</v>
      </c>
      <c r="H111" s="38" t="str">
        <f>IF(INDEX(Backlog!$N$2:$N$188,MATCH($A111,Backlog!$A$2:$A$188,0))="","",INDEX(Backlog!$N$2:$N$188,MATCH($A111,Backlog!$A$2:$A$188,0)))</f>
        <v>T-249</v>
      </c>
      <c r="I111" s="38" t="str">
        <f>IF(INDEX(Backlog!$T$2:$T$188,MATCH($A111,Backlog!$A$2:$A$188,0))="","",INDEX(Backlog!$T$2:$T$188,MATCH($A111,Backlog!$A$2:$A$188,0)))</f>
        <v>WAIT for deployed Release 1 + real customer/site evidence. M3 sequence</v>
      </c>
      <c r="J111" s="32" t="str">
        <f>IF(INDEX(Backlog!$AN$2:$AN$188,MATCH($A111,Backlog!$A$2:$A$188,0))="","",INDEX(Backlog!$AN$2:$AN$188,MATCH($A111,Backlog!$A$2:$A$188,0)))</f>
        <v/>
      </c>
    </row>
    <row r="112" spans="1:10" ht="26.1" customHeight="1">
      <c r="A112" s="38" t="s">
        <v>172</v>
      </c>
      <c r="B112" s="38" t="str">
        <f>IF(INDEX(Backlog!$B$2:$B$188,MATCH($A112,Backlog!$A$2:$A$188,0))="","",INDEX(Backlog!$B$2:$B$188,MATCH($A112,Backlog!$A$2:$A$188,0)))</f>
        <v>M3</v>
      </c>
      <c r="C112" s="38" t="str">
        <f>IF(INDEX(Backlog!$C$2:$C$188,MATCH($A112,Backlog!$A$2:$A$188,0))="","",INDEX(Backlog!$C$2:$C$188,MATCH($A112,Backlog!$A$2:$A$188,0)))</f>
        <v>P1</v>
      </c>
      <c r="D112" s="38" t="str">
        <f>IF(INDEX(Backlog!$L$2:$L$188,MATCH($A112,Backlog!$A$2:$A$188,0))="","",INDEX(Backlog!$L$2:$L$188,MATCH($A112,Backlog!$A$2:$A$188,0)))</f>
        <v>Worker 1</v>
      </c>
      <c r="E112" s="70" t="str">
        <f>IF(INDEX(Backlog!$K$2:$K$188,MATCH($A112,Backlog!$A$2:$A$188,0))="","",INDEX(Backlog!$K$2:$K$188,MATCH($A112,Backlog!$A$2:$A$188,0)))</f>
        <v>Not Started</v>
      </c>
      <c r="F112" s="38">
        <f>IF(ISNUMBER(INDEX(Backlog!$AT$2:$AT$188,MATCH($A112,Backlog!$A$2:$A$188,0))),INDEX(Backlog!$AT$2:$AT$188,MATCH($A112,Backlog!$A$2:$A$188,0)),"")</f>
        <v>7.2</v>
      </c>
      <c r="G112" s="38" t="str">
        <f>IF(INDEX(Backlog!$M$2:$M$188,MATCH($A112,Backlog!$A$2:$A$188,0))="","",INDEX(Backlog!$M$2:$M$188,MATCH($A112,Backlog!$A$2:$A$188,0)))</f>
        <v/>
      </c>
      <c r="H112" s="38" t="str">
        <f>IF(INDEX(Backlog!$N$2:$N$188,MATCH($A112,Backlog!$A$2:$A$188,0))="","",INDEX(Backlog!$N$2:$N$188,MATCH($A112,Backlog!$A$2:$A$188,0)))</f>
        <v/>
      </c>
      <c r="I112" s="38" t="str">
        <f>IF(INDEX(Backlog!$T$2:$T$188,MATCH($A112,Backlog!$A$2:$A$188,0))="","",INDEX(Backlog!$T$2:$T$188,MATCH($A112,Backlog!$A$2:$A$188,0)))</f>
        <v>WAIT for deployed Release 1 + real customer/site evidence. M3 sequence</v>
      </c>
      <c r="J112" s="32" t="str">
        <f>IF(INDEX(Backlog!$AN$2:$AN$188,MATCH($A112,Backlog!$A$2:$A$188,0))="","",INDEX(Backlog!$AN$2:$AN$188,MATCH($A112,Backlog!$A$2:$A$188,0)))</f>
        <v/>
      </c>
    </row>
    <row r="113" spans="1:10" ht="26.1" customHeight="1">
      <c r="A113" s="38" t="s">
        <v>173</v>
      </c>
      <c r="B113" s="38" t="str">
        <f>IF(INDEX(Backlog!$B$2:$B$188,MATCH($A113,Backlog!$A$2:$A$188,0))="","",INDEX(Backlog!$B$2:$B$188,MATCH($A113,Backlog!$A$2:$A$188,0)))</f>
        <v>M3</v>
      </c>
      <c r="C113" s="38" t="str">
        <f>IF(INDEX(Backlog!$C$2:$C$188,MATCH($A113,Backlog!$A$2:$A$188,0))="","",INDEX(Backlog!$C$2:$C$188,MATCH($A113,Backlog!$A$2:$A$188,0)))</f>
        <v>P1</v>
      </c>
      <c r="D113" s="38" t="str">
        <f>IF(INDEX(Backlog!$L$2:$L$188,MATCH($A113,Backlog!$A$2:$A$188,0))="","",INDEX(Backlog!$L$2:$L$188,MATCH($A113,Backlog!$A$2:$A$188,0)))</f>
        <v>Worker 3</v>
      </c>
      <c r="E113" s="70" t="str">
        <f>IF(INDEX(Backlog!$K$2:$K$188,MATCH($A113,Backlog!$A$2:$A$188,0))="","",INDEX(Backlog!$K$2:$K$188,MATCH($A113,Backlog!$A$2:$A$188,0)))</f>
        <v>Not Started</v>
      </c>
      <c r="F113" s="38" t="str">
        <f>IF(ISNUMBER(INDEX(Backlog!$AT$2:$AT$188,MATCH($A113,Backlog!$A$2:$A$188,0))),INDEX(Backlog!$AT$2:$AT$188,MATCH($A113,Backlog!$A$2:$A$188,0)),"")</f>
        <v/>
      </c>
      <c r="G113" s="38" t="str">
        <f>IF(INDEX(Backlog!$M$2:$M$188,MATCH($A113,Backlog!$A$2:$A$188,0))="","",INDEX(Backlog!$M$2:$M$188,MATCH($A113,Backlog!$A$2:$A$188,0)))</f>
        <v/>
      </c>
      <c r="H113" s="38" t="str">
        <f>IF(INDEX(Backlog!$N$2:$N$188,MATCH($A113,Backlog!$A$2:$A$188,0))="","",INDEX(Backlog!$N$2:$N$188,MATCH($A113,Backlog!$A$2:$A$188,0)))</f>
        <v/>
      </c>
      <c r="I113" s="38" t="str">
        <f>IF(INDEX(Backlog!$T$2:$T$188,MATCH($A113,Backlog!$A$2:$A$188,0))="","",INDEX(Backlog!$T$2:$T$188,MATCH($A113,Backlog!$A$2:$A$188,0)))</f>
        <v>WAIT for deployed Release 1 + real customer/site evidence. Release 2 accepted + site hardware</v>
      </c>
      <c r="J113" s="32" t="str">
        <f>IF(INDEX(Backlog!$AN$2:$AN$188,MATCH($A113,Backlog!$A$2:$A$188,0))="","",INDEX(Backlog!$AN$2:$AN$188,MATCH($A113,Backlog!$A$2:$A$188,0)))</f>
        <v/>
      </c>
    </row>
    <row r="114" spans="1:10" ht="26.1" customHeight="1">
      <c r="A114" s="38" t="s">
        <v>174</v>
      </c>
      <c r="B114" s="38" t="str">
        <f>IF(INDEX(Backlog!$B$2:$B$188,MATCH($A114,Backlog!$A$2:$A$188,0))="","",INDEX(Backlog!$B$2:$B$188,MATCH($A114,Backlog!$A$2:$A$188,0)))</f>
        <v>M3</v>
      </c>
      <c r="C114" s="38" t="str">
        <f>IF(INDEX(Backlog!$C$2:$C$188,MATCH($A114,Backlog!$A$2:$A$188,0))="","",INDEX(Backlog!$C$2:$C$188,MATCH($A114,Backlog!$A$2:$A$188,0)))</f>
        <v>P1</v>
      </c>
      <c r="D114" s="38" t="str">
        <f>IF(INDEX(Backlog!$L$2:$L$188,MATCH($A114,Backlog!$A$2:$A$188,0))="","",INDEX(Backlog!$L$2:$L$188,MATCH($A114,Backlog!$A$2:$A$188,0)))</f>
        <v>Worker 3</v>
      </c>
      <c r="E114" s="70" t="str">
        <f>IF(INDEX(Backlog!$K$2:$K$188,MATCH($A114,Backlog!$A$2:$A$188,0))="","",INDEX(Backlog!$K$2:$K$188,MATCH($A114,Backlog!$A$2:$A$188,0)))</f>
        <v>Not Started</v>
      </c>
      <c r="F114" s="38" t="str">
        <f>IF(ISNUMBER(INDEX(Backlog!$AT$2:$AT$188,MATCH($A114,Backlog!$A$2:$A$188,0))),INDEX(Backlog!$AT$2:$AT$188,MATCH($A114,Backlog!$A$2:$A$188,0)),"")</f>
        <v/>
      </c>
      <c r="G114" s="38" t="str">
        <f>IF(INDEX(Backlog!$M$2:$M$188,MATCH($A114,Backlog!$A$2:$A$188,0))="","",INDEX(Backlog!$M$2:$M$188,MATCH($A114,Backlog!$A$2:$A$188,0)))</f>
        <v/>
      </c>
      <c r="H114" s="38" t="str">
        <f>IF(INDEX(Backlog!$N$2:$N$188,MATCH($A114,Backlog!$A$2:$A$188,0))="","",INDEX(Backlog!$N$2:$N$188,MATCH($A114,Backlog!$A$2:$A$188,0)))</f>
        <v>T-249</v>
      </c>
      <c r="I114" s="38" t="str">
        <f>IF(INDEX(Backlog!$T$2:$T$188,MATCH($A114,Backlog!$A$2:$A$188,0))="","",INDEX(Backlog!$T$2:$T$188,MATCH($A114,Backlog!$A$2:$A$188,0)))</f>
        <v>WAIT for deployed Release 1 + real customer/site evidence. Release 2 accepted + site hardware</v>
      </c>
      <c r="J114" s="32" t="str">
        <f>IF(INDEX(Backlog!$AN$2:$AN$188,MATCH($A114,Backlog!$A$2:$A$188,0))="","",INDEX(Backlog!$AN$2:$AN$188,MATCH($A114,Backlog!$A$2:$A$188,0)))</f>
        <v/>
      </c>
    </row>
    <row r="115" spans="1:10" ht="26.1" customHeight="1">
      <c r="A115" s="38" t="s">
        <v>175</v>
      </c>
      <c r="B115" s="38" t="str">
        <f>IF(INDEX(Backlog!$B$2:$B$188,MATCH($A115,Backlog!$A$2:$A$188,0))="","",INDEX(Backlog!$B$2:$B$188,MATCH($A115,Backlog!$A$2:$A$188,0)))</f>
        <v>M3</v>
      </c>
      <c r="C115" s="38" t="str">
        <f>IF(INDEX(Backlog!$C$2:$C$188,MATCH($A115,Backlog!$A$2:$A$188,0))="","",INDEX(Backlog!$C$2:$C$188,MATCH($A115,Backlog!$A$2:$A$188,0)))</f>
        <v>P1</v>
      </c>
      <c r="D115" s="38" t="str">
        <f>IF(INDEX(Backlog!$L$2:$L$188,MATCH($A115,Backlog!$A$2:$A$188,0))="","",INDEX(Backlog!$L$2:$L$188,MATCH($A115,Backlog!$A$2:$A$188,0)))</f>
        <v>Worker 1</v>
      </c>
      <c r="E115" s="70" t="str">
        <f>IF(INDEX(Backlog!$K$2:$K$188,MATCH($A115,Backlog!$A$2:$A$188,0))="","",INDEX(Backlog!$K$2:$K$188,MATCH($A115,Backlog!$A$2:$A$188,0)))</f>
        <v>Not Started</v>
      </c>
      <c r="F115" s="38">
        <f>IF(ISNUMBER(INDEX(Backlog!$AT$2:$AT$188,MATCH($A115,Backlog!$A$2:$A$188,0))),INDEX(Backlog!$AT$2:$AT$188,MATCH($A115,Backlog!$A$2:$A$188,0)),"")</f>
        <v>7.2</v>
      </c>
      <c r="G115" s="38" t="str">
        <f>IF(INDEX(Backlog!$M$2:$M$188,MATCH($A115,Backlog!$A$2:$A$188,0))="","",INDEX(Backlog!$M$2:$M$188,MATCH($A115,Backlog!$A$2:$A$188,0)))</f>
        <v/>
      </c>
      <c r="H115" s="38" t="str">
        <f>IF(INDEX(Backlog!$N$2:$N$188,MATCH($A115,Backlog!$A$2:$A$188,0))="","",INDEX(Backlog!$N$2:$N$188,MATCH($A115,Backlog!$A$2:$A$188,0)))</f>
        <v>T-249</v>
      </c>
      <c r="I115" s="38" t="str">
        <f>IF(INDEX(Backlog!$T$2:$T$188,MATCH($A115,Backlog!$A$2:$A$188,0))="","",INDEX(Backlog!$T$2:$T$188,MATCH($A115,Backlog!$A$2:$A$188,0)))</f>
        <v>WAIT for deployed Release 1 + real customer/site evidence. M3 sequence</v>
      </c>
      <c r="J115" s="32" t="str">
        <f>IF(INDEX(Backlog!$AN$2:$AN$188,MATCH($A115,Backlog!$A$2:$A$188,0))="","",INDEX(Backlog!$AN$2:$AN$188,MATCH($A115,Backlog!$A$2:$A$188,0)))</f>
        <v/>
      </c>
    </row>
    <row r="116" spans="1:10" ht="26.1" customHeight="1">
      <c r="A116" s="38" t="s">
        <v>176</v>
      </c>
      <c r="B116" s="38" t="str">
        <f>IF(INDEX(Backlog!$B$2:$B$188,MATCH($A116,Backlog!$A$2:$A$188,0))="","",INDEX(Backlog!$B$2:$B$188,MATCH($A116,Backlog!$A$2:$A$188,0)))</f>
        <v>M3</v>
      </c>
      <c r="C116" s="38" t="str">
        <f>IF(INDEX(Backlog!$C$2:$C$188,MATCH($A116,Backlog!$A$2:$A$188,0))="","",INDEX(Backlog!$C$2:$C$188,MATCH($A116,Backlog!$A$2:$A$188,0)))</f>
        <v>P1</v>
      </c>
      <c r="D116" s="38" t="str">
        <f>IF(INDEX(Backlog!$L$2:$L$188,MATCH($A116,Backlog!$A$2:$A$188,0))="","",INDEX(Backlog!$L$2:$L$188,MATCH($A116,Backlog!$A$2:$A$188,0)))</f>
        <v>Worker 1</v>
      </c>
      <c r="E116" s="70" t="str">
        <f>IF(INDEX(Backlog!$K$2:$K$188,MATCH($A116,Backlog!$A$2:$A$188,0))="","",INDEX(Backlog!$K$2:$K$188,MATCH($A116,Backlog!$A$2:$A$188,0)))</f>
        <v>Not Started</v>
      </c>
      <c r="F116" s="38">
        <f>IF(ISNUMBER(INDEX(Backlog!$AT$2:$AT$188,MATCH($A116,Backlog!$A$2:$A$188,0))),INDEX(Backlog!$AT$2:$AT$188,MATCH($A116,Backlog!$A$2:$A$188,0)),"")</f>
        <v>7.2</v>
      </c>
      <c r="G116" s="38" t="str">
        <f>IF(INDEX(Backlog!$M$2:$M$188,MATCH($A116,Backlog!$A$2:$A$188,0))="","",INDEX(Backlog!$M$2:$M$188,MATCH($A116,Backlog!$A$2:$A$188,0)))</f>
        <v/>
      </c>
      <c r="H116" s="38" t="str">
        <f>IF(INDEX(Backlog!$N$2:$N$188,MATCH($A116,Backlog!$A$2:$A$188,0))="","",INDEX(Backlog!$N$2:$N$188,MATCH($A116,Backlog!$A$2:$A$188,0)))</f>
        <v>T-249</v>
      </c>
      <c r="I116" s="38" t="str">
        <f>IF(INDEX(Backlog!$T$2:$T$188,MATCH($A116,Backlog!$A$2:$A$188,0))="","",INDEX(Backlog!$T$2:$T$188,MATCH($A116,Backlog!$A$2:$A$188,0)))</f>
        <v>WAIT for deployed Release 1 + real customer/site evidence. M3 sequence</v>
      </c>
      <c r="J116" s="32" t="str">
        <f>IF(INDEX(Backlog!$AN$2:$AN$188,MATCH($A116,Backlog!$A$2:$A$188,0))="","",INDEX(Backlog!$AN$2:$AN$188,MATCH($A116,Backlog!$A$2:$A$188,0)))</f>
        <v/>
      </c>
    </row>
    <row r="117" spans="1:10" ht="26.1" customHeight="1">
      <c r="A117" s="38" t="s">
        <v>177</v>
      </c>
      <c r="B117" s="38" t="str">
        <f>IF(INDEX(Backlog!$B$2:$B$188,MATCH($A117,Backlog!$A$2:$A$188,0))="","",INDEX(Backlog!$B$2:$B$188,MATCH($A117,Backlog!$A$2:$A$188,0)))</f>
        <v>M3</v>
      </c>
      <c r="C117" s="38" t="str">
        <f>IF(INDEX(Backlog!$C$2:$C$188,MATCH($A117,Backlog!$A$2:$A$188,0))="","",INDEX(Backlog!$C$2:$C$188,MATCH($A117,Backlog!$A$2:$A$188,0)))</f>
        <v>P2</v>
      </c>
      <c r="D117" s="38" t="str">
        <f>IF(INDEX(Backlog!$L$2:$L$188,MATCH($A117,Backlog!$A$2:$A$188,0))="","",INDEX(Backlog!$L$2:$L$188,MATCH($A117,Backlog!$A$2:$A$188,0)))</f>
        <v>Worker 1</v>
      </c>
      <c r="E117" s="70" t="str">
        <f>IF(INDEX(Backlog!$K$2:$K$188,MATCH($A117,Backlog!$A$2:$A$188,0))="","",INDEX(Backlog!$K$2:$K$188,MATCH($A117,Backlog!$A$2:$A$188,0)))</f>
        <v>Not Started</v>
      </c>
      <c r="F117" s="38" t="str">
        <f>IF(ISNUMBER(INDEX(Backlog!$AT$2:$AT$188,MATCH($A117,Backlog!$A$2:$A$188,0))),INDEX(Backlog!$AT$2:$AT$188,MATCH($A117,Backlog!$A$2:$A$188,0)),"")</f>
        <v/>
      </c>
      <c r="G117" s="38" t="str">
        <f>IF(INDEX(Backlog!$M$2:$M$188,MATCH($A117,Backlog!$A$2:$A$188,0))="","",INDEX(Backlog!$M$2:$M$188,MATCH($A117,Backlog!$A$2:$A$188,0)))</f>
        <v>T-256</v>
      </c>
      <c r="H117" s="38" t="str">
        <f>IF(INDEX(Backlog!$N$2:$N$188,MATCH($A117,Backlog!$A$2:$A$188,0))="","",INDEX(Backlog!$N$2:$N$188,MATCH($A117,Backlog!$A$2:$A$188,0)))</f>
        <v/>
      </c>
      <c r="I117" s="38" t="str">
        <f>IF(INDEX(Backlog!$T$2:$T$188,MATCH($A117,Backlog!$A$2:$A$188,0))="","",INDEX(Backlog!$T$2:$T$188,MATCH($A117,Backlog!$A$2:$A$188,0)))</f>
        <v>Use the accepted M1 regression baseline; require empty index and clean owned paths, preserving unrelated user work. Then: Release 1 dependency order</v>
      </c>
      <c r="J117" s="32" t="str">
        <f>IF(INDEX(Backlog!$AN$2:$AN$188,MATCH($A117,Backlog!$A$2:$A$188,0))="","",INDEX(Backlog!$AN$2:$AN$188,MATCH($A117,Backlog!$A$2:$A$188,0)))</f>
        <v/>
      </c>
    </row>
    <row r="118" spans="1:10" ht="26.1" customHeight="1">
      <c r="A118" s="38" t="s">
        <v>178</v>
      </c>
      <c r="B118" s="38" t="str">
        <f>IF(INDEX(Backlog!$B$2:$B$188,MATCH($A118,Backlog!$A$2:$A$188,0))="","",INDEX(Backlog!$B$2:$B$188,MATCH($A118,Backlog!$A$2:$A$188,0)))</f>
        <v>M3</v>
      </c>
      <c r="C118" s="38" t="str">
        <f>IF(INDEX(Backlog!$C$2:$C$188,MATCH($A118,Backlog!$A$2:$A$188,0))="","",INDEX(Backlog!$C$2:$C$188,MATCH($A118,Backlog!$A$2:$A$188,0)))</f>
        <v>P2</v>
      </c>
      <c r="D118" s="38" t="str">
        <f>IF(INDEX(Backlog!$L$2:$L$188,MATCH($A118,Backlog!$A$2:$A$188,0))="","",INDEX(Backlog!$L$2:$L$188,MATCH($A118,Backlog!$A$2:$A$188,0)))</f>
        <v>Worker 1</v>
      </c>
      <c r="E118" s="70" t="str">
        <f>IF(INDEX(Backlog!$K$2:$K$188,MATCH($A118,Backlog!$A$2:$A$188,0))="","",INDEX(Backlog!$K$2:$K$188,MATCH($A118,Backlog!$A$2:$A$188,0)))</f>
        <v>Not Started</v>
      </c>
      <c r="F118" s="38">
        <f>IF(ISNUMBER(INDEX(Backlog!$AT$2:$AT$188,MATCH($A118,Backlog!$A$2:$A$188,0))),INDEX(Backlog!$AT$2:$AT$188,MATCH($A118,Backlog!$A$2:$A$188,0)),"")</f>
        <v>0.89999999999999991</v>
      </c>
      <c r="G118" s="38" t="str">
        <f>IF(INDEX(Backlog!$M$2:$M$188,MATCH($A118,Backlog!$A$2:$A$188,0))="","",INDEX(Backlog!$M$2:$M$188,MATCH($A118,Backlog!$A$2:$A$188,0)))</f>
        <v/>
      </c>
      <c r="H118" s="38" t="str">
        <f>IF(INDEX(Backlog!$N$2:$N$188,MATCH($A118,Backlog!$A$2:$A$188,0))="","",INDEX(Backlog!$N$2:$N$188,MATCH($A118,Backlog!$A$2:$A$188,0)))</f>
        <v>T-122; T-194</v>
      </c>
      <c r="I118" s="38" t="str">
        <f>IF(INDEX(Backlog!$T$2:$T$188,MATCH($A118,Backlog!$A$2:$A$188,0))="","",INDEX(Backlog!$T$2:$T$188,MATCH($A118,Backlog!$A$2:$A$188,0)))</f>
        <v>Use the accepted M1 regression baseline; require empty index and clean owned paths, preserving unrelated user work. Then: Release 1 dependency order</v>
      </c>
      <c r="J118" s="32" t="str">
        <f>IF(INDEX(Backlog!$AN$2:$AN$188,MATCH($A118,Backlog!$A$2:$A$188,0))="","",INDEX(Backlog!$AN$2:$AN$188,MATCH($A118,Backlog!$A$2:$A$188,0)))</f>
        <v/>
      </c>
    </row>
    <row r="119" spans="1:10" ht="26.1" customHeight="1">
      <c r="A119" s="38" t="s">
        <v>179</v>
      </c>
      <c r="B119" s="38" t="str">
        <f>IF(INDEX(Backlog!$B$2:$B$188,MATCH($A119,Backlog!$A$2:$A$188,0))="","",INDEX(Backlog!$B$2:$B$188,MATCH($A119,Backlog!$A$2:$A$188,0)))</f>
        <v>M3</v>
      </c>
      <c r="C119" s="38" t="str">
        <f>IF(INDEX(Backlog!$C$2:$C$188,MATCH($A119,Backlog!$A$2:$A$188,0))="","",INDEX(Backlog!$C$2:$C$188,MATCH($A119,Backlog!$A$2:$A$188,0)))</f>
        <v>P2</v>
      </c>
      <c r="D119" s="38" t="str">
        <f>IF(INDEX(Backlog!$L$2:$L$188,MATCH($A119,Backlog!$A$2:$A$188,0))="","",INDEX(Backlog!$L$2:$L$188,MATCH($A119,Backlog!$A$2:$A$188,0)))</f>
        <v>Worker 2</v>
      </c>
      <c r="E119" s="70" t="str">
        <f>IF(INDEX(Backlog!$K$2:$K$188,MATCH($A119,Backlog!$A$2:$A$188,0))="","",INDEX(Backlog!$K$2:$K$188,MATCH($A119,Backlog!$A$2:$A$188,0)))</f>
        <v>Not Started</v>
      </c>
      <c r="F119" s="38">
        <f>IF(ISNUMBER(INDEX(Backlog!$AT$2:$AT$188,MATCH($A119,Backlog!$A$2:$A$188,0))),INDEX(Backlog!$AT$2:$AT$188,MATCH($A119,Backlog!$A$2:$A$188,0)),"")</f>
        <v>4.08</v>
      </c>
      <c r="G119" s="38" t="str">
        <f>IF(INDEX(Backlog!$M$2:$M$188,MATCH($A119,Backlog!$A$2:$A$188,0))="","",INDEX(Backlog!$M$2:$M$188,MATCH($A119,Backlog!$A$2:$A$188,0)))</f>
        <v>T-196; T-197; T-198; T-199; T-200; T-121</v>
      </c>
      <c r="H119" s="38" t="str">
        <f>IF(INDEX(Backlog!$N$2:$N$188,MATCH($A119,Backlog!$A$2:$A$188,0))="","",INDEX(Backlog!$N$2:$N$188,MATCH($A119,Backlog!$A$2:$A$188,0)))</f>
        <v>T-194</v>
      </c>
      <c r="I119" s="38" t="str">
        <f>IF(INDEX(Backlog!$T$2:$T$188,MATCH($A119,Backlog!$A$2:$A$188,0))="","",INDEX(Backlog!$T$2:$T$188,MATCH($A119,Backlog!$A$2:$A$188,0)))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All Release 1 canonical-core/user-visible owners complete, including T-196/T-197/T-...</v>
      </c>
      <c r="J119" s="32" t="str">
        <f>IF(INDEX(Backlog!$AN$2:$AN$188,MATCH($A119,Backlog!$A$2:$A$188,0))="","",INDEX(Backlog!$AN$2:$AN$188,MATCH($A119,Backlog!$A$2:$A$188,0)))</f>
        <v/>
      </c>
    </row>
    <row r="120" spans="1:10" ht="26.1" customHeight="1">
      <c r="A120" s="38" t="s">
        <v>180</v>
      </c>
      <c r="B120" s="38" t="str">
        <f>IF(INDEX(Backlog!$B$2:$B$188,MATCH($A120,Backlog!$A$2:$A$188,0))="","",INDEX(Backlog!$B$2:$B$188,MATCH($A120,Backlog!$A$2:$A$188,0)))</f>
        <v>M3</v>
      </c>
      <c r="C120" s="38" t="str">
        <f>IF(INDEX(Backlog!$C$2:$C$188,MATCH($A120,Backlog!$A$2:$A$188,0))="","",INDEX(Backlog!$C$2:$C$188,MATCH($A120,Backlog!$A$2:$A$188,0)))</f>
        <v>P2</v>
      </c>
      <c r="D120" s="38" t="str">
        <f>IF(INDEX(Backlog!$L$2:$L$188,MATCH($A120,Backlog!$A$2:$A$188,0))="","",INDEX(Backlog!$L$2:$L$188,MATCH($A120,Backlog!$A$2:$A$188,0)))</f>
        <v>Worker 2</v>
      </c>
      <c r="E120" s="70" t="str">
        <f>IF(INDEX(Backlog!$K$2:$K$188,MATCH($A120,Backlog!$A$2:$A$188,0))="","",INDEX(Backlog!$K$2:$K$188,MATCH($A120,Backlog!$A$2:$A$188,0)))</f>
        <v>Not Started</v>
      </c>
      <c r="F120" s="38">
        <f>IF(ISNUMBER(INDEX(Backlog!$AT$2:$AT$188,MATCH($A120,Backlog!$A$2:$A$188,0))),INDEX(Backlog!$AT$2:$AT$188,MATCH($A120,Backlog!$A$2:$A$188,0)),"")</f>
        <v>1</v>
      </c>
      <c r="G120" s="38" t="str">
        <f>IF(INDEX(Backlog!$M$2:$M$188,MATCH($A120,Backlog!$A$2:$A$188,0))="","",INDEX(Backlog!$M$2:$M$188,MATCH($A120,Backlog!$A$2:$A$188,0)))</f>
        <v/>
      </c>
      <c r="H120" s="38" t="str">
        <f>IF(INDEX(Backlog!$N$2:$N$188,MATCH($A120,Backlog!$A$2:$A$188,0))="","",INDEX(Backlog!$N$2:$N$188,MATCH($A120,Backlog!$A$2:$A$188,0)))</f>
        <v/>
      </c>
      <c r="I120" s="38" t="str">
        <f>IF(INDEX(Backlog!$T$2:$T$188,MATCH($A120,Backlog!$A$2:$A$188,0))="","",INDEX(Backlog!$T$2:$T$188,MATCH($A120,Backlog!$A$2:$A$188,0)))</f>
        <v>M1 continuity frozen</v>
      </c>
      <c r="J120" s="32" t="str">
        <f>IF(INDEX(Backlog!$AN$2:$AN$188,MATCH($A120,Backlog!$A$2:$A$188,0))="","",INDEX(Backlog!$AN$2:$AN$188,MATCH($A120,Backlog!$A$2:$A$188,0)))</f>
        <v/>
      </c>
    </row>
    <row r="121" spans="1:10" ht="26.1" customHeight="1">
      <c r="A121" s="38" t="s">
        <v>181</v>
      </c>
      <c r="B121" s="38" t="str">
        <f>IF(INDEX(Backlog!$B$2:$B$188,MATCH($A121,Backlog!$A$2:$A$188,0))="","",INDEX(Backlog!$B$2:$B$188,MATCH($A121,Backlog!$A$2:$A$188,0)))</f>
        <v>M3</v>
      </c>
      <c r="C121" s="38" t="str">
        <f>IF(INDEX(Backlog!$C$2:$C$188,MATCH($A121,Backlog!$A$2:$A$188,0))="","",INDEX(Backlog!$C$2:$C$188,MATCH($A121,Backlog!$A$2:$A$188,0)))</f>
        <v>P2</v>
      </c>
      <c r="D121" s="38" t="str">
        <f>IF(INDEX(Backlog!$L$2:$L$188,MATCH($A121,Backlog!$A$2:$A$188,0))="","",INDEX(Backlog!$L$2:$L$188,MATCH($A121,Backlog!$A$2:$A$188,0)))</f>
        <v>Worker 1</v>
      </c>
      <c r="E121" s="70" t="str">
        <f>IF(INDEX(Backlog!$K$2:$K$188,MATCH($A121,Backlog!$A$2:$A$188,0))="","",INDEX(Backlog!$K$2:$K$188,MATCH($A121,Backlog!$A$2:$A$188,0)))</f>
        <v>Not Started</v>
      </c>
      <c r="F121" s="38">
        <f>IF(ISNUMBER(INDEX(Backlog!$AT$2:$AT$188,MATCH($A121,Backlog!$A$2:$A$188,0))),INDEX(Backlog!$AT$2:$AT$188,MATCH($A121,Backlog!$A$2:$A$188,0)),"")</f>
        <v>7.2</v>
      </c>
      <c r="G121" s="38" t="str">
        <f>IF(INDEX(Backlog!$M$2:$M$188,MATCH($A121,Backlog!$A$2:$A$188,0))="","",INDEX(Backlog!$M$2:$M$188,MATCH($A121,Backlog!$A$2:$A$188,0)))</f>
        <v/>
      </c>
      <c r="H121" s="38" t="str">
        <f>IF(INDEX(Backlog!$N$2:$N$188,MATCH($A121,Backlog!$A$2:$A$188,0))="","",INDEX(Backlog!$N$2:$N$188,MATCH($A121,Backlog!$A$2:$A$188,0)))</f>
        <v>T-249</v>
      </c>
      <c r="I121" s="38" t="str">
        <f>IF(INDEX(Backlog!$T$2:$T$188,MATCH($A121,Backlog!$A$2:$A$188,0))="","",INDEX(Backlog!$T$2:$T$188,MATCH($A121,Backlog!$A$2:$A$188,0)))</f>
        <v>WAIT for deployed Release 1 + real customer/site evidence. M3 sequence</v>
      </c>
      <c r="J121" s="32" t="str">
        <f>IF(INDEX(Backlog!$AN$2:$AN$188,MATCH($A121,Backlog!$A$2:$A$188,0))="","",INDEX(Backlog!$AN$2:$AN$188,MATCH($A121,Backlog!$A$2:$A$188,0)))</f>
        <v/>
      </c>
    </row>
    <row r="122" spans="1:10" ht="26.1" customHeight="1">
      <c r="A122" s="38" t="s">
        <v>182</v>
      </c>
      <c r="B122" s="38" t="str">
        <f>IF(INDEX(Backlog!$B$2:$B$188,MATCH($A122,Backlog!$A$2:$A$188,0))="","",INDEX(Backlog!$B$2:$B$188,MATCH($A122,Backlog!$A$2:$A$188,0)))</f>
        <v>M3</v>
      </c>
      <c r="C122" s="38" t="str">
        <f>IF(INDEX(Backlog!$C$2:$C$188,MATCH($A122,Backlog!$A$2:$A$188,0))="","",INDEX(Backlog!$C$2:$C$188,MATCH($A122,Backlog!$A$2:$A$188,0)))</f>
        <v>P2</v>
      </c>
      <c r="D122" s="38" t="str">
        <f>IF(INDEX(Backlog!$L$2:$L$188,MATCH($A122,Backlog!$A$2:$A$188,0))="","",INDEX(Backlog!$L$2:$L$188,MATCH($A122,Backlog!$A$2:$A$188,0)))</f>
        <v>Worker 1</v>
      </c>
      <c r="E122" s="70" t="str">
        <f>IF(INDEX(Backlog!$K$2:$K$188,MATCH($A122,Backlog!$A$2:$A$188,0))="","",INDEX(Backlog!$K$2:$K$188,MATCH($A122,Backlog!$A$2:$A$188,0)))</f>
        <v>Not Started</v>
      </c>
      <c r="F122" s="38">
        <f>IF(ISNUMBER(INDEX(Backlog!$AT$2:$AT$188,MATCH($A122,Backlog!$A$2:$A$188,0))),INDEX(Backlog!$AT$2:$AT$188,MATCH($A122,Backlog!$A$2:$A$188,0)),"")</f>
        <v>7.2</v>
      </c>
      <c r="G122" s="38" t="str">
        <f>IF(INDEX(Backlog!$M$2:$M$188,MATCH($A122,Backlog!$A$2:$A$188,0))="","",INDEX(Backlog!$M$2:$M$188,MATCH($A122,Backlog!$A$2:$A$188,0)))</f>
        <v/>
      </c>
      <c r="H122" s="38" t="str">
        <f>IF(INDEX(Backlog!$N$2:$N$188,MATCH($A122,Backlog!$A$2:$A$188,0))="","",INDEX(Backlog!$N$2:$N$188,MATCH($A122,Backlog!$A$2:$A$188,0)))</f>
        <v>T-249</v>
      </c>
      <c r="I122" s="38" t="str">
        <f>IF(INDEX(Backlog!$T$2:$T$188,MATCH($A122,Backlog!$A$2:$A$188,0))="","",INDEX(Backlog!$T$2:$T$188,MATCH($A122,Backlog!$A$2:$A$188,0)))</f>
        <v>WAIT for deployed Release 1 + real customer/site evidence. M3 sequence</v>
      </c>
      <c r="J122" s="32" t="str">
        <f>IF(INDEX(Backlog!$AN$2:$AN$188,MATCH($A122,Backlog!$A$2:$A$188,0))="","",INDEX(Backlog!$AN$2:$AN$188,MATCH($A122,Backlog!$A$2:$A$188,0)))</f>
        <v/>
      </c>
    </row>
    <row r="123" spans="1:10" ht="26.1" customHeight="1">
      <c r="A123" s="38" t="s">
        <v>183</v>
      </c>
      <c r="B123" s="38" t="str">
        <f>IF(INDEX(Backlog!$B$2:$B$188,MATCH($A123,Backlog!$A$2:$A$188,0))="","",INDEX(Backlog!$B$2:$B$188,MATCH($A123,Backlog!$A$2:$A$188,0)))</f>
        <v>M3</v>
      </c>
      <c r="C123" s="38" t="str">
        <f>IF(INDEX(Backlog!$C$2:$C$188,MATCH($A123,Backlog!$A$2:$A$188,0))="","",INDEX(Backlog!$C$2:$C$188,MATCH($A123,Backlog!$A$2:$A$188,0)))</f>
        <v>P2</v>
      </c>
      <c r="D123" s="38" t="str">
        <f>IF(INDEX(Backlog!$L$2:$L$188,MATCH($A123,Backlog!$A$2:$A$188,0))="","",INDEX(Backlog!$L$2:$L$188,MATCH($A123,Backlog!$A$2:$A$188,0)))</f>
        <v>Worker 1</v>
      </c>
      <c r="E123" s="70" t="str">
        <f>IF(INDEX(Backlog!$K$2:$K$188,MATCH($A123,Backlog!$A$2:$A$188,0))="","",INDEX(Backlog!$K$2:$K$188,MATCH($A123,Backlog!$A$2:$A$188,0)))</f>
        <v>Not Started</v>
      </c>
      <c r="F123" s="38">
        <f>IF(ISNUMBER(INDEX(Backlog!$AT$2:$AT$188,MATCH($A123,Backlog!$A$2:$A$188,0))),INDEX(Backlog!$AT$2:$AT$188,MATCH($A123,Backlog!$A$2:$A$188,0)),"")</f>
        <v>0.89999999999999991</v>
      </c>
      <c r="G123" s="38" t="str">
        <f>IF(INDEX(Backlog!$M$2:$M$188,MATCH($A123,Backlog!$A$2:$A$188,0))="","",INDEX(Backlog!$M$2:$M$188,MATCH($A123,Backlog!$A$2:$A$188,0)))</f>
        <v>T-117; T-127</v>
      </c>
      <c r="H123" s="38" t="str">
        <f>IF(INDEX(Backlog!$N$2:$N$188,MATCH($A123,Backlog!$A$2:$A$188,0))="","",INDEX(Backlog!$N$2:$N$188,MATCH($A123,Backlog!$A$2:$A$188,0)))</f>
        <v/>
      </c>
      <c r="I123" s="38" t="str">
        <f>IF(INDEX(Backlog!$T$2:$T$188,MATCH($A123,Backlog!$A$2:$A$188,0))="","",INDEX(Backlog!$T$2:$T$188,MATCH($A123,Backlog!$A$2:$A$188,0)))</f>
        <v>Use the accepted M1 regression baseline; require empty index and clean owned paths, preserving unrelated user work. Then: T-117 + T-127</v>
      </c>
      <c r="J123" s="32" t="str">
        <f>IF(INDEX(Backlog!$AN$2:$AN$188,MATCH($A123,Backlog!$A$2:$A$188,0))="","",INDEX(Backlog!$AN$2:$AN$188,MATCH($A123,Backlog!$A$2:$A$188,0)))</f>
        <v/>
      </c>
    </row>
    <row r="124" spans="1:10" ht="26.1" customHeight="1">
      <c r="A124" s="38" t="s">
        <v>184</v>
      </c>
      <c r="B124" s="38" t="str">
        <f>IF(INDEX(Backlog!$B$2:$B$188,MATCH($A124,Backlog!$A$2:$A$188,0))="","",INDEX(Backlog!$B$2:$B$188,MATCH($A124,Backlog!$A$2:$A$188,0)))</f>
        <v>M3</v>
      </c>
      <c r="C124" s="38" t="str">
        <f>IF(INDEX(Backlog!$C$2:$C$188,MATCH($A124,Backlog!$A$2:$A$188,0))="","",INDEX(Backlog!$C$2:$C$188,MATCH($A124,Backlog!$A$2:$A$188,0)))</f>
        <v>P2</v>
      </c>
      <c r="D124" s="38" t="str">
        <f>IF(INDEX(Backlog!$L$2:$L$188,MATCH($A124,Backlog!$A$2:$A$188,0))="","",INDEX(Backlog!$L$2:$L$188,MATCH($A124,Backlog!$A$2:$A$188,0)))</f>
        <v>Worker 2</v>
      </c>
      <c r="E124" s="70" t="str">
        <f>IF(INDEX(Backlog!$K$2:$K$188,MATCH($A124,Backlog!$A$2:$A$188,0))="","",INDEX(Backlog!$K$2:$K$188,MATCH($A124,Backlog!$A$2:$A$188,0)))</f>
        <v>Not Started</v>
      </c>
      <c r="F124" s="38">
        <f>IF(ISNUMBER(INDEX(Backlog!$AT$2:$AT$188,MATCH($A124,Backlog!$A$2:$A$188,0))),INDEX(Backlog!$AT$2:$AT$188,MATCH($A124,Backlog!$A$2:$A$188,0)),"")</f>
        <v>1.3333333333333333</v>
      </c>
      <c r="G124" s="38" t="str">
        <f>IF(INDEX(Backlog!$M$2:$M$188,MATCH($A124,Backlog!$A$2:$A$188,0))="","",INDEX(Backlog!$M$2:$M$188,MATCH($A124,Backlog!$A$2:$A$188,0)))</f>
        <v>T-087; T-094; T-095</v>
      </c>
      <c r="H124" s="38" t="str">
        <f>IF(INDEX(Backlog!$N$2:$N$188,MATCH($A124,Backlog!$A$2:$A$188,0))="","",INDEX(Backlog!$N$2:$N$188,MATCH($A124,Backlog!$A$2:$A$188,0)))</f>
        <v>T-127</v>
      </c>
      <c r="I124" s="38" t="str">
        <f>IF(INDEX(Backlog!$T$2:$T$188,MATCH($A124,Backlog!$A$2:$A$188,0))="","",INDEX(Backlog!$T$2:$T$188,MATCH($A124,Backlog!$A$2:$A$188,0)))</f>
        <v>Use the accepted M1 regression baseline; require empty index and clean owned paths, preserving unrelated user work. Then: T-087 + T-094 + T-095</v>
      </c>
      <c r="J124" s="32" t="str">
        <f>IF(INDEX(Backlog!$AN$2:$AN$188,MATCH($A124,Backlog!$A$2:$A$188,0))="","",INDEX(Backlog!$AN$2:$AN$188,MATCH($A124,Backlog!$A$2:$A$188,0)))</f>
        <v/>
      </c>
    </row>
    <row r="125" spans="1:10" ht="26.1" customHeight="1">
      <c r="A125" s="38" t="s">
        <v>185</v>
      </c>
      <c r="B125" s="38" t="str">
        <f>IF(INDEX(Backlog!$B$2:$B$188,MATCH($A125,Backlog!$A$2:$A$188,0))="","",INDEX(Backlog!$B$2:$B$188,MATCH($A125,Backlog!$A$2:$A$188,0)))</f>
        <v>M3</v>
      </c>
      <c r="C125" s="38" t="str">
        <f>IF(INDEX(Backlog!$C$2:$C$188,MATCH($A125,Backlog!$A$2:$A$188,0))="","",INDEX(Backlog!$C$2:$C$188,MATCH($A125,Backlog!$A$2:$A$188,0)))</f>
        <v>P2</v>
      </c>
      <c r="D125" s="38" t="str">
        <f>IF(INDEX(Backlog!$L$2:$L$188,MATCH($A125,Backlog!$A$2:$A$188,0))="","",INDEX(Backlog!$L$2:$L$188,MATCH($A125,Backlog!$A$2:$A$188,0)))</f>
        <v>Worker 2</v>
      </c>
      <c r="E125" s="70" t="str">
        <f>IF(INDEX(Backlog!$K$2:$K$188,MATCH($A125,Backlog!$A$2:$A$188,0))="","",INDEX(Backlog!$K$2:$K$188,MATCH($A125,Backlog!$A$2:$A$188,0)))</f>
        <v>Not Started</v>
      </c>
      <c r="F125" s="38">
        <f>IF(ISNUMBER(INDEX(Backlog!$AT$2:$AT$188,MATCH($A125,Backlog!$A$2:$A$188,0))),INDEX(Backlog!$AT$2:$AT$188,MATCH($A125,Backlog!$A$2:$A$188,0)),"")</f>
        <v>2.285714285714286</v>
      </c>
      <c r="G125" s="38" t="str">
        <f>IF(INDEX(Backlog!$M$2:$M$188,MATCH($A125,Backlog!$A$2:$A$188,0))="","",INDEX(Backlog!$M$2:$M$188,MATCH($A125,Backlog!$A$2:$A$188,0)))</f>
        <v>T-119; T-198</v>
      </c>
      <c r="H125" s="38" t="str">
        <f>IF(INDEX(Backlog!$N$2:$N$188,MATCH($A125,Backlog!$A$2:$A$188,0))="","",INDEX(Backlog!$N$2:$N$188,MATCH($A125,Backlog!$A$2:$A$188,0)))</f>
        <v>T-127</v>
      </c>
      <c r="I125" s="38" t="str">
        <f>IF(INDEX(Backlog!$T$2:$T$188,MATCH($A125,Backlog!$A$2:$A$188,0))="","",INDEX(Backlog!$T$2:$T$188,MATCH($A125,Backlog!$A$2:$A$188,0)))</f>
        <v>Use the accepted M1 regression baseline; require empty index and clean owned paths, preserving unrelated user work. Then: T-119 + T-198</v>
      </c>
      <c r="J125" s="32" t="str">
        <f>IF(INDEX(Backlog!$AN$2:$AN$188,MATCH($A125,Backlog!$A$2:$A$188,0))="","",INDEX(Backlog!$AN$2:$AN$188,MATCH($A125,Backlog!$A$2:$A$188,0)))</f>
        <v/>
      </c>
    </row>
    <row r="126" spans="1:10" ht="26.1" customHeight="1">
      <c r="A126" s="38" t="s">
        <v>186</v>
      </c>
      <c r="B126" s="38" t="str">
        <f>IF(INDEX(Backlog!$B$2:$B$188,MATCH($A126,Backlog!$A$2:$A$188,0))="","",INDEX(Backlog!$B$2:$B$188,MATCH($A126,Backlog!$A$2:$A$188,0)))</f>
        <v>M3</v>
      </c>
      <c r="C126" s="38" t="str">
        <f>IF(INDEX(Backlog!$C$2:$C$188,MATCH($A126,Backlog!$A$2:$A$188,0))="","",INDEX(Backlog!$C$2:$C$188,MATCH($A126,Backlog!$A$2:$A$188,0)))</f>
        <v>P2</v>
      </c>
      <c r="D126" s="38" t="str">
        <f>IF(INDEX(Backlog!$L$2:$L$188,MATCH($A126,Backlog!$A$2:$A$188,0))="","",INDEX(Backlog!$L$2:$L$188,MATCH($A126,Backlog!$A$2:$A$188,0)))</f>
        <v>Worker 2</v>
      </c>
      <c r="E126" s="70" t="str">
        <f>IF(INDEX(Backlog!$K$2:$K$188,MATCH($A126,Backlog!$A$2:$A$188,0))="","",INDEX(Backlog!$K$2:$K$188,MATCH($A126,Backlog!$A$2:$A$188,0)))</f>
        <v>Not Started</v>
      </c>
      <c r="F126" s="38">
        <f>IF(ISNUMBER(INDEX(Backlog!$AT$2:$AT$188,MATCH($A126,Backlog!$A$2:$A$188,0))),INDEX(Backlog!$AT$2:$AT$188,MATCH($A126,Backlog!$A$2:$A$188,0)),"")</f>
        <v>2.7428571428571429</v>
      </c>
      <c r="G126" s="38" t="str">
        <f>IF(INDEX(Backlog!$M$2:$M$188,MATCH($A126,Backlog!$A$2:$A$188,0))="","",INDEX(Backlog!$M$2:$M$188,MATCH($A126,Backlog!$A$2:$A$188,0)))</f>
        <v>T-112; T-114; T-119</v>
      </c>
      <c r="H126" s="38" t="str">
        <f>IF(INDEX(Backlog!$N$2:$N$188,MATCH($A126,Backlog!$A$2:$A$188,0))="","",INDEX(Backlog!$N$2:$N$188,MATCH($A126,Backlog!$A$2:$A$188,0)))</f>
        <v>T-127; T-197; T-199</v>
      </c>
      <c r="I126" s="38" t="str">
        <f>IF(INDEX(Backlog!$T$2:$T$188,MATCH($A126,Backlog!$A$2:$A$188,0))="","",INDEX(Backlog!$T$2:$T$188,MATCH($A126,Backlog!$A$2:$A$188,0)))</f>
        <v>Use the accepted M1 regression baseline; require empty index and clean owned paths, preserving unrelated user work. Then: T-112 + T-114 + T-119</v>
      </c>
      <c r="J126" s="32" t="str">
        <f>IF(INDEX(Backlog!$AN$2:$AN$188,MATCH($A126,Backlog!$A$2:$A$188,0))="","",INDEX(Backlog!$AN$2:$AN$188,MATCH($A126,Backlog!$A$2:$A$188,0)))</f>
        <v/>
      </c>
    </row>
    <row r="127" spans="1:10" ht="26.1" customHeight="1">
      <c r="A127" s="38" t="s">
        <v>187</v>
      </c>
      <c r="B127" s="38" t="str">
        <f>IF(INDEX(Backlog!$B$2:$B$188,MATCH($A127,Backlog!$A$2:$A$188,0))="","",INDEX(Backlog!$B$2:$B$188,MATCH($A127,Backlog!$A$2:$A$188,0)))</f>
        <v>M3</v>
      </c>
      <c r="C127" s="38" t="str">
        <f>IF(INDEX(Backlog!$C$2:$C$188,MATCH($A127,Backlog!$A$2:$A$188,0))="","",INDEX(Backlog!$C$2:$C$188,MATCH($A127,Backlog!$A$2:$A$188,0)))</f>
        <v>P2</v>
      </c>
      <c r="D127" s="38" t="str">
        <f>IF(INDEX(Backlog!$L$2:$L$188,MATCH($A127,Backlog!$A$2:$A$188,0))="","",INDEX(Backlog!$L$2:$L$188,MATCH($A127,Backlog!$A$2:$A$188,0)))</f>
        <v>Worker 2</v>
      </c>
      <c r="E127" s="70" t="str">
        <f>IF(INDEX(Backlog!$K$2:$K$188,MATCH($A127,Backlog!$A$2:$A$188,0))="","",INDEX(Backlog!$K$2:$K$188,MATCH($A127,Backlog!$A$2:$A$188,0)))</f>
        <v>Not Started</v>
      </c>
      <c r="F127" s="38">
        <f>IF(ISNUMBER(INDEX(Backlog!$AT$2:$AT$188,MATCH($A127,Backlog!$A$2:$A$188,0))),INDEX(Backlog!$AT$2:$AT$188,MATCH($A127,Backlog!$A$2:$A$188,0)),"")</f>
        <v>2.7428571428571429</v>
      </c>
      <c r="G127" s="38" t="str">
        <f>IF(INDEX(Backlog!$M$2:$M$188,MATCH($A127,Backlog!$A$2:$A$188,0))="","",INDEX(Backlog!$M$2:$M$188,MATCH($A127,Backlog!$A$2:$A$188,0)))</f>
        <v>T-124; T-198</v>
      </c>
      <c r="H127" s="38" t="str">
        <f>IF(INDEX(Backlog!$N$2:$N$188,MATCH($A127,Backlog!$A$2:$A$188,0))="","",INDEX(Backlog!$N$2:$N$188,MATCH($A127,Backlog!$A$2:$A$188,0)))</f>
        <v>T-127</v>
      </c>
      <c r="I127" s="38" t="str">
        <f>IF(INDEX(Backlog!$T$2:$T$188,MATCH($A127,Backlog!$A$2:$A$188,0))="","",INDEX(Backlog!$T$2:$T$188,MATCH($A127,Backlog!$A$2:$A$188,0)))</f>
        <v>Use the accepted M1 regression baseline; require empty index and clean owned paths, preserving unrelated user work. Then: T-124 + T-198</v>
      </c>
      <c r="J127" s="32" t="str">
        <f>IF(INDEX(Backlog!$AN$2:$AN$188,MATCH($A127,Backlog!$A$2:$A$188,0))="","",INDEX(Backlog!$AN$2:$AN$188,MATCH($A127,Backlog!$A$2:$A$188,0)))</f>
        <v/>
      </c>
    </row>
    <row r="128" spans="1:10" ht="26.1" customHeight="1">
      <c r="A128" s="38" t="s">
        <v>188</v>
      </c>
      <c r="B128" s="38" t="str">
        <f>IF(INDEX(Backlog!$B$2:$B$188,MATCH($A128,Backlog!$A$2:$A$188,0))="","",INDEX(Backlog!$B$2:$B$188,MATCH($A128,Backlog!$A$2:$A$188,0)))</f>
        <v>M3</v>
      </c>
      <c r="C128" s="38" t="str">
        <f>IF(INDEX(Backlog!$C$2:$C$188,MATCH($A128,Backlog!$A$2:$A$188,0))="","",INDEX(Backlog!$C$2:$C$188,MATCH($A128,Backlog!$A$2:$A$188,0)))</f>
        <v>P2</v>
      </c>
      <c r="D128" s="38" t="str">
        <f>IF(INDEX(Backlog!$L$2:$L$188,MATCH($A128,Backlog!$A$2:$A$188,0))="","",INDEX(Backlog!$L$2:$L$188,MATCH($A128,Backlog!$A$2:$A$188,0)))</f>
        <v>Worker 2</v>
      </c>
      <c r="E128" s="70" t="str">
        <f>IF(INDEX(Backlog!$K$2:$K$188,MATCH($A128,Backlog!$A$2:$A$188,0))="","",INDEX(Backlog!$K$2:$K$188,MATCH($A128,Backlog!$A$2:$A$188,0)))</f>
        <v>Not Started</v>
      </c>
      <c r="F128" s="38">
        <f>IF(ISNUMBER(INDEX(Backlog!$AT$2:$AT$188,MATCH($A128,Backlog!$A$2:$A$188,0))),INDEX(Backlog!$AT$2:$AT$188,MATCH($A128,Backlog!$A$2:$A$188,0)),"")</f>
        <v>2.285714285714286</v>
      </c>
      <c r="G128" s="38" t="str">
        <f>IF(INDEX(Backlog!$M$2:$M$188,MATCH($A128,Backlog!$A$2:$A$188,0))="","",INDEX(Backlog!$M$2:$M$188,MATCH($A128,Backlog!$A$2:$A$188,0)))</f>
        <v>T-113; T-119; T-216</v>
      </c>
      <c r="H128" s="38" t="str">
        <f>IF(INDEX(Backlog!$N$2:$N$188,MATCH($A128,Backlog!$A$2:$A$188,0))="","",INDEX(Backlog!$N$2:$N$188,MATCH($A128,Backlog!$A$2:$A$188,0)))</f>
        <v>T-127</v>
      </c>
      <c r="I128" s="38" t="str">
        <f>IF(INDEX(Backlog!$T$2:$T$188,MATCH($A128,Backlog!$A$2:$A$188,0))="","",INDEX(Backlog!$T$2:$T$188,MATCH($A128,Backlog!$A$2:$A$188,0)))</f>
        <v>Use the accepted M1 regression baseline; require empty index and clean owned paths, preserving unrelated user work. Then: T-113 + T-119</v>
      </c>
      <c r="J128" s="32" t="str">
        <f>IF(INDEX(Backlog!$AN$2:$AN$188,MATCH($A128,Backlog!$A$2:$A$188,0))="","",INDEX(Backlog!$AN$2:$AN$188,MATCH($A128,Backlog!$A$2:$A$188,0)))</f>
        <v/>
      </c>
    </row>
    <row r="129" spans="1:10" ht="26.1" customHeight="1">
      <c r="A129" s="38" t="s">
        <v>189</v>
      </c>
      <c r="B129" s="38" t="str">
        <f>IF(INDEX(Backlog!$B$2:$B$188,MATCH($A129,Backlog!$A$2:$A$188,0))="","",INDEX(Backlog!$B$2:$B$188,MATCH($A129,Backlog!$A$2:$A$188,0)))</f>
        <v>M3</v>
      </c>
      <c r="C129" s="38" t="str">
        <f>IF(INDEX(Backlog!$C$2:$C$188,MATCH($A129,Backlog!$A$2:$A$188,0))="","",INDEX(Backlog!$C$2:$C$188,MATCH($A129,Backlog!$A$2:$A$188,0)))</f>
        <v>P3</v>
      </c>
      <c r="D129" s="38" t="str">
        <f>IF(INDEX(Backlog!$L$2:$L$188,MATCH($A129,Backlog!$A$2:$A$188,0))="","",INDEX(Backlog!$L$2:$L$188,MATCH($A129,Backlog!$A$2:$A$188,0)))</f>
        <v>Worker 2</v>
      </c>
      <c r="E129" s="70" t="str">
        <f>IF(INDEX(Backlog!$K$2:$K$188,MATCH($A129,Backlog!$A$2:$A$188,0))="","",INDEX(Backlog!$K$2:$K$188,MATCH($A129,Backlog!$A$2:$A$188,0)))</f>
        <v>Not Started</v>
      </c>
      <c r="F129" s="38">
        <f>IF(ISNUMBER(INDEX(Backlog!$AT$2:$AT$188,MATCH($A129,Backlog!$A$2:$A$188,0))),INDEX(Backlog!$AT$2:$AT$188,MATCH($A129,Backlog!$A$2:$A$188,0)),"")</f>
        <v>7.2</v>
      </c>
      <c r="G129" s="38" t="str">
        <f>IF(INDEX(Backlog!$M$2:$M$188,MATCH($A129,Backlog!$A$2:$A$188,0))="","",INDEX(Backlog!$M$2:$M$188,MATCH($A129,Backlog!$A$2:$A$188,0)))</f>
        <v/>
      </c>
      <c r="H129" s="38" t="str">
        <f>IF(INDEX(Backlog!$N$2:$N$188,MATCH($A129,Backlog!$A$2:$A$188,0))="","",INDEX(Backlog!$N$2:$N$188,MATCH($A129,Backlog!$A$2:$A$188,0)))</f>
        <v/>
      </c>
      <c r="I129" s="38" t="str">
        <f>IF(INDEX(Backlog!$T$2:$T$188,MATCH($A129,Backlog!$A$2:$A$188,0))="","",INDEX(Backlog!$T$2:$T$188,MATCH($A129,Backlog!$A$2:$A$188,0)))</f>
        <v>WAIT for deployed Release 1 + real customer/site evidence. M3 sequence</v>
      </c>
      <c r="J129" s="32" t="str">
        <f>IF(INDEX(Backlog!$AN$2:$AN$188,MATCH($A129,Backlog!$A$2:$A$188,0))="","",INDEX(Backlog!$AN$2:$AN$188,MATCH($A129,Backlog!$A$2:$A$188,0)))</f>
        <v/>
      </c>
    </row>
    <row r="130" spans="1:10" ht="26.1" customHeight="1">
      <c r="A130" s="38" t="s">
        <v>190</v>
      </c>
      <c r="B130" s="38" t="str">
        <f>IF(INDEX(Backlog!$B$2:$B$188,MATCH($A130,Backlog!$A$2:$A$188,0))="","",INDEX(Backlog!$B$2:$B$188,MATCH($A130,Backlog!$A$2:$A$188,0)))</f>
        <v>M3</v>
      </c>
      <c r="C130" s="38" t="str">
        <f>IF(INDEX(Backlog!$C$2:$C$188,MATCH($A130,Backlog!$A$2:$A$188,0))="","",INDEX(Backlog!$C$2:$C$188,MATCH($A130,Backlog!$A$2:$A$188,0)))</f>
        <v>P3</v>
      </c>
      <c r="D130" s="38" t="str">
        <f>IF(INDEX(Backlog!$L$2:$L$188,MATCH($A130,Backlog!$A$2:$A$188,0))="","",INDEX(Backlog!$L$2:$L$188,MATCH($A130,Backlog!$A$2:$A$188,0)))</f>
        <v>Worker 2</v>
      </c>
      <c r="E130" s="70" t="str">
        <f>IF(INDEX(Backlog!$K$2:$K$188,MATCH($A130,Backlog!$A$2:$A$188,0))="","",INDEX(Backlog!$K$2:$K$188,MATCH($A130,Backlog!$A$2:$A$188,0)))</f>
        <v>Not Started</v>
      </c>
      <c r="F130" s="38">
        <f>IF(ISNUMBER(INDEX(Backlog!$AT$2:$AT$188,MATCH($A130,Backlog!$A$2:$A$188,0))),INDEX(Backlog!$AT$2:$AT$188,MATCH($A130,Backlog!$A$2:$A$188,0)),"")</f>
        <v>7.2</v>
      </c>
      <c r="G130" s="38" t="str">
        <f>IF(INDEX(Backlog!$M$2:$M$188,MATCH($A130,Backlog!$A$2:$A$188,0))="","",INDEX(Backlog!$M$2:$M$188,MATCH($A130,Backlog!$A$2:$A$188,0)))</f>
        <v/>
      </c>
      <c r="H130" s="38" t="str">
        <f>IF(INDEX(Backlog!$N$2:$N$188,MATCH($A130,Backlog!$A$2:$A$188,0))="","",INDEX(Backlog!$N$2:$N$188,MATCH($A130,Backlog!$A$2:$A$188,0)))</f>
        <v/>
      </c>
      <c r="I130" s="38" t="str">
        <f>IF(INDEX(Backlog!$T$2:$T$188,MATCH($A130,Backlog!$A$2:$A$188,0))="","",INDEX(Backlog!$T$2:$T$188,MATCH($A130,Backlog!$A$2:$A$188,0)))</f>
        <v>WAIT for deployed Release 1 + real customer/site evidence. M3 sequence</v>
      </c>
      <c r="J130" s="32" t="str">
        <f>IF(INDEX(Backlog!$AN$2:$AN$188,MATCH($A130,Backlog!$A$2:$A$188,0))="","",INDEX(Backlog!$AN$2:$AN$188,MATCH($A130,Backlog!$A$2:$A$188,0)))</f>
        <v/>
      </c>
    </row>
    <row r="131" spans="1:10" ht="26.1" customHeight="1">
      <c r="A131" s="38" t="s">
        <v>191</v>
      </c>
      <c r="B131" s="38" t="str">
        <f>IF(INDEX(Backlog!$B$2:$B$188,MATCH($A131,Backlog!$A$2:$A$188,0))="","",INDEX(Backlog!$B$2:$B$188,MATCH($A131,Backlog!$A$2:$A$188,0)))</f>
        <v>M3</v>
      </c>
      <c r="C131" s="38" t="str">
        <f>IF(INDEX(Backlog!$C$2:$C$188,MATCH($A131,Backlog!$A$2:$A$188,0))="","",INDEX(Backlog!$C$2:$C$188,MATCH($A131,Backlog!$A$2:$A$188,0)))</f>
        <v>P3</v>
      </c>
      <c r="D131" s="38" t="str">
        <f>IF(INDEX(Backlog!$L$2:$L$188,MATCH($A131,Backlog!$A$2:$A$188,0))="","",INDEX(Backlog!$L$2:$L$188,MATCH($A131,Backlog!$A$2:$A$188,0)))</f>
        <v>Worker 3</v>
      </c>
      <c r="E131" s="70" t="str">
        <f>IF(INDEX(Backlog!$K$2:$K$188,MATCH($A131,Backlog!$A$2:$A$188,0))="","",INDEX(Backlog!$K$2:$K$188,MATCH($A131,Backlog!$A$2:$A$188,0)))</f>
        <v>Not Started</v>
      </c>
      <c r="F131" s="38">
        <f>IF(ISNUMBER(INDEX(Backlog!$AT$2:$AT$188,MATCH($A131,Backlog!$A$2:$A$188,0))),INDEX(Backlog!$AT$2:$AT$188,MATCH($A131,Backlog!$A$2:$A$188,0)),"")</f>
        <v>3.2</v>
      </c>
      <c r="G131" s="38" t="str">
        <f>IF(INDEX(Backlog!$M$2:$M$188,MATCH($A131,Backlog!$A$2:$A$188,0))="","",INDEX(Backlog!$M$2:$M$188,MATCH($A131,Backlog!$A$2:$A$188,0)))</f>
        <v>T-090; T-092; T-134; T-179; T-180; T-181</v>
      </c>
      <c r="H131" s="38" t="str">
        <f>IF(INDEX(Backlog!$N$2:$N$188,MATCH($A131,Backlog!$A$2:$A$188,0))="","",INDEX(Backlog!$N$2:$N$188,MATCH($A131,Backlog!$A$2:$A$188,0)))</f>
        <v>T-229; T-248</v>
      </c>
      <c r="I131" s="38" t="str">
        <f>IF(INDEX(Backlog!$T$2:$T$188,MATCH($A131,Backlog!$A$2:$A$188,0))="","",INDEX(Backlog!$T$2:$T$188,MATCH($A131,Backlog!$A$2:$A$188,0)))</f>
        <v>After September customer RC; T-090/T-092 + T-134 + T-179..181.</v>
      </c>
      <c r="J131" s="32" t="str">
        <f>IF(INDEX(Backlog!$AN$2:$AN$188,MATCH($A131,Backlog!$A$2:$A$188,0))="","",INDEX(Backlog!$AN$2:$AN$188,MATCH($A131,Backlog!$A$2:$A$188,0)))</f>
        <v/>
      </c>
    </row>
    <row r="132" spans="1:10" ht="26.1" customHeight="1">
      <c r="A132" s="38" t="s">
        <v>192</v>
      </c>
      <c r="B132" s="38" t="str">
        <f>IF(INDEX(Backlog!$B$2:$B$188,MATCH($A132,Backlog!$A$2:$A$188,0))="","",INDEX(Backlog!$B$2:$B$188,MATCH($A132,Backlog!$A$2:$A$188,0)))</f>
        <v>M3</v>
      </c>
      <c r="C132" s="38" t="str">
        <f>IF(INDEX(Backlog!$C$2:$C$188,MATCH($A132,Backlog!$A$2:$A$188,0))="","",INDEX(Backlog!$C$2:$C$188,MATCH($A132,Backlog!$A$2:$A$188,0)))</f>
        <v>P3</v>
      </c>
      <c r="D132" s="38" t="str">
        <f>IF(INDEX(Backlog!$L$2:$L$188,MATCH($A132,Backlog!$A$2:$A$188,0))="","",INDEX(Backlog!$L$2:$L$188,MATCH($A132,Backlog!$A$2:$A$188,0)))</f>
        <v>Worker 3</v>
      </c>
      <c r="E132" s="70" t="str">
        <f>IF(INDEX(Backlog!$K$2:$K$188,MATCH($A132,Backlog!$A$2:$A$188,0))="","",INDEX(Backlog!$K$2:$K$188,MATCH($A132,Backlog!$A$2:$A$188,0)))</f>
        <v>Not Started</v>
      </c>
      <c r="F132" s="38">
        <f>IF(ISNUMBER(INDEX(Backlog!$AT$2:$AT$188,MATCH($A132,Backlog!$A$2:$A$188,0))),INDEX(Backlog!$AT$2:$AT$188,MATCH($A132,Backlog!$A$2:$A$188,0)),"")</f>
        <v>6.1714285714285708</v>
      </c>
      <c r="G132" s="38" t="str">
        <f>IF(INDEX(Backlog!$M$2:$M$188,MATCH($A132,Backlog!$A$2:$A$188,0))="","",INDEX(Backlog!$M$2:$M$188,MATCH($A132,Backlog!$A$2:$A$188,0)))</f>
        <v>T-228; T-134</v>
      </c>
      <c r="H132" s="38" t="str">
        <f>IF(INDEX(Backlog!$N$2:$N$188,MATCH($A132,Backlog!$A$2:$A$188,0))="","",INDEX(Backlog!$N$2:$N$188,MATCH($A132,Backlog!$A$2:$A$188,0)))</f>
        <v>T-230</v>
      </c>
      <c r="I132" s="38" t="str">
        <f>IF(INDEX(Backlog!$T$2:$T$188,MATCH($A132,Backlog!$A$2:$A$188,0))="","",INDEX(Backlog!$T$2:$T$188,MATCH($A132,Backlog!$A$2:$A$188,0)))</f>
        <v>T-228 + T-134 + stable Page Builder contract; coordinate UI consumption with Worker 2.</v>
      </c>
      <c r="J132" s="32" t="str">
        <f>IF(INDEX(Backlog!$AN$2:$AN$188,MATCH($A132,Backlog!$A$2:$A$188,0))="","",INDEX(Backlog!$AN$2:$AN$188,MATCH($A132,Backlog!$A$2:$A$188,0)))</f>
        <v/>
      </c>
    </row>
    <row r="133" spans="1:10" ht="26.1" customHeight="1">
      <c r="A133" s="38" t="s">
        <v>193</v>
      </c>
      <c r="B133" s="38" t="str">
        <f>IF(INDEX(Backlog!$B$2:$B$188,MATCH($A133,Backlog!$A$2:$A$188,0))="","",INDEX(Backlog!$B$2:$B$188,MATCH($A133,Backlog!$A$2:$A$188,0)))</f>
        <v>M3</v>
      </c>
      <c r="C133" s="38" t="str">
        <f>IF(INDEX(Backlog!$C$2:$C$188,MATCH($A133,Backlog!$A$2:$A$188,0))="","",INDEX(Backlog!$C$2:$C$188,MATCH($A133,Backlog!$A$2:$A$188,0)))</f>
        <v>P3</v>
      </c>
      <c r="D133" s="38" t="str">
        <f>IF(INDEX(Backlog!$L$2:$L$188,MATCH($A133,Backlog!$A$2:$A$188,0))="","",INDEX(Backlog!$L$2:$L$188,MATCH($A133,Backlog!$A$2:$A$188,0)))</f>
        <v>Worker 3</v>
      </c>
      <c r="E133" s="70" t="str">
        <f>IF(INDEX(Backlog!$K$2:$K$188,MATCH($A133,Backlog!$A$2:$A$188,0))="","",INDEX(Backlog!$K$2:$K$188,MATCH($A133,Backlog!$A$2:$A$188,0)))</f>
        <v>Not Started</v>
      </c>
      <c r="F133" s="38">
        <f>IF(ISNUMBER(INDEX(Backlog!$AT$2:$AT$188,MATCH($A133,Backlog!$A$2:$A$188,0))),INDEX(Backlog!$AT$2:$AT$188,MATCH($A133,Backlog!$A$2:$A$188,0)),"")</f>
        <v>5.0999999999999996</v>
      </c>
      <c r="G133" s="38" t="str">
        <f>IF(INDEX(Backlog!$M$2:$M$188,MATCH($A133,Backlog!$A$2:$A$188,0))="","",INDEX(Backlog!$M$2:$M$188,MATCH($A133,Backlog!$A$2:$A$188,0)))</f>
        <v>T-229; T-112; T-114</v>
      </c>
      <c r="H133" s="38" t="str">
        <f>IF(INDEX(Backlog!$N$2:$N$188,MATCH($A133,Backlog!$A$2:$A$188,0))="","",INDEX(Backlog!$N$2:$N$188,MATCH($A133,Backlog!$A$2:$A$188,0)))</f>
        <v>T-249</v>
      </c>
      <c r="I133" s="38" t="str">
        <f>IF(INDEX(Backlog!$T$2:$T$188,MATCH($A133,Backlog!$A$2:$A$188,0))="","",INDEX(Backlog!$T$2:$T$188,MATCH($A133,Backlog!$A$2:$A$188,0)))</f>
        <v>T-229 + canonical definition/evidence persistence + T-112/T-114.</v>
      </c>
      <c r="J133" s="32" t="str">
        <f>IF(INDEX(Backlog!$AN$2:$AN$188,MATCH($A133,Backlog!$A$2:$A$188,0))="","",INDEX(Backlog!$AN$2:$AN$188,MATCH($A133,Backlog!$A$2:$A$188,0)))</f>
        <v/>
      </c>
    </row>
    <row r="134" spans="1:10" ht="26.1" customHeight="1">
      <c r="A134" s="38" t="s">
        <v>194</v>
      </c>
      <c r="B134" s="38" t="str">
        <f>IF(INDEX(Backlog!$B$2:$B$188,MATCH($A134,Backlog!$A$2:$A$188,0))="","",INDEX(Backlog!$B$2:$B$188,MATCH($A134,Backlog!$A$2:$A$188,0)))</f>
        <v>M3</v>
      </c>
      <c r="C134" s="38" t="str">
        <f>IF(INDEX(Backlog!$C$2:$C$188,MATCH($A134,Backlog!$A$2:$A$188,0))="","",INDEX(Backlog!$C$2:$C$188,MATCH($A134,Backlog!$A$2:$A$188,0)))</f>
        <v>P3</v>
      </c>
      <c r="D134" s="38" t="str">
        <f>IF(INDEX(Backlog!$L$2:$L$188,MATCH($A134,Backlog!$A$2:$A$188,0))="","",INDEX(Backlog!$L$2:$L$188,MATCH($A134,Backlog!$A$2:$A$188,0)))</f>
        <v>Worker 2</v>
      </c>
      <c r="E134" s="70" t="str">
        <f>IF(INDEX(Backlog!$K$2:$K$188,MATCH($A134,Backlog!$A$2:$A$188,0))="","",INDEX(Backlog!$K$2:$K$188,MATCH($A134,Backlog!$A$2:$A$188,0)))</f>
        <v>Not Started</v>
      </c>
      <c r="F134" s="38" t="str">
        <f>IF(ISNUMBER(INDEX(Backlog!$AT$2:$AT$188,MATCH($A134,Backlog!$A$2:$A$188,0))),INDEX(Backlog!$AT$2:$AT$188,MATCH($A134,Backlog!$A$2:$A$188,0)),"")</f>
        <v/>
      </c>
      <c r="G134" s="38" t="str">
        <f>IF(INDEX(Backlog!$M$2:$M$188,MATCH($A134,Backlog!$A$2:$A$188,0))="","",INDEX(Backlog!$M$2:$M$188,MATCH($A134,Backlog!$A$2:$A$188,0)))</f>
        <v>T-148; T-202; T-203; T-204; T-205; T-228; T-241; T-243; T-244; T-245; T-257; T-267</v>
      </c>
      <c r="H134" s="38" t="str">
        <f>IF(INDEX(Backlog!$N$2:$N$188,MATCH($A134,Backlog!$A$2:$A$188,0))="","",INDEX(Backlog!$N$2:$N$188,MATCH($A134,Backlog!$A$2:$A$188,0)))</f>
        <v>T-249; T-263</v>
      </c>
      <c r="I134" s="38" t="str">
        <f>IF(INDEX(Backlog!$T$2:$T$188,MATCH($A134,Backlog!$A$2:$A$188,0))="","",INDEX(Backlog!$T$2:$T$188,MATCH($A134,Backlog!$A$2:$A$188,0)))</f>
        <v>After M2 Release 1 and InsightBoard authoring base</v>
      </c>
      <c r="J134" s="32" t="str">
        <f>IF(INDEX(Backlog!$AN$2:$AN$188,MATCH($A134,Backlog!$A$2:$A$188,0))="","",INDEX(Backlog!$AN$2:$AN$188,MATCH($A134,Backlog!$A$2:$A$188,0)))</f>
        <v/>
      </c>
    </row>
    <row r="135" spans="1:10" ht="26.1" customHeight="1">
      <c r="A135" s="38" t="s">
        <v>195</v>
      </c>
      <c r="B135" s="38" t="str">
        <f>IF(INDEX(Backlog!$B$2:$B$188,MATCH($A135,Backlog!$A$2:$A$188,0))="","",INDEX(Backlog!$B$2:$B$188,MATCH($A135,Backlog!$A$2:$A$188,0)))</f>
        <v>M3</v>
      </c>
      <c r="C135" s="38" t="str">
        <f>IF(INDEX(Backlog!$C$2:$C$188,MATCH($A135,Backlog!$A$2:$A$188,0))="","",INDEX(Backlog!$C$2:$C$188,MATCH($A135,Backlog!$A$2:$A$188,0)))</f>
        <v>P3</v>
      </c>
      <c r="D135" s="38" t="str">
        <f>IF(INDEX(Backlog!$L$2:$L$188,MATCH($A135,Backlog!$A$2:$A$188,0))="","",INDEX(Backlog!$L$2:$L$188,MATCH($A135,Backlog!$A$2:$A$188,0)))</f>
        <v>Worker 2</v>
      </c>
      <c r="E135" s="70" t="str">
        <f>IF(INDEX(Backlog!$K$2:$K$188,MATCH($A135,Backlog!$A$2:$A$188,0))="","",INDEX(Backlog!$K$2:$K$188,MATCH($A135,Backlog!$A$2:$A$188,0)))</f>
        <v>Not Started</v>
      </c>
      <c r="F135" s="38" t="str">
        <f>IF(ISNUMBER(INDEX(Backlog!$AT$2:$AT$188,MATCH($A135,Backlog!$A$2:$A$188,0))),INDEX(Backlog!$AT$2:$AT$188,MATCH($A135,Backlog!$A$2:$A$188,0)),"")</f>
        <v/>
      </c>
      <c r="G135" s="38" t="str">
        <f>IF(INDEX(Backlog!$M$2:$M$188,MATCH($A135,Backlog!$A$2:$A$188,0))="","",INDEX(Backlog!$M$2:$M$188,MATCH($A135,Backlog!$A$2:$A$188,0)))</f>
        <v>T-106; T-248</v>
      </c>
      <c r="H135" s="38" t="str">
        <f>IF(INDEX(Backlog!$N$2:$N$188,MATCH($A135,Backlog!$A$2:$A$188,0))="","",INDEX(Backlog!$N$2:$N$188,MATCH($A135,Backlog!$A$2:$A$188,0)))</f>
        <v>T-249</v>
      </c>
      <c r="I135" s="38" t="str">
        <f>IF(INDEX(Backlog!$T$2:$T$188,MATCH($A135,Backlog!$A$2:$A$188,0))="","",INDEX(Backlog!$T$2:$T$188,MATCH($A135,Backlog!$A$2:$A$188,0)))</f>
        <v>Consume accepted producer contracts; remaining dependencies: T-106; T-248. No private scheduler/definition authority. Source-present is not closure proof.</v>
      </c>
      <c r="J135" s="32" t="str">
        <f>IF(INDEX(Backlog!$AN$2:$AN$188,MATCH($A135,Backlog!$A$2:$A$188,0))="","",INDEX(Backlog!$AN$2:$AN$188,MATCH($A135,Backlog!$A$2:$A$188,0)))</f>
        <v/>
      </c>
    </row>
    <row r="136" spans="1:10" ht="26.1" customHeight="1">
      <c r="A136" s="38" t="s">
        <v>196</v>
      </c>
      <c r="B136" s="38" t="str">
        <f>IF(INDEX(Backlog!$B$2:$B$188,MATCH($A136,Backlog!$A$2:$A$188,0))="","",INDEX(Backlog!$B$2:$B$188,MATCH($A136,Backlog!$A$2:$A$188,0)))</f>
        <v>M3</v>
      </c>
      <c r="C136" s="38" t="str">
        <f>IF(INDEX(Backlog!$C$2:$C$188,MATCH($A136,Backlog!$A$2:$A$188,0))="","",INDEX(Backlog!$C$2:$C$188,MATCH($A136,Backlog!$A$2:$A$188,0)))</f>
        <v>P4</v>
      </c>
      <c r="D136" s="38" t="str">
        <f>IF(INDEX(Backlog!$L$2:$L$188,MATCH($A136,Backlog!$A$2:$A$188,0))="","",INDEX(Backlog!$L$2:$L$188,MATCH($A136,Backlog!$A$2:$A$188,0)))</f>
        <v>Worker 3</v>
      </c>
      <c r="E136" s="70" t="str">
        <f>IF(INDEX(Backlog!$K$2:$K$188,MATCH($A136,Backlog!$A$2:$A$188,0))="","",INDEX(Backlog!$K$2:$K$188,MATCH($A136,Backlog!$A$2:$A$188,0)))</f>
        <v>Not Started</v>
      </c>
      <c r="F136" s="38">
        <f>IF(ISNUMBER(INDEX(Backlog!$AT$2:$AT$188,MATCH($A136,Backlog!$A$2:$A$188,0))),INDEX(Backlog!$AT$2:$AT$188,MATCH($A136,Backlog!$A$2:$A$188,0)),"")</f>
        <v>1.5</v>
      </c>
      <c r="G136" s="38" t="str">
        <f>IF(INDEX(Backlog!$M$2:$M$188,MATCH($A136,Backlog!$A$2:$A$188,0))="","",INDEX(Backlog!$M$2:$M$188,MATCH($A136,Backlog!$A$2:$A$188,0)))</f>
        <v>T-087; T-088; T-089; T-090; T-091; T-092; T-093; T-094; T-095; T-096; T-097; T-098; T-099; T-100; T-101; T-102; T-103; T-104; T-112; T-114; T-231; T-210</v>
      </c>
      <c r="H136" s="38" t="str">
        <f>IF(INDEX(Backlog!$N$2:$N$188,MATCH($A136,Backlog!$A$2:$A$188,0))="","",INDEX(Backlog!$N$2:$N$188,MATCH($A136,Backlog!$A$2:$A$188,0)))</f>
        <v>T-129; T-130; T-131; T-135; T-146; T-147; T-184; T-186</v>
      </c>
      <c r="I136" s="38" t="str">
        <f>IF(INDEX(Backlog!$T$2:$T$188,MATCH($A136,Backlog!$A$2:$A$188,0))="","",INDEX(Backlog!$T$2:$T$188,MATCH($A136,Backlog!$A$2:$A$188,0)))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T-087..T-105 + T-112 + T-114 security/tenant hand-off. Outcome semantics from...</v>
      </c>
      <c r="J136" s="32" t="str">
        <f>IF(INDEX(Backlog!$AN$2:$AN$188,MATCH($A136,Backlog!$A$2:$A$188,0))="","",INDEX(Backlog!$AN$2:$AN$188,MATCH($A136,Backlog!$A$2:$A$188,0)))</f>
        <v/>
      </c>
    </row>
    <row r="137" spans="1:10" ht="26.1" customHeight="1">
      <c r="A137" s="38" t="s">
        <v>197</v>
      </c>
      <c r="B137" s="38" t="str">
        <f>IF(INDEX(Backlog!$B$2:$B$188,MATCH($A137,Backlog!$A$2:$A$188,0))="","",INDEX(Backlog!$B$2:$B$188,MATCH($A137,Backlog!$A$2:$A$188,0)))</f>
        <v>M3</v>
      </c>
      <c r="C137" s="38" t="str">
        <f>IF(INDEX(Backlog!$C$2:$C$188,MATCH($A137,Backlog!$A$2:$A$188,0))="","",INDEX(Backlog!$C$2:$C$188,MATCH($A137,Backlog!$A$2:$A$188,0)))</f>
        <v>P4</v>
      </c>
      <c r="D137" s="38" t="str">
        <f>IF(INDEX(Backlog!$L$2:$L$188,MATCH($A137,Backlog!$A$2:$A$188,0))="","",INDEX(Backlog!$L$2:$L$188,MATCH($A137,Backlog!$A$2:$A$188,0)))</f>
        <v>Worker 3</v>
      </c>
      <c r="E137" s="70" t="str">
        <f>IF(INDEX(Backlog!$K$2:$K$188,MATCH($A137,Backlog!$A$2:$A$188,0))="","",INDEX(Backlog!$K$2:$K$188,MATCH($A137,Backlog!$A$2:$A$188,0)))</f>
        <v>Not Started</v>
      </c>
      <c r="F137" s="38">
        <f>IF(ISNUMBER(INDEX(Backlog!$AT$2:$AT$188,MATCH($A137,Backlog!$A$2:$A$188,0))),INDEX(Backlog!$AT$2:$AT$188,MATCH($A137,Backlog!$A$2:$A$188,0)),"")</f>
        <v>1.7999999999999998</v>
      </c>
      <c r="G137" s="38" t="str">
        <f>IF(INDEX(Backlog!$M$2:$M$188,MATCH($A137,Backlog!$A$2:$A$188,0))="","",INDEX(Backlog!$M$2:$M$188,MATCH($A137,Backlog!$A$2:$A$188,0)))</f>
        <v>T-128; T-183; T-112; T-114</v>
      </c>
      <c r="H137" s="38" t="str">
        <f>IF(INDEX(Backlog!$N$2:$N$188,MATCH($A137,Backlog!$A$2:$A$188,0))="","",INDEX(Backlog!$N$2:$N$188,MATCH($A137,Backlog!$A$2:$A$188,0)))</f>
        <v>T-134; T-135; T-146; T-147; T-186; T-188</v>
      </c>
      <c r="I137" s="38" t="str">
        <f>IF(INDEX(Backlog!$T$2:$T$188,MATCH($A137,Backlog!$A$2:$A$188,0))="","",INDEX(Backlog!$T$2:$T$188,MATCH($A137,Backlog!$A$2:$A$188,0)))</f>
        <v>T-128 + T-183 + T-112 + T-114.</v>
      </c>
      <c r="J137" s="32" t="str">
        <f>IF(INDEX(Backlog!$AN$2:$AN$188,MATCH($A137,Backlog!$A$2:$A$188,0))="","",INDEX(Backlog!$AN$2:$AN$188,MATCH($A137,Backlog!$A$2:$A$188,0)))</f>
        <v/>
      </c>
    </row>
    <row r="138" spans="1:10" ht="26.1" customHeight="1">
      <c r="A138" s="38" t="s">
        <v>198</v>
      </c>
      <c r="B138" s="38" t="str">
        <f>IF(INDEX(Backlog!$B$2:$B$188,MATCH($A138,Backlog!$A$2:$A$188,0))="","",INDEX(Backlog!$B$2:$B$188,MATCH($A138,Backlog!$A$2:$A$188,0)))</f>
        <v>M3</v>
      </c>
      <c r="C138" s="38" t="str">
        <f>IF(INDEX(Backlog!$C$2:$C$188,MATCH($A138,Backlog!$A$2:$A$188,0))="","",INDEX(Backlog!$C$2:$C$188,MATCH($A138,Backlog!$A$2:$A$188,0)))</f>
        <v>P4</v>
      </c>
      <c r="D138" s="38" t="str">
        <f>IF(INDEX(Backlog!$L$2:$L$188,MATCH($A138,Backlog!$A$2:$A$188,0))="","",INDEX(Backlog!$L$2:$L$188,MATCH($A138,Backlog!$A$2:$A$188,0)))</f>
        <v>Worker 3</v>
      </c>
      <c r="E138" s="70" t="str">
        <f>IF(INDEX(Backlog!$K$2:$K$188,MATCH($A138,Backlog!$A$2:$A$188,0))="","",INDEX(Backlog!$K$2:$K$188,MATCH($A138,Backlog!$A$2:$A$188,0)))</f>
        <v>Not Started</v>
      </c>
      <c r="F138" s="38">
        <f>IF(ISNUMBER(INDEX(Backlog!$AT$2:$AT$188,MATCH($A138,Backlog!$A$2:$A$188,0))),INDEX(Backlog!$AT$2:$AT$188,MATCH($A138,Backlog!$A$2:$A$188,0)),"")</f>
        <v>1.7999999999999998</v>
      </c>
      <c r="G138" s="38" t="str">
        <f>IF(INDEX(Backlog!$M$2:$M$188,MATCH($A138,Backlog!$A$2:$A$188,0))="","",INDEX(Backlog!$M$2:$M$188,MATCH($A138,Backlog!$A$2:$A$188,0)))</f>
        <v>T-128; T-183; T-112; T-114</v>
      </c>
      <c r="H138" s="38" t="str">
        <f>IF(INDEX(Backlog!$N$2:$N$188,MATCH($A138,Backlog!$A$2:$A$188,0))="","",INDEX(Backlog!$N$2:$N$188,MATCH($A138,Backlog!$A$2:$A$188,0)))</f>
        <v>T-134; T-135; T-139; T-188; T-191; T-193; T-246</v>
      </c>
      <c r="I138" s="38" t="str">
        <f>IF(INDEX(Backlog!$T$2:$T$188,MATCH($A138,Backlog!$A$2:$A$188,0))="","",INDEX(Backlog!$T$2:$T$188,MATCH($A138,Backlog!$A$2:$A$188,0)))</f>
        <v>T-128 + T-183 + T-112 + T-114.</v>
      </c>
      <c r="J138" s="32" t="str">
        <f>IF(INDEX(Backlog!$AN$2:$AN$188,MATCH($A138,Backlog!$A$2:$A$188,0))="","",INDEX(Backlog!$AN$2:$AN$188,MATCH($A138,Backlog!$A$2:$A$188,0)))</f>
        <v/>
      </c>
    </row>
    <row r="139" spans="1:10" ht="26.1" customHeight="1">
      <c r="A139" s="38" t="s">
        <v>199</v>
      </c>
      <c r="B139" s="38" t="str">
        <f>IF(INDEX(Backlog!$B$2:$B$188,MATCH($A139,Backlog!$A$2:$A$188,0))="","",INDEX(Backlog!$B$2:$B$188,MATCH($A139,Backlog!$A$2:$A$188,0)))</f>
        <v>M3</v>
      </c>
      <c r="C139" s="38" t="str">
        <f>IF(INDEX(Backlog!$C$2:$C$188,MATCH($A139,Backlog!$A$2:$A$188,0))="","",INDEX(Backlog!$C$2:$C$188,MATCH($A139,Backlog!$A$2:$A$188,0)))</f>
        <v>P4</v>
      </c>
      <c r="D139" s="38" t="str">
        <f>IF(INDEX(Backlog!$L$2:$L$188,MATCH($A139,Backlog!$A$2:$A$188,0))="","",INDEX(Backlog!$L$2:$L$188,MATCH($A139,Backlog!$A$2:$A$188,0)))</f>
        <v>Worker 3</v>
      </c>
      <c r="E139" s="70" t="str">
        <f>IF(INDEX(Backlog!$K$2:$K$188,MATCH($A139,Backlog!$A$2:$A$188,0))="","",INDEX(Backlog!$K$2:$K$188,MATCH($A139,Backlog!$A$2:$A$188,0)))</f>
        <v>Not Started</v>
      </c>
      <c r="F139" s="38">
        <f>IF(ISNUMBER(INDEX(Backlog!$AT$2:$AT$188,MATCH($A139,Backlog!$A$2:$A$188,0))),INDEX(Backlog!$AT$2:$AT$188,MATCH($A139,Backlog!$A$2:$A$188,0)),"")</f>
        <v>1.7999999999999998</v>
      </c>
      <c r="G139" s="38" t="str">
        <f>IF(INDEX(Backlog!$M$2:$M$188,MATCH($A139,Backlog!$A$2:$A$188,0))="","",INDEX(Backlog!$M$2:$M$188,MATCH($A139,Backlog!$A$2:$A$188,0)))</f>
        <v>T-086; T-128; T-171</v>
      </c>
      <c r="H139" s="38" t="str">
        <f>IF(INDEX(Backlog!$N$2:$N$188,MATCH($A139,Backlog!$A$2:$A$188,0))="","",INDEX(Backlog!$N$2:$N$188,MATCH($A139,Backlog!$A$2:$A$188,0)))</f>
        <v>T-132; T-133; T-136; T-142; T-240</v>
      </c>
      <c r="I139" s="38" t="str">
        <f>IF(INDEX(Backlog!$T$2:$T$188,MATCH($A139,Backlog!$A$2:$A$188,0))="","",INDEX(Backlog!$T$2:$T$188,MATCH($A139,Backlog!$A$2:$A$188,0)))</f>
        <v>T-086 + T-128 + T-171</v>
      </c>
      <c r="J139" s="32" t="str">
        <f>IF(INDEX(Backlog!$AN$2:$AN$188,MATCH($A139,Backlog!$A$2:$A$188,0))="","",INDEX(Backlog!$AN$2:$AN$188,MATCH($A139,Backlog!$A$2:$A$188,0)))</f>
        <v/>
      </c>
    </row>
    <row r="140" spans="1:10" ht="26.1" customHeight="1">
      <c r="A140" s="38" t="s">
        <v>200</v>
      </c>
      <c r="B140" s="38" t="str">
        <f>IF(INDEX(Backlog!$B$2:$B$188,MATCH($A140,Backlog!$A$2:$A$188,0))="","",INDEX(Backlog!$B$2:$B$188,MATCH($A140,Backlog!$A$2:$A$188,0)))</f>
        <v>M3</v>
      </c>
      <c r="C140" s="38" t="str">
        <f>IF(INDEX(Backlog!$C$2:$C$188,MATCH($A140,Backlog!$A$2:$A$188,0))="","",INDEX(Backlog!$C$2:$C$188,MATCH($A140,Backlog!$A$2:$A$188,0)))</f>
        <v>P4</v>
      </c>
      <c r="D140" s="38" t="str">
        <f>IF(INDEX(Backlog!$L$2:$L$188,MATCH($A140,Backlog!$A$2:$A$188,0))="","",INDEX(Backlog!$L$2:$L$188,MATCH($A140,Backlog!$A$2:$A$188,0)))</f>
        <v>Worker 3</v>
      </c>
      <c r="E140" s="70" t="str">
        <f>IF(INDEX(Backlog!$K$2:$K$188,MATCH($A140,Backlog!$A$2:$A$188,0))="","",INDEX(Backlog!$K$2:$K$188,MATCH($A140,Backlog!$A$2:$A$188,0)))</f>
        <v>Not Started</v>
      </c>
      <c r="F140" s="38">
        <f>IF(ISNUMBER(INDEX(Backlog!$AT$2:$AT$188,MATCH($A140,Backlog!$A$2:$A$188,0))),INDEX(Backlog!$AT$2:$AT$188,MATCH($A140,Backlog!$A$2:$A$188,0)),"")</f>
        <v>1.7999999999999998</v>
      </c>
      <c r="G140" s="38" t="str">
        <f>IF(INDEX(Backlog!$M$2:$M$188,MATCH($A140,Backlog!$A$2:$A$188,0))="","",INDEX(Backlog!$M$2:$M$188,MATCH($A140,Backlog!$A$2:$A$188,0)))</f>
        <v>T-131</v>
      </c>
      <c r="H140" s="38" t="str">
        <f>IF(INDEX(Backlog!$N$2:$N$188,MATCH($A140,Backlog!$A$2:$A$188,0))="","",INDEX(Backlog!$N$2:$N$188,MATCH($A140,Backlog!$A$2:$A$188,0)))</f>
        <v>T-133; T-136; T-142; T-240</v>
      </c>
      <c r="I140" s="38" t="str">
        <f>IF(INDEX(Backlog!$T$2:$T$188,MATCH($A140,Backlog!$A$2:$A$188,0))="","",INDEX(Backlog!$T$2:$T$188,MATCH($A140,Backlog!$A$2:$A$188,0)))</f>
        <v>T-131</v>
      </c>
      <c r="J140" s="32" t="str">
        <f>IF(INDEX(Backlog!$AN$2:$AN$188,MATCH($A140,Backlog!$A$2:$A$188,0))="","",INDEX(Backlog!$AN$2:$AN$188,MATCH($A140,Backlog!$A$2:$A$188,0)))</f>
        <v/>
      </c>
    </row>
    <row r="141" spans="1:10" ht="26.1" customHeight="1">
      <c r="A141" s="38" t="s">
        <v>201</v>
      </c>
      <c r="B141" s="38" t="str">
        <f>IF(INDEX(Backlog!$B$2:$B$188,MATCH($A141,Backlog!$A$2:$A$188,0))="","",INDEX(Backlog!$B$2:$B$188,MATCH($A141,Backlog!$A$2:$A$188,0)))</f>
        <v>M3</v>
      </c>
      <c r="C141" s="38" t="str">
        <f>IF(INDEX(Backlog!$C$2:$C$188,MATCH($A141,Backlog!$A$2:$A$188,0))="","",INDEX(Backlog!$C$2:$C$188,MATCH($A141,Backlog!$A$2:$A$188,0)))</f>
        <v>P4</v>
      </c>
      <c r="D141" s="38" t="str">
        <f>IF(INDEX(Backlog!$L$2:$L$188,MATCH($A141,Backlog!$A$2:$A$188,0))="","",INDEX(Backlog!$L$2:$L$188,MATCH($A141,Backlog!$A$2:$A$188,0)))</f>
        <v>Worker 3</v>
      </c>
      <c r="E141" s="70" t="str">
        <f>IF(INDEX(Backlog!$K$2:$K$188,MATCH($A141,Backlog!$A$2:$A$188,0))="","",INDEX(Backlog!$K$2:$K$188,MATCH($A141,Backlog!$A$2:$A$188,0)))</f>
        <v>Not Started</v>
      </c>
      <c r="F141" s="38">
        <f>IF(ISNUMBER(INDEX(Backlog!$AT$2:$AT$188,MATCH($A141,Backlog!$A$2:$A$188,0))),INDEX(Backlog!$AT$2:$AT$188,MATCH($A141,Backlog!$A$2:$A$188,0)),"")</f>
        <v>1.7999999999999998</v>
      </c>
      <c r="G141" s="38" t="str">
        <f>IF(INDEX(Backlog!$M$2:$M$188,MATCH($A141,Backlog!$A$2:$A$188,0))="","",INDEX(Backlog!$M$2:$M$188,MATCH($A141,Backlog!$A$2:$A$188,0)))</f>
        <v>T-131; T-132; T-183</v>
      </c>
      <c r="H141" s="38" t="str">
        <f>IF(INDEX(Backlog!$N$2:$N$188,MATCH($A141,Backlog!$A$2:$A$188,0))="","",INDEX(Backlog!$N$2:$N$188,MATCH($A141,Backlog!$A$2:$A$188,0)))</f>
        <v>T-134; T-136; T-240</v>
      </c>
      <c r="I141" s="38" t="str">
        <f>IF(INDEX(Backlog!$T$2:$T$188,MATCH($A141,Backlog!$A$2:$A$188,0))="","",INDEX(Backlog!$T$2:$T$188,MATCH($A141,Backlog!$A$2:$A$188,0)))</f>
        <v>T-131 + T-132 + T-183</v>
      </c>
      <c r="J141" s="32" t="str">
        <f>IF(INDEX(Backlog!$AN$2:$AN$188,MATCH($A141,Backlog!$A$2:$A$188,0))="","",INDEX(Backlog!$AN$2:$AN$188,MATCH($A141,Backlog!$A$2:$A$188,0)))</f>
        <v/>
      </c>
    </row>
    <row r="142" spans="1:10" ht="26.1" customHeight="1">
      <c r="A142" s="38" t="s">
        <v>202</v>
      </c>
      <c r="B142" s="38" t="str">
        <f>IF(INDEX(Backlog!$B$2:$B$188,MATCH($A142,Backlog!$A$2:$A$188,0))="","",INDEX(Backlog!$B$2:$B$188,MATCH($A142,Backlog!$A$2:$A$188,0)))</f>
        <v>M3</v>
      </c>
      <c r="C142" s="38" t="str">
        <f>IF(INDEX(Backlog!$C$2:$C$188,MATCH($A142,Backlog!$A$2:$A$188,0))="","",INDEX(Backlog!$C$2:$C$188,MATCH($A142,Backlog!$A$2:$A$188,0)))</f>
        <v>P4</v>
      </c>
      <c r="D142" s="38" t="str">
        <f>IF(INDEX(Backlog!$L$2:$L$188,MATCH($A142,Backlog!$A$2:$A$188,0))="","",INDEX(Backlog!$L$2:$L$188,MATCH($A142,Backlog!$A$2:$A$188,0)))</f>
        <v>Worker 3</v>
      </c>
      <c r="E142" s="70" t="str">
        <f>IF(INDEX(Backlog!$K$2:$K$188,MATCH($A142,Backlog!$A$2:$A$188,0))="","",INDEX(Backlog!$K$2:$K$188,MATCH($A142,Backlog!$A$2:$A$188,0)))</f>
        <v>Not Started</v>
      </c>
      <c r="F142" s="38">
        <f>IF(ISNUMBER(INDEX(Backlog!$AT$2:$AT$188,MATCH($A142,Backlog!$A$2:$A$188,0))),INDEX(Backlog!$AT$2:$AT$188,MATCH($A142,Backlog!$A$2:$A$188,0)),"")</f>
        <v>1.7999999999999998</v>
      </c>
      <c r="G142" s="38" t="str">
        <f>IF(INDEX(Backlog!$M$2:$M$188,MATCH($A142,Backlog!$A$2:$A$188,0))="","",INDEX(Backlog!$M$2:$M$188,MATCH($A142,Backlog!$A$2:$A$188,0)))</f>
        <v>T-090; T-095; T-096; T-129; T-130; T-133; T-186; T-139</v>
      </c>
      <c r="H142" s="38" t="str">
        <f>IF(INDEX(Backlog!$N$2:$N$188,MATCH($A142,Backlog!$A$2:$A$188,0))="","",INDEX(Backlog!$N$2:$N$188,MATCH($A142,Backlog!$A$2:$A$188,0)))</f>
        <v>T-138; T-228; T-229</v>
      </c>
      <c r="I142" s="38" t="str">
        <f>IF(INDEX(Backlog!$T$2:$T$188,MATCH($A142,Backlog!$A$2:$A$188,0))="","",INDEX(Backlog!$T$2:$T$188,MATCH($A142,Backlog!$A$2:$A$188,0)))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definition authority + T-095/T-096 relationship resolver + available ca...</v>
      </c>
      <c r="J142" s="32" t="str">
        <f>IF(INDEX(Backlog!$AN$2:$AN$188,MATCH($A142,Backlog!$A$2:$A$188,0))="","",INDEX(Backlog!$AN$2:$AN$188,MATCH($A142,Backlog!$A$2:$A$188,0)))</f>
        <v/>
      </c>
    </row>
    <row r="143" spans="1:10" ht="26.1" customHeight="1">
      <c r="A143" s="38" t="s">
        <v>203</v>
      </c>
      <c r="B143" s="38" t="str">
        <f>IF(INDEX(Backlog!$B$2:$B$188,MATCH($A143,Backlog!$A$2:$A$188,0))="","",INDEX(Backlog!$B$2:$B$188,MATCH($A143,Backlog!$A$2:$A$188,0)))</f>
        <v>M3</v>
      </c>
      <c r="C143" s="38" t="str">
        <f>IF(INDEX(Backlog!$C$2:$C$188,MATCH($A143,Backlog!$A$2:$A$188,0))="","",INDEX(Backlog!$C$2:$C$188,MATCH($A143,Backlog!$A$2:$A$188,0)))</f>
        <v>P4</v>
      </c>
      <c r="D143" s="38" t="str">
        <f>IF(INDEX(Backlog!$L$2:$L$188,MATCH($A143,Backlog!$A$2:$A$188,0))="","",INDEX(Backlog!$L$2:$L$188,MATCH($A143,Backlog!$A$2:$A$188,0)))</f>
        <v>Worker 3</v>
      </c>
      <c r="E143" s="70" t="str">
        <f>IF(INDEX(Backlog!$K$2:$K$188,MATCH($A143,Backlog!$A$2:$A$188,0))="","",INDEX(Backlog!$K$2:$K$188,MATCH($A143,Backlog!$A$2:$A$188,0)))</f>
        <v>Not Started</v>
      </c>
      <c r="F143" s="38">
        <f>IF(ISNUMBER(INDEX(Backlog!$AT$2:$AT$188,MATCH($A143,Backlog!$A$2:$A$188,0))),INDEX(Backlog!$AT$2:$AT$188,MATCH($A143,Backlog!$A$2:$A$188,0)),"")</f>
        <v>1.9375</v>
      </c>
      <c r="G143" s="38" t="str">
        <f>IF(INDEX(Backlog!$M$2:$M$188,MATCH($A143,Backlog!$A$2:$A$188,0))="","",INDEX(Backlog!$M$2:$M$188,MATCH($A143,Backlog!$A$2:$A$188,0)))</f>
        <v>T-112; T-114; T-128; T-129; T-130; T-183</v>
      </c>
      <c r="H143" s="38" t="str">
        <f>IF(INDEX(Backlog!$N$2:$N$188,MATCH($A143,Backlog!$A$2:$A$188,0))="","",INDEX(Backlog!$N$2:$N$188,MATCH($A143,Backlog!$A$2:$A$188,0)))</f>
        <v>T-184; T-185; T-186; T-187</v>
      </c>
      <c r="I143" s="38" t="str">
        <f>IF(INDEX(Backlog!$T$2:$T$188,MATCH($A143,Backlog!$A$2:$A$188,0))="","",INDEX(Backlog!$T$2:$T$188,MATCH($A143,Backlog!$A$2:$A$188,0)))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T-112 + T-114 + current Release 2 persistence tables (including T-128/T-129/T-130/T...</v>
      </c>
      <c r="J143" s="32" t="str">
        <f>IF(INDEX(Backlog!$AN$2:$AN$188,MATCH($A143,Backlog!$A$2:$A$188,0))="","",INDEX(Backlog!$AN$2:$AN$188,MATCH($A143,Backlog!$A$2:$A$188,0)))</f>
        <v/>
      </c>
    </row>
    <row r="144" spans="1:10" ht="26.1" customHeight="1">
      <c r="A144" s="38" t="s">
        <v>204</v>
      </c>
      <c r="B144" s="38" t="str">
        <f>IF(INDEX(Backlog!$B$2:$B$188,MATCH($A144,Backlog!$A$2:$A$188,0))="","",INDEX(Backlog!$B$2:$B$188,MATCH($A144,Backlog!$A$2:$A$188,0)))</f>
        <v>M3</v>
      </c>
      <c r="C144" s="38" t="str">
        <f>IF(INDEX(Backlog!$C$2:$C$188,MATCH($A144,Backlog!$A$2:$A$188,0))="","",INDEX(Backlog!$C$2:$C$188,MATCH($A144,Backlog!$A$2:$A$188,0)))</f>
        <v>P4</v>
      </c>
      <c r="D144" s="38" t="str">
        <f>IF(INDEX(Backlog!$L$2:$L$188,MATCH($A144,Backlog!$A$2:$A$188,0))="","",INDEX(Backlog!$L$2:$L$188,MATCH($A144,Backlog!$A$2:$A$188,0)))</f>
        <v>Worker 3</v>
      </c>
      <c r="E144" s="70" t="str">
        <f>IF(INDEX(Backlog!$K$2:$K$188,MATCH($A144,Backlog!$A$2:$A$188,0))="","",INDEX(Backlog!$K$2:$K$188,MATCH($A144,Backlog!$A$2:$A$188,0)))</f>
        <v>Not Started</v>
      </c>
      <c r="F144" s="38">
        <f>IF(ISNUMBER(INDEX(Backlog!$AT$2:$AT$188,MATCH($A144,Backlog!$A$2:$A$188,0))),INDEX(Backlog!$AT$2:$AT$188,MATCH($A144,Backlog!$A$2:$A$188,0)),"")</f>
        <v>1.5</v>
      </c>
      <c r="G144" s="38" t="str">
        <f>IF(INDEX(Backlog!$M$2:$M$188,MATCH($A144,Backlog!$A$2:$A$188,0))="","",INDEX(Backlog!$M$2:$M$188,MATCH($A144,Backlog!$A$2:$A$188,0)))</f>
        <v>T-131; T-132; T-133; T-109</v>
      </c>
      <c r="H144" s="38" t="str">
        <f>IF(INDEX(Backlog!$N$2:$N$188,MATCH($A144,Backlog!$A$2:$A$188,0))="","",INDEX(Backlog!$N$2:$N$188,MATCH($A144,Backlog!$A$2:$A$188,0)))</f>
        <v/>
      </c>
      <c r="I144" s="38" t="str">
        <f>IF(INDEX(Backlog!$T$2:$T$188,MATCH($A144,Backlog!$A$2:$A$188,0))="","",INDEX(Backlog!$T$2:$T$188,MATCH($A144,Backlog!$A$2:$A$188,0)))</f>
        <v>T-109 + T-131..T-133</v>
      </c>
      <c r="J144" s="32" t="str">
        <f>IF(INDEX(Backlog!$AN$2:$AN$188,MATCH($A144,Backlog!$A$2:$A$188,0))="","",INDEX(Backlog!$AN$2:$AN$188,MATCH($A144,Backlog!$A$2:$A$188,0)))</f>
        <v/>
      </c>
    </row>
    <row r="145" spans="1:10" ht="26.1" customHeight="1">
      <c r="A145" s="38" t="s">
        <v>205</v>
      </c>
      <c r="B145" s="38" t="str">
        <f>IF(INDEX(Backlog!$B$2:$B$188,MATCH($A145,Backlog!$A$2:$A$188,0))="","",INDEX(Backlog!$B$2:$B$188,MATCH($A145,Backlog!$A$2:$A$188,0)))</f>
        <v>M3</v>
      </c>
      <c r="C145" s="38" t="str">
        <f>IF(INDEX(Backlog!$C$2:$C$188,MATCH($A145,Backlog!$A$2:$A$188,0))="","",INDEX(Backlog!$C$2:$C$188,MATCH($A145,Backlog!$A$2:$A$188,0)))</f>
        <v>P4</v>
      </c>
      <c r="D145" s="38" t="str">
        <f>IF(INDEX(Backlog!$L$2:$L$188,MATCH($A145,Backlog!$A$2:$A$188,0))="","",INDEX(Backlog!$L$2:$L$188,MATCH($A145,Backlog!$A$2:$A$188,0)))</f>
        <v>Worker 3</v>
      </c>
      <c r="E145" s="70" t="str">
        <f>IF(INDEX(Backlog!$K$2:$K$188,MATCH($A145,Backlog!$A$2:$A$188,0))="","",INDEX(Backlog!$K$2:$K$188,MATCH($A145,Backlog!$A$2:$A$188,0)))</f>
        <v>Not Started</v>
      </c>
      <c r="F145" s="38">
        <f>IF(ISNUMBER(INDEX(Backlog!$AT$2:$AT$188,MATCH($A145,Backlog!$A$2:$A$188,0))),INDEX(Backlog!$AT$2:$AT$188,MATCH($A145,Backlog!$A$2:$A$188,0)),"")</f>
        <v>1.7999999999999998</v>
      </c>
      <c r="G145" s="38" t="str">
        <f>IF(INDEX(Backlog!$M$2:$M$188,MATCH($A145,Backlog!$A$2:$A$188,0))="","",INDEX(Backlog!$M$2:$M$188,MATCH($A145,Backlog!$A$2:$A$188,0)))</f>
        <v>T-179; T-180; T-181; T-137; T-134; T-188</v>
      </c>
      <c r="H145" s="38" t="str">
        <f>IF(INDEX(Backlog!$N$2:$N$188,MATCH($A145,Backlog!$A$2:$A$188,0))="","",INDEX(Backlog!$N$2:$N$188,MATCH($A145,Backlog!$A$2:$A$188,0)))</f>
        <v/>
      </c>
      <c r="I145" s="38" t="str">
        <f>IF(INDEX(Backlog!$T$2:$T$188,MATCH($A145,Backlog!$A$2:$A$188,0))="","",INDEX(Backlog!$T$2:$T$188,MATCH($A145,Backlog!$A$2:$A$188,0)))</f>
        <v>T-137 + T-179..T-181 + T-134 + T-188</v>
      </c>
      <c r="J145" s="32" t="str">
        <f>IF(INDEX(Backlog!$AN$2:$AN$188,MATCH($A145,Backlog!$A$2:$A$188,0))="","",INDEX(Backlog!$AN$2:$AN$188,MATCH($A145,Backlog!$A$2:$A$188,0)))</f>
        <v/>
      </c>
    </row>
    <row r="146" spans="1:10" ht="26.1" customHeight="1">
      <c r="A146" s="38" t="s">
        <v>206</v>
      </c>
      <c r="B146" s="38" t="str">
        <f>IF(INDEX(Backlog!$B$2:$B$188,MATCH($A146,Backlog!$A$2:$A$188,0))="","",INDEX(Backlog!$B$2:$B$188,MATCH($A146,Backlog!$A$2:$A$188,0)))</f>
        <v>M3</v>
      </c>
      <c r="C146" s="38" t="str">
        <f>IF(INDEX(Backlog!$C$2:$C$188,MATCH($A146,Backlog!$A$2:$A$188,0))="","",INDEX(Backlog!$C$2:$C$188,MATCH($A146,Backlog!$A$2:$A$188,0)))</f>
        <v>P4</v>
      </c>
      <c r="D146" s="38" t="str">
        <f>IF(INDEX(Backlog!$L$2:$L$188,MATCH($A146,Backlog!$A$2:$A$188,0))="","",INDEX(Backlog!$L$2:$L$188,MATCH($A146,Backlog!$A$2:$A$188,0)))</f>
        <v>Worker 3</v>
      </c>
      <c r="E146" s="70" t="str">
        <f>IF(INDEX(Backlog!$K$2:$K$188,MATCH($A146,Backlog!$A$2:$A$188,0))="","",INDEX(Backlog!$K$2:$K$188,MATCH($A146,Backlog!$A$2:$A$188,0)))</f>
        <v>Not Started</v>
      </c>
      <c r="F146" s="38">
        <f>IF(ISNUMBER(INDEX(Backlog!$AT$2:$AT$188,MATCH($A146,Backlog!$A$2:$A$188,0))),INDEX(Backlog!$AT$2:$AT$188,MATCH($A146,Backlog!$A$2:$A$188,0)),"")</f>
        <v>1.7999999999999998</v>
      </c>
      <c r="G146" s="38" t="str">
        <f>IF(INDEX(Backlog!$M$2:$M$188,MATCH($A146,Backlog!$A$2:$A$188,0))="","",INDEX(Backlog!$M$2:$M$188,MATCH($A146,Backlog!$A$2:$A$188,0)))</f>
        <v>T-130; T-187; T-231</v>
      </c>
      <c r="H146" s="38" t="str">
        <f>IF(INDEX(Backlog!$N$2:$N$188,MATCH($A146,Backlog!$A$2:$A$188,0))="","",INDEX(Backlog!$N$2:$N$188,MATCH($A146,Backlog!$A$2:$A$188,0)))</f>
        <v>T-134; T-140; T-141; T-142; T-189; T-193</v>
      </c>
      <c r="I146" s="38" t="str">
        <f>IF(INDEX(Backlog!$T$2:$T$188,MATCH($A146,Backlog!$A$2:$A$188,0))="","",INDEX(Backlog!$T$2:$T$188,MATCH($A146,Backlog!$A$2:$A$188,0)))</f>
        <v>T-130 + T-187</v>
      </c>
      <c r="J146" s="32" t="str">
        <f>IF(INDEX(Backlog!$AN$2:$AN$188,MATCH($A146,Backlog!$A$2:$A$188,0))="","",INDEX(Backlog!$AN$2:$AN$188,MATCH($A146,Backlog!$A$2:$A$188,0)))</f>
        <v/>
      </c>
    </row>
    <row r="147" spans="1:10" ht="26.1" customHeight="1">
      <c r="A147" s="38" t="s">
        <v>207</v>
      </c>
      <c r="B147" s="38" t="str">
        <f>IF(INDEX(Backlog!$B$2:$B$188,MATCH($A147,Backlog!$A$2:$A$188,0))="","",INDEX(Backlog!$B$2:$B$188,MATCH($A147,Backlog!$A$2:$A$188,0)))</f>
        <v>M3</v>
      </c>
      <c r="C147" s="38" t="str">
        <f>IF(INDEX(Backlog!$C$2:$C$188,MATCH($A147,Backlog!$A$2:$A$188,0))="","",INDEX(Backlog!$C$2:$C$188,MATCH($A147,Backlog!$A$2:$A$188,0)))</f>
        <v>P4</v>
      </c>
      <c r="D147" s="38" t="str">
        <f>IF(INDEX(Backlog!$L$2:$L$188,MATCH($A147,Backlog!$A$2:$A$188,0))="","",INDEX(Backlog!$L$2:$L$188,MATCH($A147,Backlog!$A$2:$A$188,0)))</f>
        <v>Worker 3</v>
      </c>
      <c r="E147" s="70" t="str">
        <f>IF(INDEX(Backlog!$K$2:$K$188,MATCH($A147,Backlog!$A$2:$A$188,0))="","",INDEX(Backlog!$K$2:$K$188,MATCH($A147,Backlog!$A$2:$A$188,0)))</f>
        <v>Not Started</v>
      </c>
      <c r="F147" s="38">
        <f>IF(ISNUMBER(INDEX(Backlog!$AT$2:$AT$188,MATCH($A147,Backlog!$A$2:$A$188,0))),INDEX(Backlog!$AT$2:$AT$188,MATCH($A147,Backlog!$A$2:$A$188,0)),"")</f>
        <v>1.7999999999999998</v>
      </c>
      <c r="G147" s="38" t="str">
        <f>IF(INDEX(Backlog!$M$2:$M$188,MATCH($A147,Backlog!$A$2:$A$188,0))="","",INDEX(Backlog!$M$2:$M$188,MATCH($A147,Backlog!$A$2:$A$188,0)))</f>
        <v>T-139; T-173; T-176</v>
      </c>
      <c r="H147" s="38" t="str">
        <f>IF(INDEX(Backlog!$N$2:$N$188,MATCH($A147,Backlog!$A$2:$A$188,0))="","",INDEX(Backlog!$N$2:$N$188,MATCH($A147,Backlog!$A$2:$A$188,0)))</f>
        <v>T-142; T-189</v>
      </c>
      <c r="I147" s="38" t="str">
        <f>IF(INDEX(Backlog!$T$2:$T$188,MATCH($A147,Backlog!$A$2:$A$188,0))="","",INDEX(Backlog!$T$2:$T$188,MATCH($A147,Backlog!$A$2:$A$188,0)))</f>
        <v>T-139 + T-173/T-176</v>
      </c>
      <c r="J147" s="32" t="str">
        <f>IF(INDEX(Backlog!$AN$2:$AN$188,MATCH($A147,Backlog!$A$2:$A$188,0))="","",INDEX(Backlog!$AN$2:$AN$188,MATCH($A147,Backlog!$A$2:$A$188,0)))</f>
        <v/>
      </c>
    </row>
    <row r="148" spans="1:10" ht="26.1" customHeight="1">
      <c r="A148" s="38" t="s">
        <v>208</v>
      </c>
      <c r="B148" s="38" t="str">
        <f>IF(INDEX(Backlog!$B$2:$B$188,MATCH($A148,Backlog!$A$2:$A$188,0))="","",INDEX(Backlog!$B$2:$B$188,MATCH($A148,Backlog!$A$2:$A$188,0)))</f>
        <v>M3</v>
      </c>
      <c r="C148" s="38" t="str">
        <f>IF(INDEX(Backlog!$C$2:$C$188,MATCH($A148,Backlog!$A$2:$A$188,0))="","",INDEX(Backlog!$C$2:$C$188,MATCH($A148,Backlog!$A$2:$A$188,0)))</f>
        <v>P4</v>
      </c>
      <c r="D148" s="38" t="str">
        <f>IF(INDEX(Backlog!$L$2:$L$188,MATCH($A148,Backlog!$A$2:$A$188,0))="","",INDEX(Backlog!$L$2:$L$188,MATCH($A148,Backlog!$A$2:$A$188,0)))</f>
        <v>Worker 3</v>
      </c>
      <c r="E148" s="70" t="str">
        <f>IF(INDEX(Backlog!$K$2:$K$188,MATCH($A148,Backlog!$A$2:$A$188,0))="","",INDEX(Backlog!$K$2:$K$188,MATCH($A148,Backlog!$A$2:$A$188,0)))</f>
        <v>Not Started</v>
      </c>
      <c r="F148" s="38">
        <f>IF(ISNUMBER(INDEX(Backlog!$AT$2:$AT$188,MATCH($A148,Backlog!$A$2:$A$188,0))),INDEX(Backlog!$AT$2:$AT$188,MATCH($A148,Backlog!$A$2:$A$188,0)),"")</f>
        <v>1.7999999999999998</v>
      </c>
      <c r="G148" s="38" t="str">
        <f>IF(INDEX(Backlog!$M$2:$M$188,MATCH($A148,Backlog!$A$2:$A$188,0))="","",INDEX(Backlog!$M$2:$M$188,MATCH($A148,Backlog!$A$2:$A$188,0)))</f>
        <v>T-107; T-122; T-139; T-187</v>
      </c>
      <c r="H148" s="38" t="str">
        <f>IF(INDEX(Backlog!$N$2:$N$188,MATCH($A148,Backlog!$A$2:$A$188,0))="","",INDEX(Backlog!$N$2:$N$188,MATCH($A148,Backlog!$A$2:$A$188,0)))</f>
        <v>T-189</v>
      </c>
      <c r="I148" s="38" t="str">
        <f>IF(INDEX(Backlog!$T$2:$T$188,MATCH($A148,Backlog!$A$2:$A$188,0))="","",INDEX(Backlog!$T$2:$T$188,MATCH($A148,Backlog!$A$2:$A$188,0)))</f>
        <v>T-107 + T-122 + T-139 + T-187</v>
      </c>
      <c r="J148" s="32" t="str">
        <f>IF(INDEX(Backlog!$AN$2:$AN$188,MATCH($A148,Backlog!$A$2:$A$188,0))="","",INDEX(Backlog!$AN$2:$AN$188,MATCH($A148,Backlog!$A$2:$A$188,0)))</f>
        <v/>
      </c>
    </row>
    <row r="149" spans="1:10" ht="26.1" customHeight="1">
      <c r="A149" s="38" t="s">
        <v>209</v>
      </c>
      <c r="B149" s="38" t="str">
        <f>IF(INDEX(Backlog!$B$2:$B$188,MATCH($A149,Backlog!$A$2:$A$188,0))="","",INDEX(Backlog!$B$2:$B$188,MATCH($A149,Backlog!$A$2:$A$188,0)))</f>
        <v>M3</v>
      </c>
      <c r="C149" s="38" t="str">
        <f>IF(INDEX(Backlog!$C$2:$C$188,MATCH($A149,Backlog!$A$2:$A$188,0))="","",INDEX(Backlog!$C$2:$C$188,MATCH($A149,Backlog!$A$2:$A$188,0)))</f>
        <v>P4</v>
      </c>
      <c r="D149" s="38" t="str">
        <f>IF(INDEX(Backlog!$L$2:$L$188,MATCH($A149,Backlog!$A$2:$A$188,0))="","",INDEX(Backlog!$L$2:$L$188,MATCH($A149,Backlog!$A$2:$A$188,0)))</f>
        <v>Worker 3</v>
      </c>
      <c r="E149" s="70" t="str">
        <f>IF(INDEX(Backlog!$K$2:$K$188,MATCH($A149,Backlog!$A$2:$A$188,0))="","",INDEX(Backlog!$K$2:$K$188,MATCH($A149,Backlog!$A$2:$A$188,0)))</f>
        <v>Not Started</v>
      </c>
      <c r="F149" s="38">
        <f>IF(ISNUMBER(INDEX(Backlog!$AT$2:$AT$188,MATCH($A149,Backlog!$A$2:$A$188,0))),INDEX(Backlog!$AT$2:$AT$188,MATCH($A149,Backlog!$A$2:$A$188,0)),"")</f>
        <v>1.2000000000000002</v>
      </c>
      <c r="G149" s="38" t="str">
        <f>IF(INDEX(Backlog!$M$2:$M$188,MATCH($A149,Backlog!$A$2:$A$188,0))="","",INDEX(Backlog!$M$2:$M$188,MATCH($A149,Backlog!$A$2:$A$188,0)))</f>
        <v>T-131; T-132; T-139; T-140</v>
      </c>
      <c r="H149" s="38" t="str">
        <f>IF(INDEX(Backlog!$N$2:$N$188,MATCH($A149,Backlog!$A$2:$A$188,0))="","",INDEX(Backlog!$N$2:$N$188,MATCH($A149,Backlog!$A$2:$A$188,0)))</f>
        <v>T-143; T-189; T-190</v>
      </c>
      <c r="I149" s="38" t="str">
        <f>IF(INDEX(Backlog!$T$2:$T$188,MATCH($A149,Backlog!$A$2:$A$188,0))="","",INDEX(Backlog!$T$2:$T$188,MATCH($A149,Backlog!$A$2:$A$188,0)))</f>
        <v>T-131/T-132 + T-139/T-140</v>
      </c>
      <c r="J149" s="32" t="str">
        <f>IF(INDEX(Backlog!$AN$2:$AN$188,MATCH($A149,Backlog!$A$2:$A$188,0))="","",INDEX(Backlog!$AN$2:$AN$188,MATCH($A149,Backlog!$A$2:$A$188,0)))</f>
        <v/>
      </c>
    </row>
    <row r="150" spans="1:10" ht="26.1" customHeight="1">
      <c r="A150" s="38" t="s">
        <v>210</v>
      </c>
      <c r="B150" s="38" t="str">
        <f>IF(INDEX(Backlog!$B$2:$B$188,MATCH($A150,Backlog!$A$2:$A$188,0))="","",INDEX(Backlog!$B$2:$B$188,MATCH($A150,Backlog!$A$2:$A$188,0)))</f>
        <v>M3</v>
      </c>
      <c r="C150" s="38" t="str">
        <f>IF(INDEX(Backlog!$C$2:$C$188,MATCH($A150,Backlog!$A$2:$A$188,0))="","",INDEX(Backlog!$C$2:$C$188,MATCH($A150,Backlog!$A$2:$A$188,0)))</f>
        <v>P4</v>
      </c>
      <c r="D150" s="38" t="str">
        <f>IF(INDEX(Backlog!$L$2:$L$188,MATCH($A150,Backlog!$A$2:$A$188,0))="","",INDEX(Backlog!$L$2:$L$188,MATCH($A150,Backlog!$A$2:$A$188,0)))</f>
        <v>Worker 3</v>
      </c>
      <c r="E150" s="70" t="str">
        <f>IF(INDEX(Backlog!$K$2:$K$188,MATCH($A150,Backlog!$A$2:$A$188,0))="","",INDEX(Backlog!$K$2:$K$188,MATCH($A150,Backlog!$A$2:$A$188,0)))</f>
        <v>Not Started</v>
      </c>
      <c r="F150" s="38">
        <f>IF(ISNUMBER(INDEX(Backlog!$AT$2:$AT$188,MATCH($A150,Backlog!$A$2:$A$188,0))),INDEX(Backlog!$AT$2:$AT$188,MATCH($A150,Backlog!$A$2:$A$188,0)),"")</f>
        <v>1.2000000000000002</v>
      </c>
      <c r="G150" s="38" t="str">
        <f>IF(INDEX(Backlog!$M$2:$M$188,MATCH($A150,Backlog!$A$2:$A$188,0))="","",INDEX(Backlog!$M$2:$M$188,MATCH($A150,Backlog!$A$2:$A$188,0)))</f>
        <v>T-178; T-142</v>
      </c>
      <c r="H150" s="38" t="str">
        <f>IF(INDEX(Backlog!$N$2:$N$188,MATCH($A150,Backlog!$A$2:$A$188,0))="","",INDEX(Backlog!$N$2:$N$188,MATCH($A150,Backlog!$A$2:$A$188,0)))</f>
        <v>T-144; T-189; T-190</v>
      </c>
      <c r="I150" s="38" t="str">
        <f>IF(INDEX(Backlog!$T$2:$T$188,MATCH($A150,Backlog!$A$2:$A$188,0))="","",INDEX(Backlog!$T$2:$T$188,MATCH($A150,Backlog!$A$2:$A$188,0)))</f>
        <v>T-178 + T-142</v>
      </c>
      <c r="J150" s="32" t="str">
        <f>IF(INDEX(Backlog!$AN$2:$AN$188,MATCH($A150,Backlog!$A$2:$A$188,0))="","",INDEX(Backlog!$AN$2:$AN$188,MATCH($A150,Backlog!$A$2:$A$188,0)))</f>
        <v/>
      </c>
    </row>
    <row r="151" spans="1:10" ht="26.1" customHeight="1">
      <c r="A151" s="38" t="s">
        <v>211</v>
      </c>
      <c r="B151" s="38" t="str">
        <f>IF(INDEX(Backlog!$B$2:$B$188,MATCH($A151,Backlog!$A$2:$A$188,0))="","",INDEX(Backlog!$B$2:$B$188,MATCH($A151,Backlog!$A$2:$A$188,0)))</f>
        <v>M3</v>
      </c>
      <c r="C151" s="38" t="str">
        <f>IF(INDEX(Backlog!$C$2:$C$188,MATCH($A151,Backlog!$A$2:$A$188,0))="","",INDEX(Backlog!$C$2:$C$188,MATCH($A151,Backlog!$A$2:$A$188,0)))</f>
        <v>P4</v>
      </c>
      <c r="D151" s="38" t="str">
        <f>IF(INDEX(Backlog!$L$2:$L$188,MATCH($A151,Backlog!$A$2:$A$188,0))="","",INDEX(Backlog!$L$2:$L$188,MATCH($A151,Backlog!$A$2:$A$188,0)))</f>
        <v>Worker 3</v>
      </c>
      <c r="E151" s="70" t="str">
        <f>IF(INDEX(Backlog!$K$2:$K$188,MATCH($A151,Backlog!$A$2:$A$188,0))="","",INDEX(Backlog!$K$2:$K$188,MATCH($A151,Backlog!$A$2:$A$188,0)))</f>
        <v>Not Started</v>
      </c>
      <c r="F151" s="38">
        <f>IF(ISNUMBER(INDEX(Backlog!$AT$2:$AT$188,MATCH($A151,Backlog!$A$2:$A$188,0))),INDEX(Backlog!$AT$2:$AT$188,MATCH($A151,Backlog!$A$2:$A$188,0)),"")</f>
        <v>1.2000000000000002</v>
      </c>
      <c r="G151" s="38" t="str">
        <f>IF(INDEX(Backlog!$M$2:$M$188,MATCH($A151,Backlog!$A$2:$A$188,0))="","",INDEX(Backlog!$M$2:$M$188,MATCH($A151,Backlog!$A$2:$A$188,0)))</f>
        <v>T-143</v>
      </c>
      <c r="H151" s="38" t="str">
        <f>IF(INDEX(Backlog!$N$2:$N$188,MATCH($A151,Backlog!$A$2:$A$188,0))="","",INDEX(Backlog!$N$2:$N$188,MATCH($A151,Backlog!$A$2:$A$188,0)))</f>
        <v>T-145; T-190</v>
      </c>
      <c r="I151" s="38" t="str">
        <f>IF(INDEX(Backlog!$T$2:$T$188,MATCH($A151,Backlog!$A$2:$A$188,0))="","",INDEX(Backlog!$T$2:$T$188,MATCH($A151,Backlog!$A$2:$A$188,0)))</f>
        <v>T-143</v>
      </c>
      <c r="J151" s="32" t="str">
        <f>IF(INDEX(Backlog!$AN$2:$AN$188,MATCH($A151,Backlog!$A$2:$A$188,0))="","",INDEX(Backlog!$AN$2:$AN$188,MATCH($A151,Backlog!$A$2:$A$188,0)))</f>
        <v/>
      </c>
    </row>
    <row r="152" spans="1:10" ht="26.1" customHeight="1">
      <c r="A152" s="38" t="s">
        <v>212</v>
      </c>
      <c r="B152" s="38" t="str">
        <f>IF(INDEX(Backlog!$B$2:$B$188,MATCH($A152,Backlog!$A$2:$A$188,0))="","",INDEX(Backlog!$B$2:$B$188,MATCH($A152,Backlog!$A$2:$A$188,0)))</f>
        <v>M3</v>
      </c>
      <c r="C152" s="38" t="str">
        <f>IF(INDEX(Backlog!$C$2:$C$188,MATCH($A152,Backlog!$A$2:$A$188,0))="","",INDEX(Backlog!$C$2:$C$188,MATCH($A152,Backlog!$A$2:$A$188,0)))</f>
        <v>P4</v>
      </c>
      <c r="D152" s="38" t="str">
        <f>IF(INDEX(Backlog!$L$2:$L$188,MATCH($A152,Backlog!$A$2:$A$188,0))="","",INDEX(Backlog!$L$2:$L$188,MATCH($A152,Backlog!$A$2:$A$188,0)))</f>
        <v>Worker 3</v>
      </c>
      <c r="E152" s="70" t="str">
        <f>IF(INDEX(Backlog!$K$2:$K$188,MATCH($A152,Backlog!$A$2:$A$188,0))="","",INDEX(Backlog!$K$2:$K$188,MATCH($A152,Backlog!$A$2:$A$188,0)))</f>
        <v>Not Started</v>
      </c>
      <c r="F152" s="38" t="str">
        <f>IF(ISNUMBER(INDEX(Backlog!$AT$2:$AT$188,MATCH($A152,Backlog!$A$2:$A$188,0))),INDEX(Backlog!$AT$2:$AT$188,MATCH($A152,Backlog!$A$2:$A$188,0)),"")</f>
        <v/>
      </c>
      <c r="G152" s="38" t="str">
        <f>IF(INDEX(Backlog!$M$2:$M$188,MATCH($A152,Backlog!$A$2:$A$188,0))="","",INDEX(Backlog!$M$2:$M$188,MATCH($A152,Backlog!$A$2:$A$188,0)))</f>
        <v>T-144</v>
      </c>
      <c r="H152" s="38" t="str">
        <f>IF(INDEX(Backlog!$N$2:$N$188,MATCH($A152,Backlog!$A$2:$A$188,0))="","",INDEX(Backlog!$N$2:$N$188,MATCH($A152,Backlog!$A$2:$A$188,0)))</f>
        <v>T-190; T-193</v>
      </c>
      <c r="I152" s="38" t="str">
        <f>IF(INDEX(Backlog!$T$2:$T$188,MATCH($A152,Backlog!$A$2:$A$188,0))="","",INDEX(Backlog!$T$2:$T$188,MATCH($A152,Backlog!$A$2:$A$188,0)))</f>
        <v>T-144</v>
      </c>
      <c r="J152" s="32" t="str">
        <f>IF(INDEX(Backlog!$AN$2:$AN$188,MATCH($A152,Backlog!$A$2:$A$188,0))="","",INDEX(Backlog!$AN$2:$AN$188,MATCH($A152,Backlog!$A$2:$A$188,0)))</f>
        <v/>
      </c>
    </row>
    <row r="153" spans="1:10" ht="26.1" customHeight="1">
      <c r="A153" s="38" t="s">
        <v>213</v>
      </c>
      <c r="B153" s="38" t="str">
        <f>IF(INDEX(Backlog!$B$2:$B$188,MATCH($A153,Backlog!$A$2:$A$188,0))="","",INDEX(Backlog!$B$2:$B$188,MATCH($A153,Backlog!$A$2:$A$188,0)))</f>
        <v>M3</v>
      </c>
      <c r="C153" s="38" t="str">
        <f>IF(INDEX(Backlog!$C$2:$C$188,MATCH($A153,Backlog!$A$2:$A$188,0))="","",INDEX(Backlog!$C$2:$C$188,MATCH($A153,Backlog!$A$2:$A$188,0)))</f>
        <v>P4</v>
      </c>
      <c r="D153" s="38" t="str">
        <f>IF(INDEX(Backlog!$L$2:$L$188,MATCH($A153,Backlog!$A$2:$A$188,0))="","",INDEX(Backlog!$L$2:$L$188,MATCH($A153,Backlog!$A$2:$A$188,0)))</f>
        <v>Worker 3</v>
      </c>
      <c r="E153" s="70" t="str">
        <f>IF(INDEX(Backlog!$K$2:$K$188,MATCH($A153,Backlog!$A$2:$A$188,0))="","",INDEX(Backlog!$K$2:$K$188,MATCH($A153,Backlog!$A$2:$A$188,0)))</f>
        <v>Not Started</v>
      </c>
      <c r="F153" s="38" t="str">
        <f>IF(ISNUMBER(INDEX(Backlog!$AT$2:$AT$188,MATCH($A153,Backlog!$A$2:$A$188,0))),INDEX(Backlog!$AT$2:$AT$188,MATCH($A153,Backlog!$A$2:$A$188,0)),"")</f>
        <v/>
      </c>
      <c r="G153" s="38" t="str">
        <f>IF(INDEX(Backlog!$M$2:$M$188,MATCH($A153,Backlog!$A$2:$A$188,0))="","",INDEX(Backlog!$M$2:$M$188,MATCH($A153,Backlog!$A$2:$A$188,0)))</f>
        <v>T-147; T-177; T-128; T-129</v>
      </c>
      <c r="H153" s="38" t="str">
        <f>IF(INDEX(Backlog!$N$2:$N$188,MATCH($A153,Backlog!$A$2:$A$188,0))="","",INDEX(Backlog!$N$2:$N$188,MATCH($A153,Backlog!$A$2:$A$188,0)))</f>
        <v/>
      </c>
      <c r="I153" s="38" t="str">
        <f>IF(INDEX(Backlog!$T$2:$T$188,MATCH($A153,Backlog!$A$2:$A$188,0))="","",INDEX(Backlog!$T$2:$T$188,MATCH($A153,Backlog!$A$2:$A$188,0)))</f>
        <v>T-147 COMPLETE + T-177 + T-128/T-129; M1 presentation continuity frozen.</v>
      </c>
      <c r="J153" s="32" t="str">
        <f>IF(INDEX(Backlog!$AN$2:$AN$188,MATCH($A153,Backlog!$A$2:$A$188,0))="","",INDEX(Backlog!$AN$2:$AN$188,MATCH($A153,Backlog!$A$2:$A$188,0)))</f>
        <v/>
      </c>
    </row>
    <row r="154" spans="1:10" ht="26.1" customHeight="1">
      <c r="A154" s="38" t="s">
        <v>214</v>
      </c>
      <c r="B154" s="38" t="str">
        <f>IF(INDEX(Backlog!$B$2:$B$188,MATCH($A154,Backlog!$A$2:$A$188,0))="","",INDEX(Backlog!$B$2:$B$188,MATCH($A154,Backlog!$A$2:$A$188,0)))</f>
        <v>M3</v>
      </c>
      <c r="C154" s="38" t="str">
        <f>IF(INDEX(Backlog!$C$2:$C$188,MATCH($A154,Backlog!$A$2:$A$188,0))="","",INDEX(Backlog!$C$2:$C$188,MATCH($A154,Backlog!$A$2:$A$188,0)))</f>
        <v>P4</v>
      </c>
      <c r="D154" s="38" t="str">
        <f>IF(INDEX(Backlog!$L$2:$L$188,MATCH($A154,Backlog!$A$2:$A$188,0))="","",INDEX(Backlog!$L$2:$L$188,MATCH($A154,Backlog!$A$2:$A$188,0)))</f>
        <v>Worker 3</v>
      </c>
      <c r="E154" s="70" t="str">
        <f>IF(INDEX(Backlog!$K$2:$K$188,MATCH($A154,Backlog!$A$2:$A$188,0))="","",INDEX(Backlog!$K$2:$K$188,MATCH($A154,Backlog!$A$2:$A$188,0)))</f>
        <v>Not Started</v>
      </c>
      <c r="F154" s="38">
        <f>IF(ISNUMBER(INDEX(Backlog!$AT$2:$AT$188,MATCH($A154,Backlog!$A$2:$A$188,0))),INDEX(Backlog!$AT$2:$AT$188,MATCH($A154,Backlog!$A$2:$A$188,0)),"")</f>
        <v>1.7999999999999998</v>
      </c>
      <c r="G154" s="38" t="str">
        <f>IF(INDEX(Backlog!$M$2:$M$188,MATCH($A154,Backlog!$A$2:$A$188,0))="","",INDEX(Backlog!$M$2:$M$188,MATCH($A154,Backlog!$A$2:$A$188,0)))</f>
        <v>T-090; T-128; T-129; T-177</v>
      </c>
      <c r="H154" s="38" t="str">
        <f>IF(INDEX(Backlog!$N$2:$N$188,MATCH($A154,Backlog!$A$2:$A$188,0))="","",INDEX(Backlog!$N$2:$N$188,MATCH($A154,Backlog!$A$2:$A$188,0)))</f>
        <v>T-146</v>
      </c>
      <c r="I154" s="38" t="str">
        <f>IF(INDEX(Backlog!$T$2:$T$188,MATCH($A154,Backlog!$A$2:$A$188,0))="","",INDEX(Backlog!$T$2:$T$188,MATCH($A154,Backlog!$A$2:$A$188,0)))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canonical SM-06 binding + T-128/T-129 + T-177; complete BEFORE T-146 fi...</v>
      </c>
      <c r="J154" s="32" t="str">
        <f>IF(INDEX(Backlog!$AN$2:$AN$188,MATCH($A154,Backlog!$A$2:$A$188,0))="","",INDEX(Backlog!$AN$2:$AN$188,MATCH($A154,Backlog!$A$2:$A$188,0)))</f>
        <v/>
      </c>
    </row>
    <row r="155" spans="1:10" ht="26.1" customHeight="1">
      <c r="A155" s="38" t="s">
        <v>215</v>
      </c>
      <c r="B155" s="38" t="str">
        <f>IF(INDEX(Backlog!$B$2:$B$188,MATCH($A155,Backlog!$A$2:$A$188,0))="","",INDEX(Backlog!$B$2:$B$188,MATCH($A155,Backlog!$A$2:$A$188,0)))</f>
        <v>M3</v>
      </c>
      <c r="C155" s="38" t="str">
        <f>IF(INDEX(Backlog!$C$2:$C$188,MATCH($A155,Backlog!$A$2:$A$188,0))="","",INDEX(Backlog!$C$2:$C$188,MATCH($A155,Backlog!$A$2:$A$188,0)))</f>
        <v>P4</v>
      </c>
      <c r="D155" s="38" t="str">
        <f>IF(INDEX(Backlog!$L$2:$L$188,MATCH($A155,Backlog!$A$2:$A$188,0))="","",INDEX(Backlog!$L$2:$L$188,MATCH($A155,Backlog!$A$2:$A$188,0)))</f>
        <v>Worker 3</v>
      </c>
      <c r="E155" s="70" t="str">
        <f>IF(INDEX(Backlog!$K$2:$K$188,MATCH($A155,Backlog!$A$2:$A$188,0))="","",INDEX(Backlog!$K$2:$K$188,MATCH($A155,Backlog!$A$2:$A$188,0)))</f>
        <v>Not Started</v>
      </c>
      <c r="F155" s="38">
        <f>IF(ISNUMBER(INDEX(Backlog!$AT$2:$AT$188,MATCH($A155,Backlog!$A$2:$A$188,0))),INDEX(Backlog!$AT$2:$AT$188,MATCH($A155,Backlog!$A$2:$A$188,0)),"")</f>
        <v>4.32</v>
      </c>
      <c r="G155" s="38" t="str">
        <f>IF(INDEX(Backlog!$M$2:$M$188,MATCH($A155,Backlog!$A$2:$A$188,0))="","",INDEX(Backlog!$M$2:$M$188,MATCH($A155,Backlog!$A$2:$A$188,0)))</f>
        <v/>
      </c>
      <c r="H155" s="38" t="str">
        <f>IF(INDEX(Backlog!$N$2:$N$188,MATCH($A155,Backlog!$A$2:$A$188,0))="","",INDEX(Backlog!$N$2:$N$188,MATCH($A155,Backlog!$A$2:$A$188,0)))</f>
        <v/>
      </c>
      <c r="I155" s="38" t="str">
        <f>IF(INDEX(Backlog!$T$2:$T$188,MATCH($A155,Backlog!$A$2:$A$188,0))="","",INDEX(Backlog!$T$2:$T$188,MATCH($A155,Backlog!$A$2:$A$188,0)))</f>
        <v>WAIT for deployed Release 1 + real customer/site evidence. Release 2 accepted + customer data window</v>
      </c>
      <c r="J155" s="32" t="str">
        <f>IF(INDEX(Backlog!$AN$2:$AN$188,MATCH($A155,Backlog!$A$2:$A$188,0))="","",INDEX(Backlog!$AN$2:$AN$188,MATCH($A155,Backlog!$A$2:$A$188,0)))</f>
        <v/>
      </c>
    </row>
    <row r="156" spans="1:10" ht="26.1" customHeight="1">
      <c r="A156" s="38" t="s">
        <v>216</v>
      </c>
      <c r="B156" s="38" t="str">
        <f>IF(INDEX(Backlog!$B$2:$B$188,MATCH($A156,Backlog!$A$2:$A$188,0))="","",INDEX(Backlog!$B$2:$B$188,MATCH($A156,Backlog!$A$2:$A$188,0)))</f>
        <v>M3</v>
      </c>
      <c r="C156" s="38" t="str">
        <f>IF(INDEX(Backlog!$C$2:$C$188,MATCH($A156,Backlog!$A$2:$A$188,0))="","",INDEX(Backlog!$C$2:$C$188,MATCH($A156,Backlog!$A$2:$A$188,0)))</f>
        <v>P4</v>
      </c>
      <c r="D156" s="38" t="str">
        <f>IF(INDEX(Backlog!$L$2:$L$188,MATCH($A156,Backlog!$A$2:$A$188,0))="","",INDEX(Backlog!$L$2:$L$188,MATCH($A156,Backlog!$A$2:$A$188,0)))</f>
        <v>Worker 3</v>
      </c>
      <c r="E156" s="70" t="str">
        <f>IF(INDEX(Backlog!$K$2:$K$188,MATCH($A156,Backlog!$A$2:$A$188,0))="","",INDEX(Backlog!$K$2:$K$188,MATCH($A156,Backlog!$A$2:$A$188,0)))</f>
        <v>Not Started</v>
      </c>
      <c r="F156" s="38">
        <f>IF(ISNUMBER(INDEX(Backlog!$AT$2:$AT$188,MATCH($A156,Backlog!$A$2:$A$188,0))),INDEX(Backlog!$AT$2:$AT$188,MATCH($A156,Backlog!$A$2:$A$188,0)),"")</f>
        <v>4.32</v>
      </c>
      <c r="G156" s="38" t="str">
        <f>IF(INDEX(Backlog!$M$2:$M$188,MATCH($A156,Backlog!$A$2:$A$188,0))="","",INDEX(Backlog!$M$2:$M$188,MATCH($A156,Backlog!$A$2:$A$188,0)))</f>
        <v/>
      </c>
      <c r="H156" s="38" t="str">
        <f>IF(INDEX(Backlog!$N$2:$N$188,MATCH($A156,Backlog!$A$2:$A$188,0))="","",INDEX(Backlog!$N$2:$N$188,MATCH($A156,Backlog!$A$2:$A$188,0)))</f>
        <v/>
      </c>
      <c r="I156" s="38" t="str">
        <f>IF(INDEX(Backlog!$T$2:$T$188,MATCH($A156,Backlog!$A$2:$A$188,0))="","",INDEX(Backlog!$T$2:$T$188,MATCH($A156,Backlog!$A$2:$A$188,0)))</f>
        <v>WAIT for deployed Release 1 + real customer/site evidence. Release 2 accepted + customer data window</v>
      </c>
      <c r="J156" s="32" t="str">
        <f>IF(INDEX(Backlog!$AN$2:$AN$188,MATCH($A156,Backlog!$A$2:$A$188,0))="","",INDEX(Backlog!$AN$2:$AN$188,MATCH($A156,Backlog!$A$2:$A$188,0)))</f>
        <v/>
      </c>
    </row>
    <row r="157" spans="1:10" ht="26.1" customHeight="1">
      <c r="A157" s="38" t="s">
        <v>217</v>
      </c>
      <c r="B157" s="38" t="str">
        <f>IF(INDEX(Backlog!$B$2:$B$188,MATCH($A157,Backlog!$A$2:$A$188,0))="","",INDEX(Backlog!$B$2:$B$188,MATCH($A157,Backlog!$A$2:$A$188,0)))</f>
        <v>M3</v>
      </c>
      <c r="C157" s="38" t="str">
        <f>IF(INDEX(Backlog!$C$2:$C$188,MATCH($A157,Backlog!$A$2:$A$188,0))="","",INDEX(Backlog!$C$2:$C$188,MATCH($A157,Backlog!$A$2:$A$188,0)))</f>
        <v>P4</v>
      </c>
      <c r="D157" s="38" t="str">
        <f>IF(INDEX(Backlog!$L$2:$L$188,MATCH($A157,Backlog!$A$2:$A$188,0))="","",INDEX(Backlog!$L$2:$L$188,MATCH($A157,Backlog!$A$2:$A$188,0)))</f>
        <v>Worker 1</v>
      </c>
      <c r="E157" s="70" t="str">
        <f>IF(INDEX(Backlog!$K$2:$K$188,MATCH($A157,Backlog!$A$2:$A$188,0))="","",INDEX(Backlog!$K$2:$K$188,MATCH($A157,Backlog!$A$2:$A$188,0)))</f>
        <v>Not Started</v>
      </c>
      <c r="F157" s="38">
        <f>IF(ISNUMBER(INDEX(Backlog!$AT$2:$AT$188,MATCH($A157,Backlog!$A$2:$A$188,0))),INDEX(Backlog!$AT$2:$AT$188,MATCH($A157,Backlog!$A$2:$A$188,0)),"")</f>
        <v>7.2</v>
      </c>
      <c r="G157" s="38" t="str">
        <f>IF(INDEX(Backlog!$M$2:$M$188,MATCH($A157,Backlog!$A$2:$A$188,0))="","",INDEX(Backlog!$M$2:$M$188,MATCH($A157,Backlog!$A$2:$A$188,0)))</f>
        <v>T-237; T-235</v>
      </c>
      <c r="H157" s="38" t="str">
        <f>IF(INDEX(Backlog!$N$2:$N$188,MATCH($A157,Backlog!$A$2:$A$188,0))="","",INDEX(Backlog!$N$2:$N$188,MATCH($A157,Backlog!$A$2:$A$188,0)))</f>
        <v>T-249</v>
      </c>
      <c r="I157" s="38" t="str">
        <f>IF(INDEX(Backlog!$T$2:$T$188,MATCH($A157,Backlog!$A$2:$A$188,0))="","",INDEX(Backlog!$T$2:$T$188,MATCH($A157,Backlog!$A$2:$A$188,0)))</f>
        <v>WAIT for deployed Release 1 + real customer/site evidence. M3 sequence</v>
      </c>
      <c r="J157" s="32" t="str">
        <f>IF(INDEX(Backlog!$AN$2:$AN$188,MATCH($A157,Backlog!$A$2:$A$188,0))="","",INDEX(Backlog!$AN$2:$AN$188,MATCH($A157,Backlog!$A$2:$A$188,0)))</f>
        <v/>
      </c>
    </row>
    <row r="158" spans="1:10" ht="26.1" customHeight="1">
      <c r="A158" s="38" t="s">
        <v>218</v>
      </c>
      <c r="B158" s="38" t="str">
        <f>IF(INDEX(Backlog!$B$2:$B$188,MATCH($A158,Backlog!$A$2:$A$188,0))="","",INDEX(Backlog!$B$2:$B$188,MATCH($A158,Backlog!$A$2:$A$188,0)))</f>
        <v>M3</v>
      </c>
      <c r="C158" s="38" t="str">
        <f>IF(INDEX(Backlog!$C$2:$C$188,MATCH($A158,Backlog!$A$2:$A$188,0))="","",INDEX(Backlog!$C$2:$C$188,MATCH($A158,Backlog!$A$2:$A$188,0)))</f>
        <v>P4</v>
      </c>
      <c r="D158" s="38" t="str">
        <f>IF(INDEX(Backlog!$L$2:$L$188,MATCH($A158,Backlog!$A$2:$A$188,0))="","",INDEX(Backlog!$L$2:$L$188,MATCH($A158,Backlog!$A$2:$A$188,0)))</f>
        <v>Worker 1</v>
      </c>
      <c r="E158" s="70" t="str">
        <f>IF(INDEX(Backlog!$K$2:$K$188,MATCH($A158,Backlog!$A$2:$A$188,0))="","",INDEX(Backlog!$K$2:$K$188,MATCH($A158,Backlog!$A$2:$A$188,0)))</f>
        <v>Not Started</v>
      </c>
      <c r="F158" s="38" t="str">
        <f>IF(ISNUMBER(INDEX(Backlog!$AT$2:$AT$188,MATCH($A158,Backlog!$A$2:$A$188,0))),INDEX(Backlog!$AT$2:$AT$188,MATCH($A158,Backlog!$A$2:$A$188,0)),"")</f>
        <v/>
      </c>
      <c r="G158" s="38" t="str">
        <f>IF(INDEX(Backlog!$M$2:$M$188,MATCH($A158,Backlog!$A$2:$A$188,0))="","",INDEX(Backlog!$M$2:$M$188,MATCH($A158,Backlog!$A$2:$A$188,0)))</f>
        <v/>
      </c>
      <c r="H158" s="38" t="str">
        <f>IF(INDEX(Backlog!$N$2:$N$188,MATCH($A158,Backlog!$A$2:$A$188,0))="","",INDEX(Backlog!$N$2:$N$188,MATCH($A158,Backlog!$A$2:$A$188,0)))</f>
        <v/>
      </c>
      <c r="I158" s="38" t="str">
        <f>IF(INDEX(Backlog!$T$2:$T$188,MATCH($A158,Backlog!$A$2:$A$188,0))="","",INDEX(Backlog!$T$2:$T$188,MATCH($A158,Backlog!$A$2:$A$188,0)))</f>
        <v>WAIT for deployed Release 1 + real customer/site evidence. M3 sequence</v>
      </c>
      <c r="J158" s="32" t="str">
        <f>IF(INDEX(Backlog!$AN$2:$AN$188,MATCH($A158,Backlog!$A$2:$A$188,0))="","",INDEX(Backlog!$AN$2:$AN$188,MATCH($A158,Backlog!$A$2:$A$188,0)))</f>
        <v/>
      </c>
    </row>
    <row r="159" spans="1:10" ht="26.1" customHeight="1">
      <c r="A159" s="38" t="s">
        <v>219</v>
      </c>
      <c r="B159" s="38" t="str">
        <f>IF(INDEX(Backlog!$B$2:$B$188,MATCH($A159,Backlog!$A$2:$A$188,0))="","",INDEX(Backlog!$B$2:$B$188,MATCH($A159,Backlog!$A$2:$A$188,0)))</f>
        <v>M3</v>
      </c>
      <c r="C159" s="38" t="str">
        <f>IF(INDEX(Backlog!$C$2:$C$188,MATCH($A159,Backlog!$A$2:$A$188,0))="","",INDEX(Backlog!$C$2:$C$188,MATCH($A159,Backlog!$A$2:$A$188,0)))</f>
        <v>P4</v>
      </c>
      <c r="D159" s="38" t="str">
        <f>IF(INDEX(Backlog!$L$2:$L$188,MATCH($A159,Backlog!$A$2:$A$188,0))="","",INDEX(Backlog!$L$2:$L$188,MATCH($A159,Backlog!$A$2:$A$188,0)))</f>
        <v>Worker 3</v>
      </c>
      <c r="E159" s="70" t="str">
        <f>IF(INDEX(Backlog!$K$2:$K$188,MATCH($A159,Backlog!$A$2:$A$188,0))="","",INDEX(Backlog!$K$2:$K$188,MATCH($A159,Backlog!$A$2:$A$188,0)))</f>
        <v>Not Started</v>
      </c>
      <c r="F159" s="38">
        <f>IF(ISNUMBER(INDEX(Backlog!$AT$2:$AT$188,MATCH($A159,Backlog!$A$2:$A$188,0))),INDEX(Backlog!$AT$2:$AT$188,MATCH($A159,Backlog!$A$2:$A$188,0)),"")</f>
        <v>1.7999999999999998</v>
      </c>
      <c r="G159" s="38" t="str">
        <f>IF(INDEX(Backlog!$M$2:$M$188,MATCH($A159,Backlog!$A$2:$A$188,0))="","",INDEX(Backlog!$M$2:$M$188,MATCH($A159,Backlog!$A$2:$A$188,0)))</f>
        <v>T-089; T-090; T-091; T-092; T-093; T-094; T-095; T-096; T-097; T-098; T-099; T-100; T-101; T-102; T-103; T-104; T-112; T-114</v>
      </c>
      <c r="H159" s="38" t="str">
        <f>IF(INDEX(Backlog!$N$2:$N$188,MATCH($A159,Backlog!$A$2:$A$188,0))="","",INDEX(Backlog!$N$2:$N$188,MATCH($A159,Backlog!$A$2:$A$188,0)))</f>
        <v>T-129; T-130; T-133; T-135; T-184; T-185; T-186; T-187; T-192</v>
      </c>
      <c r="I159" s="38" t="str">
        <f>IF(INDEX(Backlog!$T$2:$T$188,MATCH($A159,Backlog!$A$2:$A$188,0))="","",INDEX(Backlog!$T$2:$T$188,MATCH($A159,Backlog!$A$2:$A$188,0)))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T-089..T-105 canonical definition/relationship authority + T-112 + T-114 secu...</v>
      </c>
      <c r="J159" s="32" t="str">
        <f>IF(INDEX(Backlog!$AN$2:$AN$188,MATCH($A159,Backlog!$A$2:$A$188,0))="","",INDEX(Backlog!$AN$2:$AN$188,MATCH($A159,Backlog!$A$2:$A$188,0)))</f>
        <v/>
      </c>
    </row>
    <row r="160" spans="1:10" ht="26.1" customHeight="1">
      <c r="A160" s="38" t="s">
        <v>220</v>
      </c>
      <c r="B160" s="38" t="str">
        <f>IF(INDEX(Backlog!$B$2:$B$188,MATCH($A160,Backlog!$A$2:$A$188,0))="","",INDEX(Backlog!$B$2:$B$188,MATCH($A160,Backlog!$A$2:$A$188,0)))</f>
        <v>M3</v>
      </c>
      <c r="C160" s="38" t="str">
        <f>IF(INDEX(Backlog!$C$2:$C$188,MATCH($A160,Backlog!$A$2:$A$188,0))="","",INDEX(Backlog!$C$2:$C$188,MATCH($A160,Backlog!$A$2:$A$188,0)))</f>
        <v>P4</v>
      </c>
      <c r="D160" s="38" t="str">
        <f>IF(INDEX(Backlog!$L$2:$L$188,MATCH($A160,Backlog!$A$2:$A$188,0))="","",INDEX(Backlog!$L$2:$L$188,MATCH($A160,Backlog!$A$2:$A$188,0)))</f>
        <v>Worker 3</v>
      </c>
      <c r="E160" s="70" t="str">
        <f>IF(INDEX(Backlog!$K$2:$K$188,MATCH($A160,Backlog!$A$2:$A$188,0))="","",INDEX(Backlog!$K$2:$K$188,MATCH($A160,Backlog!$A$2:$A$188,0)))</f>
        <v>Not Started</v>
      </c>
      <c r="F160" s="38">
        <f>IF(ISNUMBER(INDEX(Backlog!$AT$2:$AT$188,MATCH($A160,Backlog!$A$2:$A$188,0))),INDEX(Backlog!$AT$2:$AT$188,MATCH($A160,Backlog!$A$2:$A$188,0)),"")</f>
        <v>1.7999999999999998</v>
      </c>
      <c r="G160" s="38" t="str">
        <f>IF(INDEX(Backlog!$M$2:$M$188,MATCH($A160,Backlog!$A$2:$A$188,0))="","",INDEX(Backlog!$M$2:$M$188,MATCH($A160,Backlog!$A$2:$A$188,0)))</f>
        <v>T-128; T-169; T-183; T-112; T-114; T-135</v>
      </c>
      <c r="H160" s="38" t="str">
        <f>IF(INDEX(Backlog!$N$2:$N$188,MATCH($A160,Backlog!$A$2:$A$188,0))="","",INDEX(Backlog!$N$2:$N$188,MATCH($A160,Backlog!$A$2:$A$188,0)))</f>
        <v>T-187; T-192</v>
      </c>
      <c r="I160" s="38" t="str">
        <f>IF(INDEX(Backlog!$T$2:$T$188,MATCH($A160,Backlog!$A$2:$A$188,0))="","",INDEX(Backlog!$T$2:$T$188,MATCH($A160,Backlog!$A$2:$A$188,0)))</f>
        <v>T-128 + T-169 + T-183 + T-112/T-114/T-135 security ratchet.</v>
      </c>
      <c r="J160" s="32" t="str">
        <f>IF(INDEX(Backlog!$AN$2:$AN$188,MATCH($A160,Backlog!$A$2:$A$188,0))="","",INDEX(Backlog!$AN$2:$AN$188,MATCH($A160,Backlog!$A$2:$A$188,0)))</f>
        <v/>
      </c>
    </row>
    <row r="161" spans="1:10" ht="26.1" customHeight="1">
      <c r="A161" s="38" t="s">
        <v>221</v>
      </c>
      <c r="B161" s="38" t="str">
        <f>IF(INDEX(Backlog!$B$2:$B$188,MATCH($A161,Backlog!$A$2:$A$188,0))="","",INDEX(Backlog!$B$2:$B$188,MATCH($A161,Backlog!$A$2:$A$188,0)))</f>
        <v>M3</v>
      </c>
      <c r="C161" s="38" t="str">
        <f>IF(INDEX(Backlog!$C$2:$C$188,MATCH($A161,Backlog!$A$2:$A$188,0))="","",INDEX(Backlog!$C$2:$C$188,MATCH($A161,Backlog!$A$2:$A$188,0)))</f>
        <v>P4</v>
      </c>
      <c r="D161" s="38" t="str">
        <f>IF(INDEX(Backlog!$L$2:$L$188,MATCH($A161,Backlog!$A$2:$A$188,0))="","",INDEX(Backlog!$L$2:$L$188,MATCH($A161,Backlog!$A$2:$A$188,0)))</f>
        <v>Worker 3</v>
      </c>
      <c r="E161" s="70" t="str">
        <f>IF(INDEX(Backlog!$K$2:$K$188,MATCH($A161,Backlog!$A$2:$A$188,0))="","",INDEX(Backlog!$K$2:$K$188,MATCH($A161,Backlog!$A$2:$A$188,0)))</f>
        <v>Not Started</v>
      </c>
      <c r="F161" s="38">
        <f>IF(ISNUMBER(INDEX(Backlog!$AT$2:$AT$188,MATCH($A161,Backlog!$A$2:$A$188,0))),INDEX(Backlog!$AT$2:$AT$188,MATCH($A161,Backlog!$A$2:$A$188,0)),"")</f>
        <v>1.7999999999999998</v>
      </c>
      <c r="G161" s="38" t="str">
        <f>IF(INDEX(Backlog!$M$2:$M$188,MATCH($A161,Backlog!$A$2:$A$188,0))="","",INDEX(Backlog!$M$2:$M$188,MATCH($A161,Backlog!$A$2:$A$188,0)))</f>
        <v>T-170; T-183; T-122; T-112; T-114; T-135</v>
      </c>
      <c r="H161" s="38" t="str">
        <f>IF(INDEX(Backlog!$N$2:$N$188,MATCH($A161,Backlog!$A$2:$A$188,0))="","",INDEX(Backlog!$N$2:$N$188,MATCH($A161,Backlog!$A$2:$A$188,0)))</f>
        <v>T-187; T-192</v>
      </c>
      <c r="I161" s="38" t="str">
        <f>IF(INDEX(Backlog!$T$2:$T$188,MATCH($A161,Backlog!$A$2:$A$188,0))="","",INDEX(Backlog!$T$2:$T$188,MATCH($A161,Backlog!$A$2:$A$188,0)))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T-170 + T-183 + T-122 final object-storage/container path + T-112/T-114/T-135...</v>
      </c>
      <c r="J161" s="32" t="str">
        <f>IF(INDEX(Backlog!$AN$2:$AN$188,MATCH($A161,Backlog!$A$2:$A$188,0))="","",INDEX(Backlog!$AN$2:$AN$188,MATCH($A161,Backlog!$A$2:$A$188,0)))</f>
        <v/>
      </c>
    </row>
    <row r="162" spans="1:10" ht="26.1" customHeight="1">
      <c r="A162" s="38" t="s">
        <v>222</v>
      </c>
      <c r="B162" s="38" t="str">
        <f>IF(INDEX(Backlog!$B$2:$B$188,MATCH($A162,Backlog!$A$2:$A$188,0))="","",INDEX(Backlog!$B$2:$B$188,MATCH($A162,Backlog!$A$2:$A$188,0)))</f>
        <v>M3</v>
      </c>
      <c r="C162" s="38" t="str">
        <f>IF(INDEX(Backlog!$C$2:$C$188,MATCH($A162,Backlog!$A$2:$A$188,0))="","",INDEX(Backlog!$C$2:$C$188,MATCH($A162,Backlog!$A$2:$A$188,0)))</f>
        <v>P4</v>
      </c>
      <c r="D162" s="38" t="str">
        <f>IF(INDEX(Backlog!$L$2:$L$188,MATCH($A162,Backlog!$A$2:$A$188,0))="","",INDEX(Backlog!$L$2:$L$188,MATCH($A162,Backlog!$A$2:$A$188,0)))</f>
        <v>Worker 3</v>
      </c>
      <c r="E162" s="70" t="str">
        <f>IF(INDEX(Backlog!$K$2:$K$188,MATCH($A162,Backlog!$A$2:$A$188,0))="","",INDEX(Backlog!$K$2:$K$188,MATCH($A162,Backlog!$A$2:$A$188,0)))</f>
        <v>Not Started</v>
      </c>
      <c r="F162" s="38" t="str">
        <f>IF(ISNUMBER(INDEX(Backlog!$AT$2:$AT$188,MATCH($A162,Backlog!$A$2:$A$188,0))),INDEX(Backlog!$AT$2:$AT$188,MATCH($A162,Backlog!$A$2:$A$188,0)),"")</f>
        <v/>
      </c>
      <c r="G162" s="38" t="str">
        <f>IF(INDEX(Backlog!$M$2:$M$188,MATCH($A162,Backlog!$A$2:$A$188,0))="","",INDEX(Backlog!$M$2:$M$188,MATCH($A162,Backlog!$A$2:$A$188,0)))</f>
        <v>T-171; T-183; T-128; T-129; T-195; T-135</v>
      </c>
      <c r="H162" s="38" t="str">
        <f>IF(INDEX(Backlog!$N$2:$N$188,MATCH($A162,Backlog!$A$2:$A$188,0))="","",INDEX(Backlog!$N$2:$N$188,MATCH($A162,Backlog!$A$2:$A$188,0)))</f>
        <v>T-134; T-187; T-188; T-192</v>
      </c>
      <c r="I162" s="38" t="str">
        <f>IF(INDEX(Backlog!$T$2:$T$188,MATCH($A162,Backlog!$A$2:$A$188,0))="","",INDEX(Backlog!$T$2:$T$188,MATCH($A162,Backlog!$A$2:$A$188,0)))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T-171 + T-183 + T-128/T-129 + T-195 canonical readiness thresholds + T-135 se...</v>
      </c>
      <c r="J162" s="32" t="str">
        <f>IF(INDEX(Backlog!$AN$2:$AN$188,MATCH($A162,Backlog!$A$2:$A$188,0))="","",INDEX(Backlog!$AN$2:$AN$188,MATCH($A162,Backlog!$A$2:$A$188,0)))</f>
        <v/>
      </c>
    </row>
    <row r="163" spans="1:10" ht="26.1" customHeight="1">
      <c r="A163" s="38" t="s">
        <v>223</v>
      </c>
      <c r="B163" s="38" t="str">
        <f>IF(INDEX(Backlog!$B$2:$B$188,MATCH($A163,Backlog!$A$2:$A$188,0))="","",INDEX(Backlog!$B$2:$B$188,MATCH($A163,Backlog!$A$2:$A$188,0)))</f>
        <v>M3</v>
      </c>
      <c r="C163" s="38" t="str">
        <f>IF(INDEX(Backlog!$C$2:$C$188,MATCH($A163,Backlog!$A$2:$A$188,0))="","",INDEX(Backlog!$C$2:$C$188,MATCH($A163,Backlog!$A$2:$A$188,0)))</f>
        <v>P4</v>
      </c>
      <c r="D163" s="38" t="str">
        <f>IF(INDEX(Backlog!$L$2:$L$188,MATCH($A163,Backlog!$A$2:$A$188,0))="","",INDEX(Backlog!$L$2:$L$188,MATCH($A163,Backlog!$A$2:$A$188,0)))</f>
        <v>Worker 3</v>
      </c>
      <c r="E163" s="70" t="str">
        <f>IF(INDEX(Backlog!$K$2:$K$188,MATCH($A163,Backlog!$A$2:$A$188,0))="","",INDEX(Backlog!$K$2:$K$188,MATCH($A163,Backlog!$A$2:$A$188,0)))</f>
        <v>Not Started</v>
      </c>
      <c r="F163" s="38">
        <f>IF(ISNUMBER(INDEX(Backlog!$AT$2:$AT$188,MATCH($A163,Backlog!$A$2:$A$188,0))),INDEX(Backlog!$AT$2:$AT$188,MATCH($A163,Backlog!$A$2:$A$188,0)),"")</f>
        <v>1.7999999999999998</v>
      </c>
      <c r="G163" s="38" t="str">
        <f>IF(INDEX(Backlog!$M$2:$M$188,MATCH($A163,Backlog!$A$2:$A$188,0))="","",INDEX(Backlog!$M$2:$M$188,MATCH($A163,Backlog!$A$2:$A$188,0)))</f>
        <v>T-168; T-169; T-170; T-171; T-172; T-173; T-174; T-175; T-176; T-183; T-184; T-185; T-186; T-107; T-109; T-112; T-114; T-135; T-195</v>
      </c>
      <c r="H163" s="38" t="str">
        <f>IF(INDEX(Backlog!$N$2:$N$188,MATCH($A163,Backlog!$A$2:$A$188,0))="","",INDEX(Backlog!$N$2:$N$188,MATCH($A163,Backlog!$A$2:$A$188,0)))</f>
        <v>T-139; T-141; T-191; T-192; T-193; T-246</v>
      </c>
      <c r="I163" s="38" t="str">
        <f>IF(INDEX(Backlog!$T$2:$T$188,MATCH($A163,Backlog!$A$2:$A$188,0))="","",INDEX(Backlog!$T$2:$T$188,MATCH($A163,Backlog!$A$2:$A$188,0)))</f>
        <v>T-107 + T-109 + T-168..T-176 + T-183..T-186 + T-112/T-114/T-135 + T-195.</v>
      </c>
      <c r="J163" s="32" t="str">
        <f>IF(INDEX(Backlog!$AN$2:$AN$188,MATCH($A163,Backlog!$A$2:$A$188,0))="","",INDEX(Backlog!$AN$2:$AN$188,MATCH($A163,Backlog!$A$2:$A$188,0)))</f>
        <v/>
      </c>
    </row>
    <row r="164" spans="1:10" ht="26.1" customHeight="1">
      <c r="A164" s="38" t="s">
        <v>224</v>
      </c>
      <c r="B164" s="38" t="str">
        <f>IF(INDEX(Backlog!$B$2:$B$188,MATCH($A164,Backlog!$A$2:$A$188,0))="","",INDEX(Backlog!$B$2:$B$188,MATCH($A164,Backlog!$A$2:$A$188,0)))</f>
        <v>M3</v>
      </c>
      <c r="C164" s="38" t="str">
        <f>IF(INDEX(Backlog!$C$2:$C$188,MATCH($A164,Backlog!$A$2:$A$188,0))="","",INDEX(Backlog!$C$2:$C$188,MATCH($A164,Backlog!$A$2:$A$188,0)))</f>
        <v>P4</v>
      </c>
      <c r="D164" s="38" t="str">
        <f>IF(INDEX(Backlog!$L$2:$L$188,MATCH($A164,Backlog!$A$2:$A$188,0))="","",INDEX(Backlog!$L$2:$L$188,MATCH($A164,Backlog!$A$2:$A$188,0)))</f>
        <v>Worker 3</v>
      </c>
      <c r="E164" s="70" t="str">
        <f>IF(INDEX(Backlog!$K$2:$K$188,MATCH($A164,Backlog!$A$2:$A$188,0))="","",INDEX(Backlog!$K$2:$K$188,MATCH($A164,Backlog!$A$2:$A$188,0)))</f>
        <v>Not Started</v>
      </c>
      <c r="F164" s="38">
        <f>IF(ISNUMBER(INDEX(Backlog!$AT$2:$AT$188,MATCH($A164,Backlog!$A$2:$A$188,0))),INDEX(Backlog!$AT$2:$AT$188,MATCH($A164,Backlog!$A$2:$A$188,0)),"")</f>
        <v>1.6666666666666667</v>
      </c>
      <c r="G164" s="38" t="str">
        <f>IF(INDEX(Backlog!$M$2:$M$188,MATCH($A164,Backlog!$A$2:$A$188,0))="","",INDEX(Backlog!$M$2:$M$188,MATCH($A164,Backlog!$A$2:$A$188,0)))</f>
        <v>T-129; T-130; T-186; T-195</v>
      </c>
      <c r="H164" s="38" t="str">
        <f>IF(INDEX(Backlog!$N$2:$N$188,MATCH($A164,Backlog!$A$2:$A$188,0))="","",INDEX(Backlog!$N$2:$N$188,MATCH($A164,Backlog!$A$2:$A$188,0)))</f>
        <v>T-138; T-192</v>
      </c>
      <c r="I164" s="38" t="str">
        <f>IF(INDEX(Backlog!$T$2:$T$188,MATCH($A164,Backlog!$A$2:$A$188,0))="","",INDEX(Backlog!$T$2:$T$188,MATCH($A164,Backlog!$A$2:$A$188,0)))</f>
        <v>T-129 + T-130 + T-186 + T-195 + M1 continuity snapshots.</v>
      </c>
      <c r="J164" s="32" t="str">
        <f>IF(INDEX(Backlog!$AN$2:$AN$188,MATCH($A164,Backlog!$A$2:$A$188,0))="","",INDEX(Backlog!$AN$2:$AN$188,MATCH($A164,Backlog!$A$2:$A$188,0)))</f>
        <v/>
      </c>
    </row>
    <row r="165" spans="1:10" ht="26.1" customHeight="1">
      <c r="A165" s="38" t="s">
        <v>225</v>
      </c>
      <c r="B165" s="38" t="str">
        <f>IF(INDEX(Backlog!$B$2:$B$188,MATCH($A165,Backlog!$A$2:$A$188,0))="","",INDEX(Backlog!$B$2:$B$188,MATCH($A165,Backlog!$A$2:$A$188,0)))</f>
        <v>M3</v>
      </c>
      <c r="C165" s="38" t="str">
        <f>IF(INDEX(Backlog!$C$2:$C$188,MATCH($A165,Backlog!$A$2:$A$188,0))="","",INDEX(Backlog!$C$2:$C$188,MATCH($A165,Backlog!$A$2:$A$188,0)))</f>
        <v>P4</v>
      </c>
      <c r="D165" s="38" t="str">
        <f>IF(INDEX(Backlog!$L$2:$L$188,MATCH($A165,Backlog!$A$2:$A$188,0))="","",INDEX(Backlog!$L$2:$L$188,MATCH($A165,Backlog!$A$2:$A$188,0)))</f>
        <v>Worker 3</v>
      </c>
      <c r="E165" s="70" t="str">
        <f>IF(INDEX(Backlog!$K$2:$K$188,MATCH($A165,Backlog!$A$2:$A$188,0))="","",INDEX(Backlog!$K$2:$K$188,MATCH($A165,Backlog!$A$2:$A$188,0)))</f>
        <v>Not Started</v>
      </c>
      <c r="F165" s="38">
        <f>IF(ISNUMBER(INDEX(Backlog!$AT$2:$AT$188,MATCH($A165,Backlog!$A$2:$A$188,0))),INDEX(Backlog!$AT$2:$AT$188,MATCH($A165,Backlog!$A$2:$A$188,0)),"")</f>
        <v>2</v>
      </c>
      <c r="G165" s="38" t="str">
        <f>IF(INDEX(Backlog!$M$2:$M$188,MATCH($A165,Backlog!$A$2:$A$188,0))="","",INDEX(Backlog!$M$2:$M$188,MATCH($A165,Backlog!$A$2:$A$188,0)))</f>
        <v>T-139; T-140; T-141; T-142; T-143</v>
      </c>
      <c r="H165" s="38" t="str">
        <f>IF(INDEX(Backlog!$N$2:$N$188,MATCH($A165,Backlog!$A$2:$A$188,0))="","",INDEX(Backlog!$N$2:$N$188,MATCH($A165,Backlog!$A$2:$A$188,0)))</f>
        <v>T-192</v>
      </c>
      <c r="I165" s="38" t="str">
        <f>IF(INDEX(Backlog!$T$2:$T$188,MATCH($A165,Backlog!$A$2:$A$188,0))="","",INDEX(Backlog!$T$2:$T$188,MATCH($A165,Backlog!$A$2:$A$188,0)))</f>
        <v>T-139..T-143 + M1 continuity snapshots</v>
      </c>
      <c r="J165" s="32" t="str">
        <f>IF(INDEX(Backlog!$AN$2:$AN$188,MATCH($A165,Backlog!$A$2:$A$188,0))="","",INDEX(Backlog!$AN$2:$AN$188,MATCH($A165,Backlog!$A$2:$A$188,0)))</f>
        <v/>
      </c>
    </row>
    <row r="166" spans="1:10" ht="26.1" customHeight="1">
      <c r="A166" s="38" t="s">
        <v>226</v>
      </c>
      <c r="B166" s="38" t="str">
        <f>IF(INDEX(Backlog!$B$2:$B$188,MATCH($A166,Backlog!$A$2:$A$188,0))="","",INDEX(Backlog!$B$2:$B$188,MATCH($A166,Backlog!$A$2:$A$188,0)))</f>
        <v>M3</v>
      </c>
      <c r="C166" s="38" t="str">
        <f>IF(INDEX(Backlog!$C$2:$C$188,MATCH($A166,Backlog!$A$2:$A$188,0))="","",INDEX(Backlog!$C$2:$C$188,MATCH($A166,Backlog!$A$2:$A$188,0)))</f>
        <v>P4</v>
      </c>
      <c r="D166" s="38" t="str">
        <f>IF(INDEX(Backlog!$L$2:$L$188,MATCH($A166,Backlog!$A$2:$A$188,0))="","",INDEX(Backlog!$L$2:$L$188,MATCH($A166,Backlog!$A$2:$A$188,0)))</f>
        <v>Worker 3</v>
      </c>
      <c r="E166" s="70" t="str">
        <f>IF(INDEX(Backlog!$K$2:$K$188,MATCH($A166,Backlog!$A$2:$A$188,0))="","",INDEX(Backlog!$K$2:$K$188,MATCH($A166,Backlog!$A$2:$A$188,0)))</f>
        <v>Not Started</v>
      </c>
      <c r="F166" s="38" t="str">
        <f>IF(ISNUMBER(INDEX(Backlog!$AT$2:$AT$188,MATCH($A166,Backlog!$A$2:$A$188,0))),INDEX(Backlog!$AT$2:$AT$188,MATCH($A166,Backlog!$A$2:$A$188,0)),"")</f>
        <v/>
      </c>
      <c r="G166" s="38" t="str">
        <f>IF(INDEX(Backlog!$M$2:$M$188,MATCH($A166,Backlog!$A$2:$A$188,0))="","",INDEX(Backlog!$M$2:$M$188,MATCH($A166,Backlog!$A$2:$A$188,0)))</f>
        <v>T-142; T-143; T-144; T-145</v>
      </c>
      <c r="H166" s="38" t="str">
        <f>IF(INDEX(Backlog!$N$2:$N$188,MATCH($A166,Backlog!$A$2:$A$188,0))="","",INDEX(Backlog!$N$2:$N$188,MATCH($A166,Backlog!$A$2:$A$188,0)))</f>
        <v>T-192</v>
      </c>
      <c r="I166" s="38" t="str">
        <f>IF(INDEX(Backlog!$T$2:$T$188,MATCH($A166,Backlog!$A$2:$A$188,0))="","",INDEX(Backlog!$T$2:$T$188,MATCH($A166,Backlog!$A$2:$A$188,0)))</f>
        <v>T-142..T-145 + M1 continuity snapshots</v>
      </c>
      <c r="J166" s="32" t="str">
        <f>IF(INDEX(Backlog!$AN$2:$AN$188,MATCH($A166,Backlog!$A$2:$A$188,0))="","",INDEX(Backlog!$AN$2:$AN$188,MATCH($A166,Backlog!$A$2:$A$188,0)))</f>
        <v/>
      </c>
    </row>
    <row r="167" spans="1:10" ht="26.1" customHeight="1">
      <c r="A167" s="38" t="s">
        <v>227</v>
      </c>
      <c r="B167" s="38" t="str">
        <f>IF(INDEX(Backlog!$B$2:$B$188,MATCH($A167,Backlog!$A$2:$A$188,0))="","",INDEX(Backlog!$B$2:$B$188,MATCH($A167,Backlog!$A$2:$A$188,0)))</f>
        <v>M3</v>
      </c>
      <c r="C167" s="38" t="str">
        <f>IF(INDEX(Backlog!$C$2:$C$188,MATCH($A167,Backlog!$A$2:$A$188,0))="","",INDEX(Backlog!$C$2:$C$188,MATCH($A167,Backlog!$A$2:$A$188,0)))</f>
        <v>P4</v>
      </c>
      <c r="D167" s="38" t="str">
        <f>IF(INDEX(Backlog!$L$2:$L$188,MATCH($A167,Backlog!$A$2:$A$188,0))="","",INDEX(Backlog!$L$2:$L$188,MATCH($A167,Backlog!$A$2:$A$188,0)))</f>
        <v>Worker 3</v>
      </c>
      <c r="E167" s="70" t="str">
        <f>IF(INDEX(Backlog!$K$2:$K$188,MATCH($A167,Backlog!$A$2:$A$188,0))="","",INDEX(Backlog!$K$2:$K$188,MATCH($A167,Backlog!$A$2:$A$188,0)))</f>
        <v>Not Started</v>
      </c>
      <c r="F167" s="38">
        <f>IF(ISNUMBER(INDEX(Backlog!$AT$2:$AT$188,MATCH($A167,Backlog!$A$2:$A$188,0))),INDEX(Backlog!$AT$2:$AT$188,MATCH($A167,Backlog!$A$2:$A$188,0)),"")</f>
        <v>1.7999999999999998</v>
      </c>
      <c r="G167" s="38" t="str">
        <f>IF(INDEX(Backlog!$M$2:$M$188,MATCH($A167,Backlog!$A$2:$A$188,0))="","",INDEX(Backlog!$M$2:$M$188,MATCH($A167,Backlog!$A$2:$A$188,0)))</f>
        <v>T-130; T-176; T-187</v>
      </c>
      <c r="H167" s="38" t="str">
        <f>IF(INDEX(Backlog!$N$2:$N$188,MATCH($A167,Backlog!$A$2:$A$188,0))="","",INDEX(Backlog!$N$2:$N$188,MATCH($A167,Backlog!$A$2:$A$188,0)))</f>
        <v>T-192</v>
      </c>
      <c r="I167" s="38" t="str">
        <f>IF(INDEX(Backlog!$T$2:$T$188,MATCH($A167,Backlog!$A$2:$A$188,0))="","",INDEX(Backlog!$T$2:$T$188,MATCH($A167,Backlog!$A$2:$A$188,0)))</f>
        <v>T-130 + T-176 + T-187</v>
      </c>
      <c r="J167" s="32" t="str">
        <f>IF(INDEX(Backlog!$AN$2:$AN$188,MATCH($A167,Backlog!$A$2:$A$188,0))="","",INDEX(Backlog!$AN$2:$AN$188,MATCH($A167,Backlog!$A$2:$A$188,0)))</f>
        <v/>
      </c>
    </row>
    <row r="168" spans="1:10" ht="26.1" customHeight="1">
      <c r="A168" s="38" t="s">
        <v>228</v>
      </c>
      <c r="B168" s="38" t="str">
        <f>IF(INDEX(Backlog!$B$2:$B$188,MATCH($A168,Backlog!$A$2:$A$188,0))="","",INDEX(Backlog!$B$2:$B$188,MATCH($A168,Backlog!$A$2:$A$188,0)))</f>
        <v>M3</v>
      </c>
      <c r="C168" s="38" t="str">
        <f>IF(INDEX(Backlog!$C$2:$C$188,MATCH($A168,Backlog!$A$2:$A$188,0))="","",INDEX(Backlog!$C$2:$C$188,MATCH($A168,Backlog!$A$2:$A$188,0)))</f>
        <v>P4</v>
      </c>
      <c r="D168" s="38" t="str">
        <f>IF(INDEX(Backlog!$L$2:$L$188,MATCH($A168,Backlog!$A$2:$A$188,0))="","",INDEX(Backlog!$L$2:$L$188,MATCH($A168,Backlog!$A$2:$A$188,0)))</f>
        <v>Worker 3</v>
      </c>
      <c r="E168" s="70" t="str">
        <f>IF(INDEX(Backlog!$K$2:$K$188,MATCH($A168,Backlog!$A$2:$A$188,0))="","",INDEX(Backlog!$K$2:$K$188,MATCH($A168,Backlog!$A$2:$A$188,0)))</f>
        <v>Not Started</v>
      </c>
      <c r="F168" s="38">
        <f>IF(ISNUMBER(INDEX(Backlog!$AT$2:$AT$188,MATCH($A168,Backlog!$A$2:$A$188,0))),INDEX(Backlog!$AT$2:$AT$188,MATCH($A168,Backlog!$A$2:$A$188,0)),"")</f>
        <v>1.7</v>
      </c>
      <c r="G168" s="38" t="str">
        <f>IF(INDEX(Backlog!$M$2:$M$188,MATCH($A168,Backlog!$A$2:$A$188,0))="","",INDEX(Backlog!$M$2:$M$188,MATCH($A168,Backlog!$A$2:$A$188,0)))</f>
        <v>T-183; T-184; T-185; T-186; T-187; T-188; T-189; T-190; T-191; T-107; T-122</v>
      </c>
      <c r="H168" s="38" t="str">
        <f>IF(INDEX(Backlog!$N$2:$N$188,MATCH($A168,Backlog!$A$2:$A$188,0))="","",INDEX(Backlog!$N$2:$N$188,MATCH($A168,Backlog!$A$2:$A$188,0)))</f>
        <v/>
      </c>
      <c r="I168" s="38" t="str">
        <f>IF(INDEX(Backlog!$T$2:$T$188,MATCH($A168,Backlog!$A$2:$A$188,0))="","",INDEX(Backlog!$T$2:$T$188,MATCH($A168,Backlog!$A$2:$A$188,0)))</f>
        <v>T-183..T-191 + T-107/T-122 as applicable</v>
      </c>
      <c r="J168" s="32" t="str">
        <f>IF(INDEX(Backlog!$AN$2:$AN$188,MATCH($A168,Backlog!$A$2:$A$188,0))="","",INDEX(Backlog!$AN$2:$AN$188,MATCH($A168,Backlog!$A$2:$A$188,0)))</f>
        <v/>
      </c>
    </row>
    <row r="169" spans="1:10" ht="26.1" customHeight="1">
      <c r="A169" s="38" t="s">
        <v>229</v>
      </c>
      <c r="B169" s="38" t="str">
        <f>IF(INDEX(Backlog!$B$2:$B$188,MATCH($A169,Backlog!$A$2:$A$188,0))="","",INDEX(Backlog!$B$2:$B$188,MATCH($A169,Backlog!$A$2:$A$188,0)))</f>
        <v>M3</v>
      </c>
      <c r="C169" s="38" t="str">
        <f>IF(INDEX(Backlog!$C$2:$C$188,MATCH($A169,Backlog!$A$2:$A$188,0))="","",INDEX(Backlog!$C$2:$C$188,MATCH($A169,Backlog!$A$2:$A$188,0)))</f>
        <v>P4</v>
      </c>
      <c r="D169" s="38" t="str">
        <f>IF(INDEX(Backlog!$L$2:$L$188,MATCH($A169,Backlog!$A$2:$A$188,0))="","",INDEX(Backlog!$L$2:$L$188,MATCH($A169,Backlog!$A$2:$A$188,0)))</f>
        <v>Worker 3</v>
      </c>
      <c r="E169" s="70" t="str">
        <f>IF(INDEX(Backlog!$K$2:$K$188,MATCH($A169,Backlog!$A$2:$A$188,0))="","",INDEX(Backlog!$K$2:$K$188,MATCH($A169,Backlog!$A$2:$A$188,0)))</f>
        <v>Not Started</v>
      </c>
      <c r="F169" s="38">
        <f>IF(ISNUMBER(INDEX(Backlog!$AT$2:$AT$188,MATCH($A169,Backlog!$A$2:$A$188,0))),INDEX(Backlog!$AT$2:$AT$188,MATCH($A169,Backlog!$A$2:$A$188,0)),"")</f>
        <v>1.5</v>
      </c>
      <c r="G169" s="38" t="str">
        <f>IF(INDEX(Backlog!$M$2:$M$188,MATCH($A169,Backlog!$A$2:$A$188,0))="","",INDEX(Backlog!$M$2:$M$188,MATCH($A169,Backlog!$A$2:$A$188,0)))</f>
        <v>T-130; T-187; T-139; T-145</v>
      </c>
      <c r="H169" s="38" t="str">
        <f>IF(INDEX(Backlog!$N$2:$N$188,MATCH($A169,Backlog!$A$2:$A$188,0))="","",INDEX(Backlog!$N$2:$N$188,MATCH($A169,Backlog!$A$2:$A$188,0)))</f>
        <v>T-249</v>
      </c>
      <c r="I169" s="38" t="str">
        <f>IF(INDEX(Backlog!$T$2:$T$188,MATCH($A169,Backlog!$A$2:$A$188,0))="","",INDEX(Backlog!$T$2:$T$188,MATCH($A169,Backlog!$A$2:$A$188,0)))</f>
        <v>T-130 + T-187 + T-139/T-145</v>
      </c>
      <c r="J169" s="32" t="str">
        <f>IF(INDEX(Backlog!$AN$2:$AN$188,MATCH($A169,Backlog!$A$2:$A$188,0))="","",INDEX(Backlog!$AN$2:$AN$188,MATCH($A169,Backlog!$A$2:$A$188,0)))</f>
        <v/>
      </c>
    </row>
    <row r="170" spans="1:10" ht="26.1" customHeight="1">
      <c r="A170" s="38" t="s">
        <v>230</v>
      </c>
      <c r="B170" s="38" t="str">
        <f>IF(INDEX(Backlog!$B$2:$B$188,MATCH($A170,Backlog!$A$2:$A$188,0))="","",INDEX(Backlog!$B$2:$B$188,MATCH($A170,Backlog!$A$2:$A$188,0)))</f>
        <v>M3</v>
      </c>
      <c r="C170" s="38" t="str">
        <f>IF(INDEX(Backlog!$C$2:$C$188,MATCH($A170,Backlog!$A$2:$A$188,0))="","",INDEX(Backlog!$C$2:$C$188,MATCH($A170,Backlog!$A$2:$A$188,0)))</f>
        <v>P4</v>
      </c>
      <c r="D170" s="38" t="str">
        <f>IF(INDEX(Backlog!$L$2:$L$188,MATCH($A170,Backlog!$A$2:$A$188,0))="","",INDEX(Backlog!$L$2:$L$188,MATCH($A170,Backlog!$A$2:$A$188,0)))</f>
        <v>Worker 3</v>
      </c>
      <c r="E170" s="70" t="str">
        <f>IF(INDEX(Backlog!$K$2:$K$188,MATCH($A170,Backlog!$A$2:$A$188,0))="","",INDEX(Backlog!$K$2:$K$188,MATCH($A170,Backlog!$A$2:$A$188,0)))</f>
        <v>Not Started</v>
      </c>
      <c r="F170" s="38">
        <f>IF(ISNUMBER(INDEX(Backlog!$AT$2:$AT$188,MATCH($A170,Backlog!$A$2:$A$188,0))),INDEX(Backlog!$AT$2:$AT$188,MATCH($A170,Backlog!$A$2:$A$188,0)),"")</f>
        <v>1.5</v>
      </c>
      <c r="G170" s="38" t="str">
        <f>IF(INDEX(Backlog!$M$2:$M$188,MATCH($A170,Backlog!$A$2:$A$188,0))="","",INDEX(Backlog!$M$2:$M$188,MATCH($A170,Backlog!$A$2:$A$188,0)))</f>
        <v>T-090; T-112; T-114</v>
      </c>
      <c r="H170" s="38" t="str">
        <f>IF(INDEX(Backlog!$N$2:$N$188,MATCH($A170,Backlog!$A$2:$A$188,0))="","",INDEX(Backlog!$N$2:$N$188,MATCH($A170,Backlog!$A$2:$A$188,0)))</f>
        <v>T-186; T-187; T-188</v>
      </c>
      <c r="I170" s="38" t="str">
        <f>IF(INDEX(Backlog!$T$2:$T$188,MATCH($A170,Backlog!$A$2:$A$188,0))="","",INDEX(Backlog!$T$2:$T$188,MATCH($A170,Backlog!$A$2:$A$188,0)))</f>
        <v>T-090 + T-112 + T-114</v>
      </c>
      <c r="J170" s="32" t="str">
        <f>IF(INDEX(Backlog!$AN$2:$AN$188,MATCH($A170,Backlog!$A$2:$A$188,0))="","",INDEX(Backlog!$AN$2:$AN$188,MATCH($A170,Backlog!$A$2:$A$188,0)))</f>
        <v/>
      </c>
    </row>
    <row r="171" spans="1:10" ht="26.1" customHeight="1">
      <c r="A171" s="38" t="s">
        <v>231</v>
      </c>
      <c r="B171" s="38" t="str">
        <f>IF(INDEX(Backlog!$B$2:$B$188,MATCH($A171,Backlog!$A$2:$A$188,0))="","",INDEX(Backlog!$B$2:$B$188,MATCH($A171,Backlog!$A$2:$A$188,0)))</f>
        <v>M3</v>
      </c>
      <c r="C171" s="38" t="str">
        <f>IF(INDEX(Backlog!$C$2:$C$188,MATCH($A171,Backlog!$A$2:$A$188,0))="","",INDEX(Backlog!$C$2:$C$188,MATCH($A171,Backlog!$A$2:$A$188,0)))</f>
        <v>P4</v>
      </c>
      <c r="D171" s="38" t="str">
        <f>IF(INDEX(Backlog!$L$2:$L$188,MATCH($A171,Backlog!$A$2:$A$188,0))="","",INDEX(Backlog!$L$2:$L$188,MATCH($A171,Backlog!$A$2:$A$188,0)))</f>
        <v>Worker 3</v>
      </c>
      <c r="E171" s="70" t="str">
        <f>IF(INDEX(Backlog!$K$2:$K$188,MATCH($A171,Backlog!$A$2:$A$188,0))="","",INDEX(Backlog!$K$2:$K$188,MATCH($A171,Backlog!$A$2:$A$188,0)))</f>
        <v>Not Started</v>
      </c>
      <c r="F171" s="38">
        <f>IF(ISNUMBER(INDEX(Backlog!$AT$2:$AT$188,MATCH($A171,Backlog!$A$2:$A$188,0))),INDEX(Backlog!$AT$2:$AT$188,MATCH($A171,Backlog!$A$2:$A$188,0)),"")</f>
        <v>3.2</v>
      </c>
      <c r="G171" s="38" t="str">
        <f>IF(INDEX(Backlog!$M$2:$M$188,MATCH($A171,Backlog!$A$2:$A$188,0))="","",INDEX(Backlog!$M$2:$M$188,MATCH($A171,Backlog!$A$2:$A$188,0)))</f>
        <v>T-208; T-214</v>
      </c>
      <c r="H171" s="38" t="str">
        <f>IF(INDEX(Backlog!$N$2:$N$188,MATCH($A171,Backlog!$A$2:$A$188,0))="","",INDEX(Backlog!$N$2:$N$188,MATCH($A171,Backlog!$A$2:$A$188,0)))</f>
        <v>T-239; T-240</v>
      </c>
      <c r="I171" s="38" t="str">
        <f>IF(INDEX(Backlog!$T$2:$T$188,MATCH($A171,Backlog!$A$2:$A$188,0))="","",INDEX(Backlog!$T$2:$T$188,MATCH($A171,Backlog!$A$2:$A$188,0)))</f>
        <v>May start after T-214 contract; does not block September demo.</v>
      </c>
      <c r="J171" s="32" t="str">
        <f>IF(INDEX(Backlog!$AN$2:$AN$188,MATCH($A171,Backlog!$A$2:$A$188,0))="","",INDEX(Backlog!$AN$2:$AN$188,MATCH($A171,Backlog!$A$2:$A$188,0)))</f>
        <v/>
      </c>
    </row>
    <row r="172" spans="1:10" ht="26.1" customHeight="1">
      <c r="A172" s="38" t="s">
        <v>232</v>
      </c>
      <c r="B172" s="38" t="str">
        <f>IF(INDEX(Backlog!$B$2:$B$188,MATCH($A172,Backlog!$A$2:$A$188,0))="","",INDEX(Backlog!$B$2:$B$188,MATCH($A172,Backlog!$A$2:$A$188,0)))</f>
        <v>M3</v>
      </c>
      <c r="C172" s="38" t="str">
        <f>IF(INDEX(Backlog!$C$2:$C$188,MATCH($A172,Backlog!$A$2:$A$188,0))="","",INDEX(Backlog!$C$2:$C$188,MATCH($A172,Backlog!$A$2:$A$188,0)))</f>
        <v>P4</v>
      </c>
      <c r="D172" s="38" t="str">
        <f>IF(INDEX(Backlog!$L$2:$L$188,MATCH($A172,Backlog!$A$2:$A$188,0))="","",INDEX(Backlog!$L$2:$L$188,MATCH($A172,Backlog!$A$2:$A$188,0)))</f>
        <v>Worker 1</v>
      </c>
      <c r="E172" s="70" t="str">
        <f>IF(INDEX(Backlog!$K$2:$K$188,MATCH($A172,Backlog!$A$2:$A$188,0))="","",INDEX(Backlog!$K$2:$K$188,MATCH($A172,Backlog!$A$2:$A$188,0)))</f>
        <v>Not Started</v>
      </c>
      <c r="F172" s="38">
        <f>IF(ISNUMBER(INDEX(Backlog!$AT$2:$AT$188,MATCH($A172,Backlog!$A$2:$A$188,0))),INDEX(Backlog!$AT$2:$AT$188,MATCH($A172,Backlog!$A$2:$A$188,0)),"")</f>
        <v>3.4</v>
      </c>
      <c r="G172" s="38" t="str">
        <f>IF(INDEX(Backlog!$M$2:$M$188,MATCH($A172,Backlog!$A$2:$A$188,0))="","",INDEX(Backlog!$M$2:$M$188,MATCH($A172,Backlog!$A$2:$A$188,0)))</f>
        <v>T-090; T-214; T-238</v>
      </c>
      <c r="H172" s="38" t="str">
        <f>IF(INDEX(Backlog!$N$2:$N$188,MATCH($A172,Backlog!$A$2:$A$188,0))="","",INDEX(Backlog!$N$2:$N$188,MATCH($A172,Backlog!$A$2:$A$188,0)))</f>
        <v>T-240</v>
      </c>
      <c r="I172" s="38" t="str">
        <f>IF(INDEX(Backlog!$T$2:$T$188,MATCH($A172,Backlog!$A$2:$A$188,0))="","",INDEX(Backlog!$T$2:$T$188,MATCH($A172,Backlog!$A$2:$A$188,0)))</f>
        <v>After T-090 + frozen T-214/T-238 contracts.</v>
      </c>
      <c r="J172" s="32" t="str">
        <f>IF(INDEX(Backlog!$AN$2:$AN$188,MATCH($A172,Backlog!$A$2:$A$188,0))="","",INDEX(Backlog!$AN$2:$AN$188,MATCH($A172,Backlog!$A$2:$A$188,0)))</f>
        <v/>
      </c>
    </row>
    <row r="173" spans="1:10" ht="26.1" customHeight="1">
      <c r="A173" s="38" t="s">
        <v>233</v>
      </c>
      <c r="B173" s="38" t="str">
        <f>IF(INDEX(Backlog!$B$2:$B$188,MATCH($A173,Backlog!$A$2:$A$188,0))="","",INDEX(Backlog!$B$2:$B$188,MATCH($A173,Backlog!$A$2:$A$188,0)))</f>
        <v>M3</v>
      </c>
      <c r="C173" s="38" t="str">
        <f>IF(INDEX(Backlog!$C$2:$C$188,MATCH($A173,Backlog!$A$2:$A$188,0))="","",INDEX(Backlog!$C$2:$C$188,MATCH($A173,Backlog!$A$2:$A$188,0)))</f>
        <v>P4</v>
      </c>
      <c r="D173" s="38" t="str">
        <f>IF(INDEX(Backlog!$L$2:$L$188,MATCH($A173,Backlog!$A$2:$A$188,0))="","",INDEX(Backlog!$L$2:$L$188,MATCH($A173,Backlog!$A$2:$A$188,0)))</f>
        <v>Worker 3</v>
      </c>
      <c r="E173" s="70" t="str">
        <f>IF(INDEX(Backlog!$K$2:$K$188,MATCH($A173,Backlog!$A$2:$A$188,0))="","",INDEX(Backlog!$K$2:$K$188,MATCH($A173,Backlog!$A$2:$A$188,0)))</f>
        <v>Not Started</v>
      </c>
      <c r="F173" s="38">
        <f>IF(ISNUMBER(INDEX(Backlog!$AT$2:$AT$188,MATCH($A173,Backlog!$A$2:$A$188,0))),INDEX(Backlog!$AT$2:$AT$188,MATCH($A173,Backlog!$A$2:$A$188,0)),"")</f>
        <v>5.0999999999999996</v>
      </c>
      <c r="G173" s="38" t="str">
        <f>IF(INDEX(Backlog!$M$2:$M$188,MATCH($A173,Backlog!$A$2:$A$188,0))="","",INDEX(Backlog!$M$2:$M$188,MATCH($A173,Backlog!$A$2:$A$188,0)))</f>
        <v>T-131; T-132; T-133; T-238; T-239</v>
      </c>
      <c r="H173" s="38" t="str">
        <f>IF(INDEX(Backlog!$N$2:$N$188,MATCH($A173,Backlog!$A$2:$A$188,0))="","",INDEX(Backlog!$N$2:$N$188,MATCH($A173,Backlog!$A$2:$A$188,0)))</f>
        <v>T-249; T-264</v>
      </c>
      <c r="I173" s="38" t="str">
        <f>IF(INDEX(Backlog!$T$2:$T$188,MATCH($A173,Backlog!$A$2:$A$188,0))="","",INDEX(Backlog!$T$2:$T$188,MATCH($A173,Backlog!$A$2:$A$188,0)))</f>
        <v>After practice core + objective persistence.</v>
      </c>
      <c r="J173" s="32" t="str">
        <f>IF(INDEX(Backlog!$AN$2:$AN$188,MATCH($A173,Backlog!$A$2:$A$188,0))="","",INDEX(Backlog!$AN$2:$AN$188,MATCH($A173,Backlog!$A$2:$A$188,0)))</f>
        <v/>
      </c>
    </row>
    <row r="174" spans="1:10" ht="26.1" customHeight="1">
      <c r="A174" s="38" t="s">
        <v>234</v>
      </c>
      <c r="B174" s="38" t="str">
        <f>IF(INDEX(Backlog!$B$2:$B$188,MATCH($A174,Backlog!$A$2:$A$188,0))="","",INDEX(Backlog!$B$2:$B$188,MATCH($A174,Backlog!$A$2:$A$188,0)))</f>
        <v>M3</v>
      </c>
      <c r="C174" s="38" t="str">
        <f>IF(INDEX(Backlog!$C$2:$C$188,MATCH($A174,Backlog!$A$2:$A$188,0))="","",INDEX(Backlog!$C$2:$C$188,MATCH($A174,Backlog!$A$2:$A$188,0)))</f>
        <v>P4</v>
      </c>
      <c r="D174" s="38" t="str">
        <f>IF(INDEX(Backlog!$L$2:$L$188,MATCH($A174,Backlog!$A$2:$A$188,0))="","",INDEX(Backlog!$L$2:$L$188,MATCH($A174,Backlog!$A$2:$A$188,0)))</f>
        <v>Worker 2</v>
      </c>
      <c r="E174" s="70" t="str">
        <f>IF(INDEX(Backlog!$K$2:$K$188,MATCH($A174,Backlog!$A$2:$A$188,0))="","",INDEX(Backlog!$K$2:$K$188,MATCH($A174,Backlog!$A$2:$A$188,0)))</f>
        <v>Not Started</v>
      </c>
      <c r="F174" s="38">
        <f>IF(ISNUMBER(INDEX(Backlog!$AT$2:$AT$188,MATCH($A174,Backlog!$A$2:$A$188,0))),INDEX(Backlog!$AT$2:$AT$188,MATCH($A174,Backlog!$A$2:$A$188,0)),"")</f>
        <v>4.7</v>
      </c>
      <c r="G174" s="38" t="str">
        <f>IF(INDEX(Backlog!$M$2:$M$188,MATCH($A174,Backlog!$A$2:$A$188,0))="","",INDEX(Backlog!$M$2:$M$188,MATCH($A174,Backlog!$A$2:$A$188,0)))</f>
        <v>T-243; T-130; T-137; T-187</v>
      </c>
      <c r="H174" s="38" t="str">
        <f>IF(INDEX(Backlog!$N$2:$N$188,MATCH($A174,Backlog!$A$2:$A$188,0))="","",INDEX(Backlog!$N$2:$N$188,MATCH($A174,Backlog!$A$2:$A$188,0)))</f>
        <v>T-249</v>
      </c>
      <c r="I174" s="38" t="str">
        <f>IF(INDEX(Backlog!$T$2:$T$188,MATCH($A174,Backlog!$A$2:$A$188,0))="","",INDEX(Backlog!$T$2:$T$188,MATCH($A174,Backlog!$A$2:$A$188,0)))</f>
        <v>Consume accepted producer contracts; remaining dependencies: T-243; T-130; T-137; T-187. No private scheduler/definition authority. Source-present is not closure proof.</v>
      </c>
      <c r="J174" s="32" t="str">
        <f>IF(INDEX(Backlog!$AN$2:$AN$188,MATCH($A174,Backlog!$A$2:$A$188,0))="","",INDEX(Backlog!$AN$2:$AN$188,MATCH($A174,Backlog!$A$2:$A$188,0)))</f>
        <v/>
      </c>
    </row>
    <row r="175" spans="1:10" ht="26.1" customHeight="1">
      <c r="A175" s="38" t="s">
        <v>235</v>
      </c>
      <c r="B175" s="38" t="str">
        <f>IF(INDEX(Backlog!$B$2:$B$188,MATCH($A175,Backlog!$A$2:$A$188,0))="","",INDEX(Backlog!$B$2:$B$188,MATCH($A175,Backlog!$A$2:$A$188,0)))</f>
        <v>M3</v>
      </c>
      <c r="C175" s="38" t="str">
        <f>IF(INDEX(Backlog!$C$2:$C$188,MATCH($A175,Backlog!$A$2:$A$188,0))="","",INDEX(Backlog!$C$2:$C$188,MATCH($A175,Backlog!$A$2:$A$188,0)))</f>
        <v>P4</v>
      </c>
      <c r="D175" s="38" t="str">
        <f>IF(INDEX(Backlog!$L$2:$L$188,MATCH($A175,Backlog!$A$2:$A$188,0))="","",INDEX(Backlog!$L$2:$L$188,MATCH($A175,Backlog!$A$2:$A$188,0)))</f>
        <v>Worker 3</v>
      </c>
      <c r="E175" s="70" t="str">
        <f>IF(INDEX(Backlog!$K$2:$K$188,MATCH($A175,Backlog!$A$2:$A$188,0))="","",INDEX(Backlog!$K$2:$K$188,MATCH($A175,Backlog!$A$2:$A$188,0)))</f>
        <v>Not Started</v>
      </c>
      <c r="F175" s="38" t="str">
        <f>IF(ISNUMBER(INDEX(Backlog!$AT$2:$AT$188,MATCH($A175,Backlog!$A$2:$A$188,0))),INDEX(Backlog!$AT$2:$AT$188,MATCH($A175,Backlog!$A$2:$A$188,0)),"")</f>
        <v/>
      </c>
      <c r="G175" s="38" t="str">
        <f>IF(INDEX(Backlog!$M$2:$M$188,MATCH($A175,Backlog!$A$2:$A$188,0))="","",INDEX(Backlog!$M$2:$M$188,MATCH($A175,Backlog!$A$2:$A$188,0)))</f>
        <v>T-214; T-240</v>
      </c>
      <c r="H175" s="38" t="str">
        <f>IF(INDEX(Backlog!$N$2:$N$188,MATCH($A175,Backlog!$A$2:$A$188,0))="","",INDEX(Backlog!$N$2:$N$188,MATCH($A175,Backlog!$A$2:$A$188,0)))</f>
        <v>T-249</v>
      </c>
      <c r="I175" s="38" t="str">
        <f>IF(INDEX(Backlog!$T$2:$T$188,MATCH($A175,Backlog!$A$2:$A$188,0))="","",INDEX(Backlog!$T$2:$T$188,MATCH($A175,Backlog!$A$2:$A$188,0)))</f>
        <v>Consume accepted producer contracts; remaining dependencies: T-214; T-240. No private scheduler/definition authority. Source-present is not closure proof.</v>
      </c>
      <c r="J175" s="32" t="str">
        <f>IF(INDEX(Backlog!$AN$2:$AN$188,MATCH($A175,Backlog!$A$2:$A$188,0))="","",INDEX(Backlog!$AN$2:$AN$188,MATCH($A175,Backlog!$A$2:$A$188,0)))</f>
        <v/>
      </c>
    </row>
    <row r="176" spans="1:10" ht="26.1" customHeight="1">
      <c r="A176" s="38" t="s">
        <v>236</v>
      </c>
      <c r="B176" s="38" t="str">
        <f>IF(INDEX(Backlog!$B$2:$B$188,MATCH($A176,Backlog!$A$2:$A$188,0))="","",INDEX(Backlog!$B$2:$B$188,MATCH($A176,Backlog!$A$2:$A$188,0)))</f>
        <v>M3</v>
      </c>
      <c r="C176" s="38" t="str">
        <f>IF(INDEX(Backlog!$C$2:$C$188,MATCH($A176,Backlog!$A$2:$A$188,0))="","",INDEX(Backlog!$C$2:$C$188,MATCH($A176,Backlog!$A$2:$A$188,0)))</f>
        <v>P5</v>
      </c>
      <c r="D176" s="38" t="str">
        <f>IF(INDEX(Backlog!$L$2:$L$188,MATCH($A176,Backlog!$A$2:$A$188,0))="","",INDEX(Backlog!$L$2:$L$188,MATCH($A176,Backlog!$A$2:$A$188,0)))</f>
        <v>Worker 2</v>
      </c>
      <c r="E176" s="70" t="str">
        <f>IF(INDEX(Backlog!$K$2:$K$188,MATCH($A176,Backlog!$A$2:$A$188,0))="","",INDEX(Backlog!$K$2:$K$188,MATCH($A176,Backlog!$A$2:$A$188,0)))</f>
        <v>Not Started</v>
      </c>
      <c r="F176" s="38">
        <f>IF(ISNUMBER(INDEX(Backlog!$AT$2:$AT$188,MATCH($A176,Backlog!$A$2:$A$188,0))),INDEX(Backlog!$AT$2:$AT$188,MATCH($A176,Backlog!$A$2:$A$188,0)),"")</f>
        <v>7.2</v>
      </c>
      <c r="G176" s="38" t="str">
        <f>IF(INDEX(Backlog!$M$2:$M$188,MATCH($A176,Backlog!$A$2:$A$188,0))="","",INDEX(Backlog!$M$2:$M$188,MATCH($A176,Backlog!$A$2:$A$188,0)))</f>
        <v/>
      </c>
      <c r="H176" s="38" t="str">
        <f>IF(INDEX(Backlog!$N$2:$N$188,MATCH($A176,Backlog!$A$2:$A$188,0))="","",INDEX(Backlog!$N$2:$N$188,MATCH($A176,Backlog!$A$2:$A$188,0)))</f>
        <v>T-249</v>
      </c>
      <c r="I176" s="38" t="str">
        <f>IF(INDEX(Backlog!$T$2:$T$188,MATCH($A176,Backlog!$A$2:$A$188,0))="","",INDEX(Backlog!$T$2:$T$188,MATCH($A176,Backlog!$A$2:$A$188,0)))</f>
        <v>WAIT for deployed Release 1 + real customer/site evidence. M3 sequence</v>
      </c>
      <c r="J176" s="32" t="str">
        <f>IF(INDEX(Backlog!$AN$2:$AN$188,MATCH($A176,Backlog!$A$2:$A$188,0))="","",INDEX(Backlog!$AN$2:$AN$188,MATCH($A176,Backlog!$A$2:$A$188,0)))</f>
        <v/>
      </c>
    </row>
    <row r="177" spans="1:10" ht="26.1" customHeight="1">
      <c r="A177" s="38" t="s">
        <v>237</v>
      </c>
      <c r="B177" s="38" t="str">
        <f>IF(INDEX(Backlog!$B$2:$B$188,MATCH($A177,Backlog!$A$2:$A$188,0))="","",INDEX(Backlog!$B$2:$B$188,MATCH($A177,Backlog!$A$2:$A$188,0)))</f>
        <v>M3</v>
      </c>
      <c r="C177" s="38" t="str">
        <f>IF(INDEX(Backlog!$C$2:$C$188,MATCH($A177,Backlog!$A$2:$A$188,0))="","",INDEX(Backlog!$C$2:$C$188,MATCH($A177,Backlog!$A$2:$A$188,0)))</f>
        <v>P5</v>
      </c>
      <c r="D177" s="38" t="str">
        <f>IF(INDEX(Backlog!$L$2:$L$188,MATCH($A177,Backlog!$A$2:$A$188,0))="","",INDEX(Backlog!$L$2:$L$188,MATCH($A177,Backlog!$A$2:$A$188,0)))</f>
        <v>Worker 1</v>
      </c>
      <c r="E177" s="70" t="str">
        <f>IF(INDEX(Backlog!$K$2:$K$188,MATCH($A177,Backlog!$A$2:$A$188,0))="","",INDEX(Backlog!$K$2:$K$188,MATCH($A177,Backlog!$A$2:$A$188,0)))</f>
        <v>Not Started</v>
      </c>
      <c r="F177" s="38">
        <f>IF(ISNUMBER(INDEX(Backlog!$AT$2:$AT$188,MATCH($A177,Backlog!$A$2:$A$188,0))),INDEX(Backlog!$AT$2:$AT$188,MATCH($A177,Backlog!$A$2:$A$188,0)),"")</f>
        <v>6</v>
      </c>
      <c r="G177" s="38" t="str">
        <f>IF(INDEX(Backlog!$M$2:$M$188,MATCH($A177,Backlog!$A$2:$A$188,0))="","",INDEX(Backlog!$M$2:$M$188,MATCH($A177,Backlog!$A$2:$A$188,0)))</f>
        <v>T-153; T-159; T-160; T-161; T-162; T-163; T-164; T-167; T-193; T-230; T-240; T-248; T-263; T-264; T-246; T-110; T-267</v>
      </c>
      <c r="H177" s="38" t="str">
        <f>IF(INDEX(Backlog!$N$2:$N$188,MATCH($A177,Backlog!$A$2:$A$188,0))="","",INDEX(Backlog!$N$2:$N$188,MATCH($A177,Backlog!$A$2:$A$188,0)))</f>
        <v/>
      </c>
      <c r="I177" s="38" t="str">
        <f>IF(INDEX(Backlog!$T$2:$T$188,MATCH($A177,Backlog!$A$2:$A$188,0))="","",INDEX(Backlog!$T$2:$T$188,MATCH($A177,Backlog!$A$2:$A$188,0)))</f>
        <v>After all M3 MUST gates</v>
      </c>
      <c r="J177" s="32" t="str">
        <f>IF(INDEX(Backlog!$AN$2:$AN$188,MATCH($A177,Backlog!$A$2:$A$188,0))="","",INDEX(Backlog!$AN$2:$AN$188,MATCH($A177,Backlog!$A$2:$A$188,0)))</f>
        <v/>
      </c>
    </row>
    <row r="178" spans="1:10">
      <c r="A178" t="s">
        <v>238</v>
      </c>
      <c r="B178" t="str">
        <f>IF(INDEX(Backlog!$B$2:$B$188,MATCH($A178,Backlog!$A$2:$A$188,0))="","",INDEX(Backlog!$B$2:$B$188,MATCH($A178,Backlog!$A$2:$A$188,0)))</f>
        <v>M2</v>
      </c>
      <c r="C178" t="str">
        <f>IF(INDEX(Backlog!$C$2:$C$188,MATCH($A178,Backlog!$A$2:$A$188,0))="","",INDEX(Backlog!$C$2:$C$188,MATCH($A178,Backlog!$A$2:$A$188,0)))</f>
        <v>P3</v>
      </c>
      <c r="D178" t="str">
        <f>IF(INDEX(Backlog!$L$2:$L$188,MATCH($A178,Backlog!$A$2:$A$188,0))="","",INDEX(Backlog!$L$2:$L$188,MATCH($A178,Backlog!$A$2:$A$188,0)))</f>
        <v>Worker 2</v>
      </c>
      <c r="E178" s="71" t="str">
        <f>IF(INDEX(Backlog!$K$2:$K$188,MATCH($A178,Backlog!$A$2:$A$188,0))="","",INDEX(Backlog!$K$2:$K$188,MATCH($A178,Backlog!$A$2:$A$188,0)))</f>
        <v>Not Started</v>
      </c>
      <c r="F178" t="str">
        <f>IF(ISNUMBER(INDEX(Backlog!$AT$2:$AT$188,MATCH($A178,Backlog!$A$2:$A$188,0))),INDEX(Backlog!$AT$2:$AT$188,MATCH($A178,Backlog!$A$2:$A$188,0)),"")</f>
        <v/>
      </c>
      <c r="G178" t="str">
        <f>IF(INDEX(Backlog!$M$2:$M$188,MATCH($A178,Backlog!$A$2:$A$188,0))="","",INDEX(Backlog!$M$2:$M$188,MATCH($A178,Backlog!$A$2:$A$188,0)))</f>
        <v/>
      </c>
      <c r="H178" t="str">
        <f>IF(INDEX(Backlog!$N$2:$N$188,MATCH($A178,Backlog!$A$2:$A$188,0))="","",INDEX(Backlog!$N$2:$N$188,MATCH($A178,Backlog!$A$2:$A$188,0)))</f>
        <v>T-247; T-267</v>
      </c>
      <c r="I178" t="str">
        <f>IF(INDEX(Backlog!$T$2:$T$188,MATCH($A178,Backlog!$A$2:$A$188,0))="","",INDEX(Backlog!$T$2:$T$188,MATCH($A178,Backlog!$A$2:$A$188,0)))</f>
        <v>Read v4.10.3 and frozen producer contracts. Contract-ready does not require producer completion; final design acceptance requires recorded walkthrough evidence.</v>
      </c>
      <c r="J178" t="str">
        <f>IF(INDEX(Backlog!$AN$2:$AN$188,MATCH($A178,Backlog!$A$2:$A$188,0))="","",INDEX(Backlog!$AN$2:$AN$188,MATCH($A178,Backlog!$A$2:$A$188,0)))</f>
        <v>T-099; T-106; T-253; T-262; T-101; T-125</v>
      </c>
    </row>
    <row r="179" spans="1:10">
      <c r="A179" t="s">
        <v>239</v>
      </c>
      <c r="B179" t="str">
        <f>IF(INDEX(Backlog!$B$2:$B$188,MATCH($A179,Backlog!$A$2:$A$188,0))="","",INDEX(Backlog!$B$2:$B$188,MATCH($A179,Backlog!$A$2:$A$188,0)))</f>
        <v>M2</v>
      </c>
      <c r="C179" t="str">
        <f>IF(INDEX(Backlog!$C$2:$C$188,MATCH($A179,Backlog!$A$2:$A$188,0))="","",INDEX(Backlog!$C$2:$C$188,MATCH($A179,Backlog!$A$2:$A$188,0)))</f>
        <v>P2</v>
      </c>
      <c r="D179" t="str">
        <f>IF(INDEX(Backlog!$L$2:$L$188,MATCH($A179,Backlog!$A$2:$A$188,0))="","",INDEX(Backlog!$L$2:$L$188,MATCH($A179,Backlog!$A$2:$A$188,0)))</f>
        <v>Worker 2</v>
      </c>
      <c r="E179" s="71" t="str">
        <f>IF(INDEX(Backlog!$K$2:$K$188,MATCH($A179,Backlog!$A$2:$A$188,0))="","",INDEX(Backlog!$K$2:$K$188,MATCH($A179,Backlog!$A$2:$A$188,0)))</f>
        <v>Not Started</v>
      </c>
      <c r="F179" t="str">
        <f>IF(ISNUMBER(INDEX(Backlog!$AT$2:$AT$188,MATCH($A179,Backlog!$A$2:$A$188,0))),INDEX(Backlog!$AT$2:$AT$188,MATCH($A179,Backlog!$A$2:$A$188,0)),"")</f>
        <v/>
      </c>
      <c r="G179" t="str">
        <f>IF(INDEX(Backlog!$M$2:$M$188,MATCH($A179,Backlog!$A$2:$A$188,0))="","",INDEX(Backlog!$M$2:$M$188,MATCH($A179,Backlog!$A$2:$A$188,0)))</f>
        <v>T-207</v>
      </c>
      <c r="H179" t="str">
        <f>IF(INDEX(Backlog!$N$2:$N$188,MATCH($A179,Backlog!$A$2:$A$188,0))="","",INDEX(Backlog!$N$2:$N$188,MATCH($A179,Backlog!$A$2:$A$188,0)))</f>
        <v>T-247; T-274</v>
      </c>
      <c r="I179" t="str">
        <f>IF(INDEX(Backlog!$T$2:$T$188,MATCH($A179,Backlog!$A$2:$A$188,0))="","",INDEX(Backlog!$T$2:$T$188,MATCH($A179,Backlog!$A$2:$A$188,0)))</f>
        <v>Read v4.10.3 and frozen producer contracts. Contract-ready does not require producer completion; final design acceptance requires recorded walkthrough evidence.</v>
      </c>
      <c r="J179" t="str">
        <f>IF(INDEX(Backlog!$AN$2:$AN$188,MATCH($A179,Backlog!$A$2:$A$188,0))="","",INDEX(Backlog!$AN$2:$AN$188,MATCH($A179,Backlog!$A$2:$A$188,0)))</f>
        <v>T-224; T-225; T-226; T-233</v>
      </c>
    </row>
    <row r="180" spans="1:10">
      <c r="A180" t="s">
        <v>240</v>
      </c>
      <c r="B180" t="str">
        <f>IF(INDEX(Backlog!$B$2:$B$188,MATCH($A180,Backlog!$A$2:$A$188,0))="","",INDEX(Backlog!$B$2:$B$188,MATCH($A180,Backlog!$A$2:$A$188,0)))</f>
        <v>M3</v>
      </c>
      <c r="C180" t="str">
        <f>IF(INDEX(Backlog!$C$2:$C$188,MATCH($A180,Backlog!$A$2:$A$188,0))="","",INDEX(Backlog!$C$2:$C$188,MATCH($A180,Backlog!$A$2:$A$188,0)))</f>
        <v>P3</v>
      </c>
      <c r="D180" t="str">
        <f>IF(INDEX(Backlog!$L$2:$L$188,MATCH($A180,Backlog!$A$2:$A$188,0))="","",INDEX(Backlog!$L$2:$L$188,MATCH($A180,Backlog!$A$2:$A$188,0)))</f>
        <v>Worker 2</v>
      </c>
      <c r="E180" s="71" t="str">
        <f>IF(INDEX(Backlog!$K$2:$K$188,MATCH($A180,Backlog!$A$2:$A$188,0))="","",INDEX(Backlog!$K$2:$K$188,MATCH($A180,Backlog!$A$2:$A$188,0)))</f>
        <v>Not Started</v>
      </c>
      <c r="F180" t="str">
        <f>IF(ISNUMBER(INDEX(Backlog!$AT$2:$AT$188,MATCH($A180,Backlog!$A$2:$A$188,0))),INDEX(Backlog!$AT$2:$AT$188,MATCH($A180,Backlog!$A$2:$A$188,0)),"")</f>
        <v/>
      </c>
      <c r="G180" t="str">
        <f>IF(INDEX(Backlog!$M$2:$M$188,MATCH($A180,Backlog!$A$2:$A$188,0))="","",INDEX(Backlog!$M$2:$M$188,MATCH($A180,Backlog!$A$2:$A$188,0)))</f>
        <v>T-265</v>
      </c>
      <c r="H180" t="str">
        <f>IF(INDEX(Backlog!$N$2:$N$188,MATCH($A180,Backlog!$A$2:$A$188,0))="","",INDEX(Backlog!$N$2:$N$188,MATCH($A180,Backlog!$A$2:$A$188,0)))</f>
        <v>T-248; T-249</v>
      </c>
      <c r="I180" t="str">
        <f>IF(INDEX(Backlog!$T$2:$T$188,MATCH($A180,Backlog!$A$2:$A$188,0))="","",INDEX(Backlog!$T$2:$T$188,MATCH($A180,Backlog!$A$2:$A$188,0)))</f>
        <v>Read v4.10.3 and frozen producer contracts. Contract-ready does not require producer completion; final design acceptance requires recorded walkthrough evidence.</v>
      </c>
      <c r="J180" t="str">
        <f>IF(INDEX(Backlog!$AN$2:$AN$188,MATCH($A180,Backlog!$A$2:$A$188,0))="","",INDEX(Backlog!$AN$2:$AN$188,MATCH($A180,Backlog!$A$2:$A$188,0)))</f>
        <v>T-248; T-263; T-264; T-196; T-197; T-198; T-199; T-200</v>
      </c>
    </row>
    <row r="181" spans="1:10">
      <c r="A181" t="s">
        <v>9583</v>
      </c>
      <c r="B181" t="str">
        <f>IF(INDEX(Backlog!$B$2:$B$188,MATCH($A181,Backlog!$A$2:$A$188,0))="","",INDEX(Backlog!$B$2:$B$188,MATCH($A181,Backlog!$A$2:$A$188,0)))</f>
        <v>M2</v>
      </c>
      <c r="C181" t="str">
        <f>IF(INDEX(Backlog!$C$2:$C$188,MATCH($A181,Backlog!$A$2:$A$188,0))="","",INDEX(Backlog!$C$2:$C$188,MATCH($A181,Backlog!$A$2:$A$188,0)))</f>
        <v>P2</v>
      </c>
      <c r="D181" t="str">
        <f>IF(INDEX(Backlog!$L$2:$L$188,MATCH($A181,Backlog!$A$2:$A$188,0))="","",INDEX(Backlog!$L$2:$L$188,MATCH($A181,Backlog!$A$2:$A$188,0)))</f>
        <v>Worker 1</v>
      </c>
      <c r="E181" t="str">
        <f>IF(INDEX(Backlog!$K$2:$K$188,MATCH($A181,Backlog!$A$2:$A$188,0))="","",INDEX(Backlog!$K$2:$K$188,MATCH($A181,Backlog!$A$2:$A$188,0)))</f>
        <v>Done</v>
      </c>
      <c r="F181" t="str">
        <f>IF(ISNUMBER(INDEX(Backlog!$AT$2:$AT$188,MATCH($A181,Backlog!$A$2:$A$188,0))),INDEX(Backlog!$AT$2:$AT$188,MATCH($A181,Backlog!$A$2:$A$188,0)),"")</f>
        <v/>
      </c>
      <c r="G181" t="str">
        <f>IF(INDEX(Backlog!$M$2:$M$188,MATCH($A181,Backlog!$A$2:$A$188,0))="","",INDEX(Backlog!$M$2:$M$188,MATCH($A181,Backlog!$A$2:$A$188,0)))</f>
        <v>T-207</v>
      </c>
      <c r="H181" t="str">
        <f>IF(INDEX(Backlog!$N$2:$N$188,MATCH($A181,Backlog!$A$2:$A$188,0))="","",INDEX(Backlog!$N$2:$N$188,MATCH($A181,Backlog!$A$2:$A$188,0)))</f>
        <v>T-269; T-270; T-271; T-272; T-274; T-275</v>
      </c>
      <c r="I181" t="str">
        <f>IF(INDEX(Backlog!$T$2:$T$188,MATCH($A181,Backlog!$A$2:$A$188,0))="","",INDEX(Backlog!$T$2:$T$188,MATCH($A181,Backlog!$A$2:$A$188,0)))</f>
        <v>Consume accepted v4.11.0 contracts and listed producer contracts. Source-present is not closure proof; execute named acceptance and preserve unrelated lanes.</v>
      </c>
      <c r="J181" t="str">
        <f>IF(INDEX(Backlog!$AN$2:$AN$188,MATCH($A181,Backlog!$A$2:$A$188,0))="","",INDEX(Backlog!$AN$2:$AN$188,MATCH($A181,Backlog!$A$2:$A$188,0)))</f>
        <v/>
      </c>
    </row>
    <row r="182" spans="1:10">
      <c r="A182" t="s">
        <v>9608</v>
      </c>
      <c r="B182" t="str">
        <f>IF(INDEX(Backlog!$B$2:$B$188,MATCH($A182,Backlog!$A$2:$A$188,0))="","",INDEX(Backlog!$B$2:$B$188,MATCH($A182,Backlog!$A$2:$A$188,0)))</f>
        <v>M2</v>
      </c>
      <c r="C182" t="str">
        <f>IF(INDEX(Backlog!$C$2:$C$188,MATCH($A182,Backlog!$A$2:$A$188,0))="","",INDEX(Backlog!$C$2:$C$188,MATCH($A182,Backlog!$A$2:$A$188,0)))</f>
        <v>P2</v>
      </c>
      <c r="D182" t="str">
        <f>IF(INDEX(Backlog!$L$2:$L$188,MATCH($A182,Backlog!$A$2:$A$188,0))="","",INDEX(Backlog!$L$2:$L$188,MATCH($A182,Backlog!$A$2:$A$188,0)))</f>
        <v>Worker 1</v>
      </c>
      <c r="E182" t="str">
        <f>IF(INDEX(Backlog!$K$2:$K$188,MATCH($A182,Backlog!$A$2:$A$188,0))="","",INDEX(Backlog!$K$2:$K$188,MATCH($A182,Backlog!$A$2:$A$188,0)))</f>
        <v>Done</v>
      </c>
      <c r="F182" t="str">
        <f>IF(ISNUMBER(INDEX(Backlog!$AT$2:$AT$188,MATCH($A182,Backlog!$A$2:$A$188,0))),INDEX(Backlog!$AT$2:$AT$188,MATCH($A182,Backlog!$A$2:$A$188,0)),"")</f>
        <v/>
      </c>
      <c r="G182" t="str">
        <f>IF(INDEX(Backlog!$M$2:$M$188,MATCH($A182,Backlog!$A$2:$A$188,0))="","",INDEX(Backlog!$M$2:$M$188,MATCH($A182,Backlog!$A$2:$A$188,0)))</f>
        <v>T-268</v>
      </c>
      <c r="H182" t="str">
        <f>IF(INDEX(Backlog!$N$2:$N$188,MATCH($A182,Backlog!$A$2:$A$188,0))="","",INDEX(Backlog!$N$2:$N$188,MATCH($A182,Backlog!$A$2:$A$188,0)))</f>
        <v>T-270; T-274</v>
      </c>
      <c r="I182" t="str">
        <f>IF(INDEX(Backlog!$T$2:$T$188,MATCH($A182,Backlog!$A$2:$A$188,0))="","",INDEX(Backlog!$T$2:$T$188,MATCH($A182,Backlog!$A$2:$A$188,0)))</f>
        <v>Consume accepted v4.11.0 contracts and listed producer contracts. Source-present is not closure proof; execute named acceptance and preserve unrelated lanes.</v>
      </c>
      <c r="J182" t="str">
        <f>IF(INDEX(Backlog!$AN$2:$AN$188,MATCH($A182,Backlog!$A$2:$A$188,0))="","",INDEX(Backlog!$AN$2:$AN$188,MATCH($A182,Backlog!$A$2:$A$188,0)))</f>
        <v/>
      </c>
    </row>
    <row r="183" spans="1:10">
      <c r="A183" t="s">
        <v>9616</v>
      </c>
      <c r="B183" t="str">
        <f>IF(INDEX(Backlog!$B$2:$B$188,MATCH($A183,Backlog!$A$2:$A$188,0))="","",INDEX(Backlog!$B$2:$B$188,MATCH($A183,Backlog!$A$2:$A$188,0)))</f>
        <v>M2</v>
      </c>
      <c r="C183" t="str">
        <f>IF(INDEX(Backlog!$C$2:$C$188,MATCH($A183,Backlog!$A$2:$A$188,0))="","",INDEX(Backlog!$C$2:$C$188,MATCH($A183,Backlog!$A$2:$A$188,0)))</f>
        <v>P2</v>
      </c>
      <c r="D183" t="str">
        <f>IF(INDEX(Backlog!$L$2:$L$188,MATCH($A183,Backlog!$A$2:$A$188,0))="","",INDEX(Backlog!$L$2:$L$188,MATCH($A183,Backlog!$A$2:$A$188,0)))</f>
        <v>Worker 1</v>
      </c>
      <c r="E183" t="str">
        <f>IF(INDEX(Backlog!$K$2:$K$188,MATCH($A183,Backlog!$A$2:$A$188,0))="","",INDEX(Backlog!$K$2:$K$188,MATCH($A183,Backlog!$A$2:$A$188,0)))</f>
        <v>Not Started</v>
      </c>
      <c r="F183" t="str">
        <f>IF(ISNUMBER(INDEX(Backlog!$AT$2:$AT$188,MATCH($A183,Backlog!$A$2:$A$188,0))),INDEX(Backlog!$AT$2:$AT$188,MATCH($A183,Backlog!$A$2:$A$188,0)),"")</f>
        <v/>
      </c>
      <c r="G183" t="str">
        <f>IF(INDEX(Backlog!$M$2:$M$188,MATCH($A183,Backlog!$A$2:$A$188,0))="","",INDEX(Backlog!$M$2:$M$188,MATCH($A183,Backlog!$A$2:$A$188,0)))</f>
        <v>T-268; T-269; T-225; T-233; T-275</v>
      </c>
      <c r="H183" t="str">
        <f>IF(INDEX(Backlog!$N$2:$N$188,MATCH($A183,Backlog!$A$2:$A$188,0))="","",INDEX(Backlog!$N$2:$N$188,MATCH($A183,Backlog!$A$2:$A$188,0)))</f>
        <v>T-226; T-274</v>
      </c>
      <c r="I183" t="str">
        <f>IF(INDEX(Backlog!$T$2:$T$188,MATCH($A183,Backlog!$A$2:$A$188,0))="","",INDEX(Backlog!$T$2:$T$188,MATCH($A183,Backlog!$A$2:$A$188,0)))</f>
        <v>Consume accepted v4.11.0 contracts and listed producer contracts. Source-present is not closure proof; execute named acceptance and preserve unrelated lanes.</v>
      </c>
      <c r="J183" t="str">
        <f>IF(INDEX(Backlog!$AN$2:$AN$188,MATCH($A183,Backlog!$A$2:$A$188,0))="","",INDEX(Backlog!$AN$2:$AN$188,MATCH($A183,Backlog!$A$2:$A$188,0)))</f>
        <v/>
      </c>
    </row>
    <row r="184" spans="1:10">
      <c r="A184" t="s">
        <v>9625</v>
      </c>
      <c r="B184" t="str">
        <f>IF(INDEX(Backlog!$B$2:$B$188,MATCH($A184,Backlog!$A$2:$A$188,0))="","",INDEX(Backlog!$B$2:$B$188,MATCH($A184,Backlog!$A$2:$A$188,0)))</f>
        <v>M2</v>
      </c>
      <c r="C184" t="str">
        <f>IF(INDEX(Backlog!$C$2:$C$188,MATCH($A184,Backlog!$A$2:$A$188,0))="","",INDEX(Backlog!$C$2:$C$188,MATCH($A184,Backlog!$A$2:$A$188,0)))</f>
        <v>P2</v>
      </c>
      <c r="D184" t="str">
        <f>IF(INDEX(Backlog!$L$2:$L$188,MATCH($A184,Backlog!$A$2:$A$188,0))="","",INDEX(Backlog!$L$2:$L$188,MATCH($A184,Backlog!$A$2:$A$188,0)))</f>
        <v>Worker 1</v>
      </c>
      <c r="E184" t="str">
        <f>IF(INDEX(Backlog!$K$2:$K$188,MATCH($A184,Backlog!$A$2:$A$188,0))="","",INDEX(Backlog!$K$2:$K$188,MATCH($A184,Backlog!$A$2:$A$188,0)))</f>
        <v>Not Started</v>
      </c>
      <c r="F184" t="str">
        <f>IF(ISNUMBER(INDEX(Backlog!$AT$2:$AT$188,MATCH($A184,Backlog!$A$2:$A$188,0))),INDEX(Backlog!$AT$2:$AT$188,MATCH($A184,Backlog!$A$2:$A$188,0)),"")</f>
        <v/>
      </c>
      <c r="G184" t="str">
        <f>IF(INDEX(Backlog!$M$2:$M$188,MATCH($A184,Backlog!$A$2:$A$188,0))="","",INDEX(Backlog!$M$2:$M$188,MATCH($A184,Backlog!$A$2:$A$188,0)))</f>
        <v>T-268; T-108</v>
      </c>
      <c r="H184" t="str">
        <f>IF(INDEX(Backlog!$N$2:$N$188,MATCH($A184,Backlog!$A$2:$A$188,0))="","",INDEX(Backlog!$N$2:$N$188,MATCH($A184,Backlog!$A$2:$A$188,0)))</f>
        <v>T-247; T-274</v>
      </c>
      <c r="I184" t="str">
        <f>IF(INDEX(Backlog!$T$2:$T$188,MATCH($A184,Backlog!$A$2:$A$188,0))="","",INDEX(Backlog!$T$2:$T$188,MATCH($A184,Backlog!$A$2:$A$188,0)))</f>
        <v>Consume accepted v4.11.0 contracts and listed producer contracts. Source-present is not closure proof; execute named acceptance and preserve unrelated lanes.</v>
      </c>
      <c r="J184" t="str">
        <f>IF(INDEX(Backlog!$AN$2:$AN$188,MATCH($A184,Backlog!$A$2:$A$188,0))="","",INDEX(Backlog!$AN$2:$AN$188,MATCH($A184,Backlog!$A$2:$A$188,0)))</f>
        <v/>
      </c>
    </row>
    <row r="185" spans="1:10">
      <c r="A185" t="s">
        <v>9633</v>
      </c>
      <c r="B185" t="str">
        <f>IF(INDEX(Backlog!$B$2:$B$188,MATCH($A185,Backlog!$A$2:$A$188,0))="","",INDEX(Backlog!$B$2:$B$188,MATCH($A185,Backlog!$A$2:$A$188,0)))</f>
        <v>M2</v>
      </c>
      <c r="C185" t="str">
        <f>IF(INDEX(Backlog!$C$2:$C$188,MATCH($A185,Backlog!$A$2:$A$188,0))="","",INDEX(Backlog!$C$2:$C$188,MATCH($A185,Backlog!$A$2:$A$188,0)))</f>
        <v>P2</v>
      </c>
      <c r="D185" t="str">
        <f>IF(INDEX(Backlog!$L$2:$L$188,MATCH($A185,Backlog!$A$2:$A$188,0))="","",INDEX(Backlog!$L$2:$L$188,MATCH($A185,Backlog!$A$2:$A$188,0)))</f>
        <v>Worker 1</v>
      </c>
      <c r="E185" t="str">
        <f>IF(INDEX(Backlog!$K$2:$K$188,MATCH($A185,Backlog!$A$2:$A$188,0))="","",INDEX(Backlog!$K$2:$K$188,MATCH($A185,Backlog!$A$2:$A$188,0)))</f>
        <v>In Progress</v>
      </c>
      <c r="F185" t="str">
        <f>IF(ISNUMBER(INDEX(Backlog!$AT$2:$AT$188,MATCH($A185,Backlog!$A$2:$A$188,0))),INDEX(Backlog!$AT$2:$AT$188,MATCH($A185,Backlog!$A$2:$A$188,0)),"")</f>
        <v/>
      </c>
      <c r="G185" t="str">
        <f>IF(INDEX(Backlog!$M$2:$M$188,MATCH($A185,Backlog!$A$2:$A$188,0))="","",INDEX(Backlog!$M$2:$M$188,MATCH($A185,Backlog!$A$2:$A$188,0)))</f>
        <v>T-087; T-088; T-251; T-252; T-268</v>
      </c>
      <c r="H185" t="str">
        <f>IF(INDEX(Backlog!$N$2:$N$188,MATCH($A185,Backlog!$A$2:$A$188,0))="","",INDEX(Backlog!$N$2:$N$188,MATCH($A185,Backlog!$A$2:$A$188,0)))</f>
        <v>T-226; T-247; T-273; T-274</v>
      </c>
      <c r="I185" t="str">
        <f>IF(INDEX(Backlog!$T$2:$T$188,MATCH($A185,Backlog!$A$2:$A$188,0))="","",INDEX(Backlog!$T$2:$T$188,MATCH($A185,Backlog!$A$2:$A$188,0)))</f>
        <v>Consume accepted v4.11.0 contracts and listed producer contracts. Source-present is not closure proof; execute named acceptance and preserve unrelated lanes.</v>
      </c>
      <c r="J185" t="str">
        <f>IF(INDEX(Backlog!$AN$2:$AN$188,MATCH($A185,Backlog!$A$2:$A$188,0))="","",INDEX(Backlog!$AN$2:$AN$188,MATCH($A185,Backlog!$A$2:$A$188,0)))</f>
        <v/>
      </c>
    </row>
    <row r="186" spans="1:10">
      <c r="A186" t="s">
        <v>9642</v>
      </c>
      <c r="B186" t="str">
        <f>IF(INDEX(Backlog!$B$2:$B$188,MATCH($A186,Backlog!$A$2:$A$188,0))="","",INDEX(Backlog!$B$2:$B$188,MATCH($A186,Backlog!$A$2:$A$188,0)))</f>
        <v>M2</v>
      </c>
      <c r="C186" t="str">
        <f>IF(INDEX(Backlog!$C$2:$C$188,MATCH($A186,Backlog!$A$2:$A$188,0))="","",INDEX(Backlog!$C$2:$C$188,MATCH($A186,Backlog!$A$2:$A$188,0)))</f>
        <v>P2</v>
      </c>
      <c r="D186" t="str">
        <f>IF(INDEX(Backlog!$L$2:$L$188,MATCH($A186,Backlog!$A$2:$A$188,0))="","",INDEX(Backlog!$L$2:$L$188,MATCH($A186,Backlog!$A$2:$A$188,0)))</f>
        <v>Worker 1</v>
      </c>
      <c r="E186" t="str">
        <f>IF(INDEX(Backlog!$K$2:$K$188,MATCH($A186,Backlog!$A$2:$A$188,0))="","",INDEX(Backlog!$K$2:$K$188,MATCH($A186,Backlog!$A$2:$A$188,0)))</f>
        <v>Not Started</v>
      </c>
      <c r="F186" t="str">
        <f>IF(ISNUMBER(INDEX(Backlog!$AT$2:$AT$188,MATCH($A186,Backlog!$A$2:$A$188,0))),INDEX(Backlog!$AT$2:$AT$188,MATCH($A186,Backlog!$A$2:$A$188,0)),"")</f>
        <v/>
      </c>
      <c r="G186" t="str">
        <f>IF(INDEX(Backlog!$M$2:$M$188,MATCH($A186,Backlog!$A$2:$A$188,0))="","",INDEX(Backlog!$M$2:$M$188,MATCH($A186,Backlog!$A$2:$A$188,0)))</f>
        <v>T-272</v>
      </c>
      <c r="H186" t="str">
        <f>IF(INDEX(Backlog!$N$2:$N$188,MATCH($A186,Backlog!$A$2:$A$188,0))="","",INDEX(Backlog!$N$2:$N$188,MATCH($A186,Backlog!$A$2:$A$188,0)))</f>
        <v>T-150; T-247; T-254; T-274</v>
      </c>
      <c r="I186" t="str">
        <f>IF(INDEX(Backlog!$T$2:$T$188,MATCH($A186,Backlog!$A$2:$A$188,0))="","",INDEX(Backlog!$T$2:$T$188,MATCH($A186,Backlog!$A$2:$A$188,0)))</f>
        <v>Consume accepted v4.11.0 contracts and listed producer contracts. Source-present is not closure proof; execute named acceptance and preserve unrelated lanes.</v>
      </c>
      <c r="J186" t="str">
        <f>IF(INDEX(Backlog!$AN$2:$AN$188,MATCH($A186,Backlog!$A$2:$A$188,0))="","",INDEX(Backlog!$AN$2:$AN$188,MATCH($A186,Backlog!$A$2:$A$188,0)))</f>
        <v>T-124</v>
      </c>
    </row>
    <row r="187" spans="1:10">
      <c r="A187" t="s">
        <v>9651</v>
      </c>
      <c r="B187" t="str">
        <f>IF(INDEX(Backlog!$B$2:$B$188,MATCH($A187,Backlog!$A$2:$A$188,0))="","",INDEX(Backlog!$B$2:$B$188,MATCH($A187,Backlog!$A$2:$A$188,0)))</f>
        <v>M2</v>
      </c>
      <c r="C187" t="str">
        <f>IF(INDEX(Backlog!$C$2:$C$188,MATCH($A187,Backlog!$A$2:$A$188,0))="","",INDEX(Backlog!$C$2:$C$188,MATCH($A187,Backlog!$A$2:$A$188,0)))</f>
        <v>P2</v>
      </c>
      <c r="D187" t="str">
        <f>IF(INDEX(Backlog!$L$2:$L$188,MATCH($A187,Backlog!$A$2:$A$188,0))="","",INDEX(Backlog!$L$2:$L$188,MATCH($A187,Backlog!$A$2:$A$188,0)))</f>
        <v>Worker 2</v>
      </c>
      <c r="E187" t="str">
        <f>IF(INDEX(Backlog!$K$2:$K$188,MATCH($A187,Backlog!$A$2:$A$188,0))="","",INDEX(Backlog!$K$2:$K$188,MATCH($A187,Backlog!$A$2:$A$188,0)))</f>
        <v>Not Started</v>
      </c>
      <c r="F187" t="str">
        <f>IF(ISNUMBER(INDEX(Backlog!$AT$2:$AT$188,MATCH($A187,Backlog!$A$2:$A$188,0))),INDEX(Backlog!$AT$2:$AT$188,MATCH($A187,Backlog!$A$2:$A$188,0)),"")</f>
        <v/>
      </c>
      <c r="G187" t="str">
        <f>IF(INDEX(Backlog!$M$2:$M$188,MATCH($A187,Backlog!$A$2:$A$188,0))="","",INDEX(Backlog!$M$2:$M$188,MATCH($A187,Backlog!$A$2:$A$188,0)))</f>
        <v>T-254; T-266; T-268; T-269; T-270; T-271; T-272; T-273; T-275</v>
      </c>
      <c r="H187" t="str">
        <f>IF(INDEX(Backlog!$N$2:$N$188,MATCH($A187,Backlog!$A$2:$A$188,0))="","",INDEX(Backlog!$N$2:$N$188,MATCH($A187,Backlog!$A$2:$A$188,0)))</f>
        <v>T-150; T-247</v>
      </c>
      <c r="I187" t="str">
        <f>IF(INDEX(Backlog!$T$2:$T$188,MATCH($A187,Backlog!$A$2:$A$188,0))="","",INDEX(Backlog!$T$2:$T$188,MATCH($A187,Backlog!$A$2:$A$188,0)))</f>
        <v>Consume accepted v4.11.0 contracts and listed producer contracts. Source-present is not closure proof; execute named acceptance and preserve unrelated lanes.</v>
      </c>
      <c r="J187" t="str">
        <f>IF(INDEX(Backlog!$AN$2:$AN$188,MATCH($A187,Backlog!$A$2:$A$188,0))="","",INDEX(Backlog!$AN$2:$AN$188,MATCH($A187,Backlog!$A$2:$A$188,0)))</f>
        <v/>
      </c>
    </row>
    <row r="188" spans="1:10">
      <c r="A188" t="s">
        <v>9661</v>
      </c>
      <c r="B188" t="str">
        <f>IF(INDEX(Backlog!$B$2:$B$188,MATCH($A188,Backlog!$A$2:$A$188,0))="","",INDEX(Backlog!$B$2:$B$188,MATCH($A188,Backlog!$A$2:$A$188,0)))</f>
        <v>M2</v>
      </c>
      <c r="C188" t="str">
        <f>IF(INDEX(Backlog!$C$2:$C$188,MATCH($A188,Backlog!$A$2:$A$188,0))="","",INDEX(Backlog!$C$2:$C$188,MATCH($A188,Backlog!$A$2:$A$188,0)))</f>
        <v>P2</v>
      </c>
      <c r="D188" t="str">
        <f>IF(INDEX(Backlog!$L$2:$L$188,MATCH($A188,Backlog!$A$2:$A$188,0))="","",INDEX(Backlog!$L$2:$L$188,MATCH($A188,Backlog!$A$2:$A$188,0)))</f>
        <v>Worker 3</v>
      </c>
      <c r="E188" t="str">
        <f>IF(INDEX(Backlog!$K$2:$K$188,MATCH($A188,Backlog!$A$2:$A$188,0))="","",INDEX(Backlog!$K$2:$K$188,MATCH($A188,Backlog!$A$2:$A$188,0)))</f>
        <v>Not Started</v>
      </c>
      <c r="F188" t="str">
        <f>IF(ISNUMBER(INDEX(Backlog!$AT$2:$AT$188,MATCH($A188,Backlog!$A$2:$A$188,0))),INDEX(Backlog!$AT$2:$AT$188,MATCH($A188,Backlog!$A$2:$A$188,0)),"")</f>
        <v/>
      </c>
      <c r="G188" t="str">
        <f>IF(INDEX(Backlog!$M$2:$M$188,MATCH($A188,Backlog!$A$2:$A$188,0))="","",INDEX(Backlog!$M$2:$M$188,MATCH($A188,Backlog!$A$2:$A$188,0)))</f>
        <v>T-106; T-107; T-268</v>
      </c>
      <c r="H188" t="str">
        <f>IF(INDEX(Backlog!$N$2:$N$188,MATCH($A188,Backlog!$A$2:$A$188,0))="","",INDEX(Backlog!$N$2:$N$188,MATCH($A188,Backlog!$A$2:$A$188,0)))</f>
        <v>T-226; T-254; T-270; T-274</v>
      </c>
      <c r="I188" t="str">
        <f>IF(INDEX(Backlog!$T$2:$T$188,MATCH($A188,Backlog!$A$2:$A$188,0))="","",INDEX(Backlog!$T$2:$T$188,MATCH($A188,Backlog!$A$2:$A$188,0)))</f>
        <v>Consume accepted v4.11.0 contracts and listed producer contracts. Source-present is not closure proof; execute named acceptance and preserve unrelated lanes.</v>
      </c>
      <c r="J188" t="str">
        <f>IF(INDEX(Backlog!$AN$2:$AN$188,MATCH($A188,Backlog!$A$2:$A$188,0))="","",INDEX(Backlog!$AN$2:$AN$188,MATCH($A188,Backlog!$A$2:$A$188,0)))</f>
        <v/>
      </c>
    </row>
  </sheetData>
  <conditionalFormatting sqref="E2:E180">
    <cfRule type="expression" dxfId="28" priority="1">
      <formula>$E2="Done"</formula>
    </cfRule>
    <cfRule type="expression" dxfId="27" priority="2">
      <formula>$E2="In Progress"</formula>
    </cfRule>
    <cfRule type="expression" dxfId="26" priority="3">
      <formula>$E2="Not Started"</formula>
    </cfRule>
    <cfRule type="expression" dxfId="25" priority="4">
      <formula>$E2="Blocked"</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9"/>
  <sheetViews>
    <sheetView workbookViewId="0"/>
  </sheetViews>
  <sheetFormatPr defaultRowHeight="14.25"/>
  <cols>
    <col min="1" max="1" width="12" customWidth="1"/>
    <col min="2" max="2" width="58" customWidth="1"/>
    <col min="3" max="3" width="16" customWidth="1"/>
    <col min="4" max="4" width="10" customWidth="1"/>
    <col min="5" max="5" width="42" customWidth="1"/>
    <col min="6" max="6" width="70" customWidth="1"/>
    <col min="7" max="7" width="38" customWidth="1"/>
    <col min="8" max="8" width="60" customWidth="1"/>
  </cols>
  <sheetData>
    <row r="1" spans="1:8" ht="20.25">
      <c r="A1" s="102" t="s">
        <v>241</v>
      </c>
      <c r="B1" s="102"/>
      <c r="C1" s="102"/>
      <c r="D1" s="102"/>
      <c r="E1" s="102"/>
      <c r="F1" s="102"/>
      <c r="G1" s="102"/>
      <c r="H1" s="102"/>
    </row>
    <row r="2" spans="1:8">
      <c r="A2" s="2"/>
      <c r="B2" s="2"/>
      <c r="C2" s="2"/>
      <c r="D2" s="2"/>
      <c r="E2" s="2"/>
      <c r="F2" s="2"/>
      <c r="G2" s="2"/>
      <c r="H2" s="2"/>
    </row>
    <row r="3" spans="1:8" ht="15">
      <c r="A3" s="1" t="s">
        <v>0</v>
      </c>
      <c r="B3" s="1" t="s">
        <v>3</v>
      </c>
      <c r="C3" s="1" t="s">
        <v>242</v>
      </c>
      <c r="D3" s="1" t="s">
        <v>9</v>
      </c>
      <c r="E3" s="1" t="s">
        <v>243</v>
      </c>
      <c r="F3" s="1" t="s">
        <v>244</v>
      </c>
      <c r="G3" s="1" t="s">
        <v>245</v>
      </c>
      <c r="H3" s="1" t="s">
        <v>246</v>
      </c>
    </row>
    <row r="4" spans="1:8">
      <c r="A4" s="2" t="s">
        <v>247</v>
      </c>
      <c r="B4" s="2" t="s">
        <v>248</v>
      </c>
      <c r="C4" s="2" t="s">
        <v>249</v>
      </c>
      <c r="D4" s="2">
        <v>8</v>
      </c>
      <c r="E4" s="2"/>
      <c r="F4" s="2" t="s">
        <v>250</v>
      </c>
      <c r="G4" s="2"/>
      <c r="H4" s="2"/>
    </row>
    <row r="5" spans="1:8" ht="28.5">
      <c r="A5" s="2" t="s">
        <v>251</v>
      </c>
      <c r="B5" s="2" t="s">
        <v>252</v>
      </c>
      <c r="C5" s="2" t="s">
        <v>249</v>
      </c>
      <c r="D5" s="2">
        <v>8</v>
      </c>
      <c r="E5" s="2"/>
      <c r="F5" s="2" t="s">
        <v>250</v>
      </c>
      <c r="G5" s="2"/>
      <c r="H5" s="2"/>
    </row>
    <row r="6" spans="1:8">
      <c r="A6" s="2" t="s">
        <v>253</v>
      </c>
      <c r="B6" s="2" t="s">
        <v>254</v>
      </c>
      <c r="C6" s="2" t="s">
        <v>249</v>
      </c>
      <c r="D6" s="2">
        <v>4</v>
      </c>
      <c r="E6" s="2"/>
      <c r="F6" s="2" t="s">
        <v>250</v>
      </c>
      <c r="G6" s="2"/>
      <c r="H6" s="2"/>
    </row>
    <row r="7" spans="1:8">
      <c r="A7" s="2" t="s">
        <v>255</v>
      </c>
      <c r="B7" s="2" t="s">
        <v>256</v>
      </c>
      <c r="C7" s="2" t="s">
        <v>249</v>
      </c>
      <c r="D7" s="2">
        <v>4</v>
      </c>
      <c r="E7" s="2"/>
      <c r="F7" s="2" t="s">
        <v>250</v>
      </c>
      <c r="G7" s="2"/>
      <c r="H7" s="2"/>
    </row>
    <row r="8" spans="1:8">
      <c r="A8" s="2" t="s">
        <v>257</v>
      </c>
      <c r="B8" s="2" t="s">
        <v>258</v>
      </c>
      <c r="C8" s="2" t="s">
        <v>249</v>
      </c>
      <c r="D8" s="2">
        <v>6</v>
      </c>
      <c r="E8" s="2"/>
      <c r="F8" s="2" t="s">
        <v>250</v>
      </c>
      <c r="G8" s="2"/>
      <c r="H8" s="2"/>
    </row>
    <row r="9" spans="1:8">
      <c r="A9" s="2" t="s">
        <v>259</v>
      </c>
      <c r="B9" s="2" t="s">
        <v>260</v>
      </c>
      <c r="C9" s="2" t="s">
        <v>249</v>
      </c>
      <c r="D9" s="2">
        <v>8</v>
      </c>
      <c r="E9" s="2"/>
      <c r="F9" s="2" t="s">
        <v>250</v>
      </c>
      <c r="G9" s="2"/>
      <c r="H9" s="2"/>
    </row>
    <row r="10" spans="1:8" ht="28.5">
      <c r="A10" s="2" t="s">
        <v>261</v>
      </c>
      <c r="B10" s="2" t="s">
        <v>262</v>
      </c>
      <c r="C10" s="2" t="s">
        <v>249</v>
      </c>
      <c r="D10" s="2">
        <v>10</v>
      </c>
      <c r="E10" s="2"/>
      <c r="F10" s="2" t="s">
        <v>250</v>
      </c>
      <c r="G10" s="2"/>
      <c r="H10" s="2"/>
    </row>
    <row r="11" spans="1:8" ht="28.5">
      <c r="A11" s="2" t="s">
        <v>263</v>
      </c>
      <c r="B11" s="2" t="s">
        <v>264</v>
      </c>
      <c r="C11" s="2" t="s">
        <v>249</v>
      </c>
      <c r="D11" s="2">
        <v>10</v>
      </c>
      <c r="E11" s="2"/>
      <c r="F11" s="2" t="s">
        <v>250</v>
      </c>
      <c r="G11" s="2"/>
      <c r="H11" s="2"/>
    </row>
    <row r="12" spans="1:8">
      <c r="A12" s="2" t="s">
        <v>265</v>
      </c>
      <c r="B12" s="2" t="s">
        <v>266</v>
      </c>
      <c r="C12" s="2" t="s">
        <v>249</v>
      </c>
      <c r="D12" s="2">
        <v>6</v>
      </c>
      <c r="E12" s="2"/>
      <c r="F12" s="2" t="s">
        <v>250</v>
      </c>
      <c r="G12" s="2"/>
      <c r="H12" s="2"/>
    </row>
    <row r="13" spans="1:8" ht="28.5">
      <c r="A13" s="2" t="s">
        <v>267</v>
      </c>
      <c r="B13" s="2" t="s">
        <v>268</v>
      </c>
      <c r="C13" s="2" t="s">
        <v>249</v>
      </c>
      <c r="D13" s="2">
        <v>8</v>
      </c>
      <c r="E13" s="2"/>
      <c r="F13" s="2" t="s">
        <v>250</v>
      </c>
      <c r="G13" s="2"/>
      <c r="H13" s="2"/>
    </row>
    <row r="14" spans="1:8">
      <c r="A14" s="2" t="s">
        <v>269</v>
      </c>
      <c r="B14" s="2" t="s">
        <v>270</v>
      </c>
      <c r="C14" s="2" t="s">
        <v>249</v>
      </c>
      <c r="D14" s="2">
        <v>6</v>
      </c>
      <c r="E14" s="2"/>
      <c r="F14" s="2" t="s">
        <v>250</v>
      </c>
      <c r="G14" s="2"/>
      <c r="H14" s="2"/>
    </row>
    <row r="15" spans="1:8">
      <c r="A15" s="2" t="s">
        <v>271</v>
      </c>
      <c r="B15" s="2" t="s">
        <v>272</v>
      </c>
      <c r="C15" s="2" t="s">
        <v>249</v>
      </c>
      <c r="D15" s="2">
        <v>6</v>
      </c>
      <c r="E15" s="2"/>
      <c r="F15" s="2" t="s">
        <v>250</v>
      </c>
      <c r="G15" s="2"/>
      <c r="H15" s="2"/>
    </row>
    <row r="16" spans="1:8">
      <c r="A16" s="2" t="s">
        <v>273</v>
      </c>
      <c r="B16" s="2" t="s">
        <v>274</v>
      </c>
      <c r="C16" s="2" t="s">
        <v>249</v>
      </c>
      <c r="D16" s="2">
        <v>8</v>
      </c>
      <c r="E16" s="2"/>
      <c r="F16" s="2" t="s">
        <v>250</v>
      </c>
      <c r="G16" s="2"/>
      <c r="H16" s="2"/>
    </row>
    <row r="17" spans="1:8" ht="28.5">
      <c r="A17" s="2" t="s">
        <v>275</v>
      </c>
      <c r="B17" s="2" t="s">
        <v>276</v>
      </c>
      <c r="C17" s="2" t="s">
        <v>249</v>
      </c>
      <c r="D17" s="2">
        <v>8</v>
      </c>
      <c r="E17" s="2"/>
      <c r="F17" s="2" t="s">
        <v>250</v>
      </c>
      <c r="G17" s="2"/>
      <c r="H17" s="2"/>
    </row>
    <row r="18" spans="1:8">
      <c r="A18" s="2" t="s">
        <v>277</v>
      </c>
      <c r="B18" s="2" t="s">
        <v>278</v>
      </c>
      <c r="C18" s="2" t="s">
        <v>249</v>
      </c>
      <c r="D18" s="2">
        <v>8</v>
      </c>
      <c r="E18" s="2"/>
      <c r="F18" s="2" t="s">
        <v>250</v>
      </c>
      <c r="G18" s="2"/>
      <c r="H18" s="2"/>
    </row>
    <row r="19" spans="1:8">
      <c r="A19" s="2" t="s">
        <v>279</v>
      </c>
      <c r="B19" s="2" t="s">
        <v>280</v>
      </c>
      <c r="C19" s="2" t="s">
        <v>249</v>
      </c>
      <c r="D19" s="2">
        <v>10</v>
      </c>
      <c r="E19" s="2"/>
      <c r="F19" s="2" t="s">
        <v>250</v>
      </c>
      <c r="G19" s="2"/>
      <c r="H19" s="2"/>
    </row>
    <row r="20" spans="1:8">
      <c r="A20" s="2" t="s">
        <v>281</v>
      </c>
      <c r="B20" s="2" t="s">
        <v>282</v>
      </c>
      <c r="C20" s="2" t="s">
        <v>249</v>
      </c>
      <c r="D20" s="2">
        <v>8</v>
      </c>
      <c r="E20" s="2"/>
      <c r="F20" s="2" t="s">
        <v>250</v>
      </c>
      <c r="G20" s="2"/>
      <c r="H20" s="2"/>
    </row>
    <row r="21" spans="1:8">
      <c r="A21" s="2" t="s">
        <v>283</v>
      </c>
      <c r="B21" s="2" t="s">
        <v>284</v>
      </c>
      <c r="C21" s="2" t="s">
        <v>249</v>
      </c>
      <c r="D21" s="2">
        <v>6</v>
      </c>
      <c r="E21" s="2"/>
      <c r="F21" s="2" t="s">
        <v>250</v>
      </c>
      <c r="G21" s="2"/>
      <c r="H21" s="2"/>
    </row>
    <row r="22" spans="1:8">
      <c r="A22" s="2" t="s">
        <v>285</v>
      </c>
      <c r="B22" s="2" t="s">
        <v>286</v>
      </c>
      <c r="C22" s="2" t="s">
        <v>249</v>
      </c>
      <c r="D22" s="2">
        <v>6</v>
      </c>
      <c r="E22" s="2"/>
      <c r="F22" s="2" t="s">
        <v>250</v>
      </c>
      <c r="G22" s="2"/>
      <c r="H22" s="2"/>
    </row>
    <row r="23" spans="1:8">
      <c r="A23" s="2" t="s">
        <v>287</v>
      </c>
      <c r="B23" s="2" t="s">
        <v>288</v>
      </c>
      <c r="C23" s="2" t="s">
        <v>249</v>
      </c>
      <c r="D23" s="2">
        <v>6</v>
      </c>
      <c r="E23" s="2"/>
      <c r="F23" s="2" t="s">
        <v>250</v>
      </c>
      <c r="G23" s="2"/>
      <c r="H23" s="2"/>
    </row>
    <row r="24" spans="1:8">
      <c r="A24" s="2" t="s">
        <v>289</v>
      </c>
      <c r="B24" s="2" t="s">
        <v>290</v>
      </c>
      <c r="C24" s="2" t="s">
        <v>249</v>
      </c>
      <c r="D24" s="2">
        <v>6</v>
      </c>
      <c r="E24" s="2"/>
      <c r="F24" s="2" t="s">
        <v>250</v>
      </c>
      <c r="G24" s="2"/>
      <c r="H24" s="2"/>
    </row>
    <row r="25" spans="1:8">
      <c r="A25" s="2" t="s">
        <v>291</v>
      </c>
      <c r="B25" s="2" t="s">
        <v>292</v>
      </c>
      <c r="C25" s="2" t="s">
        <v>249</v>
      </c>
      <c r="D25" s="2">
        <v>8</v>
      </c>
      <c r="E25" s="2"/>
      <c r="F25" s="2" t="s">
        <v>250</v>
      </c>
      <c r="G25" s="2"/>
      <c r="H25" s="2"/>
    </row>
    <row r="26" spans="1:8">
      <c r="A26" s="2" t="s">
        <v>293</v>
      </c>
      <c r="B26" s="2" t="s">
        <v>294</v>
      </c>
      <c r="C26" s="2" t="s">
        <v>249</v>
      </c>
      <c r="D26" s="2">
        <v>6</v>
      </c>
      <c r="E26" s="2"/>
      <c r="F26" s="2" t="s">
        <v>250</v>
      </c>
      <c r="G26" s="2"/>
      <c r="H26" s="2"/>
    </row>
    <row r="27" spans="1:8">
      <c r="A27" s="2" t="s">
        <v>295</v>
      </c>
      <c r="B27" s="2" t="s">
        <v>296</v>
      </c>
      <c r="C27" s="2" t="s">
        <v>249</v>
      </c>
      <c r="D27" s="2">
        <v>8</v>
      </c>
      <c r="E27" s="2"/>
      <c r="F27" s="2" t="s">
        <v>250</v>
      </c>
      <c r="G27" s="2"/>
      <c r="H27" s="2"/>
    </row>
    <row r="28" spans="1:8" ht="28.5">
      <c r="A28" s="2" t="s">
        <v>297</v>
      </c>
      <c r="B28" s="2" t="s">
        <v>298</v>
      </c>
      <c r="C28" s="2" t="s">
        <v>249</v>
      </c>
      <c r="D28" s="2">
        <v>8</v>
      </c>
      <c r="E28" s="2"/>
      <c r="F28" s="2" t="s">
        <v>250</v>
      </c>
      <c r="G28" s="2"/>
      <c r="H28" s="2"/>
    </row>
    <row r="29" spans="1:8">
      <c r="A29" s="2" t="s">
        <v>299</v>
      </c>
      <c r="B29" s="2" t="s">
        <v>300</v>
      </c>
      <c r="C29" s="2" t="s">
        <v>249</v>
      </c>
      <c r="D29" s="2">
        <v>6</v>
      </c>
      <c r="E29" s="2"/>
      <c r="F29" s="2" t="s">
        <v>250</v>
      </c>
      <c r="G29" s="2"/>
      <c r="H29" s="2"/>
    </row>
    <row r="30" spans="1:8">
      <c r="A30" s="2" t="s">
        <v>301</v>
      </c>
      <c r="B30" s="2" t="s">
        <v>302</v>
      </c>
      <c r="C30" s="2" t="s">
        <v>249</v>
      </c>
      <c r="D30" s="2">
        <v>6</v>
      </c>
      <c r="E30" s="2"/>
      <c r="F30" s="2" t="s">
        <v>250</v>
      </c>
      <c r="G30" s="2"/>
      <c r="H30" s="2"/>
    </row>
    <row r="31" spans="1:8">
      <c r="A31" s="2" t="s">
        <v>303</v>
      </c>
      <c r="B31" s="2" t="s">
        <v>304</v>
      </c>
      <c r="C31" s="2" t="s">
        <v>249</v>
      </c>
      <c r="D31" s="2">
        <v>2</v>
      </c>
      <c r="E31" s="2"/>
      <c r="F31" s="2" t="s">
        <v>250</v>
      </c>
      <c r="G31" s="2"/>
      <c r="H31" s="2"/>
    </row>
    <row r="32" spans="1:8">
      <c r="A32" s="2" t="s">
        <v>305</v>
      </c>
      <c r="B32" s="2" t="s">
        <v>306</v>
      </c>
      <c r="C32" s="2" t="s">
        <v>249</v>
      </c>
      <c r="D32" s="2">
        <v>4</v>
      </c>
      <c r="E32" s="2"/>
      <c r="F32" s="2" t="s">
        <v>250</v>
      </c>
      <c r="G32" s="2"/>
      <c r="H32" s="2"/>
    </row>
    <row r="33" spans="1:8" ht="28.5">
      <c r="A33" s="2" t="s">
        <v>307</v>
      </c>
      <c r="B33" s="2" t="s">
        <v>308</v>
      </c>
      <c r="C33" s="2" t="s">
        <v>249</v>
      </c>
      <c r="D33" s="2">
        <v>8</v>
      </c>
      <c r="E33" s="2"/>
      <c r="F33" s="2" t="s">
        <v>250</v>
      </c>
      <c r="G33" s="2"/>
      <c r="H33" s="2"/>
    </row>
    <row r="34" spans="1:8">
      <c r="A34" s="2" t="s">
        <v>309</v>
      </c>
      <c r="B34" s="2" t="s">
        <v>310</v>
      </c>
      <c r="C34" s="2" t="s">
        <v>249</v>
      </c>
      <c r="D34" s="2">
        <v>10</v>
      </c>
      <c r="E34" s="2"/>
      <c r="F34" s="2" t="s">
        <v>250</v>
      </c>
      <c r="G34" s="2"/>
      <c r="H34" s="2"/>
    </row>
    <row r="35" spans="1:8">
      <c r="A35" s="2" t="s">
        <v>311</v>
      </c>
      <c r="B35" s="2" t="s">
        <v>312</v>
      </c>
      <c r="C35" s="2" t="s">
        <v>249</v>
      </c>
      <c r="D35" s="2">
        <v>12</v>
      </c>
      <c r="E35" s="2"/>
      <c r="F35" s="2" t="s">
        <v>250</v>
      </c>
      <c r="G35" s="2"/>
      <c r="H35" s="2"/>
    </row>
    <row r="36" spans="1:8">
      <c r="A36" s="2" t="s">
        <v>313</v>
      </c>
      <c r="B36" s="2" t="s">
        <v>314</v>
      </c>
      <c r="C36" s="2" t="s">
        <v>249</v>
      </c>
      <c r="D36" s="2">
        <v>12</v>
      </c>
      <c r="E36" s="2"/>
      <c r="F36" s="2" t="s">
        <v>250</v>
      </c>
      <c r="G36" s="2"/>
      <c r="H36" s="2"/>
    </row>
    <row r="37" spans="1:8">
      <c r="A37" s="2" t="s">
        <v>315</v>
      </c>
      <c r="B37" s="2" t="s">
        <v>316</v>
      </c>
      <c r="C37" s="2" t="s">
        <v>249</v>
      </c>
      <c r="D37" s="2">
        <v>10</v>
      </c>
      <c r="E37" s="2"/>
      <c r="F37" s="2" t="s">
        <v>250</v>
      </c>
      <c r="G37" s="2"/>
      <c r="H37" s="2"/>
    </row>
    <row r="38" spans="1:8">
      <c r="A38" s="2" t="s">
        <v>317</v>
      </c>
      <c r="B38" s="2" t="s">
        <v>318</v>
      </c>
      <c r="C38" s="2" t="s">
        <v>249</v>
      </c>
      <c r="D38" s="2">
        <v>8</v>
      </c>
      <c r="E38" s="2"/>
      <c r="F38" s="2" t="s">
        <v>250</v>
      </c>
      <c r="G38" s="2"/>
      <c r="H38" s="2"/>
    </row>
    <row r="39" spans="1:8" ht="28.5">
      <c r="A39" s="2" t="s">
        <v>319</v>
      </c>
      <c r="B39" s="2" t="s">
        <v>320</v>
      </c>
      <c r="C39" s="2" t="s">
        <v>249</v>
      </c>
      <c r="D39" s="2">
        <v>12</v>
      </c>
      <c r="E39" s="2"/>
      <c r="F39" s="2" t="s">
        <v>250</v>
      </c>
      <c r="G39" s="2"/>
      <c r="H39" s="2"/>
    </row>
    <row r="40" spans="1:8">
      <c r="A40" s="2" t="s">
        <v>321</v>
      </c>
      <c r="B40" s="2" t="s">
        <v>322</v>
      </c>
      <c r="C40" s="2" t="s">
        <v>249</v>
      </c>
      <c r="D40" s="2">
        <v>3</v>
      </c>
      <c r="E40" s="2"/>
      <c r="F40" s="2" t="s">
        <v>250</v>
      </c>
      <c r="G40" s="2"/>
      <c r="H40" s="2"/>
    </row>
    <row r="41" spans="1:8">
      <c r="A41" s="2" t="s">
        <v>323</v>
      </c>
      <c r="B41" s="2" t="s">
        <v>324</v>
      </c>
      <c r="C41" s="2" t="s">
        <v>249</v>
      </c>
      <c r="D41" s="2">
        <v>12</v>
      </c>
      <c r="E41" s="2"/>
      <c r="F41" s="2" t="s">
        <v>250</v>
      </c>
      <c r="G41" s="2"/>
      <c r="H41" s="2"/>
    </row>
    <row r="42" spans="1:8">
      <c r="A42" s="2" t="s">
        <v>325</v>
      </c>
      <c r="B42" s="2" t="s">
        <v>326</v>
      </c>
      <c r="C42" s="2" t="s">
        <v>249</v>
      </c>
      <c r="D42" s="2">
        <v>12</v>
      </c>
      <c r="E42" s="2"/>
      <c r="F42" s="2" t="s">
        <v>250</v>
      </c>
      <c r="G42" s="2"/>
      <c r="H42" s="2"/>
    </row>
    <row r="43" spans="1:8">
      <c r="A43" s="2" t="s">
        <v>327</v>
      </c>
      <c r="B43" s="2" t="s">
        <v>328</v>
      </c>
      <c r="C43" s="2" t="s">
        <v>249</v>
      </c>
      <c r="D43" s="2">
        <v>8</v>
      </c>
      <c r="E43" s="2"/>
      <c r="F43" s="2" t="s">
        <v>250</v>
      </c>
      <c r="G43" s="2"/>
      <c r="H43" s="2"/>
    </row>
    <row r="44" spans="1:8">
      <c r="A44" s="2" t="s">
        <v>329</v>
      </c>
      <c r="B44" s="2" t="s">
        <v>330</v>
      </c>
      <c r="C44" s="2" t="s">
        <v>249</v>
      </c>
      <c r="D44" s="2">
        <v>6</v>
      </c>
      <c r="E44" s="2"/>
      <c r="F44" s="2" t="s">
        <v>250</v>
      </c>
      <c r="G44" s="2"/>
      <c r="H44" s="2"/>
    </row>
    <row r="45" spans="1:8">
      <c r="A45" s="2" t="s">
        <v>331</v>
      </c>
      <c r="B45" s="2" t="s">
        <v>332</v>
      </c>
      <c r="C45" s="2" t="s">
        <v>249</v>
      </c>
      <c r="D45" s="2">
        <v>6</v>
      </c>
      <c r="E45" s="2"/>
      <c r="F45" s="2" t="s">
        <v>250</v>
      </c>
      <c r="G45" s="2"/>
      <c r="H45" s="2"/>
    </row>
    <row r="46" spans="1:8">
      <c r="A46" s="2" t="s">
        <v>333</v>
      </c>
      <c r="B46" s="2" t="s">
        <v>334</v>
      </c>
      <c r="C46" s="2" t="s">
        <v>249</v>
      </c>
      <c r="D46" s="2">
        <v>12</v>
      </c>
      <c r="E46" s="2"/>
      <c r="F46" s="2" t="s">
        <v>250</v>
      </c>
      <c r="G46" s="2"/>
      <c r="H46" s="2"/>
    </row>
    <row r="47" spans="1:8" ht="28.5">
      <c r="A47" s="2" t="s">
        <v>335</v>
      </c>
      <c r="B47" s="2" t="s">
        <v>336</v>
      </c>
      <c r="C47" s="2" t="s">
        <v>249</v>
      </c>
      <c r="D47" s="2">
        <v>8</v>
      </c>
      <c r="E47" s="2" t="s">
        <v>337</v>
      </c>
      <c r="F47" s="2" t="s">
        <v>250</v>
      </c>
      <c r="G47" s="2"/>
      <c r="H47" s="2"/>
    </row>
    <row r="48" spans="1:8" ht="28.5">
      <c r="A48" s="2" t="s">
        <v>338</v>
      </c>
      <c r="B48" s="2" t="s">
        <v>339</v>
      </c>
      <c r="C48" s="2" t="s">
        <v>249</v>
      </c>
      <c r="D48" s="2">
        <v>6</v>
      </c>
      <c r="E48" s="2" t="s">
        <v>340</v>
      </c>
      <c r="F48" s="2" t="s">
        <v>250</v>
      </c>
      <c r="G48" s="2"/>
      <c r="H48" s="2"/>
    </row>
    <row r="49" spans="1:8" ht="28.5">
      <c r="A49" s="2" t="s">
        <v>341</v>
      </c>
      <c r="B49" s="2" t="s">
        <v>342</v>
      </c>
      <c r="C49" s="2" t="s">
        <v>249</v>
      </c>
      <c r="D49" s="2">
        <v>8</v>
      </c>
      <c r="E49" s="2" t="s">
        <v>343</v>
      </c>
      <c r="F49" s="2" t="s">
        <v>250</v>
      </c>
      <c r="G49" s="2"/>
      <c r="H49" s="2"/>
    </row>
    <row r="50" spans="1:8" ht="28.5">
      <c r="A50" s="2" t="s">
        <v>344</v>
      </c>
      <c r="B50" s="2" t="s">
        <v>345</v>
      </c>
      <c r="C50" s="2" t="s">
        <v>249</v>
      </c>
      <c r="D50" s="2">
        <v>10</v>
      </c>
      <c r="E50" s="2" t="s">
        <v>346</v>
      </c>
      <c r="F50" s="2" t="s">
        <v>250</v>
      </c>
      <c r="G50" s="2"/>
      <c r="H50" s="2"/>
    </row>
    <row r="51" spans="1:8" ht="28.5">
      <c r="A51" s="2" t="s">
        <v>347</v>
      </c>
      <c r="B51" s="2" t="s">
        <v>348</v>
      </c>
      <c r="C51" s="2" t="s">
        <v>249</v>
      </c>
      <c r="D51" s="2">
        <v>4</v>
      </c>
      <c r="E51" s="2" t="s">
        <v>349</v>
      </c>
      <c r="F51" s="2" t="s">
        <v>250</v>
      </c>
      <c r="G51" s="2"/>
      <c r="H51" s="2"/>
    </row>
    <row r="52" spans="1:8" ht="57">
      <c r="A52" s="2" t="s">
        <v>350</v>
      </c>
      <c r="B52" s="2" t="s">
        <v>351</v>
      </c>
      <c r="C52" s="2" t="s">
        <v>249</v>
      </c>
      <c r="D52" s="2">
        <v>4</v>
      </c>
      <c r="E52" s="2" t="s">
        <v>352</v>
      </c>
      <c r="F52" s="2" t="s">
        <v>353</v>
      </c>
      <c r="G52" s="2"/>
      <c r="H52" s="2"/>
    </row>
    <row r="53" spans="1:8">
      <c r="A53" s="2" t="s">
        <v>354</v>
      </c>
      <c r="B53" s="2" t="s">
        <v>355</v>
      </c>
      <c r="C53" s="2" t="s">
        <v>249</v>
      </c>
      <c r="D53" s="2">
        <v>6</v>
      </c>
      <c r="E53" s="2"/>
      <c r="F53" s="2" t="s">
        <v>250</v>
      </c>
      <c r="G53" s="2"/>
      <c r="H53" s="2"/>
    </row>
    <row r="54" spans="1:8">
      <c r="A54" s="2" t="s">
        <v>356</v>
      </c>
      <c r="B54" s="2" t="s">
        <v>357</v>
      </c>
      <c r="C54" s="2" t="s">
        <v>249</v>
      </c>
      <c r="D54" s="2">
        <v>6</v>
      </c>
      <c r="E54" s="2"/>
      <c r="F54" s="2" t="s">
        <v>250</v>
      </c>
      <c r="G54" s="2"/>
      <c r="H54" s="2"/>
    </row>
    <row r="55" spans="1:8">
      <c r="A55" s="2" t="s">
        <v>358</v>
      </c>
      <c r="B55" s="2" t="s">
        <v>359</v>
      </c>
      <c r="C55" s="2" t="s">
        <v>249</v>
      </c>
      <c r="D55" s="2">
        <v>4</v>
      </c>
      <c r="E55" s="2"/>
      <c r="F55" s="2" t="s">
        <v>250</v>
      </c>
      <c r="G55" s="2"/>
      <c r="H55" s="2"/>
    </row>
    <row r="56" spans="1:8" ht="71.25">
      <c r="A56" s="2" t="s">
        <v>360</v>
      </c>
      <c r="B56" s="2" t="s">
        <v>361</v>
      </c>
      <c r="C56" s="2" t="s">
        <v>362</v>
      </c>
      <c r="D56" s="2">
        <v>4</v>
      </c>
      <c r="E56" s="2"/>
      <c r="F56" s="2" t="s">
        <v>363</v>
      </c>
      <c r="G56" s="2"/>
      <c r="H56" s="2"/>
    </row>
    <row r="57" spans="1:8" ht="71.25">
      <c r="A57" s="2" t="s">
        <v>364</v>
      </c>
      <c r="B57" s="2" t="s">
        <v>365</v>
      </c>
      <c r="C57" s="2" t="s">
        <v>362</v>
      </c>
      <c r="D57" s="2">
        <v>4</v>
      </c>
      <c r="E57" s="2"/>
      <c r="F57" s="2" t="s">
        <v>363</v>
      </c>
      <c r="G57" s="2"/>
      <c r="H57" s="2"/>
    </row>
    <row r="58" spans="1:8" ht="71.25">
      <c r="A58" s="2" t="s">
        <v>366</v>
      </c>
      <c r="B58" s="2" t="s">
        <v>367</v>
      </c>
      <c r="C58" s="2" t="s">
        <v>362</v>
      </c>
      <c r="D58" s="2">
        <v>6</v>
      </c>
      <c r="E58" s="2"/>
      <c r="F58" s="2" t="s">
        <v>363</v>
      </c>
      <c r="G58" s="2"/>
      <c r="H58" s="2"/>
    </row>
    <row r="59" spans="1:8" ht="71.25">
      <c r="A59" s="2" t="s">
        <v>368</v>
      </c>
      <c r="B59" s="2" t="s">
        <v>369</v>
      </c>
      <c r="C59" s="2" t="s">
        <v>362</v>
      </c>
      <c r="D59" s="2">
        <v>4</v>
      </c>
      <c r="E59" s="2"/>
      <c r="F59" s="2" t="s">
        <v>363</v>
      </c>
      <c r="G59" s="2"/>
      <c r="H59" s="2"/>
    </row>
    <row r="60" spans="1:8" ht="57">
      <c r="A60" s="2" t="s">
        <v>370</v>
      </c>
      <c r="B60" s="2" t="s">
        <v>371</v>
      </c>
      <c r="C60" s="2" t="s">
        <v>249</v>
      </c>
      <c r="D60" s="2">
        <v>10</v>
      </c>
      <c r="E60" s="2"/>
      <c r="F60" s="2" t="s">
        <v>372</v>
      </c>
      <c r="G60" s="2"/>
      <c r="H60" s="2"/>
    </row>
    <row r="61" spans="1:8" ht="57">
      <c r="A61" s="2" t="s">
        <v>373</v>
      </c>
      <c r="B61" s="2" t="s">
        <v>374</v>
      </c>
      <c r="C61" s="2" t="s">
        <v>249</v>
      </c>
      <c r="D61" s="2">
        <v>10</v>
      </c>
      <c r="E61" s="2"/>
      <c r="F61" s="2" t="s">
        <v>372</v>
      </c>
      <c r="G61" s="2"/>
      <c r="H61" s="2"/>
    </row>
    <row r="62" spans="1:8" ht="71.25">
      <c r="A62" s="2" t="s">
        <v>375</v>
      </c>
      <c r="B62" s="2" t="s">
        <v>376</v>
      </c>
      <c r="C62" s="2" t="s">
        <v>362</v>
      </c>
      <c r="D62" s="2">
        <v>4</v>
      </c>
      <c r="E62" s="2"/>
      <c r="F62" s="2" t="s">
        <v>377</v>
      </c>
      <c r="G62" s="2"/>
      <c r="H62" s="2"/>
    </row>
    <row r="63" spans="1:8" ht="71.25">
      <c r="A63" s="2" t="s">
        <v>378</v>
      </c>
      <c r="B63" s="2" t="s">
        <v>379</v>
      </c>
      <c r="C63" s="2" t="s">
        <v>362</v>
      </c>
      <c r="D63" s="2">
        <v>4</v>
      </c>
      <c r="E63" s="2"/>
      <c r="F63" s="2" t="s">
        <v>380</v>
      </c>
      <c r="G63" s="2"/>
      <c r="H63" s="2"/>
    </row>
    <row r="64" spans="1:8" ht="71.25">
      <c r="A64" s="2" t="s">
        <v>381</v>
      </c>
      <c r="B64" s="2" t="s">
        <v>382</v>
      </c>
      <c r="C64" s="2" t="s">
        <v>362</v>
      </c>
      <c r="D64" s="2">
        <v>6</v>
      </c>
      <c r="E64" s="2"/>
      <c r="F64" s="2" t="s">
        <v>363</v>
      </c>
      <c r="G64" s="2"/>
      <c r="H64" s="2"/>
    </row>
    <row r="65" spans="1:8" ht="71.25">
      <c r="A65" s="2" t="s">
        <v>383</v>
      </c>
      <c r="B65" s="2" t="s">
        <v>384</v>
      </c>
      <c r="C65" s="2" t="s">
        <v>362</v>
      </c>
      <c r="D65" s="2">
        <v>4</v>
      </c>
      <c r="E65" s="2"/>
      <c r="F65" s="2" t="s">
        <v>363</v>
      </c>
      <c r="G65" s="2"/>
      <c r="H65" s="2"/>
    </row>
    <row r="66" spans="1:8" ht="71.25">
      <c r="A66" s="2" t="s">
        <v>385</v>
      </c>
      <c r="B66" s="2" t="s">
        <v>386</v>
      </c>
      <c r="C66" s="2" t="s">
        <v>362</v>
      </c>
      <c r="D66" s="2">
        <v>10</v>
      </c>
      <c r="E66" s="2"/>
      <c r="F66" s="2" t="s">
        <v>363</v>
      </c>
      <c r="G66" s="2"/>
      <c r="H66" s="2"/>
    </row>
    <row r="67" spans="1:8" ht="156.75">
      <c r="A67" s="2" t="s">
        <v>387</v>
      </c>
      <c r="B67" s="2" t="s">
        <v>388</v>
      </c>
      <c r="C67" s="2" t="s">
        <v>249</v>
      </c>
      <c r="D67" s="2">
        <v>8</v>
      </c>
      <c r="E67" s="2"/>
      <c r="F67" s="2" t="s">
        <v>389</v>
      </c>
      <c r="G67" s="2"/>
      <c r="H67" s="2"/>
    </row>
    <row r="68" spans="1:8" ht="71.25">
      <c r="A68" s="2" t="s">
        <v>390</v>
      </c>
      <c r="B68" s="2" t="s">
        <v>391</v>
      </c>
      <c r="C68" s="2" t="s">
        <v>362</v>
      </c>
      <c r="D68" s="2">
        <v>12</v>
      </c>
      <c r="E68" s="2"/>
      <c r="F68" s="2" t="s">
        <v>380</v>
      </c>
      <c r="G68" s="2"/>
      <c r="H68" s="2"/>
    </row>
    <row r="69" spans="1:8" ht="71.25">
      <c r="A69" s="2" t="s">
        <v>392</v>
      </c>
      <c r="B69" s="2" t="s">
        <v>393</v>
      </c>
      <c r="C69" s="2" t="s">
        <v>362</v>
      </c>
      <c r="D69" s="2">
        <v>6</v>
      </c>
      <c r="E69" s="2"/>
      <c r="F69" s="2" t="s">
        <v>380</v>
      </c>
      <c r="G69" s="2"/>
      <c r="H69" s="2"/>
    </row>
    <row r="70" spans="1:8" ht="71.25">
      <c r="A70" s="2" t="s">
        <v>394</v>
      </c>
      <c r="B70" s="2" t="s">
        <v>395</v>
      </c>
      <c r="C70" s="2" t="s">
        <v>362</v>
      </c>
      <c r="D70" s="2">
        <v>8</v>
      </c>
      <c r="E70" s="2"/>
      <c r="F70" s="2" t="s">
        <v>396</v>
      </c>
      <c r="G70" s="2"/>
      <c r="H70" s="2"/>
    </row>
    <row r="71" spans="1:8" ht="171">
      <c r="A71" s="2" t="s">
        <v>397</v>
      </c>
      <c r="B71" s="2" t="s">
        <v>398</v>
      </c>
      <c r="C71" s="2" t="s">
        <v>249</v>
      </c>
      <c r="D71" s="2">
        <v>6</v>
      </c>
      <c r="E71" s="2"/>
      <c r="F71" s="2" t="s">
        <v>399</v>
      </c>
      <c r="G71" s="2"/>
      <c r="H71" s="2"/>
    </row>
    <row r="72" spans="1:8">
      <c r="A72" s="2" t="s">
        <v>400</v>
      </c>
      <c r="B72" s="2" t="s">
        <v>401</v>
      </c>
      <c r="C72" s="2" t="s">
        <v>249</v>
      </c>
      <c r="D72" s="2">
        <v>8</v>
      </c>
      <c r="E72" s="2"/>
      <c r="F72" s="2" t="s">
        <v>250</v>
      </c>
      <c r="G72" s="2"/>
      <c r="H72" s="2"/>
    </row>
    <row r="73" spans="1:8">
      <c r="A73" s="2" t="s">
        <v>402</v>
      </c>
      <c r="B73" s="2" t="s">
        <v>403</v>
      </c>
      <c r="C73" s="2" t="s">
        <v>249</v>
      </c>
      <c r="D73" s="2">
        <v>6</v>
      </c>
      <c r="E73" s="2"/>
      <c r="F73" s="2" t="s">
        <v>250</v>
      </c>
      <c r="G73" s="2"/>
      <c r="H73" s="2"/>
    </row>
    <row r="74" spans="1:8">
      <c r="A74" s="2" t="s">
        <v>404</v>
      </c>
      <c r="B74" s="2" t="s">
        <v>405</v>
      </c>
      <c r="C74" s="2" t="s">
        <v>249</v>
      </c>
      <c r="D74" s="2">
        <v>8</v>
      </c>
      <c r="E74" s="2"/>
      <c r="F74" s="2" t="s">
        <v>250</v>
      </c>
      <c r="G74" s="2"/>
      <c r="H74" s="2"/>
    </row>
    <row r="75" spans="1:8">
      <c r="A75" s="2" t="s">
        <v>406</v>
      </c>
      <c r="B75" s="2" t="s">
        <v>407</v>
      </c>
      <c r="C75" s="2" t="s">
        <v>249</v>
      </c>
      <c r="D75" s="2">
        <v>8</v>
      </c>
      <c r="E75" s="2"/>
      <c r="F75" s="2" t="s">
        <v>250</v>
      </c>
      <c r="G75" s="2"/>
      <c r="H75" s="2"/>
    </row>
    <row r="76" spans="1:8">
      <c r="A76" s="2" t="s">
        <v>408</v>
      </c>
      <c r="B76" s="2" t="s">
        <v>409</v>
      </c>
      <c r="C76" s="2" t="s">
        <v>249</v>
      </c>
      <c r="D76" s="2">
        <v>8</v>
      </c>
      <c r="E76" s="2"/>
      <c r="F76" s="2" t="s">
        <v>250</v>
      </c>
      <c r="G76" s="2"/>
      <c r="H76" s="2"/>
    </row>
    <row r="77" spans="1:8">
      <c r="A77" s="2" t="s">
        <v>410</v>
      </c>
      <c r="B77" s="2" t="s">
        <v>411</v>
      </c>
      <c r="C77" s="2" t="s">
        <v>249</v>
      </c>
      <c r="D77" s="2">
        <v>4</v>
      </c>
      <c r="E77" s="2"/>
      <c r="F77" s="2" t="s">
        <v>250</v>
      </c>
      <c r="G77" s="2"/>
      <c r="H77" s="2"/>
    </row>
    <row r="78" spans="1:8">
      <c r="A78" s="2" t="s">
        <v>412</v>
      </c>
      <c r="B78" s="2" t="s">
        <v>413</v>
      </c>
      <c r="C78" s="2" t="s">
        <v>249</v>
      </c>
      <c r="D78" s="2">
        <v>4</v>
      </c>
      <c r="E78" s="2"/>
      <c r="F78" s="2" t="s">
        <v>250</v>
      </c>
      <c r="G78" s="2"/>
      <c r="H78" s="2"/>
    </row>
    <row r="79" spans="1:8" ht="71.25">
      <c r="A79" s="2" t="s">
        <v>414</v>
      </c>
      <c r="B79" s="2" t="s">
        <v>415</v>
      </c>
      <c r="C79" s="2" t="s">
        <v>362</v>
      </c>
      <c r="D79" s="2">
        <v>4</v>
      </c>
      <c r="E79" s="2"/>
      <c r="F79" s="2" t="s">
        <v>363</v>
      </c>
      <c r="G79" s="2"/>
      <c r="H79" s="2"/>
    </row>
    <row r="80" spans="1:8" ht="71.25">
      <c r="A80" s="2" t="s">
        <v>416</v>
      </c>
      <c r="B80" s="2" t="s">
        <v>417</v>
      </c>
      <c r="C80" s="2" t="s">
        <v>362</v>
      </c>
      <c r="D80" s="2">
        <v>6</v>
      </c>
      <c r="E80" s="2"/>
      <c r="F80" s="2" t="s">
        <v>418</v>
      </c>
      <c r="G80" s="2"/>
      <c r="H80" s="2"/>
    </row>
    <row r="81" spans="1:8" ht="71.25">
      <c r="A81" s="2" t="s">
        <v>419</v>
      </c>
      <c r="B81" s="2" t="s">
        <v>420</v>
      </c>
      <c r="C81" s="2" t="s">
        <v>362</v>
      </c>
      <c r="D81" s="2">
        <v>4</v>
      </c>
      <c r="E81" s="2"/>
      <c r="F81" s="2" t="s">
        <v>418</v>
      </c>
      <c r="G81" s="2"/>
      <c r="H81" s="2"/>
    </row>
    <row r="82" spans="1:8" ht="71.25">
      <c r="A82" s="2" t="s">
        <v>421</v>
      </c>
      <c r="B82" s="2" t="s">
        <v>422</v>
      </c>
      <c r="C82" s="2" t="s">
        <v>362</v>
      </c>
      <c r="D82" s="2">
        <v>3</v>
      </c>
      <c r="E82" s="2"/>
      <c r="F82" s="2" t="s">
        <v>418</v>
      </c>
      <c r="G82" s="2"/>
      <c r="H82" s="2"/>
    </row>
    <row r="83" spans="1:8" ht="71.25">
      <c r="A83" s="2" t="s">
        <v>423</v>
      </c>
      <c r="B83" s="2" t="s">
        <v>424</v>
      </c>
      <c r="C83" s="2" t="s">
        <v>362</v>
      </c>
      <c r="D83" s="2">
        <v>4</v>
      </c>
      <c r="E83" s="2"/>
      <c r="F83" s="2" t="s">
        <v>418</v>
      </c>
      <c r="G83" s="2"/>
      <c r="H83" s="2"/>
    </row>
    <row r="84" spans="1:8" ht="71.25">
      <c r="A84" s="2" t="s">
        <v>425</v>
      </c>
      <c r="B84" s="2" t="s">
        <v>426</v>
      </c>
      <c r="C84" s="2" t="s">
        <v>362</v>
      </c>
      <c r="D84" s="2">
        <v>6</v>
      </c>
      <c r="E84" s="2"/>
      <c r="F84" s="2" t="s">
        <v>418</v>
      </c>
      <c r="G84" s="2"/>
      <c r="H84" s="2"/>
    </row>
    <row r="85" spans="1:8" ht="71.25">
      <c r="A85" s="2" t="s">
        <v>427</v>
      </c>
      <c r="B85" s="2" t="s">
        <v>428</v>
      </c>
      <c r="C85" s="2" t="s">
        <v>362</v>
      </c>
      <c r="D85" s="2">
        <v>4</v>
      </c>
      <c r="E85" s="2"/>
      <c r="F85" s="2" t="s">
        <v>418</v>
      </c>
      <c r="G85" s="2"/>
      <c r="H85" s="2"/>
    </row>
    <row r="86" spans="1:8" ht="71.25">
      <c r="A86" s="2" t="s">
        <v>429</v>
      </c>
      <c r="B86" s="2" t="s">
        <v>430</v>
      </c>
      <c r="C86" s="2" t="s">
        <v>362</v>
      </c>
      <c r="D86" s="2">
        <v>6</v>
      </c>
      <c r="E86" s="2"/>
      <c r="F86" s="2" t="s">
        <v>418</v>
      </c>
      <c r="G86" s="2"/>
      <c r="H86" s="2"/>
    </row>
    <row r="87" spans="1:8" ht="28.5">
      <c r="A87" s="2" t="s">
        <v>431</v>
      </c>
      <c r="B87" s="2" t="s">
        <v>432</v>
      </c>
      <c r="C87" s="2" t="s">
        <v>433</v>
      </c>
      <c r="D87" s="2">
        <v>10</v>
      </c>
      <c r="E87" s="2"/>
      <c r="F87" s="2" t="s">
        <v>434</v>
      </c>
      <c r="G87" s="2"/>
      <c r="H87" s="2"/>
    </row>
    <row r="88" spans="1:8" ht="28.5">
      <c r="A88" s="2" t="s">
        <v>435</v>
      </c>
      <c r="B88" s="2" t="s">
        <v>436</v>
      </c>
      <c r="C88" s="2" t="s">
        <v>433</v>
      </c>
      <c r="D88" s="2">
        <v>10</v>
      </c>
      <c r="E88" s="2"/>
      <c r="F88" s="2" t="s">
        <v>434</v>
      </c>
      <c r="G88" s="2"/>
      <c r="H88" s="2"/>
    </row>
    <row r="89" spans="1:8" ht="57">
      <c r="A89" s="2" t="s">
        <v>437</v>
      </c>
      <c r="B89" s="2" t="s">
        <v>438</v>
      </c>
      <c r="C89" s="2" t="s">
        <v>439</v>
      </c>
      <c r="D89" s="2">
        <v>12</v>
      </c>
      <c r="E89" s="2"/>
      <c r="F89" s="2" t="s">
        <v>440</v>
      </c>
      <c r="G89" s="2"/>
      <c r="H89" s="2"/>
    </row>
  </sheetData>
  <mergeCells count="1">
    <mergeCell ref="A1:H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7"/>
  <sheetViews>
    <sheetView workbookViewId="0"/>
  </sheetViews>
  <sheetFormatPr defaultRowHeight="14.25"/>
  <cols>
    <col min="1" max="1" width="24" customWidth="1"/>
    <col min="2" max="2" width="72" customWidth="1"/>
    <col min="3" max="3" width="62" customWidth="1"/>
    <col min="4" max="6" width="10" customWidth="1"/>
  </cols>
  <sheetData>
    <row r="1" spans="1:6" ht="32.1" customHeight="1">
      <c r="A1" s="103" t="s">
        <v>9823</v>
      </c>
      <c r="B1" s="103"/>
      <c r="C1" s="103"/>
      <c r="D1" s="102"/>
      <c r="E1" s="102"/>
      <c r="F1" s="102"/>
    </row>
    <row r="2" spans="1:6" ht="32.1" customHeight="1">
      <c r="A2" s="26" t="s">
        <v>9824</v>
      </c>
      <c r="B2" s="26" t="s">
        <v>9825</v>
      </c>
      <c r="C2" s="26" t="s">
        <v>9826</v>
      </c>
      <c r="D2" s="2"/>
      <c r="E2" s="2"/>
      <c r="F2" s="2"/>
    </row>
    <row r="3" spans="1:6" ht="32.1" customHeight="1">
      <c r="A3" s="25" t="s">
        <v>9827</v>
      </c>
      <c r="B3" s="25" t="s">
        <v>9828</v>
      </c>
      <c r="C3" s="25" t="s">
        <v>9829</v>
      </c>
      <c r="D3" s="1"/>
      <c r="E3" s="1"/>
      <c r="F3" s="1"/>
    </row>
    <row r="4" spans="1:6" ht="32.1" customHeight="1">
      <c r="A4" s="24" t="s">
        <v>9830</v>
      </c>
      <c r="B4" s="24" t="s">
        <v>9831</v>
      </c>
      <c r="C4" s="24" t="s">
        <v>9832</v>
      </c>
      <c r="D4" s="2"/>
      <c r="E4" s="2"/>
      <c r="F4" s="2"/>
    </row>
    <row r="5" spans="1:6" ht="32.1" customHeight="1">
      <c r="A5" s="24" t="s">
        <v>9833</v>
      </c>
      <c r="B5" s="24" t="s">
        <v>9834</v>
      </c>
      <c r="C5" s="24" t="s">
        <v>9835</v>
      </c>
      <c r="D5" s="2"/>
      <c r="E5" s="2"/>
      <c r="F5" s="2"/>
    </row>
    <row r="6" spans="1:6" ht="32.1" customHeight="1">
      <c r="A6" s="24" t="s">
        <v>449</v>
      </c>
      <c r="B6" s="24" t="s">
        <v>9836</v>
      </c>
      <c r="C6" s="24" t="s">
        <v>9837</v>
      </c>
      <c r="D6" s="2"/>
      <c r="E6" s="2"/>
      <c r="F6" s="2"/>
    </row>
    <row r="7" spans="1:6" ht="32.1" customHeight="1">
      <c r="A7" s="24" t="s">
        <v>1058</v>
      </c>
      <c r="B7" s="24" t="s">
        <v>9838</v>
      </c>
      <c r="C7" s="24" t="s">
        <v>9839</v>
      </c>
      <c r="D7" s="2"/>
      <c r="E7" s="2"/>
      <c r="F7" s="2"/>
    </row>
    <row r="8" spans="1:6" ht="32.1" customHeight="1">
      <c r="A8" s="24" t="s">
        <v>9840</v>
      </c>
      <c r="B8" s="24" t="s">
        <v>9841</v>
      </c>
      <c r="C8" s="24" t="s">
        <v>9842</v>
      </c>
      <c r="D8" s="2"/>
      <c r="E8" s="2"/>
      <c r="F8" s="2"/>
    </row>
    <row r="9" spans="1:6" ht="32.1" customHeight="1">
      <c r="A9" s="24" t="s">
        <v>9843</v>
      </c>
      <c r="B9" s="24" t="s">
        <v>9844</v>
      </c>
      <c r="C9" s="24" t="s">
        <v>9845</v>
      </c>
      <c r="D9" s="2"/>
      <c r="E9" s="2"/>
      <c r="F9" s="2"/>
    </row>
    <row r="10" spans="1:6" ht="32.1" customHeight="1">
      <c r="A10" s="24" t="s">
        <v>10</v>
      </c>
      <c r="B10" s="24" t="s">
        <v>9846</v>
      </c>
      <c r="C10" s="24" t="s">
        <v>9847</v>
      </c>
      <c r="D10" s="2"/>
      <c r="E10" s="2"/>
      <c r="F10" s="2"/>
    </row>
    <row r="11" spans="1:6" ht="32.1" customHeight="1">
      <c r="A11" s="24" t="s">
        <v>9848</v>
      </c>
      <c r="B11" s="24" t="s">
        <v>9849</v>
      </c>
      <c r="C11" s="24" t="s">
        <v>9850</v>
      </c>
      <c r="D11" s="2"/>
      <c r="E11" s="2"/>
      <c r="F11" s="2"/>
    </row>
    <row r="12" spans="1:6" ht="32.1" customHeight="1">
      <c r="A12" s="24" t="s">
        <v>9851</v>
      </c>
      <c r="B12" s="24" t="s">
        <v>9852</v>
      </c>
      <c r="C12" s="24" t="s">
        <v>9853</v>
      </c>
      <c r="D12" s="2"/>
      <c r="E12" s="2"/>
      <c r="F12" s="2"/>
    </row>
    <row r="13" spans="1:6" ht="32.1" customHeight="1">
      <c r="A13" s="24" t="s">
        <v>9854</v>
      </c>
      <c r="B13" s="24" t="s">
        <v>9855</v>
      </c>
      <c r="C13" s="24" t="s">
        <v>9856</v>
      </c>
      <c r="D13" s="2"/>
      <c r="E13" s="2"/>
      <c r="F13" s="2"/>
    </row>
    <row r="14" spans="1:6" ht="32.1" customHeight="1">
      <c r="A14" s="24" t="s">
        <v>9857</v>
      </c>
      <c r="B14" s="24" t="s">
        <v>9858</v>
      </c>
      <c r="C14" s="24" t="s">
        <v>9859</v>
      </c>
      <c r="D14" s="2"/>
      <c r="E14" s="2"/>
      <c r="F14" s="2"/>
    </row>
    <row r="15" spans="1:6" ht="32.1" customHeight="1">
      <c r="A15" s="24" t="s">
        <v>9860</v>
      </c>
      <c r="B15" s="24" t="s">
        <v>9861</v>
      </c>
      <c r="C15" s="24" t="s">
        <v>9862</v>
      </c>
      <c r="D15" s="2"/>
      <c r="E15" s="2"/>
      <c r="F15" s="2"/>
    </row>
    <row r="16" spans="1:6" ht="32.1" customHeight="1">
      <c r="A16" s="24" t="s">
        <v>9863</v>
      </c>
      <c r="B16" s="24" t="s">
        <v>9864</v>
      </c>
      <c r="C16" s="24" t="s">
        <v>9865</v>
      </c>
    </row>
    <row r="17" spans="1:3" ht="32.1" customHeight="1">
      <c r="A17" s="24" t="s">
        <v>9866</v>
      </c>
      <c r="B17" s="24" t="s">
        <v>9867</v>
      </c>
      <c r="C17" s="24" t="s">
        <v>9868</v>
      </c>
    </row>
    <row r="18" spans="1:3" ht="32.1" customHeight="1">
      <c r="A18" s="24" t="s">
        <v>9869</v>
      </c>
      <c r="B18" s="24" t="s">
        <v>9870</v>
      </c>
      <c r="C18" s="24" t="s">
        <v>9871</v>
      </c>
    </row>
    <row r="19" spans="1:3" ht="28.5">
      <c r="A19" s="2" t="s">
        <v>9872</v>
      </c>
      <c r="B19" s="2" t="s">
        <v>9873</v>
      </c>
      <c r="C19" s="2" t="s">
        <v>9874</v>
      </c>
    </row>
    <row r="20" spans="1:3" ht="28.5">
      <c r="A20" s="2" t="s">
        <v>9875</v>
      </c>
      <c r="B20" s="2" t="s">
        <v>9876</v>
      </c>
      <c r="C20" s="2" t="s">
        <v>9877</v>
      </c>
    </row>
    <row r="21" spans="1:3" ht="28.5">
      <c r="A21" s="2" t="s">
        <v>9878</v>
      </c>
      <c r="B21" s="2" t="s">
        <v>9879</v>
      </c>
      <c r="C21" s="2" t="s">
        <v>9880</v>
      </c>
    </row>
    <row r="22" spans="1:3" ht="42.75">
      <c r="A22" s="2" t="s">
        <v>9881</v>
      </c>
      <c r="B22" s="2" t="s">
        <v>9882</v>
      </c>
      <c r="C22" s="2" t="s">
        <v>9883</v>
      </c>
    </row>
    <row r="23" spans="1:3" ht="42.75">
      <c r="A23" s="2" t="s">
        <v>9884</v>
      </c>
      <c r="B23" s="2" t="s">
        <v>9885</v>
      </c>
      <c r="C23" s="2" t="s">
        <v>9886</v>
      </c>
    </row>
    <row r="24" spans="1:3" ht="28.5">
      <c r="A24" s="2" t="s">
        <v>9887</v>
      </c>
      <c r="B24" s="2" t="s">
        <v>9888</v>
      </c>
      <c r="C24" s="2" t="s">
        <v>9889</v>
      </c>
    </row>
    <row r="25" spans="1:3" ht="28.5">
      <c r="A25" s="2" t="s">
        <v>9890</v>
      </c>
      <c r="B25" s="2" t="s">
        <v>9891</v>
      </c>
      <c r="C25" s="2" t="s">
        <v>9892</v>
      </c>
    </row>
    <row r="26" spans="1:3" ht="28.5">
      <c r="A26" s="2" t="s">
        <v>9893</v>
      </c>
      <c r="B26" s="2" t="s">
        <v>9894</v>
      </c>
      <c r="C26" s="2" t="s">
        <v>9895</v>
      </c>
    </row>
    <row r="27" spans="1:3" ht="42.75">
      <c r="A27" s="2" t="s">
        <v>9896</v>
      </c>
      <c r="B27" s="2" t="s">
        <v>9897</v>
      </c>
      <c r="C27" s="2" t="s">
        <v>9898</v>
      </c>
    </row>
    <row r="28" spans="1:3" ht="28.5">
      <c r="A28" s="2" t="s">
        <v>9899</v>
      </c>
      <c r="B28" s="2" t="s">
        <v>9900</v>
      </c>
      <c r="C28" s="2" t="s">
        <v>9901</v>
      </c>
    </row>
    <row r="29" spans="1:3" ht="28.5">
      <c r="A29" s="2" t="s">
        <v>9902</v>
      </c>
      <c r="B29" s="2" t="s">
        <v>9903</v>
      </c>
      <c r="C29" s="2" t="s">
        <v>9904</v>
      </c>
    </row>
    <row r="30" spans="1:3" ht="42.75">
      <c r="A30" s="2" t="s">
        <v>9905</v>
      </c>
      <c r="B30" s="2" t="s">
        <v>9906</v>
      </c>
      <c r="C30" s="2" t="s">
        <v>9907</v>
      </c>
    </row>
    <row r="31" spans="1:3" ht="28.5">
      <c r="A31" s="2" t="s">
        <v>9908</v>
      </c>
      <c r="B31" s="2" t="s">
        <v>9909</v>
      </c>
      <c r="C31" s="2" t="s">
        <v>9910</v>
      </c>
    </row>
    <row r="32" spans="1:3" ht="28.5">
      <c r="A32" s="2" t="s">
        <v>9911</v>
      </c>
      <c r="B32" s="2" t="s">
        <v>9912</v>
      </c>
      <c r="C32" s="2" t="s">
        <v>9913</v>
      </c>
    </row>
    <row r="33" spans="1:3" ht="28.5">
      <c r="A33" s="2" t="s">
        <v>9914</v>
      </c>
      <c r="B33" s="2" t="s">
        <v>9915</v>
      </c>
      <c r="C33" s="2" t="s">
        <v>9916</v>
      </c>
    </row>
    <row r="34" spans="1:3" ht="28.5">
      <c r="A34" s="2" t="s">
        <v>9917</v>
      </c>
      <c r="B34" s="2" t="s">
        <v>9918</v>
      </c>
      <c r="C34" s="2" t="s">
        <v>9919</v>
      </c>
    </row>
    <row r="35" spans="1:3" ht="28.5">
      <c r="A35" s="2" t="s">
        <v>9920</v>
      </c>
      <c r="B35" s="2" t="s">
        <v>9921</v>
      </c>
      <c r="C35" s="2" t="s">
        <v>9922</v>
      </c>
    </row>
    <row r="36" spans="1:3">
      <c r="A36" t="s">
        <v>9923</v>
      </c>
      <c r="B36" t="s">
        <v>9924</v>
      </c>
      <c r="C36" t="s">
        <v>9925</v>
      </c>
    </row>
    <row r="37" spans="1:3" ht="78" customHeight="1">
      <c r="A37" s="2" t="s">
        <v>9926</v>
      </c>
      <c r="B37" s="2" t="s">
        <v>9927</v>
      </c>
      <c r="C37" s="2" t="s">
        <v>9928</v>
      </c>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workbookViewId="0"/>
  </sheetViews>
  <sheetFormatPr defaultRowHeight="14.25"/>
  <cols>
    <col min="1" max="1" width="29" customWidth="1"/>
    <col min="2" max="2" width="118" customWidth="1"/>
  </cols>
  <sheetData>
    <row r="1" spans="1:6" ht="32.1" customHeight="1">
      <c r="A1" s="104" t="s">
        <v>9929</v>
      </c>
      <c r="B1" s="104"/>
      <c r="C1" s="105"/>
      <c r="D1" s="105"/>
      <c r="E1" s="105"/>
      <c r="F1" s="105"/>
    </row>
    <row r="2" spans="1:6" ht="32.1" customHeight="1">
      <c r="A2" s="26" t="s">
        <v>9930</v>
      </c>
      <c r="B2" s="26" t="s">
        <v>9931</v>
      </c>
    </row>
    <row r="3" spans="1:6" ht="32.1" customHeight="1">
      <c r="A3" s="27" t="s">
        <v>9932</v>
      </c>
      <c r="B3" s="27" t="s">
        <v>9933</v>
      </c>
      <c r="C3" s="8"/>
      <c r="D3" s="8"/>
      <c r="E3" s="8"/>
      <c r="F3" s="8"/>
    </row>
    <row r="4" spans="1:6" ht="32.1" customHeight="1">
      <c r="A4" s="24" t="s">
        <v>9934</v>
      </c>
      <c r="B4" s="24" t="s">
        <v>9935</v>
      </c>
      <c r="C4" s="2"/>
      <c r="D4" s="2"/>
      <c r="E4" s="2"/>
      <c r="F4" s="2"/>
    </row>
    <row r="5" spans="1:6" ht="32.1" customHeight="1">
      <c r="A5" s="24" t="s">
        <v>9936</v>
      </c>
      <c r="B5" s="24" t="s">
        <v>9937</v>
      </c>
      <c r="C5" s="2"/>
      <c r="D5" s="2"/>
      <c r="E5" s="2"/>
      <c r="F5" s="2"/>
    </row>
    <row r="6" spans="1:6" ht="32.1" customHeight="1">
      <c r="A6" s="24" t="s">
        <v>9938</v>
      </c>
      <c r="B6" s="24" t="s">
        <v>9939</v>
      </c>
      <c r="C6" s="2"/>
      <c r="D6" s="2"/>
      <c r="E6" s="2"/>
      <c r="F6" s="2"/>
    </row>
    <row r="7" spans="1:6" ht="32.1" customHeight="1">
      <c r="A7" s="24" t="s">
        <v>9940</v>
      </c>
      <c r="B7" s="24" t="s">
        <v>9941</v>
      </c>
      <c r="C7" s="2"/>
      <c r="D7" s="2"/>
      <c r="E7" s="2"/>
      <c r="F7" s="2"/>
    </row>
    <row r="8" spans="1:6" ht="32.1" customHeight="1">
      <c r="A8" s="24" t="s">
        <v>9942</v>
      </c>
      <c r="B8" s="24" t="s">
        <v>9943</v>
      </c>
      <c r="C8" s="2"/>
      <c r="D8" s="2"/>
      <c r="E8" s="2"/>
      <c r="F8" s="2"/>
    </row>
    <row r="9" spans="1:6" ht="32.1" customHeight="1">
      <c r="A9" s="24" t="s">
        <v>9944</v>
      </c>
      <c r="B9" s="24" t="s">
        <v>9945</v>
      </c>
      <c r="C9" s="2"/>
      <c r="D9" s="2"/>
      <c r="E9" s="2"/>
      <c r="F9" s="2"/>
    </row>
    <row r="10" spans="1:6" ht="32.1" customHeight="1">
      <c r="A10" s="24" t="s">
        <v>9946</v>
      </c>
      <c r="B10" s="24" t="s">
        <v>9947</v>
      </c>
      <c r="C10" s="2"/>
      <c r="D10" s="2"/>
      <c r="E10" s="2"/>
      <c r="F10" s="2"/>
    </row>
    <row r="11" spans="1:6" ht="32.1" customHeight="1">
      <c r="A11" s="24" t="s">
        <v>9948</v>
      </c>
      <c r="B11" s="24" t="s">
        <v>9949</v>
      </c>
      <c r="C11" s="2"/>
      <c r="D11" s="2"/>
      <c r="E11" s="2"/>
      <c r="F11" s="2"/>
    </row>
    <row r="12" spans="1:6" ht="32.1" customHeight="1">
      <c r="A12" s="24" t="s">
        <v>9950</v>
      </c>
      <c r="B12" s="24" t="s">
        <v>9951</v>
      </c>
    </row>
    <row r="13" spans="1:6" ht="32.1" customHeight="1">
      <c r="A13" s="24" t="s">
        <v>9952</v>
      </c>
      <c r="B13" s="24" t="s">
        <v>9953</v>
      </c>
    </row>
    <row r="14" spans="1:6" ht="28.5">
      <c r="A14" s="2" t="s">
        <v>9954</v>
      </c>
      <c r="B14" s="2" t="s">
        <v>9955</v>
      </c>
    </row>
    <row r="15" spans="1:6" ht="28.5">
      <c r="A15" s="2" t="s">
        <v>9956</v>
      </c>
      <c r="B15" s="2" t="s">
        <v>9957</v>
      </c>
    </row>
    <row r="16" spans="1:6" ht="28.5">
      <c r="A16" s="2" t="s">
        <v>9958</v>
      </c>
      <c r="B16" s="2" t="s">
        <v>9959</v>
      </c>
    </row>
    <row r="17" spans="1:2" ht="28.5">
      <c r="A17" s="2" t="s">
        <v>9960</v>
      </c>
      <c r="B17" s="2" t="s">
        <v>9961</v>
      </c>
    </row>
    <row r="18" spans="1:2" ht="28.5">
      <c r="A18" s="2" t="s">
        <v>9962</v>
      </c>
      <c r="B18" s="2" t="s">
        <v>9963</v>
      </c>
    </row>
    <row r="19" spans="1:2" ht="28.5">
      <c r="A19" s="2" t="s">
        <v>9964</v>
      </c>
      <c r="B19" s="2" t="s">
        <v>9965</v>
      </c>
    </row>
    <row r="20" spans="1:2" ht="28.5">
      <c r="A20" s="2" t="s">
        <v>9966</v>
      </c>
      <c r="B20" s="2" t="s">
        <v>9967</v>
      </c>
    </row>
    <row r="21" spans="1:2" ht="28.5">
      <c r="A21" s="2" t="s">
        <v>9968</v>
      </c>
      <c r="B21" s="2" t="s">
        <v>9969</v>
      </c>
    </row>
    <row r="22" spans="1:2" ht="28.5">
      <c r="A22" s="2" t="s">
        <v>9970</v>
      </c>
      <c r="B22" s="2" t="s">
        <v>9971</v>
      </c>
    </row>
    <row r="23" spans="1:2" ht="28.5">
      <c r="A23" s="2" t="s">
        <v>9972</v>
      </c>
      <c r="B23" s="2" t="s">
        <v>9973</v>
      </c>
    </row>
    <row r="24" spans="1:2" ht="28.5">
      <c r="A24" s="2" t="s">
        <v>9974</v>
      </c>
      <c r="B24" s="2" t="s">
        <v>9975</v>
      </c>
    </row>
    <row r="25" spans="1:2" ht="84.95" customHeight="1">
      <c r="A25" s="2" t="s">
        <v>9976</v>
      </c>
      <c r="B25" s="2" t="s">
        <v>1277</v>
      </c>
    </row>
    <row r="26" spans="1:2" ht="28.5">
      <c r="A26" s="2" t="s">
        <v>9977</v>
      </c>
      <c r="B26" s="2" t="s">
        <v>9978</v>
      </c>
    </row>
    <row r="27" spans="1:2" ht="28.5">
      <c r="A27" s="2" t="s">
        <v>9979</v>
      </c>
      <c r="B27" s="2" t="s">
        <v>9980</v>
      </c>
    </row>
    <row r="28" spans="1:2" ht="28.5">
      <c r="A28" s="2" t="s">
        <v>9981</v>
      </c>
      <c r="B28" s="2" t="s">
        <v>9982</v>
      </c>
    </row>
    <row r="29" spans="1:2">
      <c r="A29" s="2" t="s">
        <v>9983</v>
      </c>
      <c r="B29" s="2" t="s">
        <v>9984</v>
      </c>
    </row>
    <row r="30" spans="1:2" ht="28.5">
      <c r="A30" s="2" t="s">
        <v>9985</v>
      </c>
      <c r="B30" s="2" t="s">
        <v>9986</v>
      </c>
    </row>
    <row r="31" spans="1:2" ht="28.5">
      <c r="A31" s="2" t="s">
        <v>9987</v>
      </c>
      <c r="B31" s="2" t="s">
        <v>9988</v>
      </c>
    </row>
    <row r="32" spans="1:2">
      <c r="A32" s="2" t="s">
        <v>9989</v>
      </c>
      <c r="B32" s="2" t="s">
        <v>9990</v>
      </c>
    </row>
    <row r="33" spans="1:2" ht="28.5">
      <c r="A33" s="2" t="s">
        <v>9991</v>
      </c>
      <c r="B33" s="2" t="s">
        <v>9992</v>
      </c>
    </row>
    <row r="34" spans="1:2">
      <c r="A34" t="s">
        <v>9993</v>
      </c>
      <c r="B34" t="s">
        <v>9994</v>
      </c>
    </row>
    <row r="35" spans="1:2">
      <c r="A35" t="s">
        <v>9995</v>
      </c>
      <c r="B35" t="s">
        <v>9996</v>
      </c>
    </row>
    <row r="36" spans="1:2">
      <c r="A36" t="s">
        <v>9997</v>
      </c>
      <c r="B36" t="s">
        <v>9998</v>
      </c>
    </row>
    <row r="37" spans="1:2">
      <c r="A37" t="s">
        <v>9999</v>
      </c>
      <c r="B37" t="s">
        <v>10000</v>
      </c>
    </row>
    <row r="38" spans="1:2">
      <c r="A38" t="s">
        <v>10001</v>
      </c>
      <c r="B38" t="s">
        <v>10002</v>
      </c>
    </row>
    <row r="39" spans="1:2">
      <c r="A39" t="s">
        <v>10003</v>
      </c>
      <c r="B39" s="2" t="s">
        <v>10004</v>
      </c>
    </row>
    <row r="40" spans="1:2" ht="28.5">
      <c r="A40" t="s">
        <v>10005</v>
      </c>
      <c r="B40" s="2" t="s">
        <v>10006</v>
      </c>
    </row>
    <row r="41" spans="1:2" ht="71.25">
      <c r="A41" t="s">
        <v>10007</v>
      </c>
      <c r="B41" s="2" t="s">
        <v>2326</v>
      </c>
    </row>
    <row r="42" spans="1:2" ht="28.5">
      <c r="A42" t="s">
        <v>10008</v>
      </c>
      <c r="B42" s="2" t="s">
        <v>5312</v>
      </c>
    </row>
    <row r="43" spans="1:2">
      <c r="A43" t="s">
        <v>10009</v>
      </c>
      <c r="B43" s="2" t="s">
        <v>10010</v>
      </c>
    </row>
    <row r="44" spans="1:2" ht="28.5">
      <c r="A44" t="s">
        <v>10011</v>
      </c>
      <c r="B44" s="2" t="s">
        <v>10012</v>
      </c>
    </row>
    <row r="45" spans="1:2" ht="28.5">
      <c r="A45" t="s">
        <v>10013</v>
      </c>
      <c r="B45" s="2" t="s">
        <v>5315</v>
      </c>
    </row>
    <row r="46" spans="1:2" ht="28.5">
      <c r="A46" t="s">
        <v>10014</v>
      </c>
      <c r="B46" s="2" t="s">
        <v>10015</v>
      </c>
    </row>
    <row r="47" spans="1:2">
      <c r="A47" t="s">
        <v>10016</v>
      </c>
      <c r="B47" t="s">
        <v>10017</v>
      </c>
    </row>
    <row r="48" spans="1:2">
      <c r="A48" t="s">
        <v>5318</v>
      </c>
      <c r="B48" t="s">
        <v>5321</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4"/>
  <sheetViews>
    <sheetView workbookViewId="0"/>
  </sheetViews>
  <sheetFormatPr defaultRowHeight="14.25"/>
  <cols>
    <col min="1" max="1" width="10" customWidth="1"/>
    <col min="2" max="2" width="8" customWidth="1"/>
    <col min="3" max="3" width="12" customWidth="1"/>
    <col min="4" max="4" width="52" customWidth="1"/>
    <col min="5" max="5" width="58" customWidth="1"/>
    <col min="6" max="6" width="15" customWidth="1"/>
    <col min="7" max="7" width="40" customWidth="1"/>
    <col min="8" max="8" width="34" customWidth="1"/>
    <col min="9" max="9" width="60" customWidth="1"/>
  </cols>
  <sheetData>
    <row r="1" spans="1:9" ht="30">
      <c r="A1" s="8" t="s">
        <v>1599</v>
      </c>
      <c r="B1" s="8" t="s">
        <v>55</v>
      </c>
      <c r="C1" s="8" t="s">
        <v>442</v>
      </c>
      <c r="D1" s="8" t="s">
        <v>10018</v>
      </c>
      <c r="E1" s="8" t="s">
        <v>10019</v>
      </c>
      <c r="F1" s="8" t="s">
        <v>10020</v>
      </c>
      <c r="G1" s="8" t="s">
        <v>10021</v>
      </c>
      <c r="H1" s="8" t="s">
        <v>10022</v>
      </c>
      <c r="I1" s="8" t="s">
        <v>8546</v>
      </c>
    </row>
    <row r="2" spans="1:9" ht="28.5">
      <c r="A2" s="2" t="s">
        <v>62</v>
      </c>
      <c r="B2" s="2" t="s">
        <v>450</v>
      </c>
      <c r="C2" s="2" t="s">
        <v>451</v>
      </c>
      <c r="D2" s="2" t="s">
        <v>10023</v>
      </c>
      <c r="E2" s="2" t="s">
        <v>10024</v>
      </c>
      <c r="F2" s="9">
        <v>46259</v>
      </c>
      <c r="G2" s="2" t="s">
        <v>10025</v>
      </c>
      <c r="H2" s="2" t="s">
        <v>10026</v>
      </c>
      <c r="I2" s="2" t="s">
        <v>10027</v>
      </c>
    </row>
    <row r="3" spans="1:9" ht="28.5">
      <c r="A3" s="2" t="s">
        <v>63</v>
      </c>
      <c r="B3" s="2" t="s">
        <v>450</v>
      </c>
      <c r="C3" s="2" t="s">
        <v>451</v>
      </c>
      <c r="D3" s="2" t="s">
        <v>10028</v>
      </c>
      <c r="E3" s="2"/>
      <c r="F3" s="9">
        <v>46262</v>
      </c>
      <c r="G3" s="2" t="s">
        <v>10029</v>
      </c>
      <c r="H3" s="2" t="s">
        <v>10030</v>
      </c>
      <c r="I3" s="2" t="s">
        <v>10031</v>
      </c>
    </row>
    <row r="4" spans="1:9" ht="28.5">
      <c r="A4" s="2" t="s">
        <v>64</v>
      </c>
      <c r="B4" s="2" t="s">
        <v>450</v>
      </c>
      <c r="C4" s="2" t="s">
        <v>451</v>
      </c>
      <c r="D4" s="2" t="s">
        <v>10032</v>
      </c>
      <c r="E4" s="2" t="s">
        <v>10033</v>
      </c>
      <c r="F4" s="9">
        <v>46260</v>
      </c>
      <c r="G4" s="2" t="s">
        <v>10034</v>
      </c>
      <c r="H4" s="2" t="s">
        <v>10026</v>
      </c>
      <c r="I4" s="2" t="s">
        <v>10035</v>
      </c>
    </row>
    <row r="5" spans="1:9">
      <c r="A5" s="2" t="s">
        <v>65</v>
      </c>
      <c r="B5" s="2" t="s">
        <v>450</v>
      </c>
      <c r="C5" s="2" t="s">
        <v>451</v>
      </c>
      <c r="D5" s="2" t="s">
        <v>10036</v>
      </c>
      <c r="E5" s="2"/>
      <c r="F5" s="9"/>
      <c r="G5" s="2" t="s">
        <v>10037</v>
      </c>
      <c r="H5" s="2" t="s">
        <v>10030</v>
      </c>
      <c r="I5" s="2" t="s">
        <v>10038</v>
      </c>
    </row>
    <row r="6" spans="1:9">
      <c r="A6" s="2" t="s">
        <v>66</v>
      </c>
      <c r="B6" s="2" t="s">
        <v>450</v>
      </c>
      <c r="C6" s="2" t="s">
        <v>451</v>
      </c>
      <c r="D6" s="2" t="s">
        <v>10039</v>
      </c>
      <c r="E6" s="2"/>
      <c r="F6" s="9"/>
      <c r="G6" s="2" t="s">
        <v>10037</v>
      </c>
      <c r="H6" s="2" t="s">
        <v>10040</v>
      </c>
      <c r="I6" s="2" t="s">
        <v>10041</v>
      </c>
    </row>
    <row r="7" spans="1:9">
      <c r="A7" s="2" t="s">
        <v>67</v>
      </c>
      <c r="B7" s="2" t="s">
        <v>450</v>
      </c>
      <c r="C7" s="2" t="s">
        <v>451</v>
      </c>
      <c r="D7" s="2" t="s">
        <v>10042</v>
      </c>
      <c r="E7" s="2"/>
      <c r="F7" s="9"/>
      <c r="G7" s="2" t="s">
        <v>10037</v>
      </c>
      <c r="H7" s="2" t="s">
        <v>10040</v>
      </c>
      <c r="I7" s="2" t="s">
        <v>10043</v>
      </c>
    </row>
    <row r="8" spans="1:9" ht="28.5">
      <c r="A8" s="2" t="s">
        <v>68</v>
      </c>
      <c r="B8" s="2" t="s">
        <v>450</v>
      </c>
      <c r="C8" s="2" t="s">
        <v>451</v>
      </c>
      <c r="D8" s="2" t="s">
        <v>10044</v>
      </c>
      <c r="E8" s="2"/>
      <c r="F8" s="9">
        <v>46267</v>
      </c>
      <c r="G8" s="2" t="s">
        <v>10045</v>
      </c>
      <c r="H8" s="2" t="s">
        <v>10046</v>
      </c>
      <c r="I8" s="2" t="s">
        <v>10047</v>
      </c>
    </row>
    <row r="9" spans="1:9">
      <c r="A9" s="2" t="s">
        <v>69</v>
      </c>
      <c r="B9" s="2" t="s">
        <v>450</v>
      </c>
      <c r="C9" s="2" t="s">
        <v>451</v>
      </c>
      <c r="D9" s="2" t="s">
        <v>10048</v>
      </c>
      <c r="E9" s="2" t="s">
        <v>10049</v>
      </c>
      <c r="F9" s="9">
        <v>46268</v>
      </c>
      <c r="G9" s="2" t="s">
        <v>10050</v>
      </c>
      <c r="H9" s="2" t="s">
        <v>10051</v>
      </c>
      <c r="I9" s="2" t="s">
        <v>10052</v>
      </c>
    </row>
    <row r="10" spans="1:9" ht="28.5">
      <c r="A10" s="2" t="s">
        <v>70</v>
      </c>
      <c r="B10" s="2" t="s">
        <v>450</v>
      </c>
      <c r="C10" s="2" t="s">
        <v>451</v>
      </c>
      <c r="D10" s="2" t="s">
        <v>10053</v>
      </c>
      <c r="E10" s="2" t="s">
        <v>10054</v>
      </c>
      <c r="F10" s="9">
        <v>46272</v>
      </c>
      <c r="G10" s="2" t="s">
        <v>10055</v>
      </c>
      <c r="H10" s="2" t="s">
        <v>10056</v>
      </c>
      <c r="I10" s="2" t="s">
        <v>10057</v>
      </c>
    </row>
    <row r="11" spans="1:9" ht="28.5">
      <c r="A11" s="2" t="s">
        <v>88</v>
      </c>
      <c r="B11" s="2" t="s">
        <v>524</v>
      </c>
      <c r="C11" s="2" t="s">
        <v>451</v>
      </c>
      <c r="D11" s="2" t="s">
        <v>10058</v>
      </c>
      <c r="E11" s="2"/>
      <c r="F11" s="9">
        <v>46272</v>
      </c>
      <c r="G11" s="2" t="s">
        <v>10059</v>
      </c>
      <c r="H11" s="2" t="s">
        <v>10060</v>
      </c>
      <c r="I11" s="2" t="s">
        <v>10061</v>
      </c>
    </row>
    <row r="12" spans="1:9" ht="28.5">
      <c r="A12" s="2" t="s">
        <v>89</v>
      </c>
      <c r="B12" s="2" t="s">
        <v>524</v>
      </c>
      <c r="C12" s="2" t="s">
        <v>451</v>
      </c>
      <c r="D12" s="2" t="s">
        <v>10062</v>
      </c>
      <c r="E12" s="2" t="s">
        <v>10063</v>
      </c>
      <c r="F12" s="9">
        <v>46273</v>
      </c>
      <c r="G12" s="2" t="s">
        <v>10064</v>
      </c>
      <c r="H12" s="2" t="s">
        <v>10051</v>
      </c>
      <c r="I12" s="2" t="s">
        <v>10052</v>
      </c>
    </row>
    <row r="13" spans="1:9">
      <c r="A13" s="2" t="s">
        <v>90</v>
      </c>
      <c r="B13" s="2" t="s">
        <v>524</v>
      </c>
      <c r="C13" s="2" t="s">
        <v>451</v>
      </c>
      <c r="D13" s="2" t="s">
        <v>10065</v>
      </c>
      <c r="E13" s="2" t="s">
        <v>10066</v>
      </c>
      <c r="F13" s="9">
        <v>46273</v>
      </c>
      <c r="G13" s="2" t="s">
        <v>10067</v>
      </c>
      <c r="H13" s="2" t="s">
        <v>10051</v>
      </c>
      <c r="I13" s="2" t="s">
        <v>10068</v>
      </c>
    </row>
    <row r="14" spans="1:9" ht="28.5">
      <c r="A14" s="2" t="s">
        <v>126</v>
      </c>
      <c r="B14" s="2" t="s">
        <v>634</v>
      </c>
      <c r="C14" s="2" t="s">
        <v>635</v>
      </c>
      <c r="D14" s="2" t="s">
        <v>10069</v>
      </c>
      <c r="E14" s="2" t="s">
        <v>10070</v>
      </c>
      <c r="F14" s="9"/>
      <c r="G14" s="2" t="s">
        <v>10071</v>
      </c>
      <c r="H14" s="2" t="s">
        <v>10046</v>
      </c>
      <c r="I14" s="2" t="s">
        <v>10072</v>
      </c>
    </row>
    <row r="15" spans="1:9" ht="28.5">
      <c r="A15" s="2" t="s">
        <v>127</v>
      </c>
      <c r="B15" s="2" t="s">
        <v>634</v>
      </c>
      <c r="C15" s="2" t="s">
        <v>635</v>
      </c>
      <c r="D15" s="2" t="s">
        <v>10073</v>
      </c>
      <c r="E15" s="2" t="s">
        <v>10074</v>
      </c>
      <c r="F15" s="9">
        <v>46247</v>
      </c>
      <c r="G15" s="2" t="s">
        <v>10075</v>
      </c>
      <c r="H15" s="2" t="s">
        <v>10026</v>
      </c>
      <c r="I15" s="2" t="s">
        <v>10076</v>
      </c>
    </row>
    <row r="16" spans="1:9">
      <c r="A16" s="2" t="s">
        <v>128</v>
      </c>
      <c r="B16" s="2" t="s">
        <v>634</v>
      </c>
      <c r="C16" s="2" t="s">
        <v>635</v>
      </c>
      <c r="D16" s="2" t="s">
        <v>10077</v>
      </c>
      <c r="E16" s="2" t="s">
        <v>10078</v>
      </c>
      <c r="F16" s="9">
        <v>46249</v>
      </c>
      <c r="G16" s="2" t="s">
        <v>10079</v>
      </c>
      <c r="H16" s="2" t="s">
        <v>10026</v>
      </c>
      <c r="I16" s="2" t="s">
        <v>10080</v>
      </c>
    </row>
    <row r="17" spans="1:9" ht="28.5">
      <c r="A17" s="2" t="s">
        <v>129</v>
      </c>
      <c r="B17" s="2" t="s">
        <v>634</v>
      </c>
      <c r="C17" s="2" t="s">
        <v>635</v>
      </c>
      <c r="D17" s="2" t="s">
        <v>10081</v>
      </c>
      <c r="E17" s="2" t="s">
        <v>10082</v>
      </c>
      <c r="F17" s="9"/>
      <c r="G17" s="2" t="s">
        <v>10071</v>
      </c>
      <c r="H17" s="2" t="s">
        <v>10083</v>
      </c>
      <c r="I17" s="2" t="s">
        <v>10084</v>
      </c>
    </row>
    <row r="18" spans="1:9" ht="28.5">
      <c r="A18" s="2" t="s">
        <v>130</v>
      </c>
      <c r="B18" s="2" t="s">
        <v>634</v>
      </c>
      <c r="C18" s="2" t="s">
        <v>635</v>
      </c>
      <c r="D18" s="2" t="s">
        <v>10085</v>
      </c>
      <c r="E18" s="2" t="s">
        <v>10086</v>
      </c>
      <c r="F18" s="9">
        <v>46249</v>
      </c>
      <c r="G18" s="2" t="s">
        <v>10079</v>
      </c>
      <c r="H18" s="2" t="s">
        <v>10026</v>
      </c>
      <c r="I18" s="2" t="s">
        <v>10087</v>
      </c>
    </row>
    <row r="19" spans="1:9">
      <c r="A19" s="2" t="s">
        <v>131</v>
      </c>
      <c r="B19" s="2" t="s">
        <v>634</v>
      </c>
      <c r="C19" s="2" t="s">
        <v>635</v>
      </c>
      <c r="D19" s="2" t="s">
        <v>10088</v>
      </c>
      <c r="E19" s="2" t="s">
        <v>10089</v>
      </c>
      <c r="F19" s="9">
        <v>46249</v>
      </c>
      <c r="G19" s="2" t="s">
        <v>10079</v>
      </c>
      <c r="H19" s="2" t="s">
        <v>10026</v>
      </c>
      <c r="I19" s="2" t="s">
        <v>10090</v>
      </c>
    </row>
    <row r="20" spans="1:9">
      <c r="A20" s="2" t="s">
        <v>132</v>
      </c>
      <c r="B20" s="2" t="s">
        <v>634</v>
      </c>
      <c r="C20" s="2" t="s">
        <v>635</v>
      </c>
      <c r="D20" s="2" t="s">
        <v>10091</v>
      </c>
      <c r="E20" s="2" t="s">
        <v>10092</v>
      </c>
      <c r="F20" s="9">
        <v>46249</v>
      </c>
      <c r="G20" s="2" t="s">
        <v>10079</v>
      </c>
      <c r="H20" s="2" t="s">
        <v>10026</v>
      </c>
      <c r="I20" s="2" t="s">
        <v>10093</v>
      </c>
    </row>
    <row r="21" spans="1:9" ht="28.5">
      <c r="A21" s="2" t="s">
        <v>133</v>
      </c>
      <c r="B21" s="2" t="s">
        <v>634</v>
      </c>
      <c r="C21" s="2" t="s">
        <v>635</v>
      </c>
      <c r="D21" s="2" t="s">
        <v>10094</v>
      </c>
      <c r="E21" s="2" t="s">
        <v>10095</v>
      </c>
      <c r="F21" s="9">
        <v>46249</v>
      </c>
      <c r="G21" s="2" t="s">
        <v>10096</v>
      </c>
      <c r="H21" s="2" t="s">
        <v>10026</v>
      </c>
      <c r="I21" s="2" t="s">
        <v>10097</v>
      </c>
    </row>
    <row r="22" spans="1:9" ht="42.75">
      <c r="A22" s="2" t="s">
        <v>134</v>
      </c>
      <c r="B22" s="2" t="s">
        <v>634</v>
      </c>
      <c r="C22" s="2" t="s">
        <v>635</v>
      </c>
      <c r="D22" s="2" t="s">
        <v>10098</v>
      </c>
      <c r="E22" s="2" t="s">
        <v>10099</v>
      </c>
      <c r="F22" s="9">
        <v>46249</v>
      </c>
      <c r="G22" s="2" t="s">
        <v>10100</v>
      </c>
      <c r="H22" s="2" t="s">
        <v>10101</v>
      </c>
      <c r="I22" s="2" t="s">
        <v>10102</v>
      </c>
    </row>
    <row r="23" spans="1:9">
      <c r="A23" s="2" t="s">
        <v>135</v>
      </c>
      <c r="B23" s="2" t="s">
        <v>634</v>
      </c>
      <c r="C23" s="2" t="s">
        <v>635</v>
      </c>
      <c r="D23" s="2" t="s">
        <v>10103</v>
      </c>
      <c r="E23" s="2" t="s">
        <v>10104</v>
      </c>
      <c r="F23" s="9"/>
      <c r="G23" s="2" t="s">
        <v>10071</v>
      </c>
      <c r="H23" s="2" t="s">
        <v>10105</v>
      </c>
      <c r="I23" s="2" t="s">
        <v>10106</v>
      </c>
    </row>
    <row r="24" spans="1:9" ht="28.5">
      <c r="A24" s="2" t="s">
        <v>136</v>
      </c>
      <c r="B24" s="2" t="s">
        <v>634</v>
      </c>
      <c r="C24" s="2" t="s">
        <v>635</v>
      </c>
      <c r="D24" s="2" t="s">
        <v>10107</v>
      </c>
      <c r="E24" s="2" t="s">
        <v>10108</v>
      </c>
      <c r="F24" s="9">
        <v>46250</v>
      </c>
      <c r="G24" s="2" t="s">
        <v>10109</v>
      </c>
      <c r="H24" s="2" t="s">
        <v>10101</v>
      </c>
      <c r="I24" s="2" t="s">
        <v>10110</v>
      </c>
    </row>
    <row r="25" spans="1:9">
      <c r="A25" s="2" t="s">
        <v>137</v>
      </c>
      <c r="B25" s="2" t="s">
        <v>634</v>
      </c>
      <c r="C25" s="2" t="s">
        <v>635</v>
      </c>
      <c r="D25" s="2" t="s">
        <v>10111</v>
      </c>
      <c r="E25" s="2" t="s">
        <v>10112</v>
      </c>
      <c r="F25" s="9">
        <v>46250</v>
      </c>
      <c r="G25" s="2" t="s">
        <v>10113</v>
      </c>
      <c r="H25" s="2" t="s">
        <v>10026</v>
      </c>
      <c r="I25" s="2" t="s">
        <v>10114</v>
      </c>
    </row>
    <row r="26" spans="1:9" ht="28.5">
      <c r="A26" s="2" t="s">
        <v>138</v>
      </c>
      <c r="B26" s="2" t="s">
        <v>634</v>
      </c>
      <c r="C26" s="2" t="s">
        <v>635</v>
      </c>
      <c r="D26" s="2" t="s">
        <v>10115</v>
      </c>
      <c r="E26" s="2" t="s">
        <v>10116</v>
      </c>
      <c r="F26" s="9">
        <v>46250</v>
      </c>
      <c r="G26" s="2" t="s">
        <v>10075</v>
      </c>
      <c r="H26" s="2" t="s">
        <v>10051</v>
      </c>
      <c r="I26" s="2" t="s">
        <v>10117</v>
      </c>
    </row>
    <row r="27" spans="1:9" ht="15">
      <c r="A27" s="2" t="s">
        <v>139</v>
      </c>
      <c r="B27" s="2" t="s">
        <v>634</v>
      </c>
      <c r="C27" s="2" t="s">
        <v>635</v>
      </c>
      <c r="D27" s="2" t="s">
        <v>10118</v>
      </c>
      <c r="E27" s="2" t="s">
        <v>10119</v>
      </c>
      <c r="F27" s="9">
        <v>46250</v>
      </c>
      <c r="G27" s="2" t="s">
        <v>10120</v>
      </c>
      <c r="H27" s="2" t="s">
        <v>10121</v>
      </c>
      <c r="I27" s="2" t="s">
        <v>10122</v>
      </c>
    </row>
    <row r="28" spans="1:9" ht="28.5">
      <c r="A28" s="2" t="s">
        <v>139</v>
      </c>
      <c r="B28" s="2" t="s">
        <v>634</v>
      </c>
      <c r="C28" s="2" t="s">
        <v>635</v>
      </c>
      <c r="D28" s="2" t="s">
        <v>10123</v>
      </c>
      <c r="E28" s="2" t="s">
        <v>10124</v>
      </c>
      <c r="F28" s="9">
        <v>46250</v>
      </c>
      <c r="G28" s="2" t="s">
        <v>10096</v>
      </c>
      <c r="H28" s="2" t="s">
        <v>10051</v>
      </c>
      <c r="I28" s="2" t="s">
        <v>10125</v>
      </c>
    </row>
    <row r="29" spans="1:9" ht="42.75">
      <c r="A29" s="2" t="s">
        <v>71</v>
      </c>
      <c r="B29" s="2" t="s">
        <v>450</v>
      </c>
      <c r="C29" s="2" t="s">
        <v>451</v>
      </c>
      <c r="D29" s="2" t="s">
        <v>10126</v>
      </c>
      <c r="E29" s="2" t="s">
        <v>10127</v>
      </c>
      <c r="F29" s="9">
        <v>46258</v>
      </c>
      <c r="G29" s="2" t="s">
        <v>10128</v>
      </c>
      <c r="H29" s="2" t="s">
        <v>10129</v>
      </c>
      <c r="I29" s="2" t="s">
        <v>10130</v>
      </c>
    </row>
    <row r="30" spans="1:9" ht="28.5">
      <c r="A30" s="2" t="s">
        <v>72</v>
      </c>
      <c r="B30" s="2" t="s">
        <v>450</v>
      </c>
      <c r="C30" s="2" t="s">
        <v>491</v>
      </c>
      <c r="D30" s="2" t="s">
        <v>10131</v>
      </c>
      <c r="E30" s="2" t="s">
        <v>10132</v>
      </c>
      <c r="F30" s="9">
        <v>46259</v>
      </c>
      <c r="G30" s="2" t="s">
        <v>10133</v>
      </c>
      <c r="H30" s="2" t="s">
        <v>10026</v>
      </c>
      <c r="I30" s="2" t="s">
        <v>10134</v>
      </c>
    </row>
    <row r="31" spans="1:9">
      <c r="A31" s="2" t="s">
        <v>73</v>
      </c>
      <c r="B31" s="2" t="s">
        <v>450</v>
      </c>
      <c r="C31" s="2" t="s">
        <v>491</v>
      </c>
      <c r="D31" s="2" t="s">
        <v>10135</v>
      </c>
      <c r="E31" s="2" t="s">
        <v>10136</v>
      </c>
      <c r="F31" s="9">
        <v>46259</v>
      </c>
      <c r="G31" s="2" t="s">
        <v>10075</v>
      </c>
      <c r="H31" s="2" t="s">
        <v>10026</v>
      </c>
      <c r="I31" s="2" t="s">
        <v>10137</v>
      </c>
    </row>
    <row r="32" spans="1:9" ht="28.5">
      <c r="A32" s="2" t="s">
        <v>74</v>
      </c>
      <c r="B32" s="2" t="s">
        <v>450</v>
      </c>
      <c r="C32" s="2" t="s">
        <v>491</v>
      </c>
      <c r="D32" s="2" t="s">
        <v>10138</v>
      </c>
      <c r="E32" s="2"/>
      <c r="F32" s="9">
        <v>46265</v>
      </c>
      <c r="G32" s="2" t="s">
        <v>10139</v>
      </c>
      <c r="H32" s="2" t="s">
        <v>10140</v>
      </c>
      <c r="I32" s="2" t="s">
        <v>10141</v>
      </c>
    </row>
    <row r="33" spans="1:9" ht="28.5">
      <c r="A33" s="2" t="s">
        <v>75</v>
      </c>
      <c r="B33" s="2" t="s">
        <v>450</v>
      </c>
      <c r="C33" s="2" t="s">
        <v>491</v>
      </c>
      <c r="D33" s="2" t="s">
        <v>10142</v>
      </c>
      <c r="E33" s="2" t="s">
        <v>10143</v>
      </c>
      <c r="F33" s="9">
        <v>46264</v>
      </c>
      <c r="G33" s="2" t="s">
        <v>10144</v>
      </c>
      <c r="H33" s="2" t="s">
        <v>10145</v>
      </c>
      <c r="I33" s="2" t="s">
        <v>10146</v>
      </c>
    </row>
    <row r="34" spans="1:9" ht="28.5">
      <c r="A34" s="2" t="s">
        <v>77</v>
      </c>
      <c r="B34" s="2" t="s">
        <v>450</v>
      </c>
      <c r="C34" s="2" t="s">
        <v>504</v>
      </c>
      <c r="D34" s="2" t="s">
        <v>10147</v>
      </c>
      <c r="E34" s="2" t="s">
        <v>10148</v>
      </c>
      <c r="F34" s="9"/>
      <c r="G34" s="2" t="s">
        <v>10037</v>
      </c>
      <c r="H34" s="2" t="s">
        <v>10026</v>
      </c>
      <c r="I34" s="2" t="s">
        <v>10149</v>
      </c>
    </row>
    <row r="35" spans="1:9">
      <c r="A35" s="2" t="s">
        <v>78</v>
      </c>
      <c r="B35" s="2" t="s">
        <v>450</v>
      </c>
      <c r="C35" s="2" t="s">
        <v>504</v>
      </c>
      <c r="D35" s="2" t="s">
        <v>10150</v>
      </c>
      <c r="E35" s="2"/>
      <c r="F35" s="9">
        <v>46259</v>
      </c>
      <c r="G35" s="2" t="s">
        <v>10151</v>
      </c>
      <c r="H35" s="2" t="s">
        <v>10040</v>
      </c>
      <c r="I35" s="2" t="s">
        <v>10152</v>
      </c>
    </row>
    <row r="36" spans="1:9" ht="28.5">
      <c r="A36" s="2" t="s">
        <v>79</v>
      </c>
      <c r="B36" s="2" t="s">
        <v>450</v>
      </c>
      <c r="C36" s="2" t="s">
        <v>451</v>
      </c>
      <c r="D36" s="2" t="s">
        <v>10153</v>
      </c>
      <c r="E36" s="2"/>
      <c r="F36" s="9">
        <v>46266</v>
      </c>
      <c r="G36" s="2" t="s">
        <v>10154</v>
      </c>
      <c r="H36" s="2" t="s">
        <v>10155</v>
      </c>
      <c r="I36" s="2" t="s">
        <v>10156</v>
      </c>
    </row>
    <row r="37" spans="1:9">
      <c r="A37" s="2" t="s">
        <v>104</v>
      </c>
      <c r="B37" s="2" t="s">
        <v>524</v>
      </c>
      <c r="C37" s="2" t="s">
        <v>491</v>
      </c>
      <c r="D37" s="2" t="s">
        <v>10157</v>
      </c>
      <c r="E37" s="2"/>
      <c r="F37" s="9">
        <v>46265</v>
      </c>
      <c r="G37" s="2" t="s">
        <v>10158</v>
      </c>
      <c r="H37" s="2" t="s">
        <v>10060</v>
      </c>
      <c r="I37" s="2" t="s">
        <v>10159</v>
      </c>
    </row>
    <row r="38" spans="1:9">
      <c r="A38" s="2" t="s">
        <v>80</v>
      </c>
      <c r="B38" s="2" t="s">
        <v>450</v>
      </c>
      <c r="C38" s="2" t="s">
        <v>504</v>
      </c>
      <c r="D38" s="2" t="s">
        <v>10160</v>
      </c>
      <c r="E38" s="2" t="s">
        <v>10161</v>
      </c>
      <c r="F38" s="9">
        <v>46259</v>
      </c>
      <c r="G38" s="2" t="s">
        <v>10025</v>
      </c>
      <c r="H38" s="2" t="s">
        <v>10026</v>
      </c>
      <c r="I38" s="2" t="s">
        <v>10162</v>
      </c>
    </row>
    <row r="39" spans="1:9">
      <c r="A39" s="2" t="s">
        <v>81</v>
      </c>
      <c r="B39" s="2" t="s">
        <v>450</v>
      </c>
      <c r="C39" s="2" t="s">
        <v>451</v>
      </c>
      <c r="D39" s="2" t="s">
        <v>10163</v>
      </c>
      <c r="E39" s="2" t="s">
        <v>10164</v>
      </c>
      <c r="F39" s="9"/>
      <c r="G39" s="2" t="s">
        <v>10037</v>
      </c>
      <c r="H39" s="2" t="s">
        <v>10051</v>
      </c>
      <c r="I39" s="2" t="s">
        <v>10165</v>
      </c>
    </row>
    <row r="40" spans="1:9">
      <c r="A40" s="2" t="s">
        <v>111</v>
      </c>
      <c r="B40" s="2" t="s">
        <v>524</v>
      </c>
      <c r="C40" s="2" t="s">
        <v>491</v>
      </c>
      <c r="D40" s="2" t="s">
        <v>10166</v>
      </c>
      <c r="E40" s="2"/>
      <c r="F40" s="9"/>
      <c r="G40" s="2" t="s">
        <v>10037</v>
      </c>
      <c r="H40" s="2" t="s">
        <v>10040</v>
      </c>
      <c r="I40" s="2" t="s">
        <v>10167</v>
      </c>
    </row>
    <row r="41" spans="1:9" ht="57">
      <c r="A41" s="2" t="s">
        <v>112</v>
      </c>
      <c r="B41" s="2" t="s">
        <v>524</v>
      </c>
      <c r="C41" s="2" t="s">
        <v>491</v>
      </c>
      <c r="D41" s="2" t="s">
        <v>10168</v>
      </c>
      <c r="E41" s="2" t="s">
        <v>10169</v>
      </c>
      <c r="F41" s="9">
        <v>46273</v>
      </c>
      <c r="G41" s="2" t="s">
        <v>10170</v>
      </c>
      <c r="H41" s="2" t="s">
        <v>10171</v>
      </c>
      <c r="I41" s="2" t="s">
        <v>10172</v>
      </c>
    </row>
    <row r="42" spans="1:9" ht="28.5">
      <c r="A42" s="2" t="s">
        <v>114</v>
      </c>
      <c r="B42" s="2" t="s">
        <v>524</v>
      </c>
      <c r="C42" s="2" t="s">
        <v>491</v>
      </c>
      <c r="D42" s="2" t="s">
        <v>10173</v>
      </c>
      <c r="E42" s="2" t="s">
        <v>10174</v>
      </c>
      <c r="F42" s="9">
        <v>46269</v>
      </c>
      <c r="G42" s="2" t="s">
        <v>10175</v>
      </c>
      <c r="H42" s="2" t="s">
        <v>10051</v>
      </c>
      <c r="I42" s="2" t="s">
        <v>10176</v>
      </c>
    </row>
    <row r="43" spans="1:9">
      <c r="A43" s="2" t="s">
        <v>82</v>
      </c>
      <c r="B43" s="2" t="s">
        <v>450</v>
      </c>
      <c r="C43" s="2" t="s">
        <v>491</v>
      </c>
      <c r="D43" s="2" t="s">
        <v>10177</v>
      </c>
      <c r="E43" s="2" t="s">
        <v>10178</v>
      </c>
      <c r="F43" s="9">
        <v>46264</v>
      </c>
      <c r="G43" s="2" t="s">
        <v>10075</v>
      </c>
      <c r="H43" s="2" t="s">
        <v>10026</v>
      </c>
      <c r="I43" s="2" t="s">
        <v>10179</v>
      </c>
    </row>
    <row r="44" spans="1:9" ht="110.1" customHeight="1">
      <c r="A44" s="32" t="s">
        <v>92</v>
      </c>
      <c r="B44" s="32" t="s">
        <v>524</v>
      </c>
      <c r="C44" s="32" t="s">
        <v>451</v>
      </c>
      <c r="D44" s="32" t="s">
        <v>1437</v>
      </c>
      <c r="E44" s="32" t="s">
        <v>10180</v>
      </c>
      <c r="F44" s="32" t="s">
        <v>10181</v>
      </c>
      <c r="G44" s="32" t="s">
        <v>10182</v>
      </c>
      <c r="H44" s="32" t="s">
        <v>10183</v>
      </c>
      <c r="I44" s="32" t="s">
        <v>10184</v>
      </c>
    </row>
    <row r="45" spans="1:9">
      <c r="A45" t="s">
        <v>98</v>
      </c>
      <c r="B45" t="s">
        <v>524</v>
      </c>
      <c r="C45" t="s">
        <v>504</v>
      </c>
      <c r="D45" t="s">
        <v>10185</v>
      </c>
      <c r="E45" t="s">
        <v>10186</v>
      </c>
      <c r="F45" t="s">
        <v>1973</v>
      </c>
      <c r="G45" t="s">
        <v>10187</v>
      </c>
      <c r="H45" t="s">
        <v>10188</v>
      </c>
      <c r="I45" t="s">
        <v>10189</v>
      </c>
    </row>
    <row r="46" spans="1:9">
      <c r="A46" t="s">
        <v>113</v>
      </c>
      <c r="B46" t="s">
        <v>524</v>
      </c>
      <c r="C46" t="s">
        <v>491</v>
      </c>
      <c r="D46" t="s">
        <v>10190</v>
      </c>
      <c r="E46" t="s">
        <v>10191</v>
      </c>
      <c r="F46" t="s">
        <v>8617</v>
      </c>
      <c r="G46" t="s">
        <v>10192</v>
      </c>
      <c r="H46" t="s">
        <v>10193</v>
      </c>
      <c r="I46" t="s">
        <v>10194</v>
      </c>
    </row>
    <row r="47" spans="1:9">
      <c r="A47" t="s">
        <v>118</v>
      </c>
      <c r="B47" t="s">
        <v>524</v>
      </c>
      <c r="C47" t="s">
        <v>491</v>
      </c>
      <c r="D47" t="s">
        <v>2594</v>
      </c>
      <c r="E47" t="s">
        <v>619</v>
      </c>
      <c r="G47" t="s">
        <v>5338</v>
      </c>
      <c r="H47" t="s">
        <v>5339</v>
      </c>
      <c r="I47" t="s">
        <v>2599</v>
      </c>
    </row>
    <row r="48" spans="1:9">
      <c r="A48" t="s">
        <v>120</v>
      </c>
      <c r="B48" t="s">
        <v>524</v>
      </c>
      <c r="C48" t="s">
        <v>491</v>
      </c>
      <c r="D48" t="s">
        <v>10195</v>
      </c>
      <c r="E48" t="s">
        <v>10196</v>
      </c>
      <c r="F48" t="s">
        <v>8617</v>
      </c>
      <c r="G48" t="s">
        <v>10197</v>
      </c>
      <c r="H48" t="s">
        <v>10198</v>
      </c>
      <c r="I48" t="s">
        <v>10199</v>
      </c>
    </row>
    <row r="49" spans="1:9">
      <c r="A49" t="s">
        <v>83</v>
      </c>
      <c r="B49" t="s">
        <v>450</v>
      </c>
      <c r="C49" t="s">
        <v>451</v>
      </c>
      <c r="D49" t="s">
        <v>2221</v>
      </c>
      <c r="E49" t="s">
        <v>729</v>
      </c>
      <c r="G49" t="s">
        <v>5329</v>
      </c>
      <c r="H49" t="s">
        <v>5330</v>
      </c>
      <c r="I49" t="s">
        <v>2228</v>
      </c>
    </row>
    <row r="50" spans="1:9">
      <c r="A50" t="s">
        <v>85</v>
      </c>
      <c r="B50" t="s">
        <v>450</v>
      </c>
      <c r="C50" t="s">
        <v>451</v>
      </c>
      <c r="D50" t="s">
        <v>10200</v>
      </c>
      <c r="E50" t="s">
        <v>10201</v>
      </c>
      <c r="F50" t="s">
        <v>8801</v>
      </c>
      <c r="G50" t="s">
        <v>10202</v>
      </c>
      <c r="H50" t="s">
        <v>10051</v>
      </c>
      <c r="I50" t="s">
        <v>10203</v>
      </c>
    </row>
    <row r="51" spans="1:9">
      <c r="A51" t="s">
        <v>93</v>
      </c>
      <c r="B51" t="s">
        <v>524</v>
      </c>
      <c r="C51" t="s">
        <v>451</v>
      </c>
      <c r="D51" t="s">
        <v>8639</v>
      </c>
      <c r="E51" t="s">
        <v>10204</v>
      </c>
      <c r="F51" t="s">
        <v>1973</v>
      </c>
      <c r="G51" t="s">
        <v>10205</v>
      </c>
      <c r="H51" t="s">
        <v>10206</v>
      </c>
      <c r="I51" t="s">
        <v>10207</v>
      </c>
    </row>
    <row r="52" spans="1:9">
      <c r="A52" t="s">
        <v>102</v>
      </c>
      <c r="B52" t="s">
        <v>524</v>
      </c>
      <c r="C52" t="s">
        <v>451</v>
      </c>
      <c r="D52" t="s">
        <v>8960</v>
      </c>
      <c r="E52" t="s">
        <v>10208</v>
      </c>
      <c r="F52" t="s">
        <v>8617</v>
      </c>
      <c r="G52" t="s">
        <v>10209</v>
      </c>
      <c r="H52" t="s">
        <v>10051</v>
      </c>
      <c r="I52" t="s">
        <v>10210</v>
      </c>
    </row>
    <row r="53" spans="1:9">
      <c r="A53" t="s">
        <v>84</v>
      </c>
      <c r="B53" t="s">
        <v>450</v>
      </c>
      <c r="C53" t="s">
        <v>451</v>
      </c>
      <c r="D53" t="s">
        <v>10211</v>
      </c>
      <c r="E53" t="s">
        <v>10212</v>
      </c>
      <c r="F53" t="s">
        <v>8801</v>
      </c>
      <c r="G53" t="s">
        <v>10213</v>
      </c>
      <c r="H53" t="s">
        <v>10051</v>
      </c>
      <c r="I53" t="s">
        <v>10214</v>
      </c>
    </row>
    <row r="54" spans="1:9">
      <c r="A54" t="s">
        <v>86</v>
      </c>
      <c r="B54" t="s">
        <v>450</v>
      </c>
      <c r="C54" t="s">
        <v>451</v>
      </c>
      <c r="D54" t="s">
        <v>10215</v>
      </c>
      <c r="E54" t="s">
        <v>10216</v>
      </c>
      <c r="G54" t="s">
        <v>10217</v>
      </c>
      <c r="H54" t="s">
        <v>10218</v>
      </c>
      <c r="I54" t="s">
        <v>10219</v>
      </c>
    </row>
  </sheetData>
  <conditionalFormatting sqref="H2:H43">
    <cfRule type="expression" dxfId="24" priority="1">
      <formula>LEFT(H2,8)="REJECTED"</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4"/>
  <sheetViews>
    <sheetView workbookViewId="0"/>
  </sheetViews>
  <sheetFormatPr defaultRowHeight="14.25"/>
  <cols>
    <col min="1" max="1" width="11" customWidth="1"/>
    <col min="2" max="2" width="16" customWidth="1"/>
    <col min="3" max="3" width="14" customWidth="1"/>
    <col min="4" max="4" width="12" customWidth="1"/>
    <col min="5" max="5" width="11" customWidth="1"/>
    <col min="6" max="6" width="38" customWidth="1"/>
    <col min="7" max="7" width="58" customWidth="1"/>
    <col min="8" max="8" width="38" customWidth="1"/>
  </cols>
  <sheetData>
    <row r="1" spans="1:8" ht="18">
      <c r="A1" s="106" t="s">
        <v>10220</v>
      </c>
      <c r="B1" s="106"/>
      <c r="C1" s="106"/>
      <c r="D1" s="106"/>
      <c r="E1" s="106"/>
      <c r="F1" s="106"/>
      <c r="G1" s="106"/>
      <c r="H1" s="106"/>
    </row>
    <row r="2" spans="1:8" ht="28.5">
      <c r="A2" s="2" t="s">
        <v>10221</v>
      </c>
      <c r="B2" s="2" t="s">
        <v>93</v>
      </c>
      <c r="C2" s="2" t="s">
        <v>10222</v>
      </c>
      <c r="D2" s="2" t="s">
        <v>451</v>
      </c>
      <c r="E2" s="2">
        <v>0</v>
      </c>
      <c r="F2" s="2" t="s">
        <v>10223</v>
      </c>
      <c r="G2" s="2" t="s">
        <v>10224</v>
      </c>
      <c r="H2" s="2" t="s">
        <v>10225</v>
      </c>
    </row>
    <row r="3" spans="1:8" ht="45">
      <c r="A3" s="11" t="s">
        <v>10221</v>
      </c>
      <c r="B3" s="11" t="s">
        <v>98</v>
      </c>
      <c r="C3" s="11" t="s">
        <v>10222</v>
      </c>
      <c r="D3" s="11" t="s">
        <v>504</v>
      </c>
      <c r="E3" s="11">
        <v>0</v>
      </c>
      <c r="F3" s="11" t="s">
        <v>10226</v>
      </c>
      <c r="G3" s="11" t="s">
        <v>10227</v>
      </c>
      <c r="H3" s="11" t="s">
        <v>10228</v>
      </c>
    </row>
    <row r="4" spans="1:8" ht="28.5">
      <c r="A4" s="2" t="s">
        <v>10221</v>
      </c>
      <c r="B4" s="2" t="s">
        <v>113</v>
      </c>
      <c r="C4" s="2" t="s">
        <v>10222</v>
      </c>
      <c r="D4" s="2" t="s">
        <v>491</v>
      </c>
      <c r="E4" s="2">
        <v>0</v>
      </c>
      <c r="F4" s="2" t="s">
        <v>10229</v>
      </c>
      <c r="G4" s="2" t="s">
        <v>10230</v>
      </c>
      <c r="H4" s="2" t="s">
        <v>10231</v>
      </c>
    </row>
    <row r="5" spans="1:8" ht="28.5">
      <c r="A5" s="2" t="s">
        <v>10221</v>
      </c>
      <c r="B5" s="2" t="s">
        <v>120</v>
      </c>
      <c r="C5" s="2" t="s">
        <v>10222</v>
      </c>
      <c r="D5" s="2" t="s">
        <v>491</v>
      </c>
      <c r="E5" s="2">
        <v>0</v>
      </c>
      <c r="F5" s="2" t="s">
        <v>10232</v>
      </c>
      <c r="G5" s="2" t="s">
        <v>10233</v>
      </c>
      <c r="H5" s="2" t="s">
        <v>10234</v>
      </c>
    </row>
    <row r="6" spans="1:8" ht="42.75">
      <c r="A6" s="2" t="s">
        <v>10235</v>
      </c>
      <c r="B6" s="2" t="s">
        <v>10236</v>
      </c>
      <c r="C6" s="2" t="s">
        <v>10222</v>
      </c>
      <c r="D6" s="2" t="s">
        <v>10237</v>
      </c>
      <c r="E6" s="2">
        <v>0</v>
      </c>
      <c r="F6" s="2" t="s">
        <v>10238</v>
      </c>
      <c r="G6" s="2" t="s">
        <v>10239</v>
      </c>
      <c r="H6" s="2" t="s">
        <v>10240</v>
      </c>
    </row>
    <row r="7" spans="1:8" ht="28.5">
      <c r="A7" s="2" t="s">
        <v>10241</v>
      </c>
      <c r="B7" s="2" t="s">
        <v>9642</v>
      </c>
      <c r="C7" s="2" t="s">
        <v>10222</v>
      </c>
      <c r="D7" s="2" t="s">
        <v>451</v>
      </c>
      <c r="E7" s="2">
        <v>0</v>
      </c>
      <c r="F7" s="2" t="s">
        <v>10242</v>
      </c>
      <c r="G7" s="2" t="s">
        <v>10243</v>
      </c>
      <c r="H7" s="2" t="s">
        <v>10244</v>
      </c>
    </row>
    <row r="8" spans="1:8" ht="28.5">
      <c r="A8" s="2" t="s">
        <v>10245</v>
      </c>
      <c r="B8" s="2" t="s">
        <v>119</v>
      </c>
      <c r="C8" s="2" t="s">
        <v>10222</v>
      </c>
      <c r="D8" s="2" t="s">
        <v>491</v>
      </c>
      <c r="E8" s="2">
        <v>0</v>
      </c>
      <c r="F8" s="2" t="s">
        <v>10246</v>
      </c>
      <c r="G8" s="2" t="s">
        <v>10247</v>
      </c>
      <c r="H8" s="2" t="s">
        <v>10248</v>
      </c>
    </row>
    <row r="9" spans="1:8" ht="42.75">
      <c r="A9" s="2" t="s">
        <v>10249</v>
      </c>
      <c r="B9" s="2" t="s">
        <v>437</v>
      </c>
      <c r="C9" s="2" t="s">
        <v>10250</v>
      </c>
      <c r="D9" s="2" t="s">
        <v>451</v>
      </c>
      <c r="E9" s="2" t="s">
        <v>10251</v>
      </c>
      <c r="F9" s="2" t="s">
        <v>10252</v>
      </c>
      <c r="G9" s="2" t="s">
        <v>10253</v>
      </c>
      <c r="H9" s="2" t="s">
        <v>10254</v>
      </c>
    </row>
    <row r="10" spans="1:8" ht="28.5">
      <c r="A10" s="2" t="s">
        <v>10255</v>
      </c>
      <c r="B10" s="2" t="s">
        <v>84</v>
      </c>
      <c r="C10" s="2" t="s">
        <v>10256</v>
      </c>
      <c r="D10" s="2" t="s">
        <v>451</v>
      </c>
      <c r="E10" s="2" t="s">
        <v>10257</v>
      </c>
      <c r="F10" s="2" t="s">
        <v>10258</v>
      </c>
      <c r="G10" s="2" t="s">
        <v>10259</v>
      </c>
      <c r="H10" s="2" t="s">
        <v>10260</v>
      </c>
    </row>
    <row r="11" spans="1:8" ht="28.5">
      <c r="A11" s="2" t="s">
        <v>10261</v>
      </c>
      <c r="B11" s="2" t="s">
        <v>115</v>
      </c>
      <c r="C11" s="2" t="s">
        <v>10222</v>
      </c>
      <c r="D11" s="2" t="s">
        <v>491</v>
      </c>
      <c r="E11" s="2" t="s">
        <v>10257</v>
      </c>
      <c r="F11" s="2" t="s">
        <v>10262</v>
      </c>
      <c r="G11" s="2" t="s">
        <v>10263</v>
      </c>
      <c r="H11" s="2" t="s">
        <v>10264</v>
      </c>
    </row>
    <row r="12" spans="1:8" ht="28.5">
      <c r="A12" s="2" t="s">
        <v>10235</v>
      </c>
      <c r="B12" s="2" t="s">
        <v>98</v>
      </c>
      <c r="C12" s="2" t="s">
        <v>10222</v>
      </c>
      <c r="D12" s="2" t="s">
        <v>504</v>
      </c>
      <c r="E12" s="2" t="s">
        <v>10265</v>
      </c>
      <c r="F12" s="2" t="s">
        <v>10266</v>
      </c>
      <c r="G12" s="2" t="s">
        <v>10267</v>
      </c>
      <c r="H12" s="2" t="s">
        <v>10268</v>
      </c>
    </row>
    <row r="13" spans="1:8" ht="28.5">
      <c r="A13" s="2" t="s">
        <v>10235</v>
      </c>
      <c r="B13" s="2" t="s">
        <v>99</v>
      </c>
      <c r="C13" s="2" t="s">
        <v>10222</v>
      </c>
      <c r="D13" s="2" t="s">
        <v>504</v>
      </c>
      <c r="E13" s="2" t="s">
        <v>10265</v>
      </c>
      <c r="F13" s="2" t="s">
        <v>10269</v>
      </c>
      <c r="G13" s="2" t="s">
        <v>10270</v>
      </c>
      <c r="H13" s="2" t="s">
        <v>10271</v>
      </c>
    </row>
    <row r="14" spans="1:8">
      <c r="A14" s="2" t="s">
        <v>10235</v>
      </c>
      <c r="B14" s="2" t="s">
        <v>152</v>
      </c>
      <c r="C14" s="2" t="s">
        <v>10250</v>
      </c>
      <c r="D14" s="2" t="s">
        <v>451</v>
      </c>
      <c r="E14" s="2" t="s">
        <v>10257</v>
      </c>
      <c r="F14" s="2" t="s">
        <v>10272</v>
      </c>
      <c r="G14" s="2" t="s">
        <v>10273</v>
      </c>
      <c r="H14" s="2" t="s">
        <v>10274</v>
      </c>
    </row>
    <row r="15" spans="1:8">
      <c r="A15" s="2" t="s">
        <v>10235</v>
      </c>
      <c r="B15" s="2" t="s">
        <v>153</v>
      </c>
      <c r="C15" s="2" t="s">
        <v>10250</v>
      </c>
      <c r="D15" s="2" t="s">
        <v>451</v>
      </c>
      <c r="E15" s="2" t="s">
        <v>10257</v>
      </c>
      <c r="F15" s="2" t="s">
        <v>10275</v>
      </c>
      <c r="G15" s="2" t="s">
        <v>10276</v>
      </c>
      <c r="H15" s="2" t="s">
        <v>10277</v>
      </c>
    </row>
    <row r="16" spans="1:8">
      <c r="A16" s="2" t="s">
        <v>10235</v>
      </c>
      <c r="B16" s="2" t="s">
        <v>156</v>
      </c>
      <c r="C16" s="2" t="s">
        <v>10250</v>
      </c>
      <c r="D16" s="2" t="s">
        <v>451</v>
      </c>
      <c r="E16" s="2" t="s">
        <v>10257</v>
      </c>
      <c r="F16" s="2" t="s">
        <v>10278</v>
      </c>
      <c r="G16" s="2" t="s">
        <v>10279</v>
      </c>
      <c r="H16" s="2" t="s">
        <v>10280</v>
      </c>
    </row>
    <row r="17" spans="1:8" ht="28.5">
      <c r="A17" s="2" t="s">
        <v>10235</v>
      </c>
      <c r="B17" s="2" t="s">
        <v>158</v>
      </c>
      <c r="C17" s="2" t="s">
        <v>10250</v>
      </c>
      <c r="D17" s="2" t="s">
        <v>451</v>
      </c>
      <c r="E17" s="2" t="s">
        <v>10265</v>
      </c>
      <c r="F17" s="2" t="s">
        <v>10281</v>
      </c>
      <c r="G17" s="2" t="s">
        <v>10282</v>
      </c>
      <c r="H17" s="2" t="s">
        <v>10283</v>
      </c>
    </row>
    <row r="18" spans="1:8" ht="28.5">
      <c r="A18" s="2" t="s">
        <v>10235</v>
      </c>
      <c r="B18" s="2" t="s">
        <v>159</v>
      </c>
      <c r="C18" s="2" t="s">
        <v>10250</v>
      </c>
      <c r="D18" s="2" t="s">
        <v>451</v>
      </c>
      <c r="E18" s="2" t="s">
        <v>10284</v>
      </c>
      <c r="F18" s="2" t="s">
        <v>10285</v>
      </c>
      <c r="G18" s="2" t="s">
        <v>10286</v>
      </c>
      <c r="H18" s="2" t="s">
        <v>163</v>
      </c>
    </row>
    <row r="19" spans="1:8" ht="28.5">
      <c r="A19" s="2" t="s">
        <v>10235</v>
      </c>
      <c r="B19" s="2" t="s">
        <v>161</v>
      </c>
      <c r="C19" s="2" t="s">
        <v>10250</v>
      </c>
      <c r="D19" s="2" t="s">
        <v>451</v>
      </c>
      <c r="E19" s="2" t="s">
        <v>10284</v>
      </c>
      <c r="F19" s="2" t="s">
        <v>10287</v>
      </c>
      <c r="G19" s="2" t="s">
        <v>10288</v>
      </c>
      <c r="H19" s="2" t="s">
        <v>10289</v>
      </c>
    </row>
    <row r="20" spans="1:8" ht="28.5">
      <c r="A20" s="2" t="s">
        <v>10235</v>
      </c>
      <c r="B20" s="2" t="s">
        <v>148</v>
      </c>
      <c r="C20" s="2" t="s">
        <v>10290</v>
      </c>
      <c r="D20" s="2" t="s">
        <v>504</v>
      </c>
      <c r="E20" s="2" t="s">
        <v>10257</v>
      </c>
      <c r="F20" s="2" t="s">
        <v>10291</v>
      </c>
      <c r="G20" s="2" t="s">
        <v>10292</v>
      </c>
      <c r="H20" s="2" t="s">
        <v>205</v>
      </c>
    </row>
    <row r="21" spans="1:8" ht="42.75">
      <c r="A21" s="2" t="s">
        <v>10235</v>
      </c>
      <c r="B21" s="2" t="s">
        <v>10293</v>
      </c>
      <c r="C21" s="2" t="s">
        <v>1058</v>
      </c>
      <c r="D21" s="2" t="s">
        <v>10237</v>
      </c>
      <c r="E21" s="2" t="s">
        <v>10294</v>
      </c>
      <c r="F21" s="2" t="s">
        <v>10295</v>
      </c>
      <c r="G21" s="2" t="s">
        <v>10296</v>
      </c>
      <c r="H21" s="2" t="s">
        <v>237</v>
      </c>
    </row>
    <row r="22" spans="1:8">
      <c r="A22" s="2" t="s">
        <v>10297</v>
      </c>
      <c r="B22" s="2" t="s">
        <v>84</v>
      </c>
      <c r="C22" s="2" t="s">
        <v>10298</v>
      </c>
      <c r="D22" s="2" t="s">
        <v>451</v>
      </c>
      <c r="E22" s="2" t="s">
        <v>10257</v>
      </c>
      <c r="F22" s="2" t="s">
        <v>10299</v>
      </c>
      <c r="G22" s="2" t="s">
        <v>10300</v>
      </c>
      <c r="H22" s="2" t="s">
        <v>10301</v>
      </c>
    </row>
    <row r="23" spans="1:8" ht="28.5">
      <c r="A23" s="2" t="s">
        <v>10302</v>
      </c>
      <c r="B23" s="2" t="s">
        <v>83</v>
      </c>
      <c r="C23" s="2" t="s">
        <v>10298</v>
      </c>
      <c r="D23" s="2" t="s">
        <v>451</v>
      </c>
      <c r="E23" s="2" t="s">
        <v>10257</v>
      </c>
      <c r="F23" s="2" t="s">
        <v>10303</v>
      </c>
      <c r="G23" s="2" t="s">
        <v>10304</v>
      </c>
      <c r="H23" s="2" t="s">
        <v>10305</v>
      </c>
    </row>
    <row r="24" spans="1:8" ht="28.5">
      <c r="A24" s="2" t="s">
        <v>10306</v>
      </c>
      <c r="B24" s="2" t="s">
        <v>10307</v>
      </c>
      <c r="C24" s="2" t="s">
        <v>10308</v>
      </c>
      <c r="D24" s="2" t="s">
        <v>10309</v>
      </c>
      <c r="E24" s="2" t="s">
        <v>10310</v>
      </c>
      <c r="F24" s="2" t="s">
        <v>10311</v>
      </c>
      <c r="G24" s="2" t="s">
        <v>10312</v>
      </c>
      <c r="H24" s="2" t="s">
        <v>10313</v>
      </c>
    </row>
    <row r="25" spans="1:8" ht="28.5">
      <c r="A25" s="2" t="s">
        <v>10314</v>
      </c>
      <c r="B25" s="2" t="s">
        <v>164</v>
      </c>
      <c r="C25" s="2" t="s">
        <v>10250</v>
      </c>
      <c r="D25" s="2" t="s">
        <v>451</v>
      </c>
      <c r="E25" s="2" t="s">
        <v>10257</v>
      </c>
      <c r="F25" s="2" t="s">
        <v>10315</v>
      </c>
      <c r="G25" s="2" t="s">
        <v>10316</v>
      </c>
      <c r="H25" s="2" t="s">
        <v>10317</v>
      </c>
    </row>
    <row r="26" spans="1:8" ht="42.75">
      <c r="A26" s="2" t="s">
        <v>10235</v>
      </c>
      <c r="B26" s="2" t="s">
        <v>117</v>
      </c>
      <c r="C26" s="2" t="s">
        <v>10222</v>
      </c>
      <c r="D26" s="2" t="s">
        <v>491</v>
      </c>
      <c r="E26" s="2" t="s">
        <v>10318</v>
      </c>
      <c r="F26" s="2" t="s">
        <v>10319</v>
      </c>
      <c r="G26" s="2" t="s">
        <v>10320</v>
      </c>
      <c r="H26" s="2" t="s">
        <v>113</v>
      </c>
    </row>
    <row r="27" spans="1:8" ht="28.5">
      <c r="A27" s="2" t="s">
        <v>10261</v>
      </c>
      <c r="B27" s="2" t="s">
        <v>113</v>
      </c>
      <c r="C27" s="2" t="s">
        <v>10222</v>
      </c>
      <c r="D27" s="2" t="s">
        <v>491</v>
      </c>
      <c r="E27" s="2" t="s">
        <v>10257</v>
      </c>
      <c r="F27" s="2" t="s">
        <v>10321</v>
      </c>
      <c r="G27" s="2" t="s">
        <v>10322</v>
      </c>
      <c r="H27" s="2" t="s">
        <v>10323</v>
      </c>
    </row>
    <row r="28" spans="1:8" ht="28.5">
      <c r="A28" s="2" t="s">
        <v>1156</v>
      </c>
      <c r="B28" s="2" t="s">
        <v>86</v>
      </c>
      <c r="C28" s="2" t="s">
        <v>10298</v>
      </c>
      <c r="D28" s="2" t="s">
        <v>451</v>
      </c>
      <c r="E28" s="2" t="s">
        <v>10284</v>
      </c>
      <c r="F28" s="2" t="s">
        <v>10324</v>
      </c>
      <c r="G28" s="2" t="s">
        <v>10325</v>
      </c>
      <c r="H28" s="2" t="s">
        <v>10326</v>
      </c>
    </row>
    <row r="29" spans="1:8" ht="28.5">
      <c r="A29" s="2" t="s">
        <v>10235</v>
      </c>
      <c r="B29" s="2" t="s">
        <v>164</v>
      </c>
      <c r="C29" s="2" t="s">
        <v>10250</v>
      </c>
      <c r="D29" s="2" t="s">
        <v>451</v>
      </c>
      <c r="E29" s="2" t="s">
        <v>10257</v>
      </c>
      <c r="F29" s="2" t="s">
        <v>10327</v>
      </c>
      <c r="G29" s="2" t="s">
        <v>10328</v>
      </c>
      <c r="H29" s="2" t="s">
        <v>163</v>
      </c>
    </row>
    <row r="30" spans="1:8" ht="28.5">
      <c r="A30" s="2" t="s">
        <v>10329</v>
      </c>
      <c r="B30" s="2" t="s">
        <v>10330</v>
      </c>
      <c r="C30" s="2" t="s">
        <v>449</v>
      </c>
      <c r="D30" s="2" t="s">
        <v>10237</v>
      </c>
      <c r="E30" s="2" t="s">
        <v>10257</v>
      </c>
      <c r="F30" s="2" t="s">
        <v>10331</v>
      </c>
      <c r="G30" s="2" t="s">
        <v>10332</v>
      </c>
      <c r="H30" s="2" t="s">
        <v>10333</v>
      </c>
    </row>
    <row r="31" spans="1:8" ht="28.5">
      <c r="A31" s="2" t="s">
        <v>10334</v>
      </c>
      <c r="B31" s="2" t="s">
        <v>10335</v>
      </c>
      <c r="C31" s="2" t="s">
        <v>10336</v>
      </c>
      <c r="D31" s="2" t="s">
        <v>10337</v>
      </c>
      <c r="E31" s="2" t="s">
        <v>10257</v>
      </c>
      <c r="F31" s="2" t="s">
        <v>10338</v>
      </c>
      <c r="G31" s="2" t="s">
        <v>10339</v>
      </c>
      <c r="H31" s="2" t="s">
        <v>10340</v>
      </c>
    </row>
    <row r="32" spans="1:8">
      <c r="A32" s="2" t="s">
        <v>10297</v>
      </c>
      <c r="B32" s="2" t="s">
        <v>86</v>
      </c>
      <c r="C32" s="2" t="s">
        <v>10298</v>
      </c>
      <c r="D32" s="2" t="s">
        <v>451</v>
      </c>
      <c r="E32" s="2" t="s">
        <v>10257</v>
      </c>
      <c r="F32" s="2" t="s">
        <v>10341</v>
      </c>
      <c r="G32" s="2" t="s">
        <v>10342</v>
      </c>
      <c r="H32" s="2" t="s">
        <v>10343</v>
      </c>
    </row>
    <row r="33" spans="1:8" ht="28.5">
      <c r="A33" s="2" t="s">
        <v>10344</v>
      </c>
      <c r="B33" s="2" t="s">
        <v>164</v>
      </c>
      <c r="C33" s="2" t="s">
        <v>10250</v>
      </c>
      <c r="D33" s="2" t="s">
        <v>451</v>
      </c>
      <c r="E33" s="2" t="s">
        <v>10257</v>
      </c>
      <c r="F33" s="2" t="s">
        <v>10345</v>
      </c>
      <c r="G33" s="2" t="s">
        <v>10346</v>
      </c>
      <c r="H33" s="2" t="s">
        <v>10347</v>
      </c>
    </row>
    <row r="34" spans="1:8" ht="28.5">
      <c r="A34" s="2" t="s">
        <v>10235</v>
      </c>
      <c r="B34" s="2" t="s">
        <v>117</v>
      </c>
      <c r="C34" s="2" t="s">
        <v>10222</v>
      </c>
      <c r="D34" s="2" t="s">
        <v>491</v>
      </c>
      <c r="E34" s="2" t="s">
        <v>10257</v>
      </c>
      <c r="F34" s="2" t="s">
        <v>10348</v>
      </c>
      <c r="G34" s="2" t="s">
        <v>10349</v>
      </c>
      <c r="H34" s="2" t="s">
        <v>10350</v>
      </c>
    </row>
    <row r="35" spans="1:8" ht="28.5">
      <c r="A35" s="2" t="s">
        <v>10314</v>
      </c>
      <c r="B35" s="2" t="s">
        <v>85</v>
      </c>
      <c r="C35" s="2" t="s">
        <v>10298</v>
      </c>
      <c r="D35" s="2" t="s">
        <v>451</v>
      </c>
      <c r="E35" s="2" t="s">
        <v>10257</v>
      </c>
      <c r="F35" s="2" t="s">
        <v>10351</v>
      </c>
      <c r="G35" s="2" t="s">
        <v>10352</v>
      </c>
      <c r="H35" s="2" t="s">
        <v>10353</v>
      </c>
    </row>
    <row r="36" spans="1:8" ht="28.5">
      <c r="A36" s="2" t="s">
        <v>1156</v>
      </c>
      <c r="B36" s="2" t="s">
        <v>87</v>
      </c>
      <c r="C36" s="2" t="s">
        <v>10298</v>
      </c>
      <c r="D36" s="2" t="s">
        <v>451</v>
      </c>
      <c r="E36" s="2" t="s">
        <v>10318</v>
      </c>
      <c r="F36" s="2" t="s">
        <v>8818</v>
      </c>
      <c r="G36" s="2" t="s">
        <v>10354</v>
      </c>
      <c r="H36" s="2" t="s">
        <v>10355</v>
      </c>
    </row>
    <row r="37" spans="1:8" ht="28.5">
      <c r="A37" s="2" t="s">
        <v>10356</v>
      </c>
      <c r="B37" s="2" t="s">
        <v>83</v>
      </c>
      <c r="C37" s="2" t="s">
        <v>10298</v>
      </c>
      <c r="D37" s="2" t="s">
        <v>451</v>
      </c>
      <c r="E37" s="2" t="s">
        <v>10257</v>
      </c>
      <c r="F37" s="2" t="s">
        <v>10357</v>
      </c>
      <c r="G37" s="2" t="s">
        <v>10358</v>
      </c>
      <c r="H37" s="2" t="s">
        <v>10359</v>
      </c>
    </row>
    <row r="38" spans="1:8">
      <c r="A38" t="s">
        <v>1156</v>
      </c>
      <c r="B38" t="s">
        <v>119</v>
      </c>
      <c r="C38" t="s">
        <v>10222</v>
      </c>
      <c r="D38" t="s">
        <v>491</v>
      </c>
      <c r="E38" t="s">
        <v>10360</v>
      </c>
      <c r="F38" t="s">
        <v>10361</v>
      </c>
      <c r="G38" t="s">
        <v>10362</v>
      </c>
      <c r="H38" t="s">
        <v>10363</v>
      </c>
    </row>
    <row r="39" spans="1:8">
      <c r="A39" t="s">
        <v>10364</v>
      </c>
      <c r="B39" t="s">
        <v>10365</v>
      </c>
      <c r="C39" t="s">
        <v>1796</v>
      </c>
      <c r="D39" t="s">
        <v>10366</v>
      </c>
      <c r="E39" t="s">
        <v>10257</v>
      </c>
      <c r="F39" t="s">
        <v>10367</v>
      </c>
      <c r="G39" t="s">
        <v>10368</v>
      </c>
      <c r="H39" t="s">
        <v>10369</v>
      </c>
    </row>
    <row r="40" spans="1:8" ht="28.5">
      <c r="A40" s="2" t="s">
        <v>1156</v>
      </c>
      <c r="B40" s="2" t="s">
        <v>9583</v>
      </c>
      <c r="C40" s="2" t="s">
        <v>10222</v>
      </c>
      <c r="D40" s="2" t="s">
        <v>451</v>
      </c>
      <c r="E40" s="2" t="s">
        <v>1508</v>
      </c>
      <c r="F40" s="2" t="s">
        <v>9584</v>
      </c>
      <c r="G40" s="2" t="s">
        <v>10370</v>
      </c>
      <c r="H40" s="2" t="s">
        <v>10371</v>
      </c>
    </row>
    <row r="41" spans="1:8" ht="28.5">
      <c r="A41" s="2" t="s">
        <v>1156</v>
      </c>
      <c r="B41" s="2" t="s">
        <v>9608</v>
      </c>
      <c r="C41" s="2" t="s">
        <v>10222</v>
      </c>
      <c r="D41" s="2" t="s">
        <v>451</v>
      </c>
      <c r="E41" s="2" t="s">
        <v>1508</v>
      </c>
      <c r="F41" s="2" t="s">
        <v>9609</v>
      </c>
      <c r="G41" s="2" t="s">
        <v>10370</v>
      </c>
      <c r="H41" s="2" t="s">
        <v>9614</v>
      </c>
    </row>
    <row r="42" spans="1:8" ht="28.5">
      <c r="A42" s="2" t="s">
        <v>1156</v>
      </c>
      <c r="B42" s="2" t="s">
        <v>9616</v>
      </c>
      <c r="C42" s="2" t="s">
        <v>10222</v>
      </c>
      <c r="D42" s="2" t="s">
        <v>451</v>
      </c>
      <c r="E42" s="2" t="s">
        <v>1508</v>
      </c>
      <c r="F42" s="2" t="s">
        <v>9617</v>
      </c>
      <c r="G42" s="2" t="s">
        <v>10370</v>
      </c>
      <c r="H42" s="2" t="s">
        <v>9622</v>
      </c>
    </row>
    <row r="43" spans="1:8" ht="28.5">
      <c r="A43" s="2" t="s">
        <v>1156</v>
      </c>
      <c r="B43" s="2" t="s">
        <v>9625</v>
      </c>
      <c r="C43" s="2" t="s">
        <v>10222</v>
      </c>
      <c r="D43" s="2" t="s">
        <v>451</v>
      </c>
      <c r="E43" s="2" t="s">
        <v>1508</v>
      </c>
      <c r="F43" s="2" t="s">
        <v>9626</v>
      </c>
      <c r="G43" s="2" t="s">
        <v>10370</v>
      </c>
      <c r="H43" s="2" t="s">
        <v>10372</v>
      </c>
    </row>
    <row r="44" spans="1:8" ht="28.5">
      <c r="A44" s="2" t="s">
        <v>1156</v>
      </c>
      <c r="B44" s="2" t="s">
        <v>9633</v>
      </c>
      <c r="C44" s="2" t="s">
        <v>10222</v>
      </c>
      <c r="D44" s="2" t="s">
        <v>451</v>
      </c>
      <c r="E44" s="2" t="s">
        <v>1508</v>
      </c>
      <c r="F44" s="2" t="s">
        <v>9634</v>
      </c>
      <c r="G44" s="2" t="s">
        <v>10370</v>
      </c>
      <c r="H44" s="2" t="s">
        <v>10373</v>
      </c>
    </row>
    <row r="45" spans="1:8" ht="28.5">
      <c r="A45" s="2" t="s">
        <v>1156</v>
      </c>
      <c r="B45" s="2" t="s">
        <v>9642</v>
      </c>
      <c r="C45" s="2" t="s">
        <v>10222</v>
      </c>
      <c r="D45" s="2" t="s">
        <v>451</v>
      </c>
      <c r="E45" s="2" t="s">
        <v>1508</v>
      </c>
      <c r="F45" s="2" t="s">
        <v>9643</v>
      </c>
      <c r="G45" s="2" t="s">
        <v>10370</v>
      </c>
      <c r="H45" s="2" t="s">
        <v>10374</v>
      </c>
    </row>
    <row r="46" spans="1:8" ht="28.5">
      <c r="A46" s="2" t="s">
        <v>1156</v>
      </c>
      <c r="B46" s="2" t="s">
        <v>9651</v>
      </c>
      <c r="C46" s="2" t="s">
        <v>10222</v>
      </c>
      <c r="D46" s="2" t="s">
        <v>491</v>
      </c>
      <c r="E46" s="2" t="s">
        <v>1508</v>
      </c>
      <c r="F46" s="2" t="s">
        <v>9652</v>
      </c>
      <c r="G46" s="2" t="s">
        <v>10370</v>
      </c>
      <c r="H46" s="2" t="s">
        <v>625</v>
      </c>
    </row>
    <row r="47" spans="1:8" ht="28.5">
      <c r="A47" s="2" t="s">
        <v>1156</v>
      </c>
      <c r="B47" s="2" t="s">
        <v>9661</v>
      </c>
      <c r="C47" s="2" t="s">
        <v>10222</v>
      </c>
      <c r="D47" s="2" t="s">
        <v>504</v>
      </c>
      <c r="E47" s="2" t="s">
        <v>1508</v>
      </c>
      <c r="F47" s="2" t="s">
        <v>9662</v>
      </c>
      <c r="G47" s="2" t="s">
        <v>10370</v>
      </c>
      <c r="H47" s="2" t="s">
        <v>10375</v>
      </c>
    </row>
    <row r="48" spans="1:8" ht="28.5">
      <c r="A48" s="2" t="s">
        <v>10235</v>
      </c>
      <c r="B48" s="2" t="s">
        <v>10376</v>
      </c>
      <c r="C48" s="2" t="s">
        <v>10222</v>
      </c>
      <c r="D48" s="2" t="s">
        <v>504</v>
      </c>
      <c r="E48" s="2" t="s">
        <v>10377</v>
      </c>
      <c r="F48" s="2" t="s">
        <v>10378</v>
      </c>
      <c r="G48" s="2" t="s">
        <v>10379</v>
      </c>
      <c r="H48" s="2" t="s">
        <v>10380</v>
      </c>
    </row>
    <row r="49" spans="1:8" ht="28.5">
      <c r="A49" s="2" t="s">
        <v>10235</v>
      </c>
      <c r="B49" s="2" t="s">
        <v>239</v>
      </c>
      <c r="C49" s="2" t="s">
        <v>10222</v>
      </c>
      <c r="D49" s="2" t="s">
        <v>491</v>
      </c>
      <c r="E49" s="2" t="s">
        <v>10377</v>
      </c>
      <c r="F49" s="2" t="s">
        <v>10381</v>
      </c>
      <c r="G49" s="2" t="s">
        <v>10382</v>
      </c>
      <c r="H49" s="2" t="s">
        <v>10383</v>
      </c>
    </row>
    <row r="50" spans="1:8" ht="28.5">
      <c r="A50" s="2" t="s">
        <v>10384</v>
      </c>
      <c r="B50" s="2" t="s">
        <v>844</v>
      </c>
      <c r="C50" s="2" t="s">
        <v>10385</v>
      </c>
      <c r="D50" s="2" t="s">
        <v>10366</v>
      </c>
      <c r="E50" s="2" t="s">
        <v>10257</v>
      </c>
      <c r="F50" s="2" t="s">
        <v>10386</v>
      </c>
      <c r="G50" s="2" t="s">
        <v>10387</v>
      </c>
      <c r="H50" s="2" t="s">
        <v>10388</v>
      </c>
    </row>
    <row r="51" spans="1:8">
      <c r="A51" t="s">
        <v>10389</v>
      </c>
      <c r="B51" t="s">
        <v>84</v>
      </c>
      <c r="C51" t="s">
        <v>10298</v>
      </c>
      <c r="D51" t="s">
        <v>451</v>
      </c>
      <c r="E51">
        <v>0</v>
      </c>
      <c r="F51" t="s">
        <v>10390</v>
      </c>
      <c r="G51" t="s">
        <v>10391</v>
      </c>
      <c r="H51" t="s">
        <v>10392</v>
      </c>
    </row>
    <row r="52" spans="1:8">
      <c r="A52" t="s">
        <v>10389</v>
      </c>
      <c r="B52" t="s">
        <v>85</v>
      </c>
      <c r="C52" t="s">
        <v>10298</v>
      </c>
      <c r="D52" t="s">
        <v>451</v>
      </c>
      <c r="E52">
        <v>0</v>
      </c>
      <c r="F52" t="s">
        <v>10393</v>
      </c>
      <c r="G52" t="s">
        <v>10394</v>
      </c>
      <c r="H52" t="s">
        <v>10392</v>
      </c>
    </row>
    <row r="53" spans="1:8">
      <c r="A53" t="s">
        <v>10395</v>
      </c>
      <c r="B53" t="s">
        <v>10396</v>
      </c>
      <c r="C53" t="s">
        <v>449</v>
      </c>
      <c r="D53" t="s">
        <v>10237</v>
      </c>
      <c r="E53">
        <v>0</v>
      </c>
      <c r="F53" t="s">
        <v>10397</v>
      </c>
      <c r="G53" t="s">
        <v>10398</v>
      </c>
      <c r="H53" t="s">
        <v>10399</v>
      </c>
    </row>
    <row r="54" spans="1:8">
      <c r="A54" t="s">
        <v>10400</v>
      </c>
      <c r="B54" t="s">
        <v>10401</v>
      </c>
      <c r="C54" t="s">
        <v>10222</v>
      </c>
      <c r="D54" t="s">
        <v>10237</v>
      </c>
      <c r="E54">
        <v>0</v>
      </c>
      <c r="F54" t="s">
        <v>10402</v>
      </c>
      <c r="G54" t="s">
        <v>10403</v>
      </c>
      <c r="H54" t="s">
        <v>10404</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7"/>
  <sheetViews>
    <sheetView workbookViewId="0"/>
  </sheetViews>
  <sheetFormatPr defaultRowHeight="14.25"/>
  <cols>
    <col min="1" max="1" width="10" customWidth="1"/>
    <col min="2" max="3" width="8" customWidth="1"/>
    <col min="4" max="4" width="12" customWidth="1"/>
    <col min="5" max="5" width="45" customWidth="1"/>
    <col min="6" max="11" width="13" customWidth="1"/>
    <col min="12" max="12" width="65" customWidth="1"/>
    <col min="13" max="13" width="15" customWidth="1"/>
    <col min="14" max="15" width="30" customWidth="1"/>
    <col min="16" max="16" width="18" customWidth="1"/>
    <col min="17" max="17" width="52" customWidth="1"/>
  </cols>
  <sheetData>
    <row r="1" spans="1:17" ht="135">
      <c r="A1" s="22" t="s">
        <v>441</v>
      </c>
      <c r="B1" s="22" t="s">
        <v>54</v>
      </c>
      <c r="C1" s="22" t="s">
        <v>55</v>
      </c>
      <c r="D1" s="22" t="s">
        <v>442</v>
      </c>
      <c r="E1" s="22" t="s">
        <v>3</v>
      </c>
      <c r="F1" s="22" t="s">
        <v>443</v>
      </c>
      <c r="G1" s="22" t="s">
        <v>444</v>
      </c>
      <c r="H1" s="22" t="s">
        <v>445</v>
      </c>
      <c r="I1" s="22" t="s">
        <v>446</v>
      </c>
      <c r="J1" s="22" t="s">
        <v>447</v>
      </c>
      <c r="K1" s="22" t="s">
        <v>448</v>
      </c>
      <c r="L1" s="22" t="s">
        <v>24</v>
      </c>
      <c r="M1" s="22" t="s">
        <v>25</v>
      </c>
      <c r="N1" s="22" t="s">
        <v>58</v>
      </c>
      <c r="O1" s="22" t="s">
        <v>59</v>
      </c>
      <c r="P1" s="22" t="s">
        <v>15</v>
      </c>
      <c r="Q1" s="22" t="s">
        <v>23</v>
      </c>
    </row>
    <row r="2" spans="1:17" ht="28.5">
      <c r="A2" s="2" t="s">
        <v>62</v>
      </c>
      <c r="B2" s="2" t="s">
        <v>449</v>
      </c>
      <c r="C2" s="2" t="s">
        <v>450</v>
      </c>
      <c r="D2" s="2" t="s">
        <v>451</v>
      </c>
      <c r="E2" s="2" t="s">
        <v>452</v>
      </c>
      <c r="F2" s="6">
        <v>8</v>
      </c>
      <c r="G2" s="6" t="s">
        <v>249</v>
      </c>
      <c r="H2" s="6" t="s">
        <v>249</v>
      </c>
      <c r="I2" s="6">
        <v>8</v>
      </c>
      <c r="J2" s="6">
        <v>0</v>
      </c>
      <c r="K2" s="6">
        <v>0</v>
      </c>
      <c r="L2" s="2" t="s">
        <v>453</v>
      </c>
      <c r="M2" s="9">
        <v>46259</v>
      </c>
      <c r="N2" s="2" t="s">
        <v>71</v>
      </c>
      <c r="O2" s="2" t="s">
        <v>454</v>
      </c>
      <c r="P2" s="2" t="s">
        <v>455</v>
      </c>
      <c r="Q2" s="2" t="s">
        <v>456</v>
      </c>
    </row>
    <row r="3" spans="1:17" ht="28.5">
      <c r="A3" s="2" t="s">
        <v>63</v>
      </c>
      <c r="B3" s="2" t="s">
        <v>449</v>
      </c>
      <c r="C3" s="2" t="s">
        <v>450</v>
      </c>
      <c r="D3" s="2" t="s">
        <v>451</v>
      </c>
      <c r="E3" s="2" t="s">
        <v>457</v>
      </c>
      <c r="F3" s="6">
        <v>12</v>
      </c>
      <c r="G3" s="6" t="s">
        <v>249</v>
      </c>
      <c r="H3" s="6" t="s">
        <v>249</v>
      </c>
      <c r="I3" s="6">
        <v>12</v>
      </c>
      <c r="J3" s="6">
        <v>0</v>
      </c>
      <c r="K3" s="6">
        <v>0</v>
      </c>
      <c r="L3" s="2" t="s">
        <v>458</v>
      </c>
      <c r="M3" s="9">
        <v>46262</v>
      </c>
      <c r="N3" s="2" t="s">
        <v>459</v>
      </c>
      <c r="O3" s="2" t="s">
        <v>460</v>
      </c>
      <c r="P3" s="2" t="s">
        <v>455</v>
      </c>
      <c r="Q3" s="2" t="s">
        <v>456</v>
      </c>
    </row>
    <row r="4" spans="1:17" ht="28.5">
      <c r="A4" s="2" t="s">
        <v>64</v>
      </c>
      <c r="B4" s="2" t="s">
        <v>449</v>
      </c>
      <c r="C4" s="2" t="s">
        <v>450</v>
      </c>
      <c r="D4" s="2" t="s">
        <v>451</v>
      </c>
      <c r="E4" s="2" t="s">
        <v>461</v>
      </c>
      <c r="F4" s="6">
        <v>12</v>
      </c>
      <c r="G4" s="6" t="s">
        <v>249</v>
      </c>
      <c r="H4" s="6" t="s">
        <v>249</v>
      </c>
      <c r="I4" s="6">
        <v>12</v>
      </c>
      <c r="J4" s="6">
        <v>0</v>
      </c>
      <c r="K4" s="6">
        <v>0</v>
      </c>
      <c r="L4" s="2" t="s">
        <v>462</v>
      </c>
      <c r="M4" s="9">
        <v>46260</v>
      </c>
      <c r="N4" s="2" t="s">
        <v>62</v>
      </c>
      <c r="O4" s="2" t="s">
        <v>463</v>
      </c>
      <c r="P4" s="2" t="s">
        <v>455</v>
      </c>
      <c r="Q4" s="2" t="s">
        <v>456</v>
      </c>
    </row>
    <row r="5" spans="1:17" ht="42.75">
      <c r="A5" s="2" t="s">
        <v>65</v>
      </c>
      <c r="B5" s="2" t="s">
        <v>449</v>
      </c>
      <c r="C5" s="2" t="s">
        <v>450</v>
      </c>
      <c r="D5" s="2" t="s">
        <v>451</v>
      </c>
      <c r="E5" s="2" t="s">
        <v>464</v>
      </c>
      <c r="F5" s="6">
        <v>12</v>
      </c>
      <c r="G5" s="6" t="s">
        <v>249</v>
      </c>
      <c r="H5" s="6" t="s">
        <v>249</v>
      </c>
      <c r="I5" s="6">
        <v>12</v>
      </c>
      <c r="J5" s="6">
        <v>0</v>
      </c>
      <c r="K5" s="6">
        <v>0</v>
      </c>
      <c r="L5" s="2" t="s">
        <v>465</v>
      </c>
      <c r="M5" s="9"/>
      <c r="N5" s="2" t="s">
        <v>466</v>
      </c>
      <c r="O5" s="2" t="s">
        <v>467</v>
      </c>
      <c r="P5" s="2" t="s">
        <v>455</v>
      </c>
      <c r="Q5" s="2" t="s">
        <v>456</v>
      </c>
    </row>
    <row r="6" spans="1:17" ht="71.25">
      <c r="A6" s="2" t="s">
        <v>66</v>
      </c>
      <c r="B6" s="2" t="s">
        <v>449</v>
      </c>
      <c r="C6" s="2" t="s">
        <v>450</v>
      </c>
      <c r="D6" s="2" t="s">
        <v>451</v>
      </c>
      <c r="E6" s="2" t="s">
        <v>468</v>
      </c>
      <c r="F6" s="6">
        <v>12</v>
      </c>
      <c r="G6" s="6" t="s">
        <v>249</v>
      </c>
      <c r="H6" s="6" t="s">
        <v>249</v>
      </c>
      <c r="I6" s="6">
        <v>12</v>
      </c>
      <c r="J6" s="6">
        <v>0</v>
      </c>
      <c r="K6" s="6">
        <v>0</v>
      </c>
      <c r="L6" s="2" t="s">
        <v>469</v>
      </c>
      <c r="M6" s="9"/>
      <c r="N6" s="2" t="s">
        <v>65</v>
      </c>
      <c r="O6" s="2" t="s">
        <v>470</v>
      </c>
      <c r="P6" s="2" t="s">
        <v>455</v>
      </c>
      <c r="Q6" s="2" t="s">
        <v>471</v>
      </c>
    </row>
    <row r="7" spans="1:17" ht="28.5">
      <c r="A7" s="2" t="s">
        <v>67</v>
      </c>
      <c r="B7" s="2" t="s">
        <v>449</v>
      </c>
      <c r="C7" s="2" t="s">
        <v>450</v>
      </c>
      <c r="D7" s="2" t="s">
        <v>451</v>
      </c>
      <c r="E7" s="2" t="s">
        <v>472</v>
      </c>
      <c r="F7" s="6">
        <v>12</v>
      </c>
      <c r="G7" s="6" t="s">
        <v>249</v>
      </c>
      <c r="H7" s="6" t="s">
        <v>249</v>
      </c>
      <c r="I7" s="6">
        <v>12</v>
      </c>
      <c r="J7" s="6">
        <v>0</v>
      </c>
      <c r="K7" s="6">
        <v>0</v>
      </c>
      <c r="L7" s="2" t="s">
        <v>473</v>
      </c>
      <c r="M7" s="9"/>
      <c r="N7" s="2" t="s">
        <v>66</v>
      </c>
      <c r="O7" s="2" t="s">
        <v>474</v>
      </c>
      <c r="P7" s="2" t="s">
        <v>455</v>
      </c>
      <c r="Q7" s="2" t="s">
        <v>456</v>
      </c>
    </row>
    <row r="8" spans="1:17" ht="28.5">
      <c r="A8" s="2" t="s">
        <v>68</v>
      </c>
      <c r="B8" s="2" t="s">
        <v>449</v>
      </c>
      <c r="C8" s="2" t="s">
        <v>450</v>
      </c>
      <c r="D8" s="2" t="s">
        <v>451</v>
      </c>
      <c r="E8" s="2" t="s">
        <v>475</v>
      </c>
      <c r="F8" s="6">
        <v>12</v>
      </c>
      <c r="G8" s="6" t="s">
        <v>249</v>
      </c>
      <c r="H8" s="6" t="s">
        <v>249</v>
      </c>
      <c r="I8" s="6">
        <v>12</v>
      </c>
      <c r="J8" s="6">
        <v>0</v>
      </c>
      <c r="K8" s="6">
        <v>0</v>
      </c>
      <c r="L8" s="2" t="s">
        <v>476</v>
      </c>
      <c r="M8" s="9">
        <v>46267</v>
      </c>
      <c r="N8" s="2" t="s">
        <v>477</v>
      </c>
      <c r="O8" s="2" t="s">
        <v>478</v>
      </c>
      <c r="P8" s="2" t="s">
        <v>455</v>
      </c>
      <c r="Q8" s="2" t="s">
        <v>456</v>
      </c>
    </row>
    <row r="9" spans="1:17" ht="28.5">
      <c r="A9" s="2" t="s">
        <v>69</v>
      </c>
      <c r="B9" s="2" t="s">
        <v>449</v>
      </c>
      <c r="C9" s="2" t="s">
        <v>450</v>
      </c>
      <c r="D9" s="2" t="s">
        <v>451</v>
      </c>
      <c r="E9" s="2" t="s">
        <v>479</v>
      </c>
      <c r="F9" s="6">
        <v>6</v>
      </c>
      <c r="G9" s="6" t="s">
        <v>249</v>
      </c>
      <c r="H9" s="6" t="s">
        <v>249</v>
      </c>
      <c r="I9" s="6">
        <v>6</v>
      </c>
      <c r="J9" s="6">
        <v>0</v>
      </c>
      <c r="K9" s="6">
        <v>0</v>
      </c>
      <c r="L9" s="2" t="s">
        <v>480</v>
      </c>
      <c r="M9" s="9">
        <v>46268</v>
      </c>
      <c r="N9" s="2" t="s">
        <v>481</v>
      </c>
      <c r="O9" s="2" t="s">
        <v>482</v>
      </c>
      <c r="P9" s="2" t="s">
        <v>455</v>
      </c>
      <c r="Q9" s="2" t="s">
        <v>456</v>
      </c>
    </row>
    <row r="10" spans="1:17" ht="57">
      <c r="A10" s="2" t="s">
        <v>70</v>
      </c>
      <c r="B10" s="2" t="s">
        <v>449</v>
      </c>
      <c r="C10" s="2" t="s">
        <v>450</v>
      </c>
      <c r="D10" s="2" t="s">
        <v>451</v>
      </c>
      <c r="E10" s="2" t="s">
        <v>483</v>
      </c>
      <c r="F10" s="6">
        <v>24</v>
      </c>
      <c r="G10" s="6" t="s">
        <v>249</v>
      </c>
      <c r="H10" s="6" t="s">
        <v>249</v>
      </c>
      <c r="I10" s="6">
        <v>24</v>
      </c>
      <c r="J10" s="6">
        <v>0</v>
      </c>
      <c r="K10" s="6">
        <v>0</v>
      </c>
      <c r="L10" s="2" t="s">
        <v>484</v>
      </c>
      <c r="M10" s="9">
        <v>46272</v>
      </c>
      <c r="N10" s="2" t="s">
        <v>485</v>
      </c>
      <c r="O10" s="2" t="s">
        <v>486</v>
      </c>
      <c r="P10" s="2" t="s">
        <v>455</v>
      </c>
      <c r="Q10" s="2" t="s">
        <v>487</v>
      </c>
    </row>
    <row r="11" spans="1:17" ht="42.75">
      <c r="A11" s="2" t="s">
        <v>71</v>
      </c>
      <c r="B11" s="2" t="s">
        <v>449</v>
      </c>
      <c r="C11" s="2" t="s">
        <v>450</v>
      </c>
      <c r="D11" s="2" t="s">
        <v>451</v>
      </c>
      <c r="E11" s="2" t="s">
        <v>488</v>
      </c>
      <c r="F11" s="6">
        <v>4</v>
      </c>
      <c r="G11" s="6" t="s">
        <v>249</v>
      </c>
      <c r="H11" s="6" t="s">
        <v>249</v>
      </c>
      <c r="I11" s="6">
        <v>4</v>
      </c>
      <c r="J11" s="6">
        <v>0</v>
      </c>
      <c r="K11" s="6">
        <v>0</v>
      </c>
      <c r="L11" s="2" t="s">
        <v>489</v>
      </c>
      <c r="M11" s="9">
        <v>46258</v>
      </c>
      <c r="N11" s="2"/>
      <c r="O11" s="2" t="s">
        <v>490</v>
      </c>
      <c r="P11" s="2" t="s">
        <v>455</v>
      </c>
      <c r="Q11" s="2" t="s">
        <v>456</v>
      </c>
    </row>
    <row r="12" spans="1:17" ht="28.5">
      <c r="A12" s="2" t="s">
        <v>72</v>
      </c>
      <c r="B12" s="2" t="s">
        <v>449</v>
      </c>
      <c r="C12" s="2" t="s">
        <v>450</v>
      </c>
      <c r="D12" s="2" t="s">
        <v>491</v>
      </c>
      <c r="E12" s="2" t="s">
        <v>492</v>
      </c>
      <c r="F12" s="6">
        <v>10</v>
      </c>
      <c r="G12" s="6" t="s">
        <v>249</v>
      </c>
      <c r="H12" s="6" t="s">
        <v>249</v>
      </c>
      <c r="I12" s="6">
        <v>10</v>
      </c>
      <c r="J12" s="6">
        <v>0</v>
      </c>
      <c r="K12" s="6">
        <v>0</v>
      </c>
      <c r="L12" s="2" t="s">
        <v>493</v>
      </c>
      <c r="M12" s="9">
        <v>46259</v>
      </c>
      <c r="N12" s="2" t="s">
        <v>71</v>
      </c>
      <c r="O12" s="2" t="s">
        <v>494</v>
      </c>
      <c r="P12" s="2" t="s">
        <v>455</v>
      </c>
      <c r="Q12" s="2" t="s">
        <v>456</v>
      </c>
    </row>
    <row r="13" spans="1:17" ht="28.5">
      <c r="A13" s="2" t="s">
        <v>73</v>
      </c>
      <c r="B13" s="2" t="s">
        <v>449</v>
      </c>
      <c r="C13" s="2" t="s">
        <v>450</v>
      </c>
      <c r="D13" s="2" t="s">
        <v>491</v>
      </c>
      <c r="E13" s="2" t="s">
        <v>495</v>
      </c>
      <c r="F13" s="6">
        <v>10</v>
      </c>
      <c r="G13" s="6" t="s">
        <v>249</v>
      </c>
      <c r="H13" s="6" t="s">
        <v>249</v>
      </c>
      <c r="I13" s="6">
        <v>10</v>
      </c>
      <c r="J13" s="6">
        <v>0</v>
      </c>
      <c r="K13" s="6">
        <v>0</v>
      </c>
      <c r="L13" s="2" t="s">
        <v>496</v>
      </c>
      <c r="M13" s="9">
        <v>46259</v>
      </c>
      <c r="N13" s="2" t="s">
        <v>71</v>
      </c>
      <c r="O13" s="2" t="s">
        <v>497</v>
      </c>
      <c r="P13" s="2" t="s">
        <v>455</v>
      </c>
      <c r="Q13" s="2" t="s">
        <v>456</v>
      </c>
    </row>
    <row r="14" spans="1:17" ht="28.5">
      <c r="A14" s="2" t="s">
        <v>74</v>
      </c>
      <c r="B14" s="2" t="s">
        <v>449</v>
      </c>
      <c r="C14" s="2" t="s">
        <v>450</v>
      </c>
      <c r="D14" s="2" t="s">
        <v>491</v>
      </c>
      <c r="E14" s="2" t="s">
        <v>498</v>
      </c>
      <c r="F14" s="6">
        <v>10</v>
      </c>
      <c r="G14" s="6" t="s">
        <v>249</v>
      </c>
      <c r="H14" s="6" t="s">
        <v>249</v>
      </c>
      <c r="I14" s="6">
        <v>10</v>
      </c>
      <c r="J14" s="6">
        <v>0</v>
      </c>
      <c r="K14" s="6">
        <v>0</v>
      </c>
      <c r="L14" s="2" t="s">
        <v>499</v>
      </c>
      <c r="M14" s="9">
        <v>46265</v>
      </c>
      <c r="N14" s="2" t="s">
        <v>71</v>
      </c>
      <c r="O14" s="2" t="s">
        <v>497</v>
      </c>
      <c r="P14" s="2" t="s">
        <v>455</v>
      </c>
      <c r="Q14" s="2" t="s">
        <v>456</v>
      </c>
    </row>
    <row r="15" spans="1:17" ht="42.75">
      <c r="A15" s="2" t="s">
        <v>75</v>
      </c>
      <c r="B15" s="2" t="s">
        <v>449</v>
      </c>
      <c r="C15" s="2" t="s">
        <v>450</v>
      </c>
      <c r="D15" s="2" t="s">
        <v>491</v>
      </c>
      <c r="E15" s="2" t="s">
        <v>500</v>
      </c>
      <c r="F15" s="6">
        <v>8</v>
      </c>
      <c r="G15" s="6" t="s">
        <v>249</v>
      </c>
      <c r="H15" s="6" t="s">
        <v>249</v>
      </c>
      <c r="I15" s="6">
        <v>8</v>
      </c>
      <c r="J15" s="6">
        <v>0</v>
      </c>
      <c r="K15" s="6">
        <v>0</v>
      </c>
      <c r="L15" s="2" t="s">
        <v>501</v>
      </c>
      <c r="M15" s="9">
        <v>46264</v>
      </c>
      <c r="N15" s="2" t="s">
        <v>71</v>
      </c>
      <c r="O15" s="2" t="s">
        <v>502</v>
      </c>
      <c r="P15" s="2" t="s">
        <v>455</v>
      </c>
      <c r="Q15" s="2" t="s">
        <v>503</v>
      </c>
    </row>
    <row r="16" spans="1:17" ht="28.5">
      <c r="A16" s="2" t="s">
        <v>76</v>
      </c>
      <c r="B16" s="2" t="s">
        <v>449</v>
      </c>
      <c r="C16" s="2" t="s">
        <v>450</v>
      </c>
      <c r="D16" s="2" t="s">
        <v>504</v>
      </c>
      <c r="E16" s="2" t="s">
        <v>505</v>
      </c>
      <c r="F16" s="6">
        <v>8</v>
      </c>
      <c r="G16" s="6" t="s">
        <v>249</v>
      </c>
      <c r="H16" s="6" t="s">
        <v>249</v>
      </c>
      <c r="I16" s="6">
        <v>8</v>
      </c>
      <c r="J16" s="6">
        <v>0</v>
      </c>
      <c r="K16" s="6">
        <v>0</v>
      </c>
      <c r="L16" s="2" t="s">
        <v>506</v>
      </c>
      <c r="M16" s="9"/>
      <c r="N16" s="2" t="s">
        <v>71</v>
      </c>
      <c r="O16" s="2" t="s">
        <v>507</v>
      </c>
      <c r="P16" s="2" t="s">
        <v>455</v>
      </c>
      <c r="Q16" s="2" t="s">
        <v>456</v>
      </c>
    </row>
    <row r="17" spans="1:17" ht="28.5">
      <c r="A17" s="2" t="s">
        <v>77</v>
      </c>
      <c r="B17" s="2" t="s">
        <v>449</v>
      </c>
      <c r="C17" s="2" t="s">
        <v>450</v>
      </c>
      <c r="D17" s="2" t="s">
        <v>504</v>
      </c>
      <c r="E17" s="2" t="s">
        <v>508</v>
      </c>
      <c r="F17" s="6">
        <v>10</v>
      </c>
      <c r="G17" s="6" t="s">
        <v>249</v>
      </c>
      <c r="H17" s="6" t="s">
        <v>249</v>
      </c>
      <c r="I17" s="6">
        <v>10</v>
      </c>
      <c r="J17" s="6">
        <v>0</v>
      </c>
      <c r="K17" s="6">
        <v>0</v>
      </c>
      <c r="L17" s="2" t="s">
        <v>509</v>
      </c>
      <c r="M17" s="9"/>
      <c r="N17" s="2" t="s">
        <v>71</v>
      </c>
      <c r="O17" s="2" t="s">
        <v>510</v>
      </c>
      <c r="P17" s="2" t="s">
        <v>455</v>
      </c>
      <c r="Q17" s="2" t="s">
        <v>456</v>
      </c>
    </row>
    <row r="18" spans="1:17" ht="28.5">
      <c r="A18" s="2" t="s">
        <v>78</v>
      </c>
      <c r="B18" s="2" t="s">
        <v>449</v>
      </c>
      <c r="C18" s="2" t="s">
        <v>450</v>
      </c>
      <c r="D18" s="2" t="s">
        <v>504</v>
      </c>
      <c r="E18" s="2" t="s">
        <v>511</v>
      </c>
      <c r="F18" s="6">
        <v>6</v>
      </c>
      <c r="G18" s="6" t="s">
        <v>249</v>
      </c>
      <c r="H18" s="6" t="s">
        <v>249</v>
      </c>
      <c r="I18" s="6">
        <v>6</v>
      </c>
      <c r="J18" s="6">
        <v>0</v>
      </c>
      <c r="K18" s="6">
        <v>0</v>
      </c>
      <c r="L18" s="2" t="s">
        <v>512</v>
      </c>
      <c r="M18" s="9">
        <v>46259</v>
      </c>
      <c r="N18" s="2" t="s">
        <v>77</v>
      </c>
      <c r="O18" s="2" t="s">
        <v>513</v>
      </c>
      <c r="P18" s="2" t="s">
        <v>455</v>
      </c>
      <c r="Q18" s="2" t="s">
        <v>456</v>
      </c>
    </row>
    <row r="19" spans="1:17" ht="28.5">
      <c r="A19" s="2" t="s">
        <v>79</v>
      </c>
      <c r="B19" s="2" t="s">
        <v>449</v>
      </c>
      <c r="C19" s="2" t="s">
        <v>450</v>
      </c>
      <c r="D19" s="2" t="s">
        <v>451</v>
      </c>
      <c r="E19" s="2" t="s">
        <v>514</v>
      </c>
      <c r="F19" s="6">
        <v>12</v>
      </c>
      <c r="G19" s="6" t="s">
        <v>249</v>
      </c>
      <c r="H19" s="6" t="s">
        <v>249</v>
      </c>
      <c r="I19" s="6">
        <v>12</v>
      </c>
      <c r="J19" s="6">
        <v>0</v>
      </c>
      <c r="K19" s="6">
        <v>0</v>
      </c>
      <c r="L19" s="2" t="s">
        <v>515</v>
      </c>
      <c r="M19" s="9">
        <v>46266</v>
      </c>
      <c r="N19" s="2" t="s">
        <v>516</v>
      </c>
      <c r="O19" s="2" t="s">
        <v>517</v>
      </c>
      <c r="P19" s="2" t="s">
        <v>455</v>
      </c>
      <c r="Q19" s="2" t="s">
        <v>456</v>
      </c>
    </row>
    <row r="20" spans="1:17" ht="28.5">
      <c r="A20" s="2" t="s">
        <v>80</v>
      </c>
      <c r="B20" s="2" t="s">
        <v>449</v>
      </c>
      <c r="C20" s="2" t="s">
        <v>450</v>
      </c>
      <c r="D20" s="2" t="s">
        <v>504</v>
      </c>
      <c r="E20" s="2" t="s">
        <v>518</v>
      </c>
      <c r="F20" s="6">
        <v>5</v>
      </c>
      <c r="G20" s="6" t="s">
        <v>249</v>
      </c>
      <c r="H20" s="6" t="s">
        <v>249</v>
      </c>
      <c r="I20" s="6">
        <v>5</v>
      </c>
      <c r="J20" s="6">
        <v>0</v>
      </c>
      <c r="K20" s="6">
        <v>0</v>
      </c>
      <c r="L20" s="2" t="s">
        <v>519</v>
      </c>
      <c r="M20" s="9">
        <v>46259</v>
      </c>
      <c r="N20" s="2" t="s">
        <v>77</v>
      </c>
      <c r="O20" s="2" t="s">
        <v>520</v>
      </c>
      <c r="P20" s="2" t="s">
        <v>455</v>
      </c>
      <c r="Q20" s="2" t="s">
        <v>456</v>
      </c>
    </row>
    <row r="21" spans="1:17" ht="28.5">
      <c r="A21" s="2" t="s">
        <v>81</v>
      </c>
      <c r="B21" s="2" t="s">
        <v>449</v>
      </c>
      <c r="C21" s="2" t="s">
        <v>450</v>
      </c>
      <c r="D21" s="2" t="s">
        <v>451</v>
      </c>
      <c r="E21" s="2" t="s">
        <v>521</v>
      </c>
      <c r="F21" s="6">
        <v>6</v>
      </c>
      <c r="G21" s="6" t="s">
        <v>249</v>
      </c>
      <c r="H21" s="6" t="s">
        <v>249</v>
      </c>
      <c r="I21" s="6">
        <v>6</v>
      </c>
      <c r="J21" s="6">
        <v>0</v>
      </c>
      <c r="K21" s="6">
        <v>0</v>
      </c>
      <c r="L21" s="2" t="s">
        <v>522</v>
      </c>
      <c r="M21" s="9"/>
      <c r="N21" s="2" t="s">
        <v>516</v>
      </c>
      <c r="O21" s="2" t="s">
        <v>523</v>
      </c>
      <c r="P21" s="2" t="s">
        <v>455</v>
      </c>
      <c r="Q21" s="2" t="s">
        <v>456</v>
      </c>
    </row>
    <row r="22" spans="1:17" ht="42.75">
      <c r="A22" s="2" t="s">
        <v>88</v>
      </c>
      <c r="B22" s="2" t="s">
        <v>449</v>
      </c>
      <c r="C22" s="2" t="s">
        <v>524</v>
      </c>
      <c r="D22" s="2" t="s">
        <v>451</v>
      </c>
      <c r="E22" s="2" t="s">
        <v>525</v>
      </c>
      <c r="F22" s="6">
        <v>12</v>
      </c>
      <c r="G22" s="6" t="s">
        <v>249</v>
      </c>
      <c r="H22" s="6" t="s">
        <v>249</v>
      </c>
      <c r="I22" s="6">
        <v>12</v>
      </c>
      <c r="J22" s="6">
        <v>0</v>
      </c>
      <c r="K22" s="6">
        <v>0</v>
      </c>
      <c r="L22" s="2" t="s">
        <v>526</v>
      </c>
      <c r="M22" s="9">
        <v>46272</v>
      </c>
      <c r="N22" s="2" t="s">
        <v>527</v>
      </c>
      <c r="O22" s="2" t="s">
        <v>528</v>
      </c>
      <c r="P22" s="2" t="s">
        <v>455</v>
      </c>
      <c r="Q22" s="2" t="s">
        <v>529</v>
      </c>
    </row>
    <row r="23" spans="1:17" ht="42.75">
      <c r="A23" s="2" t="s">
        <v>89</v>
      </c>
      <c r="B23" s="2" t="s">
        <v>449</v>
      </c>
      <c r="C23" s="2" t="s">
        <v>524</v>
      </c>
      <c r="D23" s="2" t="s">
        <v>451</v>
      </c>
      <c r="E23" s="2" t="s">
        <v>530</v>
      </c>
      <c r="F23" s="6">
        <v>8</v>
      </c>
      <c r="G23" s="6" t="s">
        <v>249</v>
      </c>
      <c r="H23" s="6" t="s">
        <v>249</v>
      </c>
      <c r="I23" s="6">
        <v>8</v>
      </c>
      <c r="J23" s="6">
        <v>0</v>
      </c>
      <c r="K23" s="6">
        <v>0</v>
      </c>
      <c r="L23" s="2" t="s">
        <v>531</v>
      </c>
      <c r="M23" s="9">
        <v>46273</v>
      </c>
      <c r="N23" s="2" t="s">
        <v>88</v>
      </c>
      <c r="O23" s="2" t="s">
        <v>532</v>
      </c>
      <c r="P23" s="2" t="s">
        <v>455</v>
      </c>
      <c r="Q23" s="2" t="s">
        <v>529</v>
      </c>
    </row>
    <row r="24" spans="1:17" ht="42.75">
      <c r="A24" s="2" t="s">
        <v>90</v>
      </c>
      <c r="B24" s="2" t="s">
        <v>449</v>
      </c>
      <c r="C24" s="2" t="s">
        <v>524</v>
      </c>
      <c r="D24" s="2" t="s">
        <v>451</v>
      </c>
      <c r="E24" s="2" t="s">
        <v>533</v>
      </c>
      <c r="F24" s="6">
        <v>6</v>
      </c>
      <c r="G24" s="6" t="s">
        <v>249</v>
      </c>
      <c r="H24" s="6" t="s">
        <v>249</v>
      </c>
      <c r="I24" s="6">
        <v>6</v>
      </c>
      <c r="J24" s="6">
        <v>0</v>
      </c>
      <c r="K24" s="6">
        <v>0</v>
      </c>
      <c r="L24" s="2" t="s">
        <v>534</v>
      </c>
      <c r="M24" s="9">
        <v>46273</v>
      </c>
      <c r="N24" s="2" t="s">
        <v>89</v>
      </c>
      <c r="O24" s="2" t="s">
        <v>535</v>
      </c>
      <c r="P24" s="2" t="s">
        <v>455</v>
      </c>
      <c r="Q24" s="2" t="s">
        <v>529</v>
      </c>
    </row>
    <row r="25" spans="1:17" ht="42.75">
      <c r="A25" s="2" t="s">
        <v>91</v>
      </c>
      <c r="B25" s="2" t="s">
        <v>449</v>
      </c>
      <c r="C25" s="2" t="s">
        <v>524</v>
      </c>
      <c r="D25" s="2" t="s">
        <v>491</v>
      </c>
      <c r="E25" s="2" t="s">
        <v>536</v>
      </c>
      <c r="F25" s="6">
        <v>12</v>
      </c>
      <c r="G25" s="6" t="s">
        <v>537</v>
      </c>
      <c r="H25" s="6" t="s">
        <v>537</v>
      </c>
      <c r="I25" s="6">
        <v>0</v>
      </c>
      <c r="J25" s="6">
        <v>12</v>
      </c>
      <c r="K25" s="6">
        <v>0</v>
      </c>
      <c r="L25" s="2"/>
      <c r="M25" s="9"/>
      <c r="N25" s="2" t="s">
        <v>538</v>
      </c>
      <c r="O25" s="2" t="s">
        <v>539</v>
      </c>
      <c r="P25" s="2" t="s">
        <v>455</v>
      </c>
      <c r="Q25" s="2" t="s">
        <v>529</v>
      </c>
    </row>
    <row r="26" spans="1:17" ht="42.75">
      <c r="A26" s="2" t="s">
        <v>92</v>
      </c>
      <c r="B26" s="2" t="s">
        <v>449</v>
      </c>
      <c r="C26" s="2" t="s">
        <v>524</v>
      </c>
      <c r="D26" s="2" t="s">
        <v>451</v>
      </c>
      <c r="E26" s="2" t="s">
        <v>540</v>
      </c>
      <c r="F26" s="6">
        <v>8</v>
      </c>
      <c r="G26" s="6" t="s">
        <v>537</v>
      </c>
      <c r="H26" s="6" t="s">
        <v>537</v>
      </c>
      <c r="I26" s="6">
        <v>0</v>
      </c>
      <c r="J26" s="6">
        <v>8</v>
      </c>
      <c r="K26" s="6">
        <v>0</v>
      </c>
      <c r="L26" s="2"/>
      <c r="M26" s="9"/>
      <c r="N26" s="2" t="s">
        <v>541</v>
      </c>
      <c r="O26" s="2" t="s">
        <v>542</v>
      </c>
      <c r="P26" s="2" t="s">
        <v>455</v>
      </c>
      <c r="Q26" s="2" t="s">
        <v>529</v>
      </c>
    </row>
    <row r="27" spans="1:17" ht="42.75">
      <c r="A27" s="2" t="s">
        <v>93</v>
      </c>
      <c r="B27" s="2" t="s">
        <v>449</v>
      </c>
      <c r="C27" s="2" t="s">
        <v>524</v>
      </c>
      <c r="D27" s="2" t="s">
        <v>451</v>
      </c>
      <c r="E27" s="2" t="s">
        <v>543</v>
      </c>
      <c r="F27" s="6">
        <v>6</v>
      </c>
      <c r="G27" s="6" t="s">
        <v>537</v>
      </c>
      <c r="H27" s="6" t="s">
        <v>537</v>
      </c>
      <c r="I27" s="6">
        <v>0</v>
      </c>
      <c r="J27" s="6">
        <v>6</v>
      </c>
      <c r="K27" s="6">
        <v>0</v>
      </c>
      <c r="L27" s="2"/>
      <c r="M27" s="9"/>
      <c r="N27" s="2" t="s">
        <v>92</v>
      </c>
      <c r="O27" s="2" t="s">
        <v>544</v>
      </c>
      <c r="P27" s="2" t="s">
        <v>455</v>
      </c>
      <c r="Q27" s="2" t="s">
        <v>529</v>
      </c>
    </row>
    <row r="28" spans="1:17" ht="42.75">
      <c r="A28" s="2" t="s">
        <v>94</v>
      </c>
      <c r="B28" s="2" t="s">
        <v>449</v>
      </c>
      <c r="C28" s="2" t="s">
        <v>524</v>
      </c>
      <c r="D28" s="2" t="s">
        <v>491</v>
      </c>
      <c r="E28" s="2" t="s">
        <v>545</v>
      </c>
      <c r="F28" s="6">
        <v>12</v>
      </c>
      <c r="G28" s="6" t="s">
        <v>537</v>
      </c>
      <c r="H28" s="6" t="s">
        <v>537</v>
      </c>
      <c r="I28" s="6">
        <v>0</v>
      </c>
      <c r="J28" s="6">
        <v>12</v>
      </c>
      <c r="K28" s="6">
        <v>0</v>
      </c>
      <c r="L28" s="2"/>
      <c r="M28" s="9"/>
      <c r="N28" s="2" t="s">
        <v>546</v>
      </c>
      <c r="O28" s="2" t="s">
        <v>539</v>
      </c>
      <c r="P28" s="2" t="s">
        <v>455</v>
      </c>
      <c r="Q28" s="2" t="s">
        <v>529</v>
      </c>
    </row>
    <row r="29" spans="1:17" ht="42.75">
      <c r="A29" s="2" t="s">
        <v>95</v>
      </c>
      <c r="B29" s="2" t="s">
        <v>449</v>
      </c>
      <c r="C29" s="2" t="s">
        <v>524</v>
      </c>
      <c r="D29" s="2" t="s">
        <v>451</v>
      </c>
      <c r="E29" s="2" t="s">
        <v>547</v>
      </c>
      <c r="F29" s="6">
        <v>8</v>
      </c>
      <c r="G29" s="6" t="s">
        <v>537</v>
      </c>
      <c r="H29" s="6" t="s">
        <v>537</v>
      </c>
      <c r="I29" s="6">
        <v>0</v>
      </c>
      <c r="J29" s="6">
        <v>8</v>
      </c>
      <c r="K29" s="6">
        <v>0</v>
      </c>
      <c r="L29" s="2"/>
      <c r="M29" s="9"/>
      <c r="N29" s="2" t="s">
        <v>548</v>
      </c>
      <c r="O29" s="2" t="s">
        <v>549</v>
      </c>
      <c r="P29" s="2" t="s">
        <v>455</v>
      </c>
      <c r="Q29" s="2" t="s">
        <v>529</v>
      </c>
    </row>
    <row r="30" spans="1:17" ht="42.75">
      <c r="A30" s="2" t="s">
        <v>96</v>
      </c>
      <c r="B30" s="2" t="s">
        <v>449</v>
      </c>
      <c r="C30" s="2" t="s">
        <v>524</v>
      </c>
      <c r="D30" s="2" t="s">
        <v>451</v>
      </c>
      <c r="E30" s="2" t="s">
        <v>550</v>
      </c>
      <c r="F30" s="6">
        <v>6</v>
      </c>
      <c r="G30" s="6" t="s">
        <v>537</v>
      </c>
      <c r="H30" s="6" t="s">
        <v>537</v>
      </c>
      <c r="I30" s="6">
        <v>0</v>
      </c>
      <c r="J30" s="6">
        <v>6</v>
      </c>
      <c r="K30" s="6">
        <v>0</v>
      </c>
      <c r="L30" s="2"/>
      <c r="M30" s="9"/>
      <c r="N30" s="2" t="s">
        <v>551</v>
      </c>
      <c r="O30" s="2" t="s">
        <v>539</v>
      </c>
      <c r="P30" s="2" t="s">
        <v>455</v>
      </c>
      <c r="Q30" s="2" t="s">
        <v>529</v>
      </c>
    </row>
    <row r="31" spans="1:17" ht="42.75">
      <c r="A31" s="2" t="s">
        <v>97</v>
      </c>
      <c r="B31" s="2" t="s">
        <v>449</v>
      </c>
      <c r="C31" s="2" t="s">
        <v>524</v>
      </c>
      <c r="D31" s="2" t="s">
        <v>451</v>
      </c>
      <c r="E31" s="2" t="s">
        <v>552</v>
      </c>
      <c r="F31" s="6">
        <v>8</v>
      </c>
      <c r="G31" s="6" t="s">
        <v>537</v>
      </c>
      <c r="H31" s="6" t="s">
        <v>537</v>
      </c>
      <c r="I31" s="6">
        <v>0</v>
      </c>
      <c r="J31" s="6">
        <v>8</v>
      </c>
      <c r="K31" s="6">
        <v>0</v>
      </c>
      <c r="L31" s="2"/>
      <c r="M31" s="9"/>
      <c r="N31" s="2" t="s">
        <v>553</v>
      </c>
      <c r="O31" s="2" t="s">
        <v>554</v>
      </c>
      <c r="P31" s="2" t="s">
        <v>455</v>
      </c>
      <c r="Q31" s="2" t="s">
        <v>529</v>
      </c>
    </row>
    <row r="32" spans="1:17" ht="42.75">
      <c r="A32" s="2" t="s">
        <v>555</v>
      </c>
      <c r="B32" s="2" t="s">
        <v>449</v>
      </c>
      <c r="C32" s="2" t="s">
        <v>524</v>
      </c>
      <c r="D32" s="2" t="s">
        <v>451</v>
      </c>
      <c r="E32" s="2" t="s">
        <v>556</v>
      </c>
      <c r="F32" s="6">
        <v>6</v>
      </c>
      <c r="G32" s="6" t="s">
        <v>537</v>
      </c>
      <c r="H32" s="6" t="s">
        <v>537</v>
      </c>
      <c r="I32" s="6">
        <v>0</v>
      </c>
      <c r="J32" s="6">
        <v>6</v>
      </c>
      <c r="K32" s="6">
        <v>0</v>
      </c>
      <c r="L32" s="2"/>
      <c r="M32" s="9"/>
      <c r="N32" s="2" t="s">
        <v>97</v>
      </c>
      <c r="O32" s="2" t="s">
        <v>539</v>
      </c>
      <c r="P32" s="2" t="s">
        <v>455</v>
      </c>
      <c r="Q32" s="2" t="s">
        <v>529</v>
      </c>
    </row>
    <row r="33" spans="1:17" ht="42.75">
      <c r="A33" s="2" t="s">
        <v>98</v>
      </c>
      <c r="B33" s="2" t="s">
        <v>449</v>
      </c>
      <c r="C33" s="2" t="s">
        <v>524</v>
      </c>
      <c r="D33" s="2" t="s">
        <v>504</v>
      </c>
      <c r="E33" s="2" t="s">
        <v>557</v>
      </c>
      <c r="F33" s="6">
        <v>16</v>
      </c>
      <c r="G33" s="6" t="s">
        <v>537</v>
      </c>
      <c r="H33" s="6" t="s">
        <v>537</v>
      </c>
      <c r="I33" s="6">
        <v>0</v>
      </c>
      <c r="J33" s="6">
        <v>16</v>
      </c>
      <c r="K33" s="6">
        <v>0</v>
      </c>
      <c r="L33" s="2"/>
      <c r="M33" s="9"/>
      <c r="N33" s="2" t="s">
        <v>558</v>
      </c>
      <c r="O33" s="2" t="s">
        <v>559</v>
      </c>
      <c r="P33" s="2" t="s">
        <v>455</v>
      </c>
      <c r="Q33" s="2" t="s">
        <v>529</v>
      </c>
    </row>
    <row r="34" spans="1:17" ht="42.75">
      <c r="A34" s="2" t="s">
        <v>99</v>
      </c>
      <c r="B34" s="2" t="s">
        <v>449</v>
      </c>
      <c r="C34" s="2" t="s">
        <v>524</v>
      </c>
      <c r="D34" s="2" t="s">
        <v>504</v>
      </c>
      <c r="E34" s="2" t="s">
        <v>560</v>
      </c>
      <c r="F34" s="6">
        <v>16</v>
      </c>
      <c r="G34" s="6" t="s">
        <v>537</v>
      </c>
      <c r="H34" s="6" t="s">
        <v>537</v>
      </c>
      <c r="I34" s="6">
        <v>0</v>
      </c>
      <c r="J34" s="6">
        <v>16</v>
      </c>
      <c r="K34" s="6">
        <v>0</v>
      </c>
      <c r="L34" s="2"/>
      <c r="M34" s="9"/>
      <c r="N34" s="2" t="s">
        <v>561</v>
      </c>
      <c r="O34" s="2" t="s">
        <v>562</v>
      </c>
      <c r="P34" s="2" t="s">
        <v>455</v>
      </c>
      <c r="Q34" s="2" t="s">
        <v>529</v>
      </c>
    </row>
    <row r="35" spans="1:17" ht="42.75">
      <c r="A35" s="2" t="s">
        <v>100</v>
      </c>
      <c r="B35" s="2" t="s">
        <v>449</v>
      </c>
      <c r="C35" s="2" t="s">
        <v>524</v>
      </c>
      <c r="D35" s="2" t="s">
        <v>451</v>
      </c>
      <c r="E35" s="2" t="s">
        <v>563</v>
      </c>
      <c r="F35" s="6">
        <v>8</v>
      </c>
      <c r="G35" s="6" t="s">
        <v>537</v>
      </c>
      <c r="H35" s="6" t="s">
        <v>537</v>
      </c>
      <c r="I35" s="6">
        <v>0</v>
      </c>
      <c r="J35" s="6">
        <v>8</v>
      </c>
      <c r="K35" s="6">
        <v>0</v>
      </c>
      <c r="L35" s="2"/>
      <c r="M35" s="9"/>
      <c r="N35" s="2"/>
      <c r="O35" s="2" t="s">
        <v>101</v>
      </c>
      <c r="P35" s="2" t="s">
        <v>455</v>
      </c>
      <c r="Q35" s="2" t="s">
        <v>529</v>
      </c>
    </row>
    <row r="36" spans="1:17" ht="42.75">
      <c r="A36" s="2" t="s">
        <v>101</v>
      </c>
      <c r="B36" s="2" t="s">
        <v>449</v>
      </c>
      <c r="C36" s="2" t="s">
        <v>524</v>
      </c>
      <c r="D36" s="2" t="s">
        <v>504</v>
      </c>
      <c r="E36" s="2" t="s">
        <v>564</v>
      </c>
      <c r="F36" s="6">
        <v>6</v>
      </c>
      <c r="G36" s="6" t="s">
        <v>537</v>
      </c>
      <c r="H36" s="6" t="s">
        <v>537</v>
      </c>
      <c r="I36" s="6">
        <v>0</v>
      </c>
      <c r="J36" s="6">
        <v>6</v>
      </c>
      <c r="K36" s="6">
        <v>0</v>
      </c>
      <c r="L36" s="2"/>
      <c r="M36" s="9"/>
      <c r="N36" s="2" t="s">
        <v>565</v>
      </c>
      <c r="O36" s="2" t="s">
        <v>566</v>
      </c>
      <c r="P36" s="2" t="s">
        <v>455</v>
      </c>
      <c r="Q36" s="2" t="s">
        <v>529</v>
      </c>
    </row>
    <row r="37" spans="1:17" ht="42.75">
      <c r="A37" s="2" t="s">
        <v>167</v>
      </c>
      <c r="B37" s="2" t="s">
        <v>449</v>
      </c>
      <c r="C37" s="2" t="s">
        <v>524</v>
      </c>
      <c r="D37" s="2" t="s">
        <v>451</v>
      </c>
      <c r="E37" s="2" t="s">
        <v>567</v>
      </c>
      <c r="F37" s="6">
        <v>12</v>
      </c>
      <c r="G37" s="6" t="s">
        <v>537</v>
      </c>
      <c r="H37" s="6" t="s">
        <v>537</v>
      </c>
      <c r="I37" s="6">
        <v>0</v>
      </c>
      <c r="J37" s="6">
        <v>12</v>
      </c>
      <c r="K37" s="6">
        <v>0</v>
      </c>
      <c r="L37" s="2"/>
      <c r="M37" s="9"/>
      <c r="N37" s="2"/>
      <c r="O37" s="2"/>
      <c r="P37" s="2" t="s">
        <v>455</v>
      </c>
      <c r="Q37" s="2" t="s">
        <v>529</v>
      </c>
    </row>
    <row r="38" spans="1:17" ht="42.75">
      <c r="A38" s="2" t="s">
        <v>568</v>
      </c>
      <c r="B38" s="2" t="s">
        <v>449</v>
      </c>
      <c r="C38" s="2" t="s">
        <v>524</v>
      </c>
      <c r="D38" s="2" t="s">
        <v>451</v>
      </c>
      <c r="E38" s="2" t="s">
        <v>569</v>
      </c>
      <c r="F38" s="6">
        <v>12</v>
      </c>
      <c r="G38" s="6" t="s">
        <v>537</v>
      </c>
      <c r="H38" s="6" t="s">
        <v>537</v>
      </c>
      <c r="I38" s="6">
        <v>0</v>
      </c>
      <c r="J38" s="6">
        <v>12</v>
      </c>
      <c r="K38" s="6">
        <v>0</v>
      </c>
      <c r="L38" s="2"/>
      <c r="M38" s="9"/>
      <c r="N38" s="2"/>
      <c r="O38" s="2"/>
      <c r="P38" s="2" t="s">
        <v>455</v>
      </c>
      <c r="Q38" s="2" t="s">
        <v>529</v>
      </c>
    </row>
    <row r="39" spans="1:17" ht="42.75">
      <c r="A39" s="2" t="s">
        <v>102</v>
      </c>
      <c r="B39" s="2" t="s">
        <v>449</v>
      </c>
      <c r="C39" s="2" t="s">
        <v>524</v>
      </c>
      <c r="D39" s="2" t="s">
        <v>451</v>
      </c>
      <c r="E39" s="2" t="s">
        <v>570</v>
      </c>
      <c r="F39" s="6">
        <v>6</v>
      </c>
      <c r="G39" s="6" t="s">
        <v>249</v>
      </c>
      <c r="H39" s="6" t="s">
        <v>249</v>
      </c>
      <c r="I39" s="6">
        <v>6</v>
      </c>
      <c r="J39" s="6">
        <v>0</v>
      </c>
      <c r="K39" s="6">
        <v>0</v>
      </c>
      <c r="L39" s="2" t="s">
        <v>506</v>
      </c>
      <c r="M39" s="9"/>
      <c r="N39" s="2" t="s">
        <v>71</v>
      </c>
      <c r="O39" s="2" t="s">
        <v>571</v>
      </c>
      <c r="P39" s="2" t="s">
        <v>455</v>
      </c>
      <c r="Q39" s="2" t="s">
        <v>529</v>
      </c>
    </row>
    <row r="40" spans="1:17" ht="42.75">
      <c r="A40" s="2" t="s">
        <v>103</v>
      </c>
      <c r="B40" s="2" t="s">
        <v>449</v>
      </c>
      <c r="C40" s="2" t="s">
        <v>524</v>
      </c>
      <c r="D40" s="2" t="s">
        <v>491</v>
      </c>
      <c r="E40" s="2" t="s">
        <v>572</v>
      </c>
      <c r="F40" s="6">
        <v>10</v>
      </c>
      <c r="G40" s="6" t="s">
        <v>537</v>
      </c>
      <c r="H40" s="6" t="s">
        <v>537</v>
      </c>
      <c r="I40" s="6">
        <v>0</v>
      </c>
      <c r="J40" s="6">
        <v>10</v>
      </c>
      <c r="K40" s="6">
        <v>0</v>
      </c>
      <c r="L40" s="2"/>
      <c r="M40" s="9"/>
      <c r="N40" s="2" t="s">
        <v>573</v>
      </c>
      <c r="O40" s="2"/>
      <c r="P40" s="2" t="s">
        <v>455</v>
      </c>
      <c r="Q40" s="2" t="s">
        <v>529</v>
      </c>
    </row>
    <row r="41" spans="1:17" ht="42.75">
      <c r="A41" s="2" t="s">
        <v>104</v>
      </c>
      <c r="B41" s="2" t="s">
        <v>449</v>
      </c>
      <c r="C41" s="2" t="s">
        <v>524</v>
      </c>
      <c r="D41" s="2" t="s">
        <v>491</v>
      </c>
      <c r="E41" s="2" t="s">
        <v>574</v>
      </c>
      <c r="F41" s="6">
        <v>8</v>
      </c>
      <c r="G41" s="6" t="s">
        <v>249</v>
      </c>
      <c r="H41" s="6" t="s">
        <v>249</v>
      </c>
      <c r="I41" s="6">
        <v>8</v>
      </c>
      <c r="J41" s="6">
        <v>0</v>
      </c>
      <c r="K41" s="6">
        <v>0</v>
      </c>
      <c r="L41" s="2" t="s">
        <v>575</v>
      </c>
      <c r="M41" s="9">
        <v>46265</v>
      </c>
      <c r="N41" s="2" t="s">
        <v>576</v>
      </c>
      <c r="O41" s="2" t="s">
        <v>577</v>
      </c>
      <c r="P41" s="2" t="s">
        <v>455</v>
      </c>
      <c r="Q41" s="2" t="s">
        <v>529</v>
      </c>
    </row>
    <row r="42" spans="1:17" ht="42.75">
      <c r="A42" s="2" t="s">
        <v>105</v>
      </c>
      <c r="B42" s="2" t="s">
        <v>449</v>
      </c>
      <c r="C42" s="2" t="s">
        <v>524</v>
      </c>
      <c r="D42" s="2" t="s">
        <v>451</v>
      </c>
      <c r="E42" s="2" t="s">
        <v>578</v>
      </c>
      <c r="F42" s="6">
        <v>12</v>
      </c>
      <c r="G42" s="6" t="s">
        <v>537</v>
      </c>
      <c r="H42" s="6" t="s">
        <v>537</v>
      </c>
      <c r="I42" s="6">
        <v>0</v>
      </c>
      <c r="J42" s="6">
        <v>12</v>
      </c>
      <c r="K42" s="6">
        <v>0</v>
      </c>
      <c r="L42" s="2"/>
      <c r="M42" s="9"/>
      <c r="N42" s="2" t="s">
        <v>102</v>
      </c>
      <c r="O42" s="2" t="s">
        <v>579</v>
      </c>
      <c r="P42" s="2" t="s">
        <v>455</v>
      </c>
      <c r="Q42" s="2" t="s">
        <v>580</v>
      </c>
    </row>
    <row r="43" spans="1:17" ht="42.75">
      <c r="A43" s="2" t="s">
        <v>106</v>
      </c>
      <c r="B43" s="2" t="s">
        <v>449</v>
      </c>
      <c r="C43" s="2" t="s">
        <v>524</v>
      </c>
      <c r="D43" s="2" t="s">
        <v>451</v>
      </c>
      <c r="E43" s="2" t="s">
        <v>581</v>
      </c>
      <c r="F43" s="6">
        <v>12</v>
      </c>
      <c r="G43" s="6" t="s">
        <v>537</v>
      </c>
      <c r="H43" s="6" t="s">
        <v>537</v>
      </c>
      <c r="I43" s="6">
        <v>0</v>
      </c>
      <c r="J43" s="6">
        <v>12</v>
      </c>
      <c r="K43" s="6">
        <v>0</v>
      </c>
      <c r="L43" s="2"/>
      <c r="M43" s="9"/>
      <c r="N43" s="2" t="s">
        <v>105</v>
      </c>
      <c r="O43" s="2" t="s">
        <v>582</v>
      </c>
      <c r="P43" s="2" t="s">
        <v>455</v>
      </c>
      <c r="Q43" s="2" t="s">
        <v>529</v>
      </c>
    </row>
    <row r="44" spans="1:17" ht="42.75">
      <c r="A44" s="2" t="s">
        <v>107</v>
      </c>
      <c r="B44" s="2" t="s">
        <v>449</v>
      </c>
      <c r="C44" s="2" t="s">
        <v>524</v>
      </c>
      <c r="D44" s="2" t="s">
        <v>451</v>
      </c>
      <c r="E44" s="2" t="s">
        <v>583</v>
      </c>
      <c r="F44" s="6">
        <v>12</v>
      </c>
      <c r="G44" s="6" t="s">
        <v>537</v>
      </c>
      <c r="H44" s="6" t="s">
        <v>537</v>
      </c>
      <c r="I44" s="6">
        <v>0</v>
      </c>
      <c r="J44" s="6">
        <v>12</v>
      </c>
      <c r="K44" s="6">
        <v>0</v>
      </c>
      <c r="L44" s="2"/>
      <c r="M44" s="9"/>
      <c r="N44" s="2" t="s">
        <v>584</v>
      </c>
      <c r="O44" s="2" t="s">
        <v>171</v>
      </c>
      <c r="P44" s="2" t="s">
        <v>455</v>
      </c>
      <c r="Q44" s="2" t="s">
        <v>529</v>
      </c>
    </row>
    <row r="45" spans="1:17" ht="42.75">
      <c r="A45" s="2" t="s">
        <v>108</v>
      </c>
      <c r="B45" s="2" t="s">
        <v>449</v>
      </c>
      <c r="C45" s="2" t="s">
        <v>524</v>
      </c>
      <c r="D45" s="2" t="s">
        <v>451</v>
      </c>
      <c r="E45" s="2" t="s">
        <v>585</v>
      </c>
      <c r="F45" s="6">
        <v>6</v>
      </c>
      <c r="G45" s="6" t="s">
        <v>537</v>
      </c>
      <c r="H45" s="6" t="s">
        <v>537</v>
      </c>
      <c r="I45" s="6">
        <v>0</v>
      </c>
      <c r="J45" s="6">
        <v>6</v>
      </c>
      <c r="K45" s="6">
        <v>0</v>
      </c>
      <c r="L45" s="2"/>
      <c r="M45" s="9"/>
      <c r="N45" s="2" t="s">
        <v>586</v>
      </c>
      <c r="O45" s="2" t="s">
        <v>122</v>
      </c>
      <c r="P45" s="2" t="s">
        <v>455</v>
      </c>
      <c r="Q45" s="2" t="s">
        <v>529</v>
      </c>
    </row>
    <row r="46" spans="1:17" ht="42.75">
      <c r="A46" s="2" t="s">
        <v>109</v>
      </c>
      <c r="B46" s="2" t="s">
        <v>449</v>
      </c>
      <c r="C46" s="2" t="s">
        <v>524</v>
      </c>
      <c r="D46" s="2" t="s">
        <v>451</v>
      </c>
      <c r="E46" s="2" t="s">
        <v>587</v>
      </c>
      <c r="F46" s="6">
        <v>5</v>
      </c>
      <c r="G46" s="6" t="s">
        <v>537</v>
      </c>
      <c r="H46" s="6" t="s">
        <v>537</v>
      </c>
      <c r="I46" s="6">
        <v>0</v>
      </c>
      <c r="J46" s="6">
        <v>5</v>
      </c>
      <c r="K46" s="6">
        <v>0</v>
      </c>
      <c r="L46" s="2"/>
      <c r="M46" s="9"/>
      <c r="N46" s="2" t="s">
        <v>588</v>
      </c>
      <c r="O46" s="2" t="s">
        <v>589</v>
      </c>
      <c r="P46" s="2" t="s">
        <v>455</v>
      </c>
      <c r="Q46" s="2" t="s">
        <v>529</v>
      </c>
    </row>
    <row r="47" spans="1:17" ht="42.75">
      <c r="A47" s="2" t="s">
        <v>110</v>
      </c>
      <c r="B47" s="2" t="s">
        <v>449</v>
      </c>
      <c r="C47" s="2" t="s">
        <v>524</v>
      </c>
      <c r="D47" s="2" t="s">
        <v>451</v>
      </c>
      <c r="E47" s="2" t="s">
        <v>590</v>
      </c>
      <c r="F47" s="6">
        <v>8</v>
      </c>
      <c r="G47" s="6" t="s">
        <v>537</v>
      </c>
      <c r="H47" s="6" t="s">
        <v>537</v>
      </c>
      <c r="I47" s="6">
        <v>0</v>
      </c>
      <c r="J47" s="6">
        <v>8</v>
      </c>
      <c r="K47" s="6">
        <v>0</v>
      </c>
      <c r="L47" s="2"/>
      <c r="M47" s="9"/>
      <c r="N47" s="2" t="s">
        <v>591</v>
      </c>
      <c r="O47" s="2" t="s">
        <v>592</v>
      </c>
      <c r="P47" s="2" t="s">
        <v>455</v>
      </c>
      <c r="Q47" s="2" t="s">
        <v>529</v>
      </c>
    </row>
    <row r="48" spans="1:17" ht="42.75">
      <c r="A48" s="2" t="s">
        <v>111</v>
      </c>
      <c r="B48" s="2" t="s">
        <v>449</v>
      </c>
      <c r="C48" s="2" t="s">
        <v>524</v>
      </c>
      <c r="D48" s="2" t="s">
        <v>491</v>
      </c>
      <c r="E48" s="2" t="s">
        <v>593</v>
      </c>
      <c r="F48" s="6">
        <v>10</v>
      </c>
      <c r="G48" s="6" t="s">
        <v>249</v>
      </c>
      <c r="H48" s="6" t="s">
        <v>249</v>
      </c>
      <c r="I48" s="6">
        <v>10</v>
      </c>
      <c r="J48" s="6">
        <v>0</v>
      </c>
      <c r="K48" s="6">
        <v>0</v>
      </c>
      <c r="L48" s="2" t="s">
        <v>594</v>
      </c>
      <c r="M48" s="9"/>
      <c r="N48" s="2" t="s">
        <v>595</v>
      </c>
      <c r="O48" s="2" t="s">
        <v>596</v>
      </c>
      <c r="P48" s="2" t="s">
        <v>455</v>
      </c>
      <c r="Q48" s="2" t="s">
        <v>529</v>
      </c>
    </row>
    <row r="49" spans="1:17" ht="42.75">
      <c r="A49" s="2" t="s">
        <v>112</v>
      </c>
      <c r="B49" s="2" t="s">
        <v>449</v>
      </c>
      <c r="C49" s="2" t="s">
        <v>524</v>
      </c>
      <c r="D49" s="2" t="s">
        <v>491</v>
      </c>
      <c r="E49" s="2" t="s">
        <v>597</v>
      </c>
      <c r="F49" s="6">
        <v>16</v>
      </c>
      <c r="G49" s="6" t="s">
        <v>249</v>
      </c>
      <c r="H49" s="6" t="s">
        <v>249</v>
      </c>
      <c r="I49" s="6">
        <v>16</v>
      </c>
      <c r="J49" s="6">
        <v>0</v>
      </c>
      <c r="K49" s="6">
        <v>0</v>
      </c>
      <c r="L49" s="2" t="s">
        <v>598</v>
      </c>
      <c r="M49" s="9">
        <v>46273</v>
      </c>
      <c r="N49" s="2" t="s">
        <v>599</v>
      </c>
      <c r="O49" s="2" t="s">
        <v>113</v>
      </c>
      <c r="P49" s="2" t="s">
        <v>455</v>
      </c>
      <c r="Q49" s="2" t="s">
        <v>600</v>
      </c>
    </row>
    <row r="50" spans="1:17" ht="42.75">
      <c r="A50" s="2" t="s">
        <v>113</v>
      </c>
      <c r="B50" s="2" t="s">
        <v>449</v>
      </c>
      <c r="C50" s="2" t="s">
        <v>524</v>
      </c>
      <c r="D50" s="2" t="s">
        <v>491</v>
      </c>
      <c r="E50" s="2" t="s">
        <v>601</v>
      </c>
      <c r="F50" s="6">
        <v>12</v>
      </c>
      <c r="G50" s="6" t="s">
        <v>537</v>
      </c>
      <c r="H50" s="6" t="s">
        <v>537</v>
      </c>
      <c r="I50" s="6">
        <v>0</v>
      </c>
      <c r="J50" s="6">
        <v>12</v>
      </c>
      <c r="K50" s="6">
        <v>0</v>
      </c>
      <c r="L50" s="2"/>
      <c r="M50" s="9"/>
      <c r="N50" s="2" t="s">
        <v>602</v>
      </c>
      <c r="O50" s="2" t="s">
        <v>603</v>
      </c>
      <c r="P50" s="2" t="s">
        <v>455</v>
      </c>
      <c r="Q50" s="2" t="s">
        <v>604</v>
      </c>
    </row>
    <row r="51" spans="1:17" ht="42.75">
      <c r="A51" s="2" t="s">
        <v>114</v>
      </c>
      <c r="B51" s="2" t="s">
        <v>449</v>
      </c>
      <c r="C51" s="2" t="s">
        <v>524</v>
      </c>
      <c r="D51" s="2" t="s">
        <v>491</v>
      </c>
      <c r="E51" s="2" t="s">
        <v>605</v>
      </c>
      <c r="F51" s="6">
        <v>14</v>
      </c>
      <c r="G51" s="6" t="s">
        <v>249</v>
      </c>
      <c r="H51" s="6" t="s">
        <v>249</v>
      </c>
      <c r="I51" s="6">
        <v>14</v>
      </c>
      <c r="J51" s="6">
        <v>0</v>
      </c>
      <c r="K51" s="6">
        <v>0</v>
      </c>
      <c r="L51" s="2" t="s">
        <v>606</v>
      </c>
      <c r="M51" s="9">
        <v>46269</v>
      </c>
      <c r="N51" s="2" t="s">
        <v>607</v>
      </c>
      <c r="O51" s="2" t="s">
        <v>115</v>
      </c>
      <c r="P51" s="2" t="s">
        <v>455</v>
      </c>
      <c r="Q51" s="2" t="s">
        <v>529</v>
      </c>
    </row>
    <row r="52" spans="1:17" ht="42.75">
      <c r="A52" s="2" t="s">
        <v>115</v>
      </c>
      <c r="B52" s="2" t="s">
        <v>449</v>
      </c>
      <c r="C52" s="2" t="s">
        <v>524</v>
      </c>
      <c r="D52" s="2" t="s">
        <v>491</v>
      </c>
      <c r="E52" s="2" t="s">
        <v>608</v>
      </c>
      <c r="F52" s="6">
        <v>12</v>
      </c>
      <c r="G52" s="6" t="s">
        <v>537</v>
      </c>
      <c r="H52" s="6" t="s">
        <v>537</v>
      </c>
      <c r="I52" s="6">
        <v>0</v>
      </c>
      <c r="J52" s="6">
        <v>12</v>
      </c>
      <c r="K52" s="6">
        <v>0</v>
      </c>
      <c r="L52" s="2"/>
      <c r="M52" s="9"/>
      <c r="N52" s="2" t="s">
        <v>609</v>
      </c>
      <c r="O52" s="2"/>
      <c r="P52" s="2" t="s">
        <v>455</v>
      </c>
      <c r="Q52" s="2" t="s">
        <v>600</v>
      </c>
    </row>
    <row r="53" spans="1:17" ht="42.75">
      <c r="A53" s="2" t="s">
        <v>234</v>
      </c>
      <c r="B53" s="2" t="s">
        <v>449</v>
      </c>
      <c r="C53" s="2" t="s">
        <v>524</v>
      </c>
      <c r="D53" s="2" t="s">
        <v>491</v>
      </c>
      <c r="E53" s="2" t="s">
        <v>610</v>
      </c>
      <c r="F53" s="6">
        <v>11</v>
      </c>
      <c r="G53" s="6" t="s">
        <v>537</v>
      </c>
      <c r="H53" s="6" t="s">
        <v>537</v>
      </c>
      <c r="I53" s="6">
        <v>0</v>
      </c>
      <c r="J53" s="6">
        <v>11</v>
      </c>
      <c r="K53" s="6">
        <v>0</v>
      </c>
      <c r="L53" s="2"/>
      <c r="M53" s="9"/>
      <c r="N53" s="2" t="s">
        <v>611</v>
      </c>
      <c r="O53" s="2"/>
      <c r="P53" s="2" t="s">
        <v>455</v>
      </c>
      <c r="Q53" s="2" t="s">
        <v>600</v>
      </c>
    </row>
    <row r="54" spans="1:17" ht="42.75">
      <c r="A54" s="2" t="s">
        <v>116</v>
      </c>
      <c r="B54" s="2" t="s">
        <v>449</v>
      </c>
      <c r="C54" s="2" t="s">
        <v>524</v>
      </c>
      <c r="D54" s="2" t="s">
        <v>491</v>
      </c>
      <c r="E54" s="2" t="s">
        <v>612</v>
      </c>
      <c r="F54" s="6">
        <v>12</v>
      </c>
      <c r="G54" s="6" t="s">
        <v>537</v>
      </c>
      <c r="H54" s="6" t="s">
        <v>537</v>
      </c>
      <c r="I54" s="6">
        <v>0</v>
      </c>
      <c r="J54" s="6">
        <v>12</v>
      </c>
      <c r="K54" s="6">
        <v>0</v>
      </c>
      <c r="L54" s="2"/>
      <c r="M54" s="9"/>
      <c r="N54" s="2" t="s">
        <v>613</v>
      </c>
      <c r="O54" s="2"/>
      <c r="P54" s="2" t="s">
        <v>455</v>
      </c>
      <c r="Q54" s="2" t="s">
        <v>529</v>
      </c>
    </row>
    <row r="55" spans="1:17" ht="156.75">
      <c r="A55" s="2" t="s">
        <v>117</v>
      </c>
      <c r="B55" s="2" t="s">
        <v>449</v>
      </c>
      <c r="C55" s="2" t="s">
        <v>524</v>
      </c>
      <c r="D55" s="2" t="s">
        <v>491</v>
      </c>
      <c r="E55" s="2" t="s">
        <v>614</v>
      </c>
      <c r="F55" s="6">
        <v>12</v>
      </c>
      <c r="G55" s="6" t="s">
        <v>615</v>
      </c>
      <c r="H55" s="6" t="s">
        <v>615</v>
      </c>
      <c r="I55" s="6">
        <v>0</v>
      </c>
      <c r="J55" s="6">
        <v>12</v>
      </c>
      <c r="K55" s="6">
        <v>12</v>
      </c>
      <c r="L55" s="2"/>
      <c r="M55" s="9"/>
      <c r="N55" s="2" t="s">
        <v>616</v>
      </c>
      <c r="O55" s="2" t="s">
        <v>617</v>
      </c>
      <c r="P55" s="2" t="s">
        <v>455</v>
      </c>
      <c r="Q55" s="2" t="s">
        <v>618</v>
      </c>
    </row>
    <row r="56" spans="1:17" ht="28.5">
      <c r="A56" s="2" t="s">
        <v>118</v>
      </c>
      <c r="B56" s="2" t="s">
        <v>449</v>
      </c>
      <c r="C56" s="2" t="s">
        <v>524</v>
      </c>
      <c r="D56" s="2" t="s">
        <v>491</v>
      </c>
      <c r="E56" s="2" t="s">
        <v>619</v>
      </c>
      <c r="F56" s="6">
        <v>6</v>
      </c>
      <c r="G56" s="6" t="s">
        <v>537</v>
      </c>
      <c r="H56" s="6" t="s">
        <v>537</v>
      </c>
      <c r="I56" s="6">
        <v>0</v>
      </c>
      <c r="J56" s="6">
        <v>6</v>
      </c>
      <c r="K56" s="6">
        <v>0</v>
      </c>
      <c r="L56" s="2"/>
      <c r="M56" s="9"/>
      <c r="N56" s="2" t="s">
        <v>102</v>
      </c>
      <c r="O56" s="2" t="s">
        <v>620</v>
      </c>
      <c r="P56" s="2" t="s">
        <v>455</v>
      </c>
      <c r="Q56" s="2" t="s">
        <v>621</v>
      </c>
    </row>
    <row r="57" spans="1:17" ht="42.75">
      <c r="A57" s="2" t="s">
        <v>124</v>
      </c>
      <c r="B57" s="2" t="s">
        <v>449</v>
      </c>
      <c r="C57" s="2" t="s">
        <v>622</v>
      </c>
      <c r="D57" s="2" t="s">
        <v>491</v>
      </c>
      <c r="E57" s="2" t="s">
        <v>623</v>
      </c>
      <c r="F57" s="6">
        <v>8</v>
      </c>
      <c r="G57" s="6" t="s">
        <v>537</v>
      </c>
      <c r="H57" s="6" t="s">
        <v>537</v>
      </c>
      <c r="I57" s="6">
        <v>0</v>
      </c>
      <c r="J57" s="6">
        <v>8</v>
      </c>
      <c r="K57" s="6">
        <v>0</v>
      </c>
      <c r="L57" s="2"/>
      <c r="M57" s="9"/>
      <c r="N57" s="2" t="s">
        <v>624</v>
      </c>
      <c r="O57" s="2" t="s">
        <v>625</v>
      </c>
      <c r="P57" s="2" t="s">
        <v>455</v>
      </c>
      <c r="Q57" s="2" t="s">
        <v>626</v>
      </c>
    </row>
    <row r="58" spans="1:17" ht="28.5">
      <c r="A58" s="2" t="s">
        <v>121</v>
      </c>
      <c r="B58" s="2" t="s">
        <v>449</v>
      </c>
      <c r="C58" s="2" t="s">
        <v>622</v>
      </c>
      <c r="D58" s="2" t="s">
        <v>491</v>
      </c>
      <c r="E58" s="2" t="s">
        <v>627</v>
      </c>
      <c r="F58" s="6">
        <v>8</v>
      </c>
      <c r="G58" s="6" t="s">
        <v>537</v>
      </c>
      <c r="H58" s="6" t="s">
        <v>537</v>
      </c>
      <c r="I58" s="6">
        <v>0</v>
      </c>
      <c r="J58" s="6">
        <v>8</v>
      </c>
      <c r="K58" s="6">
        <v>0</v>
      </c>
      <c r="L58" s="2"/>
      <c r="M58" s="9"/>
      <c r="N58" s="2" t="s">
        <v>628</v>
      </c>
      <c r="O58" s="2" t="s">
        <v>163</v>
      </c>
      <c r="P58" s="2" t="s">
        <v>455</v>
      </c>
      <c r="Q58" s="2" t="s">
        <v>629</v>
      </c>
    </row>
    <row r="59" spans="1:17" ht="28.5">
      <c r="A59" s="2" t="s">
        <v>122</v>
      </c>
      <c r="B59" s="2" t="s">
        <v>449</v>
      </c>
      <c r="C59" s="2" t="s">
        <v>622</v>
      </c>
      <c r="D59" s="2" t="s">
        <v>491</v>
      </c>
      <c r="E59" s="2" t="s">
        <v>630</v>
      </c>
      <c r="F59" s="6">
        <v>10</v>
      </c>
      <c r="G59" s="6" t="s">
        <v>537</v>
      </c>
      <c r="H59" s="6" t="s">
        <v>537</v>
      </c>
      <c r="I59" s="6">
        <v>0</v>
      </c>
      <c r="J59" s="6">
        <v>10</v>
      </c>
      <c r="K59" s="6">
        <v>0</v>
      </c>
      <c r="L59" s="2"/>
      <c r="M59" s="9"/>
      <c r="N59" s="2" t="s">
        <v>631</v>
      </c>
      <c r="O59" s="2" t="s">
        <v>123</v>
      </c>
      <c r="P59" s="2" t="s">
        <v>455</v>
      </c>
      <c r="Q59" s="2" t="s">
        <v>629</v>
      </c>
    </row>
    <row r="60" spans="1:17" ht="28.5">
      <c r="A60" s="2" t="s">
        <v>123</v>
      </c>
      <c r="B60" s="2" t="s">
        <v>449</v>
      </c>
      <c r="C60" s="2" t="s">
        <v>622</v>
      </c>
      <c r="D60" s="2" t="s">
        <v>491</v>
      </c>
      <c r="E60" s="2" t="s">
        <v>632</v>
      </c>
      <c r="F60" s="6">
        <v>10</v>
      </c>
      <c r="G60" s="6" t="s">
        <v>537</v>
      </c>
      <c r="H60" s="6" t="s">
        <v>537</v>
      </c>
      <c r="I60" s="6">
        <v>0</v>
      </c>
      <c r="J60" s="6">
        <v>10</v>
      </c>
      <c r="K60" s="6">
        <v>0</v>
      </c>
      <c r="L60" s="2"/>
      <c r="M60" s="9"/>
      <c r="N60" s="2" t="s">
        <v>633</v>
      </c>
      <c r="O60" s="2"/>
      <c r="P60" s="2" t="s">
        <v>455</v>
      </c>
      <c r="Q60" s="2" t="s">
        <v>629</v>
      </c>
    </row>
    <row r="61" spans="1:17" ht="42.75">
      <c r="A61" s="2" t="s">
        <v>125</v>
      </c>
      <c r="B61" s="2" t="s">
        <v>449</v>
      </c>
      <c r="C61" s="2" t="s">
        <v>634</v>
      </c>
      <c r="D61" s="2" t="s">
        <v>635</v>
      </c>
      <c r="E61" s="2" t="s">
        <v>636</v>
      </c>
      <c r="F61" s="6">
        <v>10</v>
      </c>
      <c r="G61" s="6" t="s">
        <v>249</v>
      </c>
      <c r="H61" s="6" t="s">
        <v>249</v>
      </c>
      <c r="I61" s="6">
        <v>10</v>
      </c>
      <c r="J61" s="6">
        <v>0</v>
      </c>
      <c r="K61" s="6">
        <v>0</v>
      </c>
      <c r="L61" s="2" t="s">
        <v>506</v>
      </c>
      <c r="M61" s="9"/>
      <c r="N61" s="2"/>
      <c r="O61" s="2" t="s">
        <v>637</v>
      </c>
      <c r="P61" s="2" t="s">
        <v>455</v>
      </c>
      <c r="Q61" s="2" t="s">
        <v>638</v>
      </c>
    </row>
    <row r="62" spans="1:17" ht="42.75">
      <c r="A62" s="2" t="s">
        <v>126</v>
      </c>
      <c r="B62" s="2" t="s">
        <v>449</v>
      </c>
      <c r="C62" s="2" t="s">
        <v>634</v>
      </c>
      <c r="D62" s="2" t="s">
        <v>635</v>
      </c>
      <c r="E62" s="2" t="s">
        <v>639</v>
      </c>
      <c r="F62" s="6">
        <v>12</v>
      </c>
      <c r="G62" s="6" t="s">
        <v>249</v>
      </c>
      <c r="H62" s="6" t="s">
        <v>249</v>
      </c>
      <c r="I62" s="6">
        <v>12</v>
      </c>
      <c r="J62" s="6">
        <v>0</v>
      </c>
      <c r="K62" s="6">
        <v>0</v>
      </c>
      <c r="L62" s="2" t="s">
        <v>640</v>
      </c>
      <c r="M62" s="9"/>
      <c r="N62" s="2"/>
      <c r="O62" s="2" t="s">
        <v>641</v>
      </c>
      <c r="P62" s="2" t="s">
        <v>455</v>
      </c>
      <c r="Q62" s="2" t="s">
        <v>638</v>
      </c>
    </row>
    <row r="63" spans="1:17" ht="42.75">
      <c r="A63" s="2" t="s">
        <v>127</v>
      </c>
      <c r="B63" s="2" t="s">
        <v>449</v>
      </c>
      <c r="C63" s="2" t="s">
        <v>634</v>
      </c>
      <c r="D63" s="2" t="s">
        <v>635</v>
      </c>
      <c r="E63" s="2" t="s">
        <v>642</v>
      </c>
      <c r="F63" s="6">
        <v>10</v>
      </c>
      <c r="G63" s="6" t="s">
        <v>249</v>
      </c>
      <c r="H63" s="6" t="s">
        <v>249</v>
      </c>
      <c r="I63" s="6">
        <v>10</v>
      </c>
      <c r="J63" s="6">
        <v>0</v>
      </c>
      <c r="K63" s="6">
        <v>0</v>
      </c>
      <c r="L63" s="2" t="s">
        <v>643</v>
      </c>
      <c r="M63" s="9">
        <v>46247</v>
      </c>
      <c r="N63" s="2"/>
      <c r="O63" s="2" t="s">
        <v>644</v>
      </c>
      <c r="P63" s="2" t="s">
        <v>455</v>
      </c>
      <c r="Q63" s="2" t="s">
        <v>638</v>
      </c>
    </row>
    <row r="64" spans="1:17" ht="42.75">
      <c r="A64" s="2" t="s">
        <v>128</v>
      </c>
      <c r="B64" s="2" t="s">
        <v>449</v>
      </c>
      <c r="C64" s="2" t="s">
        <v>634</v>
      </c>
      <c r="D64" s="2" t="s">
        <v>635</v>
      </c>
      <c r="E64" s="2" t="s">
        <v>645</v>
      </c>
      <c r="F64" s="6">
        <v>10</v>
      </c>
      <c r="G64" s="6" t="s">
        <v>249</v>
      </c>
      <c r="H64" s="6" t="s">
        <v>249</v>
      </c>
      <c r="I64" s="6">
        <v>10</v>
      </c>
      <c r="J64" s="6">
        <v>0</v>
      </c>
      <c r="K64" s="6">
        <v>0</v>
      </c>
      <c r="L64" s="2" t="s">
        <v>646</v>
      </c>
      <c r="M64" s="9">
        <v>46249</v>
      </c>
      <c r="N64" s="2"/>
      <c r="O64" s="2" t="s">
        <v>647</v>
      </c>
      <c r="P64" s="2" t="s">
        <v>455</v>
      </c>
      <c r="Q64" s="2" t="s">
        <v>638</v>
      </c>
    </row>
    <row r="65" spans="1:17" ht="42.75">
      <c r="A65" s="2" t="s">
        <v>129</v>
      </c>
      <c r="B65" s="2" t="s">
        <v>449</v>
      </c>
      <c r="C65" s="2" t="s">
        <v>634</v>
      </c>
      <c r="D65" s="2" t="s">
        <v>635</v>
      </c>
      <c r="E65" s="2" t="s">
        <v>648</v>
      </c>
      <c r="F65" s="6">
        <v>10</v>
      </c>
      <c r="G65" s="6" t="s">
        <v>249</v>
      </c>
      <c r="H65" s="6" t="s">
        <v>249</v>
      </c>
      <c r="I65" s="6">
        <v>10</v>
      </c>
      <c r="J65" s="6">
        <v>0</v>
      </c>
      <c r="K65" s="6">
        <v>0</v>
      </c>
      <c r="L65" s="2" t="s">
        <v>649</v>
      </c>
      <c r="M65" s="9"/>
      <c r="N65" s="2"/>
      <c r="O65" s="2" t="s">
        <v>650</v>
      </c>
      <c r="P65" s="2" t="s">
        <v>455</v>
      </c>
      <c r="Q65" s="2" t="s">
        <v>638</v>
      </c>
    </row>
    <row r="66" spans="1:17" ht="42.75">
      <c r="A66" s="2" t="s">
        <v>130</v>
      </c>
      <c r="B66" s="2" t="s">
        <v>449</v>
      </c>
      <c r="C66" s="2" t="s">
        <v>634</v>
      </c>
      <c r="D66" s="2" t="s">
        <v>635</v>
      </c>
      <c r="E66" s="2" t="s">
        <v>651</v>
      </c>
      <c r="F66" s="6">
        <v>12</v>
      </c>
      <c r="G66" s="6" t="s">
        <v>249</v>
      </c>
      <c r="H66" s="6" t="s">
        <v>249</v>
      </c>
      <c r="I66" s="6">
        <v>12</v>
      </c>
      <c r="J66" s="6">
        <v>0</v>
      </c>
      <c r="K66" s="6">
        <v>0</v>
      </c>
      <c r="L66" s="2" t="s">
        <v>652</v>
      </c>
      <c r="M66" s="9">
        <v>46249</v>
      </c>
      <c r="N66" s="2"/>
      <c r="O66" s="2" t="s">
        <v>223</v>
      </c>
      <c r="P66" s="2" t="s">
        <v>455</v>
      </c>
      <c r="Q66" s="2" t="s">
        <v>638</v>
      </c>
    </row>
    <row r="67" spans="1:17" ht="42.75">
      <c r="A67" s="2" t="s">
        <v>131</v>
      </c>
      <c r="B67" s="2" t="s">
        <v>449</v>
      </c>
      <c r="C67" s="2" t="s">
        <v>634</v>
      </c>
      <c r="D67" s="2" t="s">
        <v>635</v>
      </c>
      <c r="E67" s="2" t="s">
        <v>653</v>
      </c>
      <c r="F67" s="6">
        <v>12</v>
      </c>
      <c r="G67" s="6" t="s">
        <v>249</v>
      </c>
      <c r="H67" s="6" t="s">
        <v>249</v>
      </c>
      <c r="I67" s="6">
        <v>12</v>
      </c>
      <c r="J67" s="6">
        <v>0</v>
      </c>
      <c r="K67" s="6">
        <v>0</v>
      </c>
      <c r="L67" s="2" t="s">
        <v>654</v>
      </c>
      <c r="M67" s="9">
        <v>46249</v>
      </c>
      <c r="N67" s="2"/>
      <c r="O67" s="2" t="s">
        <v>655</v>
      </c>
      <c r="P67" s="2" t="s">
        <v>455</v>
      </c>
      <c r="Q67" s="2" t="s">
        <v>638</v>
      </c>
    </row>
    <row r="68" spans="1:17" ht="42.75">
      <c r="A68" s="2" t="s">
        <v>132</v>
      </c>
      <c r="B68" s="2" t="s">
        <v>449</v>
      </c>
      <c r="C68" s="2" t="s">
        <v>634</v>
      </c>
      <c r="D68" s="2" t="s">
        <v>635</v>
      </c>
      <c r="E68" s="2" t="s">
        <v>656</v>
      </c>
      <c r="F68" s="6">
        <v>10</v>
      </c>
      <c r="G68" s="6" t="s">
        <v>249</v>
      </c>
      <c r="H68" s="6" t="s">
        <v>249</v>
      </c>
      <c r="I68" s="6">
        <v>10</v>
      </c>
      <c r="J68" s="6">
        <v>0</v>
      </c>
      <c r="K68" s="6">
        <v>0</v>
      </c>
      <c r="L68" s="2" t="s">
        <v>657</v>
      </c>
      <c r="M68" s="9">
        <v>46249</v>
      </c>
      <c r="N68" s="2"/>
      <c r="O68" s="2" t="s">
        <v>223</v>
      </c>
      <c r="P68" s="2" t="s">
        <v>455</v>
      </c>
      <c r="Q68" s="2" t="s">
        <v>638</v>
      </c>
    </row>
    <row r="69" spans="1:17" ht="42.75">
      <c r="A69" s="2" t="s">
        <v>133</v>
      </c>
      <c r="B69" s="2" t="s">
        <v>449</v>
      </c>
      <c r="C69" s="2" t="s">
        <v>634</v>
      </c>
      <c r="D69" s="2" t="s">
        <v>635</v>
      </c>
      <c r="E69" s="2" t="s">
        <v>658</v>
      </c>
      <c r="F69" s="6">
        <v>12</v>
      </c>
      <c r="G69" s="6" t="s">
        <v>249</v>
      </c>
      <c r="H69" s="6" t="s">
        <v>249</v>
      </c>
      <c r="I69" s="6">
        <v>12</v>
      </c>
      <c r="J69" s="6">
        <v>0</v>
      </c>
      <c r="K69" s="6">
        <v>0</v>
      </c>
      <c r="L69" s="2" t="s">
        <v>659</v>
      </c>
      <c r="M69" s="9">
        <v>46249</v>
      </c>
      <c r="N69" s="2" t="s">
        <v>660</v>
      </c>
      <c r="O69" s="2" t="s">
        <v>223</v>
      </c>
      <c r="P69" s="2" t="s">
        <v>455</v>
      </c>
      <c r="Q69" s="2" t="s">
        <v>638</v>
      </c>
    </row>
    <row r="70" spans="1:17" ht="42.75">
      <c r="A70" s="2" t="s">
        <v>134</v>
      </c>
      <c r="B70" s="2" t="s">
        <v>449</v>
      </c>
      <c r="C70" s="2" t="s">
        <v>634</v>
      </c>
      <c r="D70" s="2" t="s">
        <v>635</v>
      </c>
      <c r="E70" s="2" t="s">
        <v>661</v>
      </c>
      <c r="F70" s="6">
        <v>12</v>
      </c>
      <c r="G70" s="6" t="s">
        <v>249</v>
      </c>
      <c r="H70" s="6" t="s">
        <v>249</v>
      </c>
      <c r="I70" s="6">
        <v>12</v>
      </c>
      <c r="J70" s="6">
        <v>0</v>
      </c>
      <c r="K70" s="6">
        <v>0</v>
      </c>
      <c r="L70" s="2" t="s">
        <v>662</v>
      </c>
      <c r="M70" s="9">
        <v>46249</v>
      </c>
      <c r="N70" s="2"/>
      <c r="O70" s="2" t="s">
        <v>663</v>
      </c>
      <c r="P70" s="2" t="s">
        <v>455</v>
      </c>
      <c r="Q70" s="2" t="s">
        <v>638</v>
      </c>
    </row>
    <row r="71" spans="1:17" ht="42.75">
      <c r="A71" s="2" t="s">
        <v>135</v>
      </c>
      <c r="B71" s="2" t="s">
        <v>449</v>
      </c>
      <c r="C71" s="2" t="s">
        <v>634</v>
      </c>
      <c r="D71" s="2" t="s">
        <v>635</v>
      </c>
      <c r="E71" s="2" t="s">
        <v>664</v>
      </c>
      <c r="F71" s="6">
        <v>10</v>
      </c>
      <c r="G71" s="6" t="s">
        <v>249</v>
      </c>
      <c r="H71" s="6" t="s">
        <v>249</v>
      </c>
      <c r="I71" s="6">
        <v>10</v>
      </c>
      <c r="J71" s="6">
        <v>0</v>
      </c>
      <c r="K71" s="6">
        <v>0</v>
      </c>
      <c r="L71" s="2" t="s">
        <v>665</v>
      </c>
      <c r="M71" s="9"/>
      <c r="N71" s="2"/>
      <c r="O71" s="2" t="s">
        <v>666</v>
      </c>
      <c r="P71" s="2" t="s">
        <v>455</v>
      </c>
      <c r="Q71" s="2" t="s">
        <v>638</v>
      </c>
    </row>
    <row r="72" spans="1:17" ht="42.75">
      <c r="A72" s="2" t="s">
        <v>136</v>
      </c>
      <c r="B72" s="2" t="s">
        <v>449</v>
      </c>
      <c r="C72" s="2" t="s">
        <v>634</v>
      </c>
      <c r="D72" s="2" t="s">
        <v>635</v>
      </c>
      <c r="E72" s="2" t="s">
        <v>667</v>
      </c>
      <c r="F72" s="6">
        <v>8</v>
      </c>
      <c r="G72" s="6" t="s">
        <v>249</v>
      </c>
      <c r="H72" s="6" t="s">
        <v>249</v>
      </c>
      <c r="I72" s="6">
        <v>8</v>
      </c>
      <c r="J72" s="6">
        <v>0</v>
      </c>
      <c r="K72" s="6">
        <v>0</v>
      </c>
      <c r="L72" s="2" t="s">
        <v>668</v>
      </c>
      <c r="M72" s="9">
        <v>46250</v>
      </c>
      <c r="N72" s="2"/>
      <c r="O72" s="2" t="s">
        <v>210</v>
      </c>
      <c r="P72" s="2" t="s">
        <v>455</v>
      </c>
      <c r="Q72" s="2" t="s">
        <v>638</v>
      </c>
    </row>
    <row r="73" spans="1:17" ht="42.75">
      <c r="A73" s="2" t="s">
        <v>137</v>
      </c>
      <c r="B73" s="2" t="s">
        <v>449</v>
      </c>
      <c r="C73" s="2" t="s">
        <v>634</v>
      </c>
      <c r="D73" s="2" t="s">
        <v>635</v>
      </c>
      <c r="E73" s="2" t="s">
        <v>669</v>
      </c>
      <c r="F73" s="6">
        <v>10</v>
      </c>
      <c r="G73" s="6" t="s">
        <v>249</v>
      </c>
      <c r="H73" s="6" t="s">
        <v>249</v>
      </c>
      <c r="I73" s="6">
        <v>10</v>
      </c>
      <c r="J73" s="6">
        <v>0</v>
      </c>
      <c r="K73" s="6">
        <v>0</v>
      </c>
      <c r="L73" s="2" t="s">
        <v>670</v>
      </c>
      <c r="M73" s="9">
        <v>46250</v>
      </c>
      <c r="N73" s="2"/>
      <c r="O73" s="2" t="s">
        <v>671</v>
      </c>
      <c r="P73" s="2" t="s">
        <v>455</v>
      </c>
      <c r="Q73" s="2" t="s">
        <v>638</v>
      </c>
    </row>
    <row r="74" spans="1:17" ht="42.75">
      <c r="A74" s="2" t="s">
        <v>138</v>
      </c>
      <c r="B74" s="2" t="s">
        <v>449</v>
      </c>
      <c r="C74" s="2" t="s">
        <v>634</v>
      </c>
      <c r="D74" s="2" t="s">
        <v>635</v>
      </c>
      <c r="E74" s="2" t="s">
        <v>672</v>
      </c>
      <c r="F74" s="6">
        <v>12</v>
      </c>
      <c r="G74" s="6" t="s">
        <v>249</v>
      </c>
      <c r="H74" s="6" t="s">
        <v>249</v>
      </c>
      <c r="I74" s="6">
        <v>12</v>
      </c>
      <c r="J74" s="6">
        <v>0</v>
      </c>
      <c r="K74" s="6">
        <v>0</v>
      </c>
      <c r="L74" s="2" t="s">
        <v>673</v>
      </c>
      <c r="M74" s="9">
        <v>46250</v>
      </c>
      <c r="N74" s="2"/>
      <c r="O74" s="2" t="s">
        <v>671</v>
      </c>
      <c r="P74" s="2" t="s">
        <v>455</v>
      </c>
      <c r="Q74" s="2" t="s">
        <v>638</v>
      </c>
    </row>
    <row r="75" spans="1:17" ht="42.75">
      <c r="A75" s="2" t="s">
        <v>139</v>
      </c>
      <c r="B75" s="2" t="s">
        <v>449</v>
      </c>
      <c r="C75" s="2" t="s">
        <v>634</v>
      </c>
      <c r="D75" s="2" t="s">
        <v>635</v>
      </c>
      <c r="E75" s="2" t="s">
        <v>674</v>
      </c>
      <c r="F75" s="6">
        <v>12</v>
      </c>
      <c r="G75" s="6" t="s">
        <v>249</v>
      </c>
      <c r="H75" s="6" t="s">
        <v>249</v>
      </c>
      <c r="I75" s="6">
        <v>12</v>
      </c>
      <c r="J75" s="6">
        <v>0</v>
      </c>
      <c r="K75" s="6">
        <v>0</v>
      </c>
      <c r="L75" s="2" t="s">
        <v>675</v>
      </c>
      <c r="M75" s="9">
        <v>46250</v>
      </c>
      <c r="N75" s="2"/>
      <c r="O75" s="2" t="s">
        <v>671</v>
      </c>
      <c r="P75" s="2" t="s">
        <v>455</v>
      </c>
      <c r="Q75" s="2" t="s">
        <v>638</v>
      </c>
    </row>
    <row r="76" spans="1:17" ht="42.75">
      <c r="A76" s="2" t="s">
        <v>140</v>
      </c>
      <c r="B76" s="2" t="s">
        <v>449</v>
      </c>
      <c r="C76" s="2" t="s">
        <v>634</v>
      </c>
      <c r="D76" s="2" t="s">
        <v>635</v>
      </c>
      <c r="E76" s="2" t="s">
        <v>676</v>
      </c>
      <c r="F76" s="6">
        <v>10</v>
      </c>
      <c r="G76" s="6" t="s">
        <v>249</v>
      </c>
      <c r="H76" s="6" t="s">
        <v>249</v>
      </c>
      <c r="I76" s="6">
        <v>10</v>
      </c>
      <c r="J76" s="6">
        <v>0</v>
      </c>
      <c r="K76" s="6">
        <v>0</v>
      </c>
      <c r="L76" s="2" t="s">
        <v>506</v>
      </c>
      <c r="M76" s="9"/>
      <c r="N76" s="2"/>
      <c r="O76" s="2"/>
      <c r="P76" s="2" t="s">
        <v>455</v>
      </c>
      <c r="Q76" s="2" t="s">
        <v>638</v>
      </c>
    </row>
    <row r="77" spans="1:17" ht="42.75">
      <c r="A77" s="2" t="s">
        <v>141</v>
      </c>
      <c r="B77" s="2" t="s">
        <v>449</v>
      </c>
      <c r="C77" s="2" t="s">
        <v>634</v>
      </c>
      <c r="D77" s="2" t="s">
        <v>504</v>
      </c>
      <c r="E77" s="2" t="s">
        <v>677</v>
      </c>
      <c r="F77" s="6">
        <v>10</v>
      </c>
      <c r="G77" s="6" t="s">
        <v>537</v>
      </c>
      <c r="H77" s="6" t="s">
        <v>537</v>
      </c>
      <c r="I77" s="6">
        <v>0</v>
      </c>
      <c r="J77" s="6">
        <v>10</v>
      </c>
      <c r="K77" s="6">
        <v>0</v>
      </c>
      <c r="L77" s="2"/>
      <c r="M77" s="9"/>
      <c r="N77" s="2" t="s">
        <v>678</v>
      </c>
      <c r="O77" s="2" t="s">
        <v>103</v>
      </c>
      <c r="P77" s="2" t="s">
        <v>455</v>
      </c>
      <c r="Q77" s="2" t="s">
        <v>638</v>
      </c>
    </row>
    <row r="78" spans="1:17" ht="42.75">
      <c r="A78" s="2" t="s">
        <v>142</v>
      </c>
      <c r="B78" s="2" t="s">
        <v>449</v>
      </c>
      <c r="C78" s="2" t="s">
        <v>634</v>
      </c>
      <c r="D78" s="2" t="s">
        <v>504</v>
      </c>
      <c r="E78" s="2" t="s">
        <v>679</v>
      </c>
      <c r="F78" s="6">
        <v>6</v>
      </c>
      <c r="G78" s="6" t="s">
        <v>537</v>
      </c>
      <c r="H78" s="6" t="s">
        <v>537</v>
      </c>
      <c r="I78" s="6">
        <v>0</v>
      </c>
      <c r="J78" s="6">
        <v>6</v>
      </c>
      <c r="K78" s="6">
        <v>0</v>
      </c>
      <c r="L78" s="2"/>
      <c r="M78" s="9"/>
      <c r="N78" s="2" t="s">
        <v>78</v>
      </c>
      <c r="O78" s="2" t="s">
        <v>680</v>
      </c>
      <c r="P78" s="2" t="s">
        <v>455</v>
      </c>
      <c r="Q78" s="2" t="s">
        <v>638</v>
      </c>
    </row>
    <row r="79" spans="1:17" ht="42.75">
      <c r="A79" s="2" t="s">
        <v>143</v>
      </c>
      <c r="B79" s="2" t="s">
        <v>449</v>
      </c>
      <c r="C79" s="2" t="s">
        <v>634</v>
      </c>
      <c r="D79" s="2" t="s">
        <v>504</v>
      </c>
      <c r="E79" s="2" t="s">
        <v>681</v>
      </c>
      <c r="F79" s="6">
        <v>10</v>
      </c>
      <c r="G79" s="6" t="s">
        <v>249</v>
      </c>
      <c r="H79" s="6" t="s">
        <v>249</v>
      </c>
      <c r="I79" s="6">
        <v>10</v>
      </c>
      <c r="J79" s="6">
        <v>0</v>
      </c>
      <c r="K79" s="6">
        <v>0</v>
      </c>
      <c r="L79" s="2" t="s">
        <v>506</v>
      </c>
      <c r="M79" s="9"/>
      <c r="N79" s="2" t="s">
        <v>682</v>
      </c>
      <c r="O79" s="2" t="s">
        <v>683</v>
      </c>
      <c r="P79" s="2" t="s">
        <v>455</v>
      </c>
      <c r="Q79" s="2" t="s">
        <v>638</v>
      </c>
    </row>
    <row r="80" spans="1:17" ht="42.75">
      <c r="A80" s="2" t="s">
        <v>144</v>
      </c>
      <c r="B80" s="2" t="s">
        <v>449</v>
      </c>
      <c r="C80" s="2" t="s">
        <v>634</v>
      </c>
      <c r="D80" s="2" t="s">
        <v>504</v>
      </c>
      <c r="E80" s="2" t="s">
        <v>684</v>
      </c>
      <c r="F80" s="6">
        <v>8</v>
      </c>
      <c r="G80" s="6" t="s">
        <v>249</v>
      </c>
      <c r="H80" s="6" t="s">
        <v>249</v>
      </c>
      <c r="I80" s="6">
        <v>8</v>
      </c>
      <c r="J80" s="6">
        <v>0</v>
      </c>
      <c r="K80" s="6">
        <v>0</v>
      </c>
      <c r="L80" s="2" t="s">
        <v>506</v>
      </c>
      <c r="M80" s="9"/>
      <c r="N80" s="2" t="s">
        <v>77</v>
      </c>
      <c r="O80" s="2" t="s">
        <v>145</v>
      </c>
      <c r="P80" s="2" t="s">
        <v>455</v>
      </c>
      <c r="Q80" s="2" t="s">
        <v>638</v>
      </c>
    </row>
    <row r="81" spans="1:17" ht="42.75">
      <c r="A81" s="2" t="s">
        <v>145</v>
      </c>
      <c r="B81" s="2" t="s">
        <v>449</v>
      </c>
      <c r="C81" s="2" t="s">
        <v>634</v>
      </c>
      <c r="D81" s="2" t="s">
        <v>504</v>
      </c>
      <c r="E81" s="2" t="s">
        <v>685</v>
      </c>
      <c r="F81" s="6">
        <v>12</v>
      </c>
      <c r="G81" s="6" t="s">
        <v>249</v>
      </c>
      <c r="H81" s="6" t="s">
        <v>249</v>
      </c>
      <c r="I81" s="6">
        <v>12</v>
      </c>
      <c r="J81" s="6">
        <v>0</v>
      </c>
      <c r="K81" s="6">
        <v>0</v>
      </c>
      <c r="L81" s="2" t="s">
        <v>506</v>
      </c>
      <c r="M81" s="9"/>
      <c r="N81" s="2" t="s">
        <v>686</v>
      </c>
      <c r="O81" s="2" t="s">
        <v>687</v>
      </c>
      <c r="P81" s="2" t="s">
        <v>455</v>
      </c>
      <c r="Q81" s="2" t="s">
        <v>638</v>
      </c>
    </row>
    <row r="82" spans="1:17" ht="42.75">
      <c r="A82" s="2" t="s">
        <v>146</v>
      </c>
      <c r="B82" s="2" t="s">
        <v>449</v>
      </c>
      <c r="C82" s="2" t="s">
        <v>634</v>
      </c>
      <c r="D82" s="2" t="s">
        <v>504</v>
      </c>
      <c r="E82" s="2" t="s">
        <v>688</v>
      </c>
      <c r="F82" s="6">
        <v>8</v>
      </c>
      <c r="G82" s="6" t="s">
        <v>249</v>
      </c>
      <c r="H82" s="6" t="s">
        <v>249</v>
      </c>
      <c r="I82" s="6">
        <v>8</v>
      </c>
      <c r="J82" s="6">
        <v>0</v>
      </c>
      <c r="K82" s="6">
        <v>0</v>
      </c>
      <c r="L82" s="2" t="s">
        <v>506</v>
      </c>
      <c r="M82" s="9"/>
      <c r="N82" s="2" t="s">
        <v>145</v>
      </c>
      <c r="O82" s="2" t="s">
        <v>689</v>
      </c>
      <c r="P82" s="2" t="s">
        <v>455</v>
      </c>
      <c r="Q82" s="2" t="s">
        <v>638</v>
      </c>
    </row>
    <row r="83" spans="1:17" ht="42.75">
      <c r="A83" s="2" t="s">
        <v>147</v>
      </c>
      <c r="B83" s="2" t="s">
        <v>449</v>
      </c>
      <c r="C83" s="2" t="s">
        <v>634</v>
      </c>
      <c r="D83" s="2" t="s">
        <v>504</v>
      </c>
      <c r="E83" s="2" t="s">
        <v>690</v>
      </c>
      <c r="F83" s="6">
        <v>12</v>
      </c>
      <c r="G83" s="6" t="s">
        <v>537</v>
      </c>
      <c r="H83" s="6" t="s">
        <v>537</v>
      </c>
      <c r="I83" s="6">
        <v>0</v>
      </c>
      <c r="J83" s="6">
        <v>12</v>
      </c>
      <c r="K83" s="6">
        <v>0</v>
      </c>
      <c r="L83" s="2"/>
      <c r="M83" s="9"/>
      <c r="N83" s="2" t="s">
        <v>691</v>
      </c>
      <c r="O83" s="2"/>
      <c r="P83" s="2" t="s">
        <v>455</v>
      </c>
      <c r="Q83" s="2" t="s">
        <v>638</v>
      </c>
    </row>
    <row r="84" spans="1:17" ht="42.75">
      <c r="A84" s="2" t="s">
        <v>148</v>
      </c>
      <c r="B84" s="2" t="s">
        <v>449</v>
      </c>
      <c r="C84" s="2" t="s">
        <v>634</v>
      </c>
      <c r="D84" s="2" t="s">
        <v>504</v>
      </c>
      <c r="E84" s="2" t="s">
        <v>692</v>
      </c>
      <c r="F84" s="6">
        <v>10</v>
      </c>
      <c r="G84" s="6" t="s">
        <v>537</v>
      </c>
      <c r="H84" s="6" t="s">
        <v>537</v>
      </c>
      <c r="I84" s="6">
        <v>0</v>
      </c>
      <c r="J84" s="6">
        <v>10</v>
      </c>
      <c r="K84" s="6">
        <v>0</v>
      </c>
      <c r="L84" s="2"/>
      <c r="M84" s="9"/>
      <c r="N84" s="2" t="s">
        <v>693</v>
      </c>
      <c r="O84" s="2"/>
      <c r="P84" s="2" t="s">
        <v>455</v>
      </c>
      <c r="Q84" s="2" t="s">
        <v>638</v>
      </c>
    </row>
    <row r="85" spans="1:17" ht="42.75">
      <c r="A85" s="2" t="s">
        <v>149</v>
      </c>
      <c r="B85" s="2" t="s">
        <v>449</v>
      </c>
      <c r="C85" s="2" t="s">
        <v>634</v>
      </c>
      <c r="D85" s="2" t="s">
        <v>504</v>
      </c>
      <c r="E85" s="2" t="s">
        <v>694</v>
      </c>
      <c r="F85" s="6">
        <v>8</v>
      </c>
      <c r="G85" s="6" t="s">
        <v>249</v>
      </c>
      <c r="H85" s="6" t="s">
        <v>249</v>
      </c>
      <c r="I85" s="6">
        <v>8</v>
      </c>
      <c r="J85" s="6">
        <v>0</v>
      </c>
      <c r="K85" s="6">
        <v>0</v>
      </c>
      <c r="L85" s="2" t="s">
        <v>506</v>
      </c>
      <c r="M85" s="9"/>
      <c r="N85" s="2" t="s">
        <v>695</v>
      </c>
      <c r="O85" s="2" t="s">
        <v>696</v>
      </c>
      <c r="P85" s="2" t="s">
        <v>455</v>
      </c>
      <c r="Q85" s="2" t="s">
        <v>638</v>
      </c>
    </row>
    <row r="86" spans="1:17" ht="42.75">
      <c r="A86" s="2" t="s">
        <v>150</v>
      </c>
      <c r="B86" s="2" t="s">
        <v>449</v>
      </c>
      <c r="C86" s="2" t="s">
        <v>634</v>
      </c>
      <c r="D86" s="2" t="s">
        <v>504</v>
      </c>
      <c r="E86" s="2" t="s">
        <v>697</v>
      </c>
      <c r="F86" s="6">
        <v>10</v>
      </c>
      <c r="G86" s="6" t="s">
        <v>249</v>
      </c>
      <c r="H86" s="6" t="s">
        <v>249</v>
      </c>
      <c r="I86" s="6">
        <v>10</v>
      </c>
      <c r="J86" s="6">
        <v>0</v>
      </c>
      <c r="K86" s="6">
        <v>0</v>
      </c>
      <c r="L86" s="2" t="s">
        <v>506</v>
      </c>
      <c r="M86" s="9"/>
      <c r="N86" s="2" t="s">
        <v>698</v>
      </c>
      <c r="O86" s="2" t="s">
        <v>699</v>
      </c>
      <c r="P86" s="2" t="s">
        <v>455</v>
      </c>
      <c r="Q86" s="2" t="s">
        <v>638</v>
      </c>
    </row>
    <row r="87" spans="1:17" ht="42.75">
      <c r="A87" s="2" t="s">
        <v>151</v>
      </c>
      <c r="B87" s="2" t="s">
        <v>449</v>
      </c>
      <c r="C87" s="2" t="s">
        <v>634</v>
      </c>
      <c r="D87" s="2" t="s">
        <v>491</v>
      </c>
      <c r="E87" s="2" t="s">
        <v>700</v>
      </c>
      <c r="F87" s="6">
        <v>10</v>
      </c>
      <c r="G87" s="6" t="s">
        <v>537</v>
      </c>
      <c r="H87" s="6" t="s">
        <v>537</v>
      </c>
      <c r="I87" s="6">
        <v>0</v>
      </c>
      <c r="J87" s="6">
        <v>10</v>
      </c>
      <c r="K87" s="6">
        <v>0</v>
      </c>
      <c r="L87" s="2"/>
      <c r="M87" s="9"/>
      <c r="N87" s="2" t="s">
        <v>701</v>
      </c>
      <c r="O87" s="2" t="s">
        <v>217</v>
      </c>
      <c r="P87" s="2" t="s">
        <v>455</v>
      </c>
      <c r="Q87" s="2" t="s">
        <v>638</v>
      </c>
    </row>
    <row r="88" spans="1:17" ht="42.75">
      <c r="A88" s="2" t="s">
        <v>152</v>
      </c>
      <c r="B88" s="2" t="s">
        <v>449</v>
      </c>
      <c r="C88" s="2" t="s">
        <v>702</v>
      </c>
      <c r="D88" s="2" t="s">
        <v>451</v>
      </c>
      <c r="E88" s="2" t="s">
        <v>703</v>
      </c>
      <c r="F88" s="6">
        <v>12</v>
      </c>
      <c r="G88" s="6" t="s">
        <v>537</v>
      </c>
      <c r="H88" s="6" t="s">
        <v>537</v>
      </c>
      <c r="I88" s="6">
        <v>0</v>
      </c>
      <c r="J88" s="6">
        <v>12</v>
      </c>
      <c r="K88" s="6">
        <v>0</v>
      </c>
      <c r="L88" s="2"/>
      <c r="M88" s="9"/>
      <c r="N88" s="2" t="s">
        <v>704</v>
      </c>
      <c r="O88" s="2" t="s">
        <v>705</v>
      </c>
      <c r="P88" s="2" t="s">
        <v>455</v>
      </c>
      <c r="Q88" s="2" t="s">
        <v>706</v>
      </c>
    </row>
    <row r="89" spans="1:17" ht="42.75">
      <c r="A89" s="2" t="s">
        <v>153</v>
      </c>
      <c r="B89" s="2" t="s">
        <v>449</v>
      </c>
      <c r="C89" s="2" t="s">
        <v>702</v>
      </c>
      <c r="D89" s="2" t="s">
        <v>451</v>
      </c>
      <c r="E89" s="2" t="s">
        <v>707</v>
      </c>
      <c r="F89" s="6">
        <v>8</v>
      </c>
      <c r="G89" s="6" t="s">
        <v>537</v>
      </c>
      <c r="H89" s="6" t="s">
        <v>537</v>
      </c>
      <c r="I89" s="6">
        <v>0</v>
      </c>
      <c r="J89" s="6">
        <v>8</v>
      </c>
      <c r="K89" s="6">
        <v>0</v>
      </c>
      <c r="L89" s="2"/>
      <c r="M89" s="9"/>
      <c r="N89" s="2"/>
      <c r="O89" s="2" t="s">
        <v>708</v>
      </c>
      <c r="P89" s="2" t="s">
        <v>455</v>
      </c>
      <c r="Q89" s="2" t="s">
        <v>706</v>
      </c>
    </row>
    <row r="90" spans="1:17" ht="42.75">
      <c r="A90" s="2" t="s">
        <v>154</v>
      </c>
      <c r="B90" s="2" t="s">
        <v>449</v>
      </c>
      <c r="C90" s="2" t="s">
        <v>702</v>
      </c>
      <c r="D90" s="2" t="s">
        <v>451</v>
      </c>
      <c r="E90" s="2" t="s">
        <v>709</v>
      </c>
      <c r="F90" s="6">
        <v>6</v>
      </c>
      <c r="G90" s="6" t="s">
        <v>537</v>
      </c>
      <c r="H90" s="6" t="s">
        <v>537</v>
      </c>
      <c r="I90" s="6">
        <v>0</v>
      </c>
      <c r="J90" s="6">
        <v>6</v>
      </c>
      <c r="K90" s="6">
        <v>0</v>
      </c>
      <c r="L90" s="2"/>
      <c r="M90" s="9"/>
      <c r="N90" s="2" t="s">
        <v>710</v>
      </c>
      <c r="O90" s="2" t="s">
        <v>705</v>
      </c>
      <c r="P90" s="2" t="s">
        <v>455</v>
      </c>
      <c r="Q90" s="2" t="s">
        <v>706</v>
      </c>
    </row>
    <row r="91" spans="1:17" ht="42.75">
      <c r="A91" s="2" t="s">
        <v>155</v>
      </c>
      <c r="B91" s="2" t="s">
        <v>449</v>
      </c>
      <c r="C91" s="2" t="s">
        <v>702</v>
      </c>
      <c r="D91" s="2" t="s">
        <v>451</v>
      </c>
      <c r="E91" s="2" t="s">
        <v>711</v>
      </c>
      <c r="F91" s="6">
        <v>4</v>
      </c>
      <c r="G91" s="6" t="s">
        <v>537</v>
      </c>
      <c r="H91" s="6" t="s">
        <v>537</v>
      </c>
      <c r="I91" s="6">
        <v>0</v>
      </c>
      <c r="J91" s="6">
        <v>4</v>
      </c>
      <c r="K91" s="6">
        <v>0</v>
      </c>
      <c r="L91" s="2"/>
      <c r="M91" s="9"/>
      <c r="N91" s="2"/>
      <c r="O91" s="2"/>
      <c r="P91" s="2" t="s">
        <v>455</v>
      </c>
      <c r="Q91" s="2" t="s">
        <v>706</v>
      </c>
    </row>
    <row r="92" spans="1:17" ht="42.75">
      <c r="A92" s="2" t="s">
        <v>156</v>
      </c>
      <c r="B92" s="2" t="s">
        <v>449</v>
      </c>
      <c r="C92" s="2" t="s">
        <v>702</v>
      </c>
      <c r="D92" s="2" t="s">
        <v>451</v>
      </c>
      <c r="E92" s="2" t="s">
        <v>712</v>
      </c>
      <c r="F92" s="6">
        <v>12</v>
      </c>
      <c r="G92" s="6" t="s">
        <v>537</v>
      </c>
      <c r="H92" s="6" t="s">
        <v>537</v>
      </c>
      <c r="I92" s="6">
        <v>0</v>
      </c>
      <c r="J92" s="6">
        <v>12</v>
      </c>
      <c r="K92" s="6">
        <v>0</v>
      </c>
      <c r="L92" s="2"/>
      <c r="M92" s="9"/>
      <c r="N92" s="2"/>
      <c r="O92" s="2" t="s">
        <v>713</v>
      </c>
      <c r="P92" s="2" t="s">
        <v>455</v>
      </c>
      <c r="Q92" s="2" t="s">
        <v>706</v>
      </c>
    </row>
    <row r="93" spans="1:17" ht="42.75">
      <c r="A93" s="2" t="s">
        <v>157</v>
      </c>
      <c r="B93" s="2" t="s">
        <v>449</v>
      </c>
      <c r="C93" s="2" t="s">
        <v>702</v>
      </c>
      <c r="D93" s="2" t="s">
        <v>491</v>
      </c>
      <c r="E93" s="2" t="s">
        <v>714</v>
      </c>
      <c r="F93" s="6">
        <v>12</v>
      </c>
      <c r="G93" s="6" t="s">
        <v>537</v>
      </c>
      <c r="H93" s="6" t="s">
        <v>537</v>
      </c>
      <c r="I93" s="6">
        <v>0</v>
      </c>
      <c r="J93" s="6">
        <v>12</v>
      </c>
      <c r="K93" s="6">
        <v>0</v>
      </c>
      <c r="L93" s="2"/>
      <c r="M93" s="9"/>
      <c r="N93" s="2"/>
      <c r="O93" s="2"/>
      <c r="P93" s="2" t="s">
        <v>455</v>
      </c>
      <c r="Q93" s="2" t="s">
        <v>706</v>
      </c>
    </row>
    <row r="94" spans="1:17" ht="42.75">
      <c r="A94" s="2" t="s">
        <v>158</v>
      </c>
      <c r="B94" s="2" t="s">
        <v>449</v>
      </c>
      <c r="C94" s="2" t="s">
        <v>702</v>
      </c>
      <c r="D94" s="2" t="s">
        <v>451</v>
      </c>
      <c r="E94" s="2" t="s">
        <v>715</v>
      </c>
      <c r="F94" s="6">
        <v>16</v>
      </c>
      <c r="G94" s="6" t="s">
        <v>537</v>
      </c>
      <c r="H94" s="6" t="s">
        <v>537</v>
      </c>
      <c r="I94" s="6">
        <v>0</v>
      </c>
      <c r="J94" s="6">
        <v>16</v>
      </c>
      <c r="K94" s="6">
        <v>0</v>
      </c>
      <c r="L94" s="2"/>
      <c r="M94" s="9"/>
      <c r="N94" s="2" t="s">
        <v>156</v>
      </c>
      <c r="O94" s="2" t="s">
        <v>179</v>
      </c>
      <c r="P94" s="2" t="s">
        <v>455</v>
      </c>
      <c r="Q94" s="2" t="s">
        <v>706</v>
      </c>
    </row>
    <row r="95" spans="1:17" ht="42.75">
      <c r="A95" s="2" t="s">
        <v>159</v>
      </c>
      <c r="B95" s="2" t="s">
        <v>449</v>
      </c>
      <c r="C95" s="2" t="s">
        <v>702</v>
      </c>
      <c r="D95" s="2" t="s">
        <v>451</v>
      </c>
      <c r="E95" s="2" t="s">
        <v>716</v>
      </c>
      <c r="F95" s="6">
        <v>14</v>
      </c>
      <c r="G95" s="6" t="s">
        <v>537</v>
      </c>
      <c r="H95" s="6" t="s">
        <v>537</v>
      </c>
      <c r="I95" s="6">
        <v>0</v>
      </c>
      <c r="J95" s="6">
        <v>14</v>
      </c>
      <c r="K95" s="6">
        <v>0</v>
      </c>
      <c r="L95" s="2"/>
      <c r="M95" s="9"/>
      <c r="N95" s="2"/>
      <c r="O95" s="2"/>
      <c r="P95" s="2" t="s">
        <v>455</v>
      </c>
      <c r="Q95" s="2" t="s">
        <v>706</v>
      </c>
    </row>
    <row r="96" spans="1:17" ht="42.75">
      <c r="A96" s="2" t="s">
        <v>160</v>
      </c>
      <c r="B96" s="2" t="s">
        <v>449</v>
      </c>
      <c r="C96" s="2" t="s">
        <v>702</v>
      </c>
      <c r="D96" s="2" t="s">
        <v>451</v>
      </c>
      <c r="E96" s="2" t="s">
        <v>717</v>
      </c>
      <c r="F96" s="6">
        <v>12</v>
      </c>
      <c r="G96" s="6" t="s">
        <v>537</v>
      </c>
      <c r="H96" s="6" t="s">
        <v>537</v>
      </c>
      <c r="I96" s="6">
        <v>0</v>
      </c>
      <c r="J96" s="6">
        <v>12</v>
      </c>
      <c r="K96" s="6">
        <v>0</v>
      </c>
      <c r="L96" s="2"/>
      <c r="M96" s="9"/>
      <c r="N96" s="2"/>
      <c r="O96" s="2" t="s">
        <v>187</v>
      </c>
      <c r="P96" s="2" t="s">
        <v>455</v>
      </c>
      <c r="Q96" s="2" t="s">
        <v>706</v>
      </c>
    </row>
    <row r="97" spans="1:17" ht="42.75">
      <c r="A97" s="2" t="s">
        <v>161</v>
      </c>
      <c r="B97" s="2" t="s">
        <v>449</v>
      </c>
      <c r="C97" s="2" t="s">
        <v>702</v>
      </c>
      <c r="D97" s="2" t="s">
        <v>451</v>
      </c>
      <c r="E97" s="2" t="s">
        <v>718</v>
      </c>
      <c r="F97" s="6">
        <v>14</v>
      </c>
      <c r="G97" s="6" t="s">
        <v>537</v>
      </c>
      <c r="H97" s="6" t="s">
        <v>537</v>
      </c>
      <c r="I97" s="6">
        <v>0</v>
      </c>
      <c r="J97" s="6">
        <v>14</v>
      </c>
      <c r="K97" s="6">
        <v>0</v>
      </c>
      <c r="L97" s="2"/>
      <c r="M97" s="9"/>
      <c r="N97" s="2" t="s">
        <v>719</v>
      </c>
      <c r="O97" s="2"/>
      <c r="P97" s="2" t="s">
        <v>455</v>
      </c>
      <c r="Q97" s="2" t="s">
        <v>706</v>
      </c>
    </row>
    <row r="98" spans="1:17" ht="42.75">
      <c r="A98" s="2" t="s">
        <v>162</v>
      </c>
      <c r="B98" s="2" t="s">
        <v>449</v>
      </c>
      <c r="C98" s="2" t="s">
        <v>702</v>
      </c>
      <c r="D98" s="2" t="s">
        <v>451</v>
      </c>
      <c r="E98" s="2" t="s">
        <v>720</v>
      </c>
      <c r="F98" s="6">
        <v>12</v>
      </c>
      <c r="G98" s="6" t="s">
        <v>537</v>
      </c>
      <c r="H98" s="6" t="s">
        <v>537</v>
      </c>
      <c r="I98" s="6">
        <v>0</v>
      </c>
      <c r="J98" s="6">
        <v>12</v>
      </c>
      <c r="K98" s="6">
        <v>0</v>
      </c>
      <c r="L98" s="2"/>
      <c r="M98" s="9"/>
      <c r="N98" s="2"/>
      <c r="O98" s="2"/>
      <c r="P98" s="2" t="s">
        <v>455</v>
      </c>
      <c r="Q98" s="2" t="s">
        <v>706</v>
      </c>
    </row>
    <row r="99" spans="1:17" ht="85.5">
      <c r="A99" s="2" t="s">
        <v>163</v>
      </c>
      <c r="B99" s="2" t="s">
        <v>449</v>
      </c>
      <c r="C99" s="2" t="s">
        <v>702</v>
      </c>
      <c r="D99" s="2" t="s">
        <v>451</v>
      </c>
      <c r="E99" s="2" t="s">
        <v>721</v>
      </c>
      <c r="F99" s="6">
        <v>12</v>
      </c>
      <c r="G99" s="6" t="s">
        <v>537</v>
      </c>
      <c r="H99" s="6" t="s">
        <v>537</v>
      </c>
      <c r="I99" s="6">
        <v>0</v>
      </c>
      <c r="J99" s="6">
        <v>12</v>
      </c>
      <c r="K99" s="6">
        <v>0</v>
      </c>
      <c r="L99" s="2"/>
      <c r="M99" s="9"/>
      <c r="N99" s="2" t="s">
        <v>722</v>
      </c>
      <c r="O99" s="2"/>
      <c r="P99" s="2" t="s">
        <v>455</v>
      </c>
      <c r="Q99" s="2" t="s">
        <v>723</v>
      </c>
    </row>
    <row r="100" spans="1:17" ht="42.75">
      <c r="A100" s="2" t="s">
        <v>164</v>
      </c>
      <c r="B100" s="2" t="s">
        <v>449</v>
      </c>
      <c r="C100" s="2" t="s">
        <v>702</v>
      </c>
      <c r="D100" s="2" t="s">
        <v>451</v>
      </c>
      <c r="E100" s="2" t="s">
        <v>724</v>
      </c>
      <c r="F100" s="6">
        <v>6</v>
      </c>
      <c r="G100" s="6" t="s">
        <v>537</v>
      </c>
      <c r="H100" s="6" t="s">
        <v>537</v>
      </c>
      <c r="I100" s="6">
        <v>0</v>
      </c>
      <c r="J100" s="6">
        <v>6</v>
      </c>
      <c r="K100" s="6">
        <v>0</v>
      </c>
      <c r="L100" s="2"/>
      <c r="M100" s="9"/>
      <c r="N100" s="2" t="s">
        <v>725</v>
      </c>
      <c r="O100" s="2" t="s">
        <v>163</v>
      </c>
      <c r="P100" s="2" t="s">
        <v>455</v>
      </c>
      <c r="Q100" s="2" t="s">
        <v>706</v>
      </c>
    </row>
    <row r="101" spans="1:17" ht="57">
      <c r="A101" s="2" t="s">
        <v>82</v>
      </c>
      <c r="B101" s="2" t="s">
        <v>449</v>
      </c>
      <c r="C101" s="2" t="s">
        <v>450</v>
      </c>
      <c r="D101" s="2" t="s">
        <v>491</v>
      </c>
      <c r="E101" s="2" t="s">
        <v>726</v>
      </c>
      <c r="F101" s="6">
        <v>6</v>
      </c>
      <c r="G101" s="6" t="s">
        <v>249</v>
      </c>
      <c r="H101" s="6" t="s">
        <v>249</v>
      </c>
      <c r="I101" s="6">
        <v>6</v>
      </c>
      <c r="J101" s="6">
        <v>0</v>
      </c>
      <c r="K101" s="6">
        <v>0</v>
      </c>
      <c r="L101" s="2" t="s">
        <v>727</v>
      </c>
      <c r="M101" s="9">
        <v>46264</v>
      </c>
      <c r="N101" s="2" t="s">
        <v>75</v>
      </c>
      <c r="O101" s="2" t="s">
        <v>163</v>
      </c>
      <c r="P101" s="2" t="s">
        <v>455</v>
      </c>
      <c r="Q101" s="2" t="s">
        <v>728</v>
      </c>
    </row>
    <row r="102" spans="1:17" ht="42.75">
      <c r="A102" s="2" t="s">
        <v>83</v>
      </c>
      <c r="B102" s="2" t="s">
        <v>449</v>
      </c>
      <c r="C102" s="2" t="s">
        <v>450</v>
      </c>
      <c r="D102" s="2" t="s">
        <v>451</v>
      </c>
      <c r="E102" s="2" t="s">
        <v>729</v>
      </c>
      <c r="F102" s="6">
        <v>12</v>
      </c>
      <c r="G102" s="6" t="s">
        <v>615</v>
      </c>
      <c r="H102" s="6" t="s">
        <v>615</v>
      </c>
      <c r="I102" s="6">
        <v>0</v>
      </c>
      <c r="J102" s="6">
        <v>12</v>
      </c>
      <c r="K102" s="6">
        <v>12</v>
      </c>
      <c r="L102" s="2"/>
      <c r="M102" s="9"/>
      <c r="N102" s="2" t="s">
        <v>466</v>
      </c>
      <c r="O102" s="2" t="s">
        <v>730</v>
      </c>
      <c r="P102" s="2" t="s">
        <v>455</v>
      </c>
      <c r="Q102" s="2" t="s">
        <v>731</v>
      </c>
    </row>
    <row r="103" spans="1:17" ht="42.75">
      <c r="A103" s="2" t="s">
        <v>86</v>
      </c>
      <c r="B103" s="2" t="s">
        <v>449</v>
      </c>
      <c r="C103" s="2" t="s">
        <v>450</v>
      </c>
      <c r="D103" s="2" t="s">
        <v>451</v>
      </c>
      <c r="E103" s="2" t="s">
        <v>732</v>
      </c>
      <c r="F103" s="6">
        <v>2</v>
      </c>
      <c r="G103" s="6" t="s">
        <v>537</v>
      </c>
      <c r="H103" s="6" t="s">
        <v>537</v>
      </c>
      <c r="I103" s="6">
        <v>0</v>
      </c>
      <c r="J103" s="6">
        <v>2</v>
      </c>
      <c r="K103" s="6">
        <v>0</v>
      </c>
      <c r="L103" s="2"/>
      <c r="M103" s="9"/>
      <c r="N103" s="2" t="s">
        <v>83</v>
      </c>
      <c r="O103" s="2" t="s">
        <v>733</v>
      </c>
      <c r="P103" s="2" t="s">
        <v>455</v>
      </c>
      <c r="Q103" s="2" t="s">
        <v>734</v>
      </c>
    </row>
    <row r="104" spans="1:17" ht="42.75">
      <c r="A104" s="2" t="s">
        <v>84</v>
      </c>
      <c r="B104" s="2" t="s">
        <v>449</v>
      </c>
      <c r="C104" s="2" t="s">
        <v>450</v>
      </c>
      <c r="D104" s="2" t="s">
        <v>451</v>
      </c>
      <c r="E104" s="2" t="s">
        <v>735</v>
      </c>
      <c r="F104" s="6">
        <v>8</v>
      </c>
      <c r="G104" s="6" t="s">
        <v>537</v>
      </c>
      <c r="H104" s="6" t="s">
        <v>537</v>
      </c>
      <c r="I104" s="6">
        <v>0</v>
      </c>
      <c r="J104" s="6">
        <v>8</v>
      </c>
      <c r="K104" s="6">
        <v>0</v>
      </c>
      <c r="L104" s="2"/>
      <c r="M104" s="9"/>
      <c r="N104" s="2" t="s">
        <v>736</v>
      </c>
      <c r="O104" s="2" t="s">
        <v>737</v>
      </c>
      <c r="P104" s="2" t="s">
        <v>455</v>
      </c>
      <c r="Q104" s="2" t="s">
        <v>738</v>
      </c>
    </row>
    <row r="105" spans="1:17" ht="28.5">
      <c r="A105" s="2" t="s">
        <v>85</v>
      </c>
      <c r="B105" s="2" t="s">
        <v>449</v>
      </c>
      <c r="C105" s="2" t="s">
        <v>450</v>
      </c>
      <c r="D105" s="2" t="s">
        <v>451</v>
      </c>
      <c r="E105" s="2" t="s">
        <v>739</v>
      </c>
      <c r="F105" s="6">
        <v>12</v>
      </c>
      <c r="G105" s="6" t="s">
        <v>537</v>
      </c>
      <c r="H105" s="6" t="s">
        <v>537</v>
      </c>
      <c r="I105" s="6">
        <v>0</v>
      </c>
      <c r="J105" s="6">
        <v>12</v>
      </c>
      <c r="K105" s="6">
        <v>0</v>
      </c>
      <c r="L105" s="2"/>
      <c r="M105" s="9"/>
      <c r="N105" s="2" t="s">
        <v>740</v>
      </c>
      <c r="O105" s="2" t="s">
        <v>741</v>
      </c>
      <c r="P105" s="2" t="s">
        <v>455</v>
      </c>
      <c r="Q105" s="2" t="s">
        <v>742</v>
      </c>
    </row>
    <row r="106" spans="1:17" ht="28.5">
      <c r="A106" s="2" t="s">
        <v>165</v>
      </c>
      <c r="B106" s="2" t="s">
        <v>449</v>
      </c>
      <c r="C106" s="2" t="s">
        <v>702</v>
      </c>
      <c r="D106" s="2" t="s">
        <v>504</v>
      </c>
      <c r="E106" s="2" t="s">
        <v>743</v>
      </c>
      <c r="F106" s="2">
        <v>8</v>
      </c>
      <c r="G106" s="2" t="s">
        <v>537</v>
      </c>
      <c r="H106" s="2" t="s">
        <v>537</v>
      </c>
      <c r="I106" s="2">
        <v>0</v>
      </c>
      <c r="J106" s="2">
        <v>8</v>
      </c>
      <c r="K106" s="2">
        <v>0</v>
      </c>
      <c r="L106" s="2"/>
      <c r="M106" s="9"/>
      <c r="N106" s="2" t="s">
        <v>744</v>
      </c>
      <c r="O106" s="2" t="s">
        <v>745</v>
      </c>
      <c r="P106" s="2" t="s">
        <v>455</v>
      </c>
      <c r="Q106" s="2" t="s">
        <v>746</v>
      </c>
    </row>
    <row r="107" spans="1:17" ht="42.75">
      <c r="A107" s="2" t="s">
        <v>166</v>
      </c>
      <c r="B107" s="2" t="s">
        <v>449</v>
      </c>
      <c r="C107" s="2" t="s">
        <v>702</v>
      </c>
      <c r="D107" s="2" t="s">
        <v>491</v>
      </c>
      <c r="E107" s="2" t="s">
        <v>747</v>
      </c>
      <c r="F107" s="2">
        <v>6</v>
      </c>
      <c r="G107" s="2" t="s">
        <v>537</v>
      </c>
      <c r="H107" s="2" t="s">
        <v>537</v>
      </c>
      <c r="I107" s="2">
        <v>0</v>
      </c>
      <c r="J107" s="2">
        <v>6</v>
      </c>
      <c r="K107" s="2">
        <v>0</v>
      </c>
      <c r="L107" s="2"/>
      <c r="M107" s="9"/>
      <c r="N107" s="2" t="s">
        <v>748</v>
      </c>
      <c r="O107" s="2" t="s">
        <v>749</v>
      </c>
      <c r="P107" s="2" t="s">
        <v>455</v>
      </c>
      <c r="Q107" s="2" t="s">
        <v>750</v>
      </c>
    </row>
  </sheetData>
  <conditionalFormatting sqref="H2:H105">
    <cfRule type="expression" dxfId="23" priority="1">
      <formula>H2="Done"</formula>
    </cfRule>
    <cfRule type="expression" dxfId="22" priority="2">
      <formula>H2="In Progress"</formula>
    </cfRule>
  </conditionalFormatting>
  <conditionalFormatting sqref="J2:J105">
    <cfRule type="dataBar" priority="3">
      <dataBar>
        <cfvo type="min"/>
        <cfvo type="max"/>
        <color rgb="FFA02B93"/>
      </dataBar>
    </cfRule>
    <cfRule type="dataBar" priority="4">
      <dataBar>
        <cfvo type="min"/>
        <cfvo type="max"/>
        <color rgb="FFA02B93"/>
      </dataBar>
    </cfRule>
    <cfRule type="dataBar" priority="5">
      <dataBar>
        <cfvo type="min"/>
        <cfvo type="max"/>
        <color rgb="FFA02B93"/>
      </dataBar>
    </cfRule>
    <cfRule type="dataBar" priority="6">
      <dataBar>
        <cfvo type="min"/>
        <cfvo type="max"/>
        <color rgb="FFA02B93"/>
      </dataBar>
      <extLst>
        <ext xmlns:x14="http://schemas.microsoft.com/office/spreadsheetml/2009/9/main" uri="{B025F937-C7B1-47D3-B67F-A62EFF666E3E}">
          <x14:id>{8C2F50B9-ACFD-7DAA-248D-FFAF87D21C62}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C2F50B9-ACFD-7DAA-248D-FFAF87D21C62}">
            <x14:dataBar>
              <x14:cfvo type="min"/>
              <x14:cfvo type="max"/>
              <x14:negativeFillColor auto="1"/>
              <x14:axisColor auto="1"/>
            </x14:dataBar>
          </x14:cfRule>
          <xm:sqref>J2:J105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3"/>
  <sheetViews>
    <sheetView workbookViewId="0"/>
  </sheetViews>
  <sheetFormatPr defaultRowHeight="14.25"/>
  <cols>
    <col min="1" max="6" width="14" customWidth="1"/>
    <col min="7" max="7" width="13" customWidth="1"/>
    <col min="8" max="8" width="78" customWidth="1"/>
  </cols>
  <sheetData>
    <row r="1" spans="1:8" ht="18">
      <c r="A1" s="107" t="s">
        <v>751</v>
      </c>
      <c r="B1" s="107"/>
      <c r="C1" s="107"/>
      <c r="D1" s="107"/>
      <c r="E1" s="107"/>
      <c r="F1" s="107"/>
      <c r="G1" s="107"/>
      <c r="H1" s="107"/>
    </row>
    <row r="2" spans="1:8">
      <c r="A2" s="2"/>
      <c r="B2" s="2"/>
      <c r="C2" s="2"/>
      <c r="D2" s="2"/>
      <c r="E2" s="2"/>
      <c r="F2" s="2"/>
      <c r="G2" s="2"/>
      <c r="H2" s="2"/>
    </row>
    <row r="3" spans="1:8" ht="15">
      <c r="A3" s="15" t="s">
        <v>55</v>
      </c>
      <c r="B3" s="15" t="s">
        <v>442</v>
      </c>
      <c r="C3" s="15" t="s">
        <v>752</v>
      </c>
      <c r="D3" s="15" t="s">
        <v>446</v>
      </c>
      <c r="E3" s="15" t="s">
        <v>447</v>
      </c>
      <c r="F3" s="15" t="s">
        <v>753</v>
      </c>
      <c r="G3" s="15" t="s">
        <v>754</v>
      </c>
      <c r="H3" s="15" t="s">
        <v>755</v>
      </c>
    </row>
    <row r="4" spans="1:8">
      <c r="A4" s="2" t="s">
        <v>450</v>
      </c>
      <c r="B4" s="2" t="s">
        <v>451</v>
      </c>
      <c r="C4" s="2">
        <v>172</v>
      </c>
      <c r="D4" s="2">
        <v>172</v>
      </c>
      <c r="E4" s="2">
        <f t="shared" ref="E4:E18" si="0">C4-D4</f>
        <v>0</v>
      </c>
      <c r="F4" s="2">
        <v>0</v>
      </c>
      <c r="G4" s="13">
        <f t="shared" ref="G4:G18" si="1">IF(C4=0,0,D4/C4)</f>
        <v>1</v>
      </c>
      <c r="H4" s="2">
        <v>0</v>
      </c>
    </row>
    <row r="5" spans="1:8">
      <c r="A5" s="2" t="s">
        <v>450</v>
      </c>
      <c r="B5" s="2" t="s">
        <v>491</v>
      </c>
      <c r="C5" s="2">
        <v>44</v>
      </c>
      <c r="D5" s="2">
        <v>44</v>
      </c>
      <c r="E5" s="2">
        <f t="shared" si="0"/>
        <v>0</v>
      </c>
      <c r="F5" s="2">
        <v>0</v>
      </c>
      <c r="G5" s="13">
        <f t="shared" si="1"/>
        <v>1</v>
      </c>
      <c r="H5" s="2">
        <v>0</v>
      </c>
    </row>
    <row r="6" spans="1:8">
      <c r="A6" s="2" t="s">
        <v>450</v>
      </c>
      <c r="B6" s="2" t="s">
        <v>504</v>
      </c>
      <c r="C6" s="2">
        <v>29</v>
      </c>
      <c r="D6" s="2">
        <v>29</v>
      </c>
      <c r="E6" s="2">
        <f t="shared" si="0"/>
        <v>0</v>
      </c>
      <c r="F6" s="2">
        <v>0</v>
      </c>
      <c r="G6" s="13">
        <f t="shared" si="1"/>
        <v>1</v>
      </c>
      <c r="H6" s="2">
        <v>0</v>
      </c>
    </row>
    <row r="7" spans="1:8">
      <c r="A7" s="2" t="s">
        <v>524</v>
      </c>
      <c r="B7" s="2" t="s">
        <v>451</v>
      </c>
      <c r="C7" s="2">
        <v>137</v>
      </c>
      <c r="D7" s="2">
        <v>32</v>
      </c>
      <c r="E7" s="2">
        <f t="shared" si="0"/>
        <v>105</v>
      </c>
      <c r="F7" s="2">
        <v>8</v>
      </c>
      <c r="G7" s="13">
        <f t="shared" si="1"/>
        <v>0.23357664233576642</v>
      </c>
      <c r="H7" s="2">
        <v>12</v>
      </c>
    </row>
    <row r="8" spans="1:8">
      <c r="A8" s="2" t="s">
        <v>524</v>
      </c>
      <c r="B8" s="2" t="s">
        <v>491</v>
      </c>
      <c r="C8" s="2">
        <v>148</v>
      </c>
      <c r="D8" s="2">
        <v>60</v>
      </c>
      <c r="E8" s="2">
        <f t="shared" si="0"/>
        <v>88</v>
      </c>
      <c r="F8" s="2">
        <v>24</v>
      </c>
      <c r="G8" s="13">
        <f t="shared" si="1"/>
        <v>0.40540540540540543</v>
      </c>
      <c r="H8" s="2">
        <v>9</v>
      </c>
    </row>
    <row r="9" spans="1:8">
      <c r="A9" s="2" t="s">
        <v>524</v>
      </c>
      <c r="B9" s="2" t="s">
        <v>504</v>
      </c>
      <c r="C9" s="2">
        <v>38</v>
      </c>
      <c r="D9" s="2">
        <v>0</v>
      </c>
      <c r="E9" s="2">
        <f t="shared" si="0"/>
        <v>38</v>
      </c>
      <c r="F9" s="2">
        <v>16</v>
      </c>
      <c r="G9" s="13">
        <f t="shared" si="1"/>
        <v>0</v>
      </c>
      <c r="H9" s="2">
        <v>3</v>
      </c>
    </row>
    <row r="10" spans="1:8">
      <c r="A10" s="2" t="s">
        <v>622</v>
      </c>
      <c r="B10" s="2" t="s">
        <v>451</v>
      </c>
      <c r="C10" s="2">
        <v>0</v>
      </c>
      <c r="D10" s="2">
        <v>0</v>
      </c>
      <c r="E10" s="2">
        <f t="shared" si="0"/>
        <v>0</v>
      </c>
      <c r="F10" s="2">
        <v>0</v>
      </c>
      <c r="G10" s="13">
        <f t="shared" si="1"/>
        <v>0</v>
      </c>
      <c r="H10" s="2">
        <v>0</v>
      </c>
    </row>
    <row r="11" spans="1:8">
      <c r="A11" s="2" t="s">
        <v>622</v>
      </c>
      <c r="B11" s="2" t="s">
        <v>491</v>
      </c>
      <c r="C11" s="2">
        <v>36</v>
      </c>
      <c r="D11" s="2">
        <v>0</v>
      </c>
      <c r="E11" s="2">
        <f t="shared" si="0"/>
        <v>36</v>
      </c>
      <c r="F11" s="2">
        <v>0</v>
      </c>
      <c r="G11" s="13">
        <f t="shared" si="1"/>
        <v>0</v>
      </c>
      <c r="H11" s="2">
        <v>4</v>
      </c>
    </row>
    <row r="12" spans="1:8">
      <c r="A12" s="2" t="s">
        <v>622</v>
      </c>
      <c r="B12" s="2" t="s">
        <v>504</v>
      </c>
      <c r="C12" s="2">
        <v>0</v>
      </c>
      <c r="D12" s="2">
        <v>0</v>
      </c>
      <c r="E12" s="2">
        <f t="shared" si="0"/>
        <v>0</v>
      </c>
      <c r="F12" s="2">
        <v>0</v>
      </c>
      <c r="G12" s="13">
        <f t="shared" si="1"/>
        <v>0</v>
      </c>
      <c r="H12" s="2">
        <v>0</v>
      </c>
    </row>
    <row r="13" spans="1:8">
      <c r="A13" s="2" t="s">
        <v>634</v>
      </c>
      <c r="B13" s="2" t="s">
        <v>451</v>
      </c>
      <c r="C13" s="2">
        <v>0</v>
      </c>
      <c r="D13" s="2">
        <v>0</v>
      </c>
      <c r="E13" s="2">
        <f t="shared" si="0"/>
        <v>0</v>
      </c>
      <c r="F13" s="2">
        <v>0</v>
      </c>
      <c r="G13" s="13">
        <f t="shared" si="1"/>
        <v>0</v>
      </c>
      <c r="H13" s="2">
        <v>0</v>
      </c>
    </row>
    <row r="14" spans="1:8">
      <c r="A14" s="2" t="s">
        <v>634</v>
      </c>
      <c r="B14" s="2" t="s">
        <v>491</v>
      </c>
      <c r="C14" s="2">
        <v>10</v>
      </c>
      <c r="D14" s="2">
        <v>0</v>
      </c>
      <c r="E14" s="2">
        <f t="shared" si="0"/>
        <v>10</v>
      </c>
      <c r="F14" s="2">
        <v>0</v>
      </c>
      <c r="G14" s="13">
        <f t="shared" si="1"/>
        <v>0</v>
      </c>
      <c r="H14" s="2">
        <v>1</v>
      </c>
    </row>
    <row r="15" spans="1:8">
      <c r="A15" s="2" t="s">
        <v>634</v>
      </c>
      <c r="B15" s="2" t="s">
        <v>504</v>
      </c>
      <c r="C15" s="2">
        <v>94</v>
      </c>
      <c r="D15" s="2">
        <v>56</v>
      </c>
      <c r="E15" s="2">
        <f t="shared" si="0"/>
        <v>38</v>
      </c>
      <c r="F15" s="2">
        <v>0</v>
      </c>
      <c r="G15" s="13">
        <f t="shared" si="1"/>
        <v>0.5957446808510638</v>
      </c>
      <c r="H15" s="2">
        <v>4</v>
      </c>
    </row>
    <row r="16" spans="1:8">
      <c r="A16" s="2" t="s">
        <v>702</v>
      </c>
      <c r="B16" s="2" t="s">
        <v>451</v>
      </c>
      <c r="C16" s="2">
        <v>128</v>
      </c>
      <c r="D16" s="2">
        <v>0</v>
      </c>
      <c r="E16" s="2">
        <f t="shared" si="0"/>
        <v>128</v>
      </c>
      <c r="F16" s="2">
        <v>0</v>
      </c>
      <c r="G16" s="13">
        <f t="shared" si="1"/>
        <v>0</v>
      </c>
      <c r="H16" s="2">
        <v>12</v>
      </c>
    </row>
    <row r="17" spans="1:8">
      <c r="A17" s="2" t="s">
        <v>702</v>
      </c>
      <c r="B17" s="2" t="s">
        <v>491</v>
      </c>
      <c r="C17" s="2">
        <v>18</v>
      </c>
      <c r="D17" s="2">
        <v>0</v>
      </c>
      <c r="E17" s="2">
        <f t="shared" si="0"/>
        <v>18</v>
      </c>
      <c r="F17" s="2">
        <v>0</v>
      </c>
      <c r="G17" s="13">
        <f t="shared" si="1"/>
        <v>0</v>
      </c>
      <c r="H17" s="2">
        <v>2</v>
      </c>
    </row>
    <row r="18" spans="1:8">
      <c r="A18" s="2" t="s">
        <v>702</v>
      </c>
      <c r="B18" s="2" t="s">
        <v>504</v>
      </c>
      <c r="C18" s="2">
        <v>8</v>
      </c>
      <c r="D18" s="2">
        <v>0</v>
      </c>
      <c r="E18" s="2">
        <f t="shared" si="0"/>
        <v>8</v>
      </c>
      <c r="F18" s="2">
        <v>0</v>
      </c>
      <c r="G18" s="13">
        <f t="shared" si="1"/>
        <v>0</v>
      </c>
      <c r="H18" s="2">
        <v>1</v>
      </c>
    </row>
    <row r="19" spans="1:8">
      <c r="A19" s="2"/>
      <c r="B19" s="2"/>
      <c r="C19" s="2"/>
      <c r="D19" s="2"/>
      <c r="E19" s="2"/>
      <c r="F19" s="2"/>
      <c r="G19" s="2"/>
      <c r="H19" s="2"/>
    </row>
    <row r="20" spans="1:8">
      <c r="A20" s="2"/>
      <c r="B20" s="2"/>
      <c r="C20" s="2"/>
      <c r="D20" s="2"/>
      <c r="E20" s="2"/>
      <c r="F20" s="2"/>
      <c r="G20" s="2"/>
      <c r="H20" s="2"/>
    </row>
    <row r="21" spans="1:8" ht="15">
      <c r="A21" s="16" t="s">
        <v>55</v>
      </c>
      <c r="B21" s="16" t="s">
        <v>752</v>
      </c>
      <c r="C21" s="16" t="s">
        <v>446</v>
      </c>
      <c r="D21" s="16" t="s">
        <v>447</v>
      </c>
      <c r="E21" s="16" t="s">
        <v>753</v>
      </c>
      <c r="F21" s="16" t="s">
        <v>754</v>
      </c>
      <c r="G21" s="16" t="s">
        <v>755</v>
      </c>
      <c r="H21" s="16" t="s">
        <v>756</v>
      </c>
    </row>
    <row r="22" spans="1:8" ht="28.5">
      <c r="A22" s="2" t="s">
        <v>450</v>
      </c>
      <c r="B22" s="2">
        <v>245</v>
      </c>
      <c r="C22" s="2">
        <v>245</v>
      </c>
      <c r="D22" s="2">
        <v>0</v>
      </c>
      <c r="E22" s="2">
        <v>0</v>
      </c>
      <c r="F22" s="13">
        <v>1</v>
      </c>
      <c r="G22" s="2">
        <v>0</v>
      </c>
      <c r="H22" s="2" t="s">
        <v>757</v>
      </c>
    </row>
    <row r="23" spans="1:8" ht="28.5">
      <c r="A23" s="2" t="s">
        <v>524</v>
      </c>
      <c r="B23" s="2">
        <v>323</v>
      </c>
      <c r="C23" s="2">
        <v>92</v>
      </c>
      <c r="D23" s="2">
        <v>231</v>
      </c>
      <c r="E23" s="2">
        <v>48</v>
      </c>
      <c r="F23" s="13">
        <v>0.28482972136222912</v>
      </c>
      <c r="G23" s="2">
        <v>24</v>
      </c>
      <c r="H23" s="2" t="s">
        <v>758</v>
      </c>
    </row>
    <row r="24" spans="1:8" ht="28.5">
      <c r="A24" s="2" t="s">
        <v>622</v>
      </c>
      <c r="B24" s="2">
        <v>36</v>
      </c>
      <c r="C24" s="2">
        <v>0</v>
      </c>
      <c r="D24" s="2">
        <v>36</v>
      </c>
      <c r="E24" s="2">
        <v>0</v>
      </c>
      <c r="F24" s="13">
        <v>0</v>
      </c>
      <c r="G24" s="2">
        <v>4</v>
      </c>
      <c r="H24" s="2" t="s">
        <v>759</v>
      </c>
    </row>
    <row r="25" spans="1:8">
      <c r="A25" s="2" t="s">
        <v>634</v>
      </c>
      <c r="B25" s="2">
        <v>276</v>
      </c>
      <c r="C25" s="2">
        <v>228</v>
      </c>
      <c r="D25" s="2">
        <v>48</v>
      </c>
      <c r="E25" s="2">
        <v>0</v>
      </c>
      <c r="F25" s="13">
        <v>0.82608695652173914</v>
      </c>
      <c r="G25" s="2">
        <v>5</v>
      </c>
      <c r="H25" s="2" t="s">
        <v>760</v>
      </c>
    </row>
    <row r="26" spans="1:8">
      <c r="A26" s="2" t="s">
        <v>702</v>
      </c>
      <c r="B26" s="2">
        <v>154</v>
      </c>
      <c r="C26" s="2">
        <v>0</v>
      </c>
      <c r="D26" s="2">
        <v>154</v>
      </c>
      <c r="E26" s="2">
        <v>0</v>
      </c>
      <c r="F26" s="13">
        <v>0</v>
      </c>
      <c r="G26" s="2">
        <v>15</v>
      </c>
      <c r="H26" s="2" t="s">
        <v>761</v>
      </c>
    </row>
    <row r="27" spans="1:8">
      <c r="A27" s="2"/>
      <c r="B27" s="2"/>
      <c r="C27" s="2"/>
      <c r="D27" s="2"/>
      <c r="E27" s="2"/>
      <c r="F27" s="2"/>
      <c r="G27" s="2"/>
      <c r="H27" s="2"/>
    </row>
    <row r="28" spans="1:8">
      <c r="A28" s="2"/>
      <c r="B28" s="2"/>
      <c r="C28" s="2"/>
      <c r="D28" s="2"/>
      <c r="E28" s="2"/>
      <c r="F28" s="2"/>
      <c r="G28" s="2"/>
      <c r="H28" s="2"/>
    </row>
    <row r="29" spans="1:8" ht="15">
      <c r="A29" s="16" t="s">
        <v>442</v>
      </c>
      <c r="B29" s="16" t="s">
        <v>752</v>
      </c>
      <c r="C29" s="16" t="s">
        <v>446</v>
      </c>
      <c r="D29" s="16" t="s">
        <v>447</v>
      </c>
      <c r="E29" s="16" t="s">
        <v>753</v>
      </c>
      <c r="F29" s="16" t="s">
        <v>754</v>
      </c>
      <c r="G29" s="16" t="s">
        <v>755</v>
      </c>
      <c r="H29" s="2"/>
    </row>
    <row r="30" spans="1:8">
      <c r="A30" s="2" t="s">
        <v>451</v>
      </c>
      <c r="B30" s="2">
        <v>437</v>
      </c>
      <c r="C30" s="2">
        <v>204</v>
      </c>
      <c r="D30" s="2">
        <v>233</v>
      </c>
      <c r="E30" s="2">
        <v>8</v>
      </c>
      <c r="F30" s="13">
        <v>0.46681922196796338</v>
      </c>
      <c r="G30" s="2">
        <v>24</v>
      </c>
      <c r="H30" s="2"/>
    </row>
    <row r="31" spans="1:8">
      <c r="A31" s="2" t="s">
        <v>491</v>
      </c>
      <c r="B31" s="2">
        <v>256</v>
      </c>
      <c r="C31" s="2">
        <v>104</v>
      </c>
      <c r="D31" s="2">
        <v>152</v>
      </c>
      <c r="E31" s="2">
        <v>24</v>
      </c>
      <c r="F31" s="13">
        <v>0.40625</v>
      </c>
      <c r="G31" s="2">
        <v>16</v>
      </c>
      <c r="H31" s="2"/>
    </row>
    <row r="32" spans="1:8">
      <c r="A32" s="2" t="s">
        <v>504</v>
      </c>
      <c r="B32" s="2">
        <v>169</v>
      </c>
      <c r="C32" s="2">
        <v>85</v>
      </c>
      <c r="D32" s="2">
        <v>84</v>
      </c>
      <c r="E32" s="2">
        <v>16</v>
      </c>
      <c r="F32" s="13">
        <v>0.50295857988165682</v>
      </c>
      <c r="G32" s="2">
        <v>8</v>
      </c>
      <c r="H32" s="2"/>
    </row>
    <row r="33" spans="1:8">
      <c r="A33" s="2"/>
      <c r="B33" s="2"/>
      <c r="C33" s="2"/>
      <c r="D33" s="2"/>
      <c r="E33" s="2"/>
      <c r="F33" s="2"/>
      <c r="G33" s="2"/>
      <c r="H33" s="2"/>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1"/>
  <sheetViews>
    <sheetView workbookViewId="0"/>
  </sheetViews>
  <sheetFormatPr defaultRowHeight="14.25"/>
  <cols>
    <col min="1" max="14" width="14" customWidth="1"/>
  </cols>
  <sheetData>
    <row r="1" spans="1:14">
      <c r="A1" s="111" t="s">
        <v>762</v>
      </c>
      <c r="B1" s="111"/>
      <c r="C1" s="111"/>
      <c r="D1" s="111"/>
      <c r="E1" s="111"/>
      <c r="F1" s="111"/>
      <c r="G1" s="111"/>
      <c r="H1" s="111"/>
      <c r="I1" s="112"/>
      <c r="J1" s="112"/>
      <c r="K1" s="112"/>
      <c r="L1" s="112"/>
      <c r="M1" s="112"/>
      <c r="N1" s="112"/>
    </row>
    <row r="2" spans="1:14">
      <c r="A2" s="112"/>
      <c r="B2" s="112"/>
      <c r="C2" s="112"/>
      <c r="D2" s="112"/>
      <c r="E2" s="112"/>
      <c r="F2" s="112"/>
      <c r="G2" s="112"/>
      <c r="H2" s="112"/>
      <c r="I2" s="112"/>
      <c r="J2" s="112"/>
      <c r="K2" s="112"/>
      <c r="L2" s="112"/>
      <c r="M2" s="112"/>
      <c r="N2" s="112"/>
    </row>
    <row r="3" spans="1:14">
      <c r="A3" s="113" t="s">
        <v>763</v>
      </c>
      <c r="B3" s="113"/>
      <c r="C3" s="113"/>
      <c r="D3" s="113"/>
      <c r="E3" s="113"/>
      <c r="F3" s="113"/>
      <c r="G3" s="113"/>
      <c r="H3" s="113"/>
      <c r="I3" s="113"/>
      <c r="J3" s="113"/>
      <c r="K3" s="113"/>
      <c r="L3" s="113"/>
      <c r="M3" s="113"/>
      <c r="N3" s="113"/>
    </row>
    <row r="5" spans="1:14">
      <c r="A5" s="114" t="s">
        <v>764</v>
      </c>
      <c r="B5" s="115"/>
      <c r="C5" s="115"/>
      <c r="D5" s="114" t="s">
        <v>446</v>
      </c>
      <c r="E5" s="115"/>
      <c r="F5" s="115"/>
      <c r="G5" s="114" t="s">
        <v>447</v>
      </c>
      <c r="H5" s="115"/>
      <c r="I5" s="115"/>
      <c r="J5" s="114" t="s">
        <v>765</v>
      </c>
      <c r="K5" s="115"/>
      <c r="L5" s="115"/>
    </row>
    <row r="6" spans="1:14">
      <c r="A6" s="115"/>
      <c r="B6" s="115"/>
      <c r="C6" s="115"/>
      <c r="D6" s="115"/>
      <c r="E6" s="115"/>
      <c r="F6" s="115"/>
      <c r="G6" s="115"/>
      <c r="H6" s="115"/>
      <c r="I6" s="115"/>
      <c r="J6" s="115"/>
      <c r="K6" s="115"/>
      <c r="L6" s="115"/>
    </row>
    <row r="7" spans="1:14">
      <c r="A7" s="108">
        <v>1034</v>
      </c>
      <c r="B7" s="108"/>
      <c r="C7" s="108"/>
      <c r="D7" s="108">
        <v>565</v>
      </c>
      <c r="E7" s="108"/>
      <c r="F7" s="108"/>
      <c r="G7" s="108">
        <v>469</v>
      </c>
      <c r="H7" s="108"/>
      <c r="I7" s="108"/>
      <c r="J7" s="109">
        <v>0.54642166344294008</v>
      </c>
      <c r="K7" s="108"/>
      <c r="L7" s="108"/>
    </row>
    <row r="8" spans="1:14">
      <c r="A8" s="108"/>
      <c r="B8" s="108"/>
      <c r="C8" s="108"/>
      <c r="D8" s="108"/>
      <c r="E8" s="108"/>
      <c r="F8" s="108"/>
      <c r="G8" s="108"/>
      <c r="H8" s="108"/>
      <c r="I8" s="108"/>
      <c r="J8" s="108"/>
      <c r="K8" s="108"/>
      <c r="L8" s="108"/>
    </row>
    <row r="9" spans="1:14">
      <c r="A9" s="108"/>
      <c r="B9" s="108"/>
      <c r="C9" s="108"/>
      <c r="D9" s="108"/>
      <c r="E9" s="108"/>
      <c r="F9" s="108"/>
      <c r="G9" s="108"/>
      <c r="H9" s="108"/>
      <c r="I9" s="108"/>
      <c r="J9" s="108"/>
      <c r="K9" s="108"/>
      <c r="L9" s="108"/>
    </row>
    <row r="11" spans="1:14" ht="15">
      <c r="A11" s="110" t="s">
        <v>766</v>
      </c>
      <c r="B11" s="110"/>
      <c r="C11" s="110"/>
      <c r="D11" s="110"/>
      <c r="E11" s="110"/>
      <c r="F11" s="110"/>
      <c r="G11" s="110"/>
      <c r="H11" s="110"/>
    </row>
    <row r="12" spans="1:14" ht="15">
      <c r="A12" s="16" t="s">
        <v>767</v>
      </c>
      <c r="B12" s="16" t="s">
        <v>768</v>
      </c>
      <c r="C12" s="16" t="s">
        <v>769</v>
      </c>
      <c r="D12" s="16" t="s">
        <v>9</v>
      </c>
      <c r="E12" s="16" t="s">
        <v>770</v>
      </c>
      <c r="F12" s="16" t="s">
        <v>771</v>
      </c>
      <c r="G12" s="16" t="s">
        <v>772</v>
      </c>
      <c r="H12" s="16" t="s">
        <v>773</v>
      </c>
    </row>
    <row r="13" spans="1:14" ht="85.5">
      <c r="A13" s="2" t="s">
        <v>451</v>
      </c>
      <c r="B13" s="2" t="s">
        <v>87</v>
      </c>
      <c r="C13" s="2" t="s">
        <v>615</v>
      </c>
      <c r="D13" s="2">
        <v>6</v>
      </c>
      <c r="E13" s="2" t="s">
        <v>774</v>
      </c>
      <c r="F13" s="2" t="s">
        <v>775</v>
      </c>
      <c r="G13" s="2" t="s">
        <v>776</v>
      </c>
      <c r="H13" s="2" t="s">
        <v>777</v>
      </c>
    </row>
    <row r="14" spans="1:14" ht="71.25">
      <c r="A14" s="2" t="s">
        <v>491</v>
      </c>
      <c r="B14" s="2" t="s">
        <v>117</v>
      </c>
      <c r="C14" s="2" t="s">
        <v>615</v>
      </c>
      <c r="D14" s="2">
        <v>12</v>
      </c>
      <c r="E14" s="2" t="s">
        <v>778</v>
      </c>
      <c r="F14" s="2" t="s">
        <v>779</v>
      </c>
      <c r="G14" s="2" t="s">
        <v>780</v>
      </c>
      <c r="H14" s="2" t="s">
        <v>781</v>
      </c>
    </row>
    <row r="15" spans="1:14" ht="57">
      <c r="A15" s="2" t="s">
        <v>504</v>
      </c>
      <c r="B15" s="2" t="s">
        <v>98</v>
      </c>
      <c r="C15" s="2" t="s">
        <v>782</v>
      </c>
      <c r="D15" s="2">
        <v>16</v>
      </c>
      <c r="E15" s="2" t="s">
        <v>783</v>
      </c>
      <c r="F15" s="2" t="s">
        <v>784</v>
      </c>
      <c r="G15" s="2" t="s">
        <v>785</v>
      </c>
      <c r="H15" s="2" t="s">
        <v>786</v>
      </c>
    </row>
    <row r="16" spans="1:14" ht="57">
      <c r="A16" s="2" t="s">
        <v>451</v>
      </c>
      <c r="B16" s="2" t="s">
        <v>85</v>
      </c>
      <c r="C16" s="2" t="s">
        <v>787</v>
      </c>
      <c r="D16" s="2">
        <v>12</v>
      </c>
      <c r="E16" s="2" t="s">
        <v>788</v>
      </c>
      <c r="F16" s="2" t="s">
        <v>789</v>
      </c>
      <c r="G16" s="2" t="s">
        <v>790</v>
      </c>
      <c r="H16" s="2" t="s">
        <v>791</v>
      </c>
    </row>
    <row r="19" spans="1:11" ht="15">
      <c r="A19" s="14" t="s">
        <v>55</v>
      </c>
      <c r="B19" s="14" t="s">
        <v>446</v>
      </c>
      <c r="C19" s="14" t="s">
        <v>447</v>
      </c>
      <c r="D19" s="14" t="s">
        <v>753</v>
      </c>
      <c r="E19" s="14" t="s">
        <v>754</v>
      </c>
      <c r="G19" s="14" t="s">
        <v>442</v>
      </c>
      <c r="H19" s="14" t="s">
        <v>446</v>
      </c>
      <c r="I19" s="14" t="s">
        <v>447</v>
      </c>
      <c r="J19" s="14" t="s">
        <v>753</v>
      </c>
      <c r="K19" s="14" t="s">
        <v>754</v>
      </c>
    </row>
    <row r="20" spans="1:11">
      <c r="A20" t="s">
        <v>450</v>
      </c>
      <c r="B20">
        <v>245</v>
      </c>
      <c r="C20">
        <v>0</v>
      </c>
      <c r="D20">
        <v>0</v>
      </c>
      <c r="E20" s="10">
        <v>1</v>
      </c>
      <c r="G20" t="s">
        <v>451</v>
      </c>
      <c r="H20">
        <v>204</v>
      </c>
      <c r="I20">
        <v>233</v>
      </c>
      <c r="J20">
        <v>8</v>
      </c>
      <c r="K20" s="10">
        <v>0.46681922196796338</v>
      </c>
    </row>
    <row r="21" spans="1:11">
      <c r="A21" t="s">
        <v>524</v>
      </c>
      <c r="B21">
        <v>92</v>
      </c>
      <c r="C21">
        <v>231</v>
      </c>
      <c r="D21">
        <v>48</v>
      </c>
      <c r="E21" s="10">
        <v>0.28482972136222912</v>
      </c>
      <c r="G21" t="s">
        <v>491</v>
      </c>
      <c r="H21">
        <v>104</v>
      </c>
      <c r="I21">
        <v>152</v>
      </c>
      <c r="J21">
        <v>24</v>
      </c>
      <c r="K21" s="10">
        <v>0.40625</v>
      </c>
    </row>
    <row r="22" spans="1:11">
      <c r="A22" t="s">
        <v>622</v>
      </c>
      <c r="B22">
        <v>0</v>
      </c>
      <c r="C22">
        <v>36</v>
      </c>
      <c r="D22">
        <v>0</v>
      </c>
      <c r="E22" s="10">
        <v>0</v>
      </c>
      <c r="G22" t="s">
        <v>504</v>
      </c>
      <c r="H22">
        <v>85</v>
      </c>
      <c r="I22">
        <v>84</v>
      </c>
      <c r="J22">
        <v>16</v>
      </c>
      <c r="K22" s="10">
        <v>0.50295857988165682</v>
      </c>
    </row>
    <row r="23" spans="1:11">
      <c r="A23" t="s">
        <v>634</v>
      </c>
      <c r="B23">
        <v>228</v>
      </c>
      <c r="C23">
        <v>48</v>
      </c>
      <c r="D23">
        <v>0</v>
      </c>
      <c r="E23" s="10">
        <v>0.82608695652173914</v>
      </c>
    </row>
    <row r="24" spans="1:11">
      <c r="A24" t="s">
        <v>702</v>
      </c>
      <c r="B24">
        <v>0</v>
      </c>
      <c r="C24">
        <v>154</v>
      </c>
      <c r="D24">
        <v>0</v>
      </c>
      <c r="E24" s="10">
        <v>0</v>
      </c>
    </row>
    <row r="47" spans="1:5" ht="15">
      <c r="A47" s="16" t="s">
        <v>792</v>
      </c>
      <c r="B47" s="16" t="s">
        <v>793</v>
      </c>
      <c r="C47" s="16" t="s">
        <v>794</v>
      </c>
      <c r="D47" s="16" t="s">
        <v>795</v>
      </c>
      <c r="E47" s="16" t="s">
        <v>796</v>
      </c>
    </row>
    <row r="48" spans="1:5" ht="99.75">
      <c r="A48" s="2" t="s">
        <v>797</v>
      </c>
      <c r="B48" s="2">
        <v>1043</v>
      </c>
      <c r="C48" s="2">
        <v>1051</v>
      </c>
      <c r="D48" s="2">
        <v>8</v>
      </c>
      <c r="E48" s="2" t="s">
        <v>798</v>
      </c>
    </row>
    <row r="49" spans="1:6" ht="28.5">
      <c r="A49" s="2" t="s">
        <v>799</v>
      </c>
      <c r="B49" s="2">
        <v>513</v>
      </c>
      <c r="C49" s="2">
        <v>513</v>
      </c>
      <c r="D49" s="2">
        <v>0</v>
      </c>
      <c r="E49" s="2" t="s">
        <v>800</v>
      </c>
    </row>
    <row r="50" spans="1:6" ht="99.75">
      <c r="A50" s="2" t="s">
        <v>801</v>
      </c>
      <c r="B50" s="2">
        <v>530</v>
      </c>
      <c r="C50" s="2">
        <v>538</v>
      </c>
      <c r="D50" s="2">
        <v>8</v>
      </c>
      <c r="E50" s="2" t="s">
        <v>802</v>
      </c>
    </row>
    <row r="51" spans="1:6" ht="28.5">
      <c r="A51" s="2" t="s">
        <v>803</v>
      </c>
      <c r="B51" s="13">
        <v>0.49185043144774687</v>
      </c>
      <c r="C51" s="13">
        <v>0.48810656517602286</v>
      </c>
      <c r="D51" s="13">
        <v>-3.7438662717240168E-3</v>
      </c>
      <c r="E51" s="2" t="s">
        <v>804</v>
      </c>
    </row>
    <row r="52" spans="1:6" ht="57">
      <c r="A52" s="2" t="s">
        <v>805</v>
      </c>
      <c r="B52" s="13" t="s">
        <v>806</v>
      </c>
      <c r="C52" s="13" t="s">
        <v>807</v>
      </c>
      <c r="D52" s="13" t="s">
        <v>808</v>
      </c>
      <c r="E52" s="2" t="s">
        <v>809</v>
      </c>
    </row>
    <row r="55" spans="1:6" ht="15">
      <c r="A55" s="14" t="s">
        <v>447</v>
      </c>
      <c r="B55" s="14" t="s">
        <v>451</v>
      </c>
      <c r="C55" s="14" t="s">
        <v>491</v>
      </c>
      <c r="D55" s="14" t="s">
        <v>504</v>
      </c>
      <c r="E55" s="14" t="s">
        <v>810</v>
      </c>
      <c r="F55" s="14" t="s">
        <v>755</v>
      </c>
    </row>
    <row r="56" spans="1:6">
      <c r="A56" t="s">
        <v>450</v>
      </c>
      <c r="B56">
        <v>0</v>
      </c>
      <c r="C56">
        <v>0</v>
      </c>
      <c r="D56">
        <v>0</v>
      </c>
      <c r="E56">
        <v>0</v>
      </c>
      <c r="F56">
        <v>0</v>
      </c>
    </row>
    <row r="57" spans="1:6">
      <c r="A57" t="s">
        <v>524</v>
      </c>
      <c r="B57">
        <v>105</v>
      </c>
      <c r="C57">
        <v>88</v>
      </c>
      <c r="D57">
        <v>38</v>
      </c>
      <c r="E57">
        <v>231</v>
      </c>
      <c r="F57">
        <v>24</v>
      </c>
    </row>
    <row r="58" spans="1:6">
      <c r="A58" t="s">
        <v>622</v>
      </c>
      <c r="B58">
        <v>0</v>
      </c>
      <c r="C58">
        <v>36</v>
      </c>
      <c r="D58">
        <v>0</v>
      </c>
      <c r="E58">
        <v>36</v>
      </c>
      <c r="F58">
        <v>4</v>
      </c>
    </row>
    <row r="59" spans="1:6">
      <c r="A59" t="s">
        <v>634</v>
      </c>
      <c r="B59">
        <v>0</v>
      </c>
      <c r="C59">
        <v>10</v>
      </c>
      <c r="D59">
        <v>38</v>
      </c>
      <c r="E59">
        <v>48</v>
      </c>
      <c r="F59">
        <v>5</v>
      </c>
    </row>
    <row r="60" spans="1:6">
      <c r="A60" t="s">
        <v>702</v>
      </c>
      <c r="B60">
        <v>128</v>
      </c>
      <c r="C60">
        <v>18</v>
      </c>
      <c r="D60">
        <v>8</v>
      </c>
      <c r="E60">
        <v>154</v>
      </c>
      <c r="F60">
        <v>15</v>
      </c>
    </row>
    <row r="61" spans="1:6" ht="15">
      <c r="A61" s="17" t="s">
        <v>811</v>
      </c>
      <c r="B61" s="17">
        <v>233</v>
      </c>
      <c r="C61" s="17">
        <v>152</v>
      </c>
      <c r="D61" s="17">
        <v>84</v>
      </c>
      <c r="E61" s="17">
        <v>469</v>
      </c>
      <c r="F61" s="17">
        <v>48</v>
      </c>
    </row>
  </sheetData>
  <mergeCells count="11">
    <mergeCell ref="A1:N2"/>
    <mergeCell ref="A3:N3"/>
    <mergeCell ref="A5:C6"/>
    <mergeCell ref="D5:F6"/>
    <mergeCell ref="G5:I6"/>
    <mergeCell ref="J5:L6"/>
    <mergeCell ref="A7:C9"/>
    <mergeCell ref="D7:F9"/>
    <mergeCell ref="G7:I9"/>
    <mergeCell ref="J7:L9"/>
    <mergeCell ref="A11:H1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83"/>
  <sheetViews>
    <sheetView workbookViewId="0"/>
  </sheetViews>
  <sheetFormatPr defaultRowHeight="14.25"/>
  <cols>
    <col min="1" max="2" width="20" customWidth="1"/>
    <col min="3" max="3" width="38" customWidth="1"/>
    <col min="4" max="9" width="20" customWidth="1"/>
    <col min="10" max="14" width="36" customWidth="1"/>
  </cols>
  <sheetData>
    <row r="1" spans="1:14" ht="26.1" customHeight="1">
      <c r="A1" s="99" t="s">
        <v>10405</v>
      </c>
      <c r="B1" s="99"/>
      <c r="C1" s="99"/>
      <c r="D1" s="99"/>
      <c r="E1" s="99"/>
      <c r="F1" s="99"/>
      <c r="G1" s="99"/>
      <c r="H1" s="99"/>
      <c r="I1" s="99"/>
      <c r="J1" s="99"/>
      <c r="K1" s="116"/>
      <c r="L1" s="116"/>
      <c r="M1" s="116"/>
      <c r="N1" s="116"/>
    </row>
    <row r="2" spans="1:14" ht="26.1" customHeight="1">
      <c r="A2" s="117" t="s">
        <v>812</v>
      </c>
      <c r="B2" s="117"/>
      <c r="C2" s="117"/>
      <c r="D2" s="117"/>
      <c r="E2" s="117"/>
      <c r="F2" s="117"/>
      <c r="G2" s="117"/>
      <c r="H2" s="117"/>
      <c r="I2" s="117"/>
      <c r="J2" s="117"/>
      <c r="K2" s="115"/>
      <c r="L2" s="115"/>
      <c r="M2" s="115"/>
      <c r="N2" s="115"/>
    </row>
    <row r="3" spans="1:14" ht="36" customHeight="1">
      <c r="A3" s="36" t="s">
        <v>813</v>
      </c>
      <c r="B3" s="36" t="s">
        <v>814</v>
      </c>
      <c r="C3" s="36" t="s">
        <v>815</v>
      </c>
      <c r="D3" s="36" t="s">
        <v>816</v>
      </c>
      <c r="E3" s="36" t="s">
        <v>817</v>
      </c>
      <c r="F3" s="36" t="s">
        <v>818</v>
      </c>
      <c r="G3" s="36" t="s">
        <v>819</v>
      </c>
      <c r="H3" s="36" t="s">
        <v>820</v>
      </c>
      <c r="I3" s="36" t="s">
        <v>821</v>
      </c>
      <c r="J3" s="36" t="s">
        <v>822</v>
      </c>
      <c r="K3" s="37" t="s">
        <v>823</v>
      </c>
      <c r="L3" s="37" t="s">
        <v>824</v>
      </c>
      <c r="M3" s="37" t="s">
        <v>825</v>
      </c>
      <c r="N3" s="37" t="s">
        <v>826</v>
      </c>
    </row>
    <row r="4" spans="1:14" ht="26.1" customHeight="1">
      <c r="A4" s="38" t="s">
        <v>827</v>
      </c>
      <c r="B4" s="38" t="s">
        <v>828</v>
      </c>
      <c r="C4" s="38" t="s">
        <v>829</v>
      </c>
      <c r="D4" s="38" t="s">
        <v>830</v>
      </c>
      <c r="E4" s="38">
        <f>COUNTIF(Backlog!$AA$2:$AA$188,A4)</f>
        <v>1</v>
      </c>
      <c r="F4" s="38">
        <f>COUNTIFS(Backlog!$AA$2:$AA$188,A4,Backlog!$K$2:$K$188,"Done")</f>
        <v>0</v>
      </c>
      <c r="G4" s="38">
        <f t="shared" ref="G4:G35" si="0">E4-F4</f>
        <v>1</v>
      </c>
      <c r="H4" s="38">
        <f>COUNTIFS(Backlog!$AA$2:$AA$188,A4,Backlog!$B$2:$B$188,"M2")</f>
        <v>0</v>
      </c>
      <c r="I4" s="38">
        <f>COUNTIFS(Backlog!$AA$2:$AA$188,A4,Backlog!$B$2:$B$188,"M3")</f>
        <v>1</v>
      </c>
      <c r="J4" s="38" t="s">
        <v>171</v>
      </c>
      <c r="K4" s="32">
        <f>COUNTIF('Secondary Capability Links'!$B$2:$B$179,A4)</f>
        <v>8</v>
      </c>
      <c r="L4" s="32">
        <f>COUNTIFS('Secondary Capability Links'!$B$2:$B$179,A4,'Secondary Capability Links'!$C$2:$C$179,"Done")</f>
        <v>2</v>
      </c>
      <c r="M4" s="32" t="s">
        <v>10406</v>
      </c>
      <c r="N4" s="32" t="s">
        <v>831</v>
      </c>
    </row>
    <row r="5" spans="1:14" ht="26.1" customHeight="1">
      <c r="A5" s="38" t="s">
        <v>832</v>
      </c>
      <c r="B5" s="38" t="s">
        <v>828</v>
      </c>
      <c r="C5" s="38" t="s">
        <v>833</v>
      </c>
      <c r="D5" s="38" t="s">
        <v>830</v>
      </c>
      <c r="E5" s="38">
        <f>COUNTIF(Backlog!$AA$2:$AA$188,A5)</f>
        <v>3</v>
      </c>
      <c r="F5" s="38">
        <f>COUNTIFS(Backlog!$AA$2:$AA$188,A5,Backlog!$K$2:$K$188,"Done")</f>
        <v>3</v>
      </c>
      <c r="G5" s="38">
        <f t="shared" si="0"/>
        <v>0</v>
      </c>
      <c r="H5" s="38">
        <f>COUNTIFS(Backlog!$AA$2:$AA$188,A5,Backlog!$B$2:$B$188,"M2")</f>
        <v>3</v>
      </c>
      <c r="I5" s="38">
        <f>COUNTIFS(Backlog!$AA$2:$AA$188,A5,Backlog!$B$2:$B$188,"M3")</f>
        <v>0</v>
      </c>
      <c r="J5" s="38" t="s">
        <v>10407</v>
      </c>
      <c r="K5" s="32">
        <f>COUNTIF('Secondary Capability Links'!$B$2:$B$179,A5)</f>
        <v>4</v>
      </c>
      <c r="L5" s="32">
        <f>COUNTIFS('Secondary Capability Links'!$B$2:$B$179,A5,'Secondary Capability Links'!$C$2:$C$179,"Done")</f>
        <v>0</v>
      </c>
      <c r="M5" s="32" t="s">
        <v>10408</v>
      </c>
      <c r="N5" s="32" t="s">
        <v>831</v>
      </c>
    </row>
    <row r="6" spans="1:14" ht="26.1" customHeight="1">
      <c r="A6" s="38" t="s">
        <v>834</v>
      </c>
      <c r="B6" s="38" t="s">
        <v>828</v>
      </c>
      <c r="C6" s="38" t="s">
        <v>835</v>
      </c>
      <c r="D6" s="38" t="s">
        <v>830</v>
      </c>
      <c r="E6" s="38">
        <f>COUNTIF(Backlog!$AA$2:$AA$188,A6)</f>
        <v>2</v>
      </c>
      <c r="F6" s="38">
        <f>COUNTIFS(Backlog!$AA$2:$AA$188,A6,Backlog!$K$2:$K$188,"Done")</f>
        <v>0</v>
      </c>
      <c r="G6" s="38">
        <f t="shared" si="0"/>
        <v>2</v>
      </c>
      <c r="H6" s="38">
        <f>COUNTIFS(Backlog!$AA$2:$AA$188,A6,Backlog!$B$2:$B$188,"M2")</f>
        <v>2</v>
      </c>
      <c r="I6" s="38">
        <f>COUNTIFS(Backlog!$AA$2:$AA$188,A6,Backlog!$B$2:$B$188,"M3")</f>
        <v>0</v>
      </c>
      <c r="J6" s="38" t="s">
        <v>10409</v>
      </c>
      <c r="K6" s="32">
        <f>COUNTIF('Secondary Capability Links'!$B$2:$B$179,A6)</f>
        <v>2</v>
      </c>
      <c r="L6" s="32">
        <f>COUNTIFS('Secondary Capability Links'!$B$2:$B$179,A6,'Secondary Capability Links'!$C$2:$C$179,"Done")</f>
        <v>0</v>
      </c>
      <c r="M6" s="32" t="s">
        <v>10410</v>
      </c>
      <c r="N6" s="32" t="s">
        <v>831</v>
      </c>
    </row>
    <row r="7" spans="1:14" ht="26.1" customHeight="1">
      <c r="A7" s="38" t="s">
        <v>836</v>
      </c>
      <c r="B7" s="38" t="s">
        <v>828</v>
      </c>
      <c r="C7" s="38" t="s">
        <v>837</v>
      </c>
      <c r="D7" s="38" t="s">
        <v>830</v>
      </c>
      <c r="E7" s="38">
        <f>COUNTIF(Backlog!$AA$2:$AA$188,A7)</f>
        <v>2</v>
      </c>
      <c r="F7" s="38">
        <f>COUNTIFS(Backlog!$AA$2:$AA$188,A7,Backlog!$K$2:$K$188,"Done")</f>
        <v>1</v>
      </c>
      <c r="G7" s="38">
        <f t="shared" si="0"/>
        <v>1</v>
      </c>
      <c r="H7" s="38">
        <f>COUNTIFS(Backlog!$AA$2:$AA$188,A7,Backlog!$B$2:$B$188,"M2")</f>
        <v>2</v>
      </c>
      <c r="I7" s="38">
        <f>COUNTIFS(Backlog!$AA$2:$AA$188,A7,Backlog!$B$2:$B$188,"M3")</f>
        <v>0</v>
      </c>
      <c r="J7" s="38" t="s">
        <v>10411</v>
      </c>
      <c r="K7" s="32">
        <f>COUNTIF('Secondary Capability Links'!$B$2:$B$179,A7)</f>
        <v>5</v>
      </c>
      <c r="L7" s="32">
        <f>COUNTIFS('Secondary Capability Links'!$B$2:$B$179,A7,'Secondary Capability Links'!$C$2:$C$179,"Done")</f>
        <v>1</v>
      </c>
      <c r="M7" s="32" t="s">
        <v>10412</v>
      </c>
      <c r="N7" s="32" t="s">
        <v>831</v>
      </c>
    </row>
    <row r="8" spans="1:14" ht="26.1" customHeight="1">
      <c r="A8" s="38" t="s">
        <v>838</v>
      </c>
      <c r="B8" s="38" t="s">
        <v>828</v>
      </c>
      <c r="C8" s="38" t="s">
        <v>839</v>
      </c>
      <c r="D8" s="38" t="s">
        <v>830</v>
      </c>
      <c r="E8" s="38">
        <f>COUNTIF(Backlog!$AA$2:$AA$188,A8)</f>
        <v>2</v>
      </c>
      <c r="F8" s="38">
        <f>COUNTIFS(Backlog!$AA$2:$AA$188,A8,Backlog!$K$2:$K$188,"Done")</f>
        <v>2</v>
      </c>
      <c r="G8" s="38">
        <f t="shared" si="0"/>
        <v>0</v>
      </c>
      <c r="H8" s="38">
        <f>COUNTIFS(Backlog!$AA$2:$AA$188,A8,Backlog!$B$2:$B$188,"M2")</f>
        <v>2</v>
      </c>
      <c r="I8" s="38">
        <f>COUNTIFS(Backlog!$AA$2:$AA$188,A8,Backlog!$B$2:$B$188,"M3")</f>
        <v>0</v>
      </c>
      <c r="J8" s="38" t="s">
        <v>10413</v>
      </c>
      <c r="K8" s="32">
        <f>COUNTIF('Secondary Capability Links'!$B$2:$B$179,A8)</f>
        <v>5</v>
      </c>
      <c r="L8" s="32">
        <f>COUNTIFS('Secondary Capability Links'!$B$2:$B$179,A8,'Secondary Capability Links'!$C$2:$C$179,"Done")</f>
        <v>2</v>
      </c>
      <c r="M8" s="32" t="s">
        <v>10414</v>
      </c>
      <c r="N8" s="32" t="s">
        <v>831</v>
      </c>
    </row>
    <row r="9" spans="1:14" ht="26.1" customHeight="1">
      <c r="A9" s="38" t="s">
        <v>840</v>
      </c>
      <c r="B9" s="38" t="s">
        <v>828</v>
      </c>
      <c r="C9" s="38" t="s">
        <v>841</v>
      </c>
      <c r="D9" s="38" t="s">
        <v>830</v>
      </c>
      <c r="E9" s="38">
        <f>COUNTIF(Backlog!$AA$2:$AA$188,A9)</f>
        <v>0</v>
      </c>
      <c r="F9" s="38">
        <f>COUNTIFS(Backlog!$AA$2:$AA$188,A9,Backlog!$K$2:$K$188,"Done")</f>
        <v>0</v>
      </c>
      <c r="G9" s="38">
        <f t="shared" si="0"/>
        <v>0</v>
      </c>
      <c r="H9" s="38">
        <f>COUNTIFS(Backlog!$AA$2:$AA$188,A9,Backlog!$B$2:$B$188,"M2")</f>
        <v>0</v>
      </c>
      <c r="I9" s="38">
        <f>COUNTIFS(Backlog!$AA$2:$AA$188,A9,Backlog!$B$2:$B$188,"M3")</f>
        <v>0</v>
      </c>
      <c r="J9" s="38"/>
      <c r="K9" s="32">
        <f>COUNTIF('Secondary Capability Links'!$B$2:$B$179,A9)</f>
        <v>1</v>
      </c>
      <c r="L9" s="32">
        <f>COUNTIFS('Secondary Capability Links'!$B$2:$B$179,A9,'Secondary Capability Links'!$C$2:$C$179,"Done")</f>
        <v>0</v>
      </c>
      <c r="M9" s="32" t="s">
        <v>94</v>
      </c>
      <c r="N9" s="32" t="s">
        <v>831</v>
      </c>
    </row>
    <row r="10" spans="1:14" ht="26.1" customHeight="1">
      <c r="A10" s="38" t="s">
        <v>842</v>
      </c>
      <c r="B10" s="38" t="s">
        <v>828</v>
      </c>
      <c r="C10" s="38" t="s">
        <v>843</v>
      </c>
      <c r="D10" s="38" t="s">
        <v>830</v>
      </c>
      <c r="E10" s="38">
        <f>COUNTIF(Backlog!$AA$2:$AA$188,A10)</f>
        <v>0</v>
      </c>
      <c r="F10" s="38">
        <f>COUNTIFS(Backlog!$AA$2:$AA$188,A10,Backlog!$K$2:$K$188,"Done")</f>
        <v>0</v>
      </c>
      <c r="G10" s="38">
        <f t="shared" si="0"/>
        <v>0</v>
      </c>
      <c r="H10" s="38">
        <f>COUNTIFS(Backlog!$AA$2:$AA$188,A10,Backlog!$B$2:$B$188,"M2")</f>
        <v>0</v>
      </c>
      <c r="I10" s="38">
        <f>COUNTIFS(Backlog!$AA$2:$AA$188,A10,Backlog!$B$2:$B$188,"M3")</f>
        <v>0</v>
      </c>
      <c r="J10" s="38"/>
      <c r="K10" s="32">
        <f>COUNTIF('Secondary Capability Links'!$B$2:$B$179,A10)</f>
        <v>10</v>
      </c>
      <c r="L10" s="32">
        <f>COUNTIFS('Secondary Capability Links'!$B$2:$B$179,A10,'Secondary Capability Links'!$C$2:$C$179,"Done")</f>
        <v>1</v>
      </c>
      <c r="M10" s="32" t="s">
        <v>10415</v>
      </c>
      <c r="N10" s="32" t="s">
        <v>831</v>
      </c>
    </row>
    <row r="11" spans="1:14" ht="26.1" customHeight="1">
      <c r="A11" s="38" t="s">
        <v>844</v>
      </c>
      <c r="B11" s="38" t="s">
        <v>828</v>
      </c>
      <c r="C11" s="38" t="s">
        <v>9623</v>
      </c>
      <c r="D11" s="38" t="s">
        <v>830</v>
      </c>
      <c r="E11" s="38">
        <f>COUNTIF(Backlog!$AA$2:$AA$188,A11)</f>
        <v>6</v>
      </c>
      <c r="F11" s="38">
        <f>COUNTIFS(Backlog!$AA$2:$AA$188,A11,Backlog!$K$2:$K$188,"Done")</f>
        <v>2</v>
      </c>
      <c r="G11" s="38">
        <f t="shared" si="0"/>
        <v>4</v>
      </c>
      <c r="H11" s="38">
        <f>COUNTIFS(Backlog!$AA$2:$AA$188,A11,Backlog!$B$2:$B$188,"M2")</f>
        <v>6</v>
      </c>
      <c r="I11" s="38">
        <f>COUNTIFS(Backlog!$AA$2:$AA$188,A11,Backlog!$B$2:$B$188,"M3")</f>
        <v>0</v>
      </c>
      <c r="J11" s="38" t="s">
        <v>10416</v>
      </c>
      <c r="K11" s="32">
        <f>COUNTIF('Secondary Capability Links'!$B$2:$B$179,A11)</f>
        <v>1</v>
      </c>
      <c r="L11" s="32">
        <f>COUNTIFS('Secondary Capability Links'!$B$2:$B$179,A11,'Secondary Capability Links'!$C$2:$C$179,"Done")</f>
        <v>0</v>
      </c>
      <c r="M11" s="32" t="s">
        <v>9661</v>
      </c>
      <c r="N11" s="32" t="s">
        <v>10417</v>
      </c>
    </row>
    <row r="12" spans="1:14" ht="26.1" customHeight="1">
      <c r="A12" s="38" t="s">
        <v>845</v>
      </c>
      <c r="B12" s="38" t="s">
        <v>846</v>
      </c>
      <c r="C12" s="38" t="s">
        <v>847</v>
      </c>
      <c r="D12" s="38" t="s">
        <v>830</v>
      </c>
      <c r="E12" s="38">
        <f>COUNTIF(Backlog!$AA$2:$AA$188,A12)</f>
        <v>2</v>
      </c>
      <c r="F12" s="38">
        <f>COUNTIFS(Backlog!$AA$2:$AA$188,A12,Backlog!$K$2:$K$188,"Done")</f>
        <v>2</v>
      </c>
      <c r="G12" s="38">
        <f t="shared" si="0"/>
        <v>0</v>
      </c>
      <c r="H12" s="38">
        <f>COUNTIFS(Backlog!$AA$2:$AA$188,A12,Backlog!$B$2:$B$188,"M2")</f>
        <v>2</v>
      </c>
      <c r="I12" s="38">
        <f>COUNTIFS(Backlog!$AA$2:$AA$188,A12,Backlog!$B$2:$B$188,"M3")</f>
        <v>0</v>
      </c>
      <c r="J12" s="38" t="s">
        <v>10418</v>
      </c>
      <c r="K12" s="32">
        <f>COUNTIF('Secondary Capability Links'!$B$2:$B$179,A12)</f>
        <v>1</v>
      </c>
      <c r="L12" s="32">
        <f>COUNTIFS('Secondary Capability Links'!$B$2:$B$179,A12,'Secondary Capability Links'!$C$2:$C$179,"Done")</f>
        <v>1</v>
      </c>
      <c r="M12" s="32" t="s">
        <v>64</v>
      </c>
      <c r="N12" s="32" t="s">
        <v>831</v>
      </c>
    </row>
    <row r="13" spans="1:14" ht="26.1" customHeight="1">
      <c r="A13" s="38" t="s">
        <v>848</v>
      </c>
      <c r="B13" s="38" t="s">
        <v>846</v>
      </c>
      <c r="C13" s="38" t="s">
        <v>849</v>
      </c>
      <c r="D13" s="38" t="s">
        <v>830</v>
      </c>
      <c r="E13" s="38">
        <f>COUNTIF(Backlog!$AA$2:$AA$188,A13)</f>
        <v>1</v>
      </c>
      <c r="F13" s="38">
        <f>COUNTIFS(Backlog!$AA$2:$AA$188,A13,Backlog!$K$2:$K$188,"Done")</f>
        <v>1</v>
      </c>
      <c r="G13" s="38">
        <f t="shared" si="0"/>
        <v>0</v>
      </c>
      <c r="H13" s="38">
        <f>COUNTIFS(Backlog!$AA$2:$AA$188,A13,Backlog!$B$2:$B$188,"M2")</f>
        <v>1</v>
      </c>
      <c r="I13" s="38">
        <f>COUNTIFS(Backlog!$AA$2:$AA$188,A13,Backlog!$B$2:$B$188,"M3")</f>
        <v>0</v>
      </c>
      <c r="J13" s="38" t="s">
        <v>120</v>
      </c>
      <c r="K13" s="32">
        <f>COUNTIF('Secondary Capability Links'!$B$2:$B$179,A13)</f>
        <v>3</v>
      </c>
      <c r="L13" s="32">
        <f>COUNTIFS('Secondary Capability Links'!$B$2:$B$179,A13,'Secondary Capability Links'!$C$2:$C$179,"Done")</f>
        <v>1</v>
      </c>
      <c r="M13" s="32" t="s">
        <v>10419</v>
      </c>
      <c r="N13" s="32" t="s">
        <v>831</v>
      </c>
    </row>
    <row r="14" spans="1:14" ht="26.1" customHeight="1">
      <c r="A14" s="38" t="s">
        <v>850</v>
      </c>
      <c r="B14" s="38" t="s">
        <v>846</v>
      </c>
      <c r="C14" s="38" t="s">
        <v>851</v>
      </c>
      <c r="D14" s="38" t="s">
        <v>830</v>
      </c>
      <c r="E14" s="38">
        <f>COUNTIF(Backlog!$AA$2:$AA$188,A14)</f>
        <v>6</v>
      </c>
      <c r="F14" s="38">
        <f>COUNTIFS(Backlog!$AA$2:$AA$188,A14,Backlog!$K$2:$K$188,"Done")</f>
        <v>3</v>
      </c>
      <c r="G14" s="38">
        <f t="shared" si="0"/>
        <v>3</v>
      </c>
      <c r="H14" s="38">
        <f>COUNTIFS(Backlog!$AA$2:$AA$188,A14,Backlog!$B$2:$B$188,"M2")</f>
        <v>5</v>
      </c>
      <c r="I14" s="38">
        <f>COUNTIFS(Backlog!$AA$2:$AA$188,A14,Backlog!$B$2:$B$188,"M3")</f>
        <v>1</v>
      </c>
      <c r="J14" s="38" t="s">
        <v>10420</v>
      </c>
      <c r="K14" s="32">
        <f>COUNTIF('Secondary Capability Links'!$B$2:$B$179,A14)</f>
        <v>5</v>
      </c>
      <c r="L14" s="32">
        <f>COUNTIFS('Secondary Capability Links'!$B$2:$B$179,A14,'Secondary Capability Links'!$C$2:$C$179,"Done")</f>
        <v>2</v>
      </c>
      <c r="M14" s="32" t="s">
        <v>10421</v>
      </c>
      <c r="N14" s="32" t="s">
        <v>831</v>
      </c>
    </row>
    <row r="15" spans="1:14" ht="26.1" customHeight="1">
      <c r="A15" s="38" t="s">
        <v>852</v>
      </c>
      <c r="B15" s="38" t="s">
        <v>846</v>
      </c>
      <c r="C15" s="38" t="s">
        <v>853</v>
      </c>
      <c r="D15" s="38" t="s">
        <v>830</v>
      </c>
      <c r="E15" s="38">
        <f>COUNTIF(Backlog!$AA$2:$AA$188,A15)</f>
        <v>2</v>
      </c>
      <c r="F15" s="38">
        <f>COUNTIFS(Backlog!$AA$2:$AA$188,A15,Backlog!$K$2:$K$188,"Done")</f>
        <v>0</v>
      </c>
      <c r="G15" s="38">
        <f t="shared" si="0"/>
        <v>2</v>
      </c>
      <c r="H15" s="38">
        <f>COUNTIFS(Backlog!$AA$2:$AA$188,A15,Backlog!$B$2:$B$188,"M2")</f>
        <v>2</v>
      </c>
      <c r="I15" s="38">
        <f>COUNTIFS(Backlog!$AA$2:$AA$188,A15,Backlog!$B$2:$B$188,"M3")</f>
        <v>0</v>
      </c>
      <c r="J15" s="38" t="s">
        <v>10422</v>
      </c>
      <c r="K15" s="32">
        <f>COUNTIF('Secondary Capability Links'!$B$2:$B$179,A15)</f>
        <v>0</v>
      </c>
      <c r="L15" s="32">
        <f>COUNTIFS('Secondary Capability Links'!$B$2:$B$179,A15,'Secondary Capability Links'!$C$2:$C$179,"Done")</f>
        <v>0</v>
      </c>
      <c r="M15" s="32"/>
      <c r="N15" s="32" t="s">
        <v>831</v>
      </c>
    </row>
    <row r="16" spans="1:14" ht="26.1" customHeight="1">
      <c r="A16" s="38" t="s">
        <v>854</v>
      </c>
      <c r="B16" s="38" t="s">
        <v>846</v>
      </c>
      <c r="C16" s="38" t="s">
        <v>855</v>
      </c>
      <c r="D16" s="38" t="s">
        <v>830</v>
      </c>
      <c r="E16" s="38">
        <f>COUNTIF(Backlog!$AA$2:$AA$188,A16)</f>
        <v>2</v>
      </c>
      <c r="F16" s="38">
        <f>COUNTIFS(Backlog!$AA$2:$AA$188,A16,Backlog!$K$2:$K$188,"Done")</f>
        <v>2</v>
      </c>
      <c r="G16" s="38">
        <f t="shared" si="0"/>
        <v>0</v>
      </c>
      <c r="H16" s="38">
        <f>COUNTIFS(Backlog!$AA$2:$AA$188,A16,Backlog!$B$2:$B$188,"M2")</f>
        <v>2</v>
      </c>
      <c r="I16" s="38">
        <f>COUNTIFS(Backlog!$AA$2:$AA$188,A16,Backlog!$B$2:$B$188,"M3")</f>
        <v>0</v>
      </c>
      <c r="J16" s="38" t="s">
        <v>10423</v>
      </c>
      <c r="K16" s="32">
        <f>COUNTIF('Secondary Capability Links'!$B$2:$B$179,A16)</f>
        <v>4</v>
      </c>
      <c r="L16" s="32">
        <f>COUNTIFS('Secondary Capability Links'!$B$2:$B$179,A16,'Secondary Capability Links'!$C$2:$C$179,"Done")</f>
        <v>3</v>
      </c>
      <c r="M16" s="32" t="s">
        <v>10424</v>
      </c>
      <c r="N16" s="32" t="s">
        <v>831</v>
      </c>
    </row>
    <row r="17" spans="1:14" ht="26.1" customHeight="1">
      <c r="A17" s="38" t="s">
        <v>856</v>
      </c>
      <c r="B17" s="38" t="s">
        <v>846</v>
      </c>
      <c r="C17" s="38" t="s">
        <v>857</v>
      </c>
      <c r="D17" s="38" t="s">
        <v>830</v>
      </c>
      <c r="E17" s="38">
        <f>COUNTIF(Backlog!$AA$2:$AA$188,A17)</f>
        <v>2</v>
      </c>
      <c r="F17" s="38">
        <f>COUNTIFS(Backlog!$AA$2:$AA$188,A17,Backlog!$K$2:$K$188,"Done")</f>
        <v>1</v>
      </c>
      <c r="G17" s="38">
        <f t="shared" si="0"/>
        <v>1</v>
      </c>
      <c r="H17" s="38">
        <f>COUNTIFS(Backlog!$AA$2:$AA$188,A17,Backlog!$B$2:$B$188,"M2")</f>
        <v>2</v>
      </c>
      <c r="I17" s="38">
        <f>COUNTIFS(Backlog!$AA$2:$AA$188,A17,Backlog!$B$2:$B$188,"M3")</f>
        <v>0</v>
      </c>
      <c r="J17" s="38" t="s">
        <v>10425</v>
      </c>
      <c r="K17" s="32">
        <f>COUNTIF('Secondary Capability Links'!$B$2:$B$179,A17)</f>
        <v>7</v>
      </c>
      <c r="L17" s="32">
        <f>COUNTIFS('Secondary Capability Links'!$B$2:$B$179,A17,'Secondary Capability Links'!$C$2:$C$179,"Done")</f>
        <v>1</v>
      </c>
      <c r="M17" s="32" t="s">
        <v>10426</v>
      </c>
      <c r="N17" s="32" t="s">
        <v>831</v>
      </c>
    </row>
    <row r="18" spans="1:14" ht="26.1" customHeight="1">
      <c r="A18" s="38" t="s">
        <v>858</v>
      </c>
      <c r="B18" s="38" t="s">
        <v>846</v>
      </c>
      <c r="C18" s="38" t="s">
        <v>859</v>
      </c>
      <c r="D18" s="38" t="s">
        <v>830</v>
      </c>
      <c r="E18" s="38">
        <f>COUNTIF(Backlog!$AA$2:$AA$188,A18)</f>
        <v>0</v>
      </c>
      <c r="F18" s="38">
        <f>COUNTIFS(Backlog!$AA$2:$AA$188,A18,Backlog!$K$2:$K$188,"Done")</f>
        <v>0</v>
      </c>
      <c r="G18" s="38">
        <f t="shared" si="0"/>
        <v>0</v>
      </c>
      <c r="H18" s="38">
        <f>COUNTIFS(Backlog!$AA$2:$AA$188,A18,Backlog!$B$2:$B$188,"M2")</f>
        <v>0</v>
      </c>
      <c r="I18" s="38">
        <f>COUNTIFS(Backlog!$AA$2:$AA$188,A18,Backlog!$B$2:$B$188,"M3")</f>
        <v>0</v>
      </c>
      <c r="J18" s="38"/>
      <c r="K18" s="32">
        <f>COUNTIF('Secondary Capability Links'!$B$2:$B$179,A18)</f>
        <v>2</v>
      </c>
      <c r="L18" s="32">
        <f>COUNTIFS('Secondary Capability Links'!$B$2:$B$179,A18,'Secondary Capability Links'!$C$2:$C$179,"Done")</f>
        <v>1</v>
      </c>
      <c r="M18" s="32" t="s">
        <v>10427</v>
      </c>
      <c r="N18" s="32" t="s">
        <v>831</v>
      </c>
    </row>
    <row r="19" spans="1:14" ht="26.1" customHeight="1">
      <c r="A19" s="38" t="s">
        <v>860</v>
      </c>
      <c r="B19" s="38" t="s">
        <v>846</v>
      </c>
      <c r="C19" s="38" t="s">
        <v>861</v>
      </c>
      <c r="D19" s="38" t="s">
        <v>830</v>
      </c>
      <c r="E19" s="38">
        <f>COUNTIF(Backlog!$AA$2:$AA$188,A19)</f>
        <v>3</v>
      </c>
      <c r="F19" s="38">
        <f>COUNTIFS(Backlog!$AA$2:$AA$188,A19,Backlog!$K$2:$K$188,"Done")</f>
        <v>0</v>
      </c>
      <c r="G19" s="38">
        <f t="shared" si="0"/>
        <v>3</v>
      </c>
      <c r="H19" s="38">
        <f>COUNTIFS(Backlog!$AA$2:$AA$188,A19,Backlog!$B$2:$B$188,"M2")</f>
        <v>2</v>
      </c>
      <c r="I19" s="38">
        <f>COUNTIFS(Backlog!$AA$2:$AA$188,A19,Backlog!$B$2:$B$188,"M3")</f>
        <v>1</v>
      </c>
      <c r="J19" s="38" t="s">
        <v>10428</v>
      </c>
      <c r="K19" s="32">
        <f>COUNTIF('Secondary Capability Links'!$B$2:$B$179,A19)</f>
        <v>0</v>
      </c>
      <c r="L19" s="32">
        <f>COUNTIFS('Secondary Capability Links'!$B$2:$B$179,A19,'Secondary Capability Links'!$C$2:$C$179,"Done")</f>
        <v>0</v>
      </c>
      <c r="M19" s="32"/>
      <c r="N19" s="32" t="s">
        <v>831</v>
      </c>
    </row>
    <row r="20" spans="1:14" ht="26.1" customHeight="1">
      <c r="A20" s="38" t="s">
        <v>862</v>
      </c>
      <c r="B20" s="38" t="s">
        <v>863</v>
      </c>
      <c r="C20" s="38" t="s">
        <v>864</v>
      </c>
      <c r="D20" s="38" t="s">
        <v>830</v>
      </c>
      <c r="E20" s="38">
        <f>COUNTIF(Backlog!$AA$2:$AA$188,A20)</f>
        <v>2</v>
      </c>
      <c r="F20" s="38">
        <f>COUNTIFS(Backlog!$AA$2:$AA$188,A20,Backlog!$K$2:$K$188,"Done")</f>
        <v>0</v>
      </c>
      <c r="G20" s="38">
        <f t="shared" si="0"/>
        <v>2</v>
      </c>
      <c r="H20" s="38">
        <f>COUNTIFS(Backlog!$AA$2:$AA$188,A20,Backlog!$B$2:$B$188,"M2")</f>
        <v>2</v>
      </c>
      <c r="I20" s="38">
        <f>COUNTIFS(Backlog!$AA$2:$AA$188,A20,Backlog!$B$2:$B$188,"M3")</f>
        <v>0</v>
      </c>
      <c r="J20" s="38" t="s">
        <v>10429</v>
      </c>
      <c r="K20" s="32">
        <f>COUNTIF('Secondary Capability Links'!$B$2:$B$179,A20)</f>
        <v>3</v>
      </c>
      <c r="L20" s="32">
        <f>COUNTIFS('Secondary Capability Links'!$B$2:$B$179,A20,'Secondary Capability Links'!$C$2:$C$179,"Done")</f>
        <v>1</v>
      </c>
      <c r="M20" s="32" t="s">
        <v>10430</v>
      </c>
      <c r="N20" s="32" t="s">
        <v>831</v>
      </c>
    </row>
    <row r="21" spans="1:14" ht="26.1" customHeight="1">
      <c r="A21" s="38" t="s">
        <v>865</v>
      </c>
      <c r="B21" s="38" t="s">
        <v>863</v>
      </c>
      <c r="C21" s="38" t="s">
        <v>866</v>
      </c>
      <c r="D21" s="38" t="s">
        <v>830</v>
      </c>
      <c r="E21" s="38">
        <f>COUNTIF(Backlog!$AA$2:$AA$188,A21)</f>
        <v>1</v>
      </c>
      <c r="F21" s="38">
        <f>COUNTIFS(Backlog!$AA$2:$AA$188,A21,Backlog!$K$2:$K$188,"Done")</f>
        <v>1</v>
      </c>
      <c r="G21" s="38">
        <f t="shared" si="0"/>
        <v>0</v>
      </c>
      <c r="H21" s="38">
        <f>COUNTIFS(Backlog!$AA$2:$AA$188,A21,Backlog!$B$2:$B$188,"M2")</f>
        <v>1</v>
      </c>
      <c r="I21" s="38">
        <f>COUNTIFS(Backlog!$AA$2:$AA$188,A21,Backlog!$B$2:$B$188,"M3")</f>
        <v>0</v>
      </c>
      <c r="J21" s="38" t="s">
        <v>74</v>
      </c>
      <c r="K21" s="32">
        <f>COUNTIF('Secondary Capability Links'!$B$2:$B$179,A21)</f>
        <v>2</v>
      </c>
      <c r="L21" s="32">
        <f>COUNTIFS('Secondary Capability Links'!$B$2:$B$179,A21,'Secondary Capability Links'!$C$2:$C$179,"Done")</f>
        <v>0</v>
      </c>
      <c r="M21" s="32" t="s">
        <v>10431</v>
      </c>
      <c r="N21" s="32" t="s">
        <v>831</v>
      </c>
    </row>
    <row r="22" spans="1:14" ht="26.1" customHeight="1">
      <c r="A22" s="38" t="s">
        <v>867</v>
      </c>
      <c r="B22" s="38" t="s">
        <v>863</v>
      </c>
      <c r="C22" s="38" t="s">
        <v>868</v>
      </c>
      <c r="D22" s="38" t="s">
        <v>830</v>
      </c>
      <c r="E22" s="38">
        <f>COUNTIF(Backlog!$AA$2:$AA$188,A22)</f>
        <v>0</v>
      </c>
      <c r="F22" s="38">
        <f>COUNTIFS(Backlog!$AA$2:$AA$188,A22,Backlog!$K$2:$K$188,"Done")</f>
        <v>0</v>
      </c>
      <c r="G22" s="38">
        <f t="shared" si="0"/>
        <v>0</v>
      </c>
      <c r="H22" s="38">
        <f>COUNTIFS(Backlog!$AA$2:$AA$188,A22,Backlog!$B$2:$B$188,"M2")</f>
        <v>0</v>
      </c>
      <c r="I22" s="38">
        <f>COUNTIFS(Backlog!$AA$2:$AA$188,A22,Backlog!$B$2:$B$188,"M3")</f>
        <v>0</v>
      </c>
      <c r="J22" s="38"/>
      <c r="K22" s="32">
        <f>COUNTIF('Secondary Capability Links'!$B$2:$B$179,A22)</f>
        <v>3</v>
      </c>
      <c r="L22" s="32">
        <f>COUNTIFS('Secondary Capability Links'!$B$2:$B$179,A22,'Secondary Capability Links'!$C$2:$C$179,"Done")</f>
        <v>0</v>
      </c>
      <c r="M22" s="32" t="s">
        <v>10432</v>
      </c>
      <c r="N22" s="32" t="s">
        <v>831</v>
      </c>
    </row>
    <row r="23" spans="1:14" ht="26.1" customHeight="1">
      <c r="A23" s="38" t="s">
        <v>869</v>
      </c>
      <c r="B23" s="38" t="s">
        <v>863</v>
      </c>
      <c r="C23" s="38" t="s">
        <v>870</v>
      </c>
      <c r="D23" s="38" t="s">
        <v>830</v>
      </c>
      <c r="E23" s="38">
        <f>COUNTIF(Backlog!$AA$2:$AA$188,A23)</f>
        <v>2</v>
      </c>
      <c r="F23" s="38">
        <f>COUNTIFS(Backlog!$AA$2:$AA$188,A23,Backlog!$K$2:$K$188,"Done")</f>
        <v>0</v>
      </c>
      <c r="G23" s="38">
        <f t="shared" si="0"/>
        <v>2</v>
      </c>
      <c r="H23" s="38">
        <f>COUNTIFS(Backlog!$AA$2:$AA$188,A23,Backlog!$B$2:$B$188,"M2")</f>
        <v>1</v>
      </c>
      <c r="I23" s="38">
        <f>COUNTIFS(Backlog!$AA$2:$AA$188,A23,Backlog!$B$2:$B$188,"M3")</f>
        <v>1</v>
      </c>
      <c r="J23" s="38" t="s">
        <v>10433</v>
      </c>
      <c r="K23" s="32">
        <f>COUNTIF('Secondary Capability Links'!$B$2:$B$179,A23)</f>
        <v>6</v>
      </c>
      <c r="L23" s="32">
        <f>COUNTIFS('Secondary Capability Links'!$B$2:$B$179,A23,'Secondary Capability Links'!$C$2:$C$179,"Done")</f>
        <v>1</v>
      </c>
      <c r="M23" s="32" t="s">
        <v>10434</v>
      </c>
      <c r="N23" s="32" t="s">
        <v>831</v>
      </c>
    </row>
    <row r="24" spans="1:14" ht="26.1" customHeight="1">
      <c r="A24" s="38" t="s">
        <v>871</v>
      </c>
      <c r="B24" s="38" t="s">
        <v>863</v>
      </c>
      <c r="C24" s="38" t="s">
        <v>872</v>
      </c>
      <c r="D24" s="38" t="s">
        <v>830</v>
      </c>
      <c r="E24" s="38">
        <f>COUNTIF(Backlog!$AA$2:$AA$188,A24)</f>
        <v>2</v>
      </c>
      <c r="F24" s="38">
        <f>COUNTIFS(Backlog!$AA$2:$AA$188,A24,Backlog!$K$2:$K$188,"Done")</f>
        <v>1</v>
      </c>
      <c r="G24" s="38">
        <f t="shared" si="0"/>
        <v>1</v>
      </c>
      <c r="H24" s="38">
        <f>COUNTIFS(Backlog!$AA$2:$AA$188,A24,Backlog!$B$2:$B$188,"M2")</f>
        <v>1</v>
      </c>
      <c r="I24" s="38">
        <f>COUNTIFS(Backlog!$AA$2:$AA$188,A24,Backlog!$B$2:$B$188,"M3")</f>
        <v>1</v>
      </c>
      <c r="J24" s="38" t="s">
        <v>10435</v>
      </c>
      <c r="K24" s="32">
        <f>COUNTIF('Secondary Capability Links'!$B$2:$B$179,A24)</f>
        <v>4</v>
      </c>
      <c r="L24" s="32">
        <f>COUNTIFS('Secondary Capability Links'!$B$2:$B$179,A24,'Secondary Capability Links'!$C$2:$C$179,"Done")</f>
        <v>1</v>
      </c>
      <c r="M24" s="32" t="s">
        <v>10436</v>
      </c>
      <c r="N24" s="32" t="s">
        <v>831</v>
      </c>
    </row>
    <row r="25" spans="1:14" ht="26.1" customHeight="1">
      <c r="A25" s="38" t="s">
        <v>873</v>
      </c>
      <c r="B25" s="38" t="s">
        <v>863</v>
      </c>
      <c r="C25" s="38" t="s">
        <v>874</v>
      </c>
      <c r="D25" s="38" t="s">
        <v>830</v>
      </c>
      <c r="E25" s="38">
        <f>COUNTIF(Backlog!$AA$2:$AA$188,A25)</f>
        <v>3</v>
      </c>
      <c r="F25" s="38">
        <f>COUNTIFS(Backlog!$AA$2:$AA$188,A25,Backlog!$K$2:$K$188,"Done")</f>
        <v>3</v>
      </c>
      <c r="G25" s="38">
        <f t="shared" si="0"/>
        <v>0</v>
      </c>
      <c r="H25" s="38">
        <f>COUNTIFS(Backlog!$AA$2:$AA$188,A25,Backlog!$B$2:$B$188,"M2")</f>
        <v>3</v>
      </c>
      <c r="I25" s="38">
        <f>COUNTIFS(Backlog!$AA$2:$AA$188,A25,Backlog!$B$2:$B$188,"M3")</f>
        <v>0</v>
      </c>
      <c r="J25" s="38" t="s">
        <v>10437</v>
      </c>
      <c r="K25" s="32">
        <f>COUNTIF('Secondary Capability Links'!$B$2:$B$179,A25)</f>
        <v>4</v>
      </c>
      <c r="L25" s="32">
        <f>COUNTIFS('Secondary Capability Links'!$B$2:$B$179,A25,'Secondary Capability Links'!$C$2:$C$179,"Done")</f>
        <v>2</v>
      </c>
      <c r="M25" s="32" t="s">
        <v>10438</v>
      </c>
      <c r="N25" s="32" t="s">
        <v>831</v>
      </c>
    </row>
    <row r="26" spans="1:14" ht="26.1" customHeight="1">
      <c r="A26" s="38" t="s">
        <v>875</v>
      </c>
      <c r="B26" s="38" t="s">
        <v>863</v>
      </c>
      <c r="C26" s="38" t="s">
        <v>876</v>
      </c>
      <c r="D26" s="38" t="s">
        <v>830</v>
      </c>
      <c r="E26" s="38">
        <f>COUNTIF(Backlog!$AA$2:$AA$188,A26)</f>
        <v>2</v>
      </c>
      <c r="F26" s="38">
        <f>COUNTIFS(Backlog!$AA$2:$AA$188,A26,Backlog!$K$2:$K$188,"Done")</f>
        <v>0</v>
      </c>
      <c r="G26" s="38">
        <f t="shared" si="0"/>
        <v>2</v>
      </c>
      <c r="H26" s="38">
        <f>COUNTIFS(Backlog!$AA$2:$AA$188,A26,Backlog!$B$2:$B$188,"M2")</f>
        <v>0</v>
      </c>
      <c r="I26" s="38">
        <f>COUNTIFS(Backlog!$AA$2:$AA$188,A26,Backlog!$B$2:$B$188,"M3")</f>
        <v>2</v>
      </c>
      <c r="J26" s="38" t="s">
        <v>10439</v>
      </c>
      <c r="K26" s="32">
        <f>COUNTIF('Secondary Capability Links'!$B$2:$B$179,A26)</f>
        <v>2</v>
      </c>
      <c r="L26" s="32">
        <f>COUNTIFS('Secondary Capability Links'!$B$2:$B$179,A26,'Secondary Capability Links'!$C$2:$C$179,"Done")</f>
        <v>1</v>
      </c>
      <c r="M26" s="32" t="s">
        <v>10440</v>
      </c>
      <c r="N26" s="32" t="s">
        <v>831</v>
      </c>
    </row>
    <row r="27" spans="1:14" ht="26.1" customHeight="1">
      <c r="A27" s="38" t="s">
        <v>877</v>
      </c>
      <c r="B27" s="38" t="s">
        <v>863</v>
      </c>
      <c r="C27" s="38" t="s">
        <v>878</v>
      </c>
      <c r="D27" s="38" t="s">
        <v>830</v>
      </c>
      <c r="E27" s="38">
        <f>COUNTIF(Backlog!$AA$2:$AA$188,A27)</f>
        <v>2</v>
      </c>
      <c r="F27" s="38">
        <f>COUNTIFS(Backlog!$AA$2:$AA$188,A27,Backlog!$K$2:$K$188,"Done")</f>
        <v>0</v>
      </c>
      <c r="G27" s="38">
        <f t="shared" si="0"/>
        <v>2</v>
      </c>
      <c r="H27" s="38">
        <f>COUNTIFS(Backlog!$AA$2:$AA$188,A27,Backlog!$B$2:$B$188,"M2")</f>
        <v>1</v>
      </c>
      <c r="I27" s="38">
        <f>COUNTIFS(Backlog!$AA$2:$AA$188,A27,Backlog!$B$2:$B$188,"M3")</f>
        <v>1</v>
      </c>
      <c r="J27" s="38" t="s">
        <v>603</v>
      </c>
      <c r="K27" s="32">
        <f>COUNTIF('Secondary Capability Links'!$B$2:$B$179,A27)</f>
        <v>2</v>
      </c>
      <c r="L27" s="32">
        <f>COUNTIFS('Secondary Capability Links'!$B$2:$B$179,A27,'Secondary Capability Links'!$C$2:$C$179,"Done")</f>
        <v>1</v>
      </c>
      <c r="M27" s="32" t="s">
        <v>10441</v>
      </c>
      <c r="N27" s="32" t="s">
        <v>831</v>
      </c>
    </row>
    <row r="28" spans="1:14" ht="26.1" customHeight="1">
      <c r="A28" s="38" t="s">
        <v>879</v>
      </c>
      <c r="B28" s="38" t="s">
        <v>863</v>
      </c>
      <c r="C28" s="38" t="s">
        <v>880</v>
      </c>
      <c r="D28" s="38" t="s">
        <v>830</v>
      </c>
      <c r="E28" s="38">
        <f>COUNTIF(Backlog!$AA$2:$AA$188,A28)</f>
        <v>1</v>
      </c>
      <c r="F28" s="38">
        <f>COUNTIFS(Backlog!$AA$2:$AA$188,A28,Backlog!$K$2:$K$188,"Done")</f>
        <v>1</v>
      </c>
      <c r="G28" s="38">
        <f t="shared" si="0"/>
        <v>0</v>
      </c>
      <c r="H28" s="38">
        <f>COUNTIFS(Backlog!$AA$2:$AA$188,A28,Backlog!$B$2:$B$188,"M2")</f>
        <v>1</v>
      </c>
      <c r="I28" s="38">
        <f>COUNTIFS(Backlog!$AA$2:$AA$188,A28,Backlog!$B$2:$B$188,"M3")</f>
        <v>0</v>
      </c>
      <c r="J28" s="38" t="s">
        <v>68</v>
      </c>
      <c r="K28" s="32">
        <f>COUNTIF('Secondary Capability Links'!$B$2:$B$179,A28)</f>
        <v>2</v>
      </c>
      <c r="L28" s="32">
        <f>COUNTIFS('Secondary Capability Links'!$B$2:$B$179,A28,'Secondary Capability Links'!$C$2:$C$179,"Done")</f>
        <v>0</v>
      </c>
      <c r="M28" s="32" t="s">
        <v>10439</v>
      </c>
      <c r="N28" s="32" t="s">
        <v>831</v>
      </c>
    </row>
    <row r="29" spans="1:14" ht="26.1" customHeight="1">
      <c r="A29" s="38" t="s">
        <v>881</v>
      </c>
      <c r="B29" s="38" t="s">
        <v>882</v>
      </c>
      <c r="C29" s="38" t="s">
        <v>883</v>
      </c>
      <c r="D29" s="38" t="s">
        <v>830</v>
      </c>
      <c r="E29" s="38">
        <f>COUNTIF(Backlog!$AA$2:$AA$188,A29)</f>
        <v>3</v>
      </c>
      <c r="F29" s="38">
        <f>COUNTIFS(Backlog!$AA$2:$AA$188,A29,Backlog!$K$2:$K$188,"Done")</f>
        <v>1</v>
      </c>
      <c r="G29" s="38">
        <f t="shared" si="0"/>
        <v>2</v>
      </c>
      <c r="H29" s="38">
        <f>COUNTIFS(Backlog!$AA$2:$AA$188,A29,Backlog!$B$2:$B$188,"M2")</f>
        <v>1</v>
      </c>
      <c r="I29" s="38">
        <f>COUNTIFS(Backlog!$AA$2:$AA$188,A29,Backlog!$B$2:$B$188,"M3")</f>
        <v>2</v>
      </c>
      <c r="J29" s="38" t="s">
        <v>10442</v>
      </c>
      <c r="K29" s="32">
        <f>COUNTIF('Secondary Capability Links'!$B$2:$B$179,A29)</f>
        <v>1</v>
      </c>
      <c r="L29" s="32">
        <f>COUNTIFS('Secondary Capability Links'!$B$2:$B$179,A29,'Secondary Capability Links'!$C$2:$C$179,"Done")</f>
        <v>0</v>
      </c>
      <c r="M29" s="32" t="s">
        <v>224</v>
      </c>
      <c r="N29" s="32" t="s">
        <v>831</v>
      </c>
    </row>
    <row r="30" spans="1:14" ht="26.1" customHeight="1">
      <c r="A30" s="38" t="s">
        <v>884</v>
      </c>
      <c r="B30" s="38" t="s">
        <v>882</v>
      </c>
      <c r="C30" s="38" t="s">
        <v>885</v>
      </c>
      <c r="D30" s="38" t="s">
        <v>830</v>
      </c>
      <c r="E30" s="38">
        <f>COUNTIF(Backlog!$AA$2:$AA$188,A30)</f>
        <v>3</v>
      </c>
      <c r="F30" s="38">
        <f>COUNTIFS(Backlog!$AA$2:$AA$188,A30,Backlog!$K$2:$K$188,"Done")</f>
        <v>1</v>
      </c>
      <c r="G30" s="38">
        <f t="shared" si="0"/>
        <v>2</v>
      </c>
      <c r="H30" s="38">
        <f>COUNTIFS(Backlog!$AA$2:$AA$188,A30,Backlog!$B$2:$B$188,"M2")</f>
        <v>2</v>
      </c>
      <c r="I30" s="38">
        <f>COUNTIFS(Backlog!$AA$2:$AA$188,A30,Backlog!$B$2:$B$188,"M3")</f>
        <v>1</v>
      </c>
      <c r="J30" s="38" t="s">
        <v>10443</v>
      </c>
      <c r="K30" s="32">
        <f>COUNTIF('Secondary Capability Links'!$B$2:$B$179,A30)</f>
        <v>7</v>
      </c>
      <c r="L30" s="32">
        <f>COUNTIFS('Secondary Capability Links'!$B$2:$B$179,A30,'Secondary Capability Links'!$C$2:$C$179,"Done")</f>
        <v>2</v>
      </c>
      <c r="M30" s="32" t="s">
        <v>10444</v>
      </c>
      <c r="N30" s="32" t="s">
        <v>831</v>
      </c>
    </row>
    <row r="31" spans="1:14" ht="26.1" customHeight="1">
      <c r="A31" s="38" t="s">
        <v>886</v>
      </c>
      <c r="B31" s="38" t="s">
        <v>882</v>
      </c>
      <c r="C31" s="38" t="s">
        <v>887</v>
      </c>
      <c r="D31" s="38" t="s">
        <v>830</v>
      </c>
      <c r="E31" s="38">
        <f>COUNTIF(Backlog!$AA$2:$AA$188,A31)</f>
        <v>5</v>
      </c>
      <c r="F31" s="38">
        <f>COUNTIFS(Backlog!$AA$2:$AA$188,A31,Backlog!$K$2:$K$188,"Done")</f>
        <v>2</v>
      </c>
      <c r="G31" s="38">
        <f t="shared" si="0"/>
        <v>3</v>
      </c>
      <c r="H31" s="38">
        <f>COUNTIFS(Backlog!$AA$2:$AA$188,A31,Backlog!$B$2:$B$188,"M2")</f>
        <v>2</v>
      </c>
      <c r="I31" s="38">
        <f>COUNTIFS(Backlog!$AA$2:$AA$188,A31,Backlog!$B$2:$B$188,"M3")</f>
        <v>3</v>
      </c>
      <c r="J31" s="38" t="s">
        <v>10445</v>
      </c>
      <c r="K31" s="32">
        <f>COUNTIF('Secondary Capability Links'!$B$2:$B$179,A31)</f>
        <v>2</v>
      </c>
      <c r="L31" s="32">
        <f>COUNTIFS('Secondary Capability Links'!$B$2:$B$179,A31,'Secondary Capability Links'!$C$2:$C$179,"Done")</f>
        <v>0</v>
      </c>
      <c r="M31" s="32" t="s">
        <v>10446</v>
      </c>
      <c r="N31" s="32" t="s">
        <v>831</v>
      </c>
    </row>
    <row r="32" spans="1:14" ht="26.1" customHeight="1">
      <c r="A32" s="38" t="s">
        <v>888</v>
      </c>
      <c r="B32" s="38" t="s">
        <v>882</v>
      </c>
      <c r="C32" s="38" t="s">
        <v>889</v>
      </c>
      <c r="D32" s="38" t="s">
        <v>830</v>
      </c>
      <c r="E32" s="38">
        <f>COUNTIF(Backlog!$AA$2:$AA$188,A32)</f>
        <v>5</v>
      </c>
      <c r="F32" s="38">
        <f>COUNTIFS(Backlog!$AA$2:$AA$188,A32,Backlog!$K$2:$K$188,"Done")</f>
        <v>4</v>
      </c>
      <c r="G32" s="38">
        <f t="shared" si="0"/>
        <v>1</v>
      </c>
      <c r="H32" s="38">
        <f>COUNTIFS(Backlog!$AA$2:$AA$188,A32,Backlog!$B$2:$B$188,"M2")</f>
        <v>4</v>
      </c>
      <c r="I32" s="38">
        <f>COUNTIFS(Backlog!$AA$2:$AA$188,A32,Backlog!$B$2:$B$188,"M3")</f>
        <v>1</v>
      </c>
      <c r="J32" s="38" t="s">
        <v>10447</v>
      </c>
      <c r="K32" s="32">
        <f>COUNTIF('Secondary Capability Links'!$B$2:$B$179,A32)</f>
        <v>2</v>
      </c>
      <c r="L32" s="32">
        <f>COUNTIFS('Secondary Capability Links'!$B$2:$B$179,A32,'Secondary Capability Links'!$C$2:$C$179,"Done")</f>
        <v>0</v>
      </c>
      <c r="M32" s="32" t="s">
        <v>10448</v>
      </c>
      <c r="N32" s="32" t="s">
        <v>831</v>
      </c>
    </row>
    <row r="33" spans="1:14" ht="26.1" customHeight="1">
      <c r="A33" s="38" t="s">
        <v>890</v>
      </c>
      <c r="B33" s="38" t="s">
        <v>882</v>
      </c>
      <c r="C33" s="38" t="s">
        <v>891</v>
      </c>
      <c r="D33" s="38" t="s">
        <v>830</v>
      </c>
      <c r="E33" s="38">
        <f>COUNTIF(Backlog!$AA$2:$AA$188,A33)</f>
        <v>1</v>
      </c>
      <c r="F33" s="38">
        <f>COUNTIFS(Backlog!$AA$2:$AA$188,A33,Backlog!$K$2:$K$188,"Done")</f>
        <v>1</v>
      </c>
      <c r="G33" s="38">
        <f t="shared" si="0"/>
        <v>0</v>
      </c>
      <c r="H33" s="38">
        <f>COUNTIFS(Backlog!$AA$2:$AA$188,A33,Backlog!$B$2:$B$188,"M2")</f>
        <v>1</v>
      </c>
      <c r="I33" s="38">
        <f>COUNTIFS(Backlog!$AA$2:$AA$188,A33,Backlog!$B$2:$B$188,"M3")</f>
        <v>0</v>
      </c>
      <c r="J33" s="38" t="s">
        <v>131</v>
      </c>
      <c r="K33" s="32">
        <f>COUNTIF('Secondary Capability Links'!$B$2:$B$179,A33)</f>
        <v>3</v>
      </c>
      <c r="L33" s="32">
        <f>COUNTIFS('Secondary Capability Links'!$B$2:$B$179,A33,'Secondary Capability Links'!$C$2:$C$179,"Done")</f>
        <v>2</v>
      </c>
      <c r="M33" s="32" t="s">
        <v>10449</v>
      </c>
      <c r="N33" s="32" t="s">
        <v>831</v>
      </c>
    </row>
    <row r="34" spans="1:14" ht="26.1" customHeight="1">
      <c r="A34" s="38" t="s">
        <v>892</v>
      </c>
      <c r="B34" s="38" t="s">
        <v>882</v>
      </c>
      <c r="C34" s="38" t="s">
        <v>893</v>
      </c>
      <c r="D34" s="38" t="s">
        <v>830</v>
      </c>
      <c r="E34" s="38">
        <f>COUNTIF(Backlog!$AA$2:$AA$188,A34)</f>
        <v>7</v>
      </c>
      <c r="F34" s="38">
        <f>COUNTIFS(Backlog!$AA$2:$AA$188,A34,Backlog!$K$2:$K$188,"Done")</f>
        <v>0</v>
      </c>
      <c r="G34" s="38">
        <f t="shared" si="0"/>
        <v>7</v>
      </c>
      <c r="H34" s="38">
        <f>COUNTIFS(Backlog!$AA$2:$AA$188,A34,Backlog!$B$2:$B$188,"M2")</f>
        <v>0</v>
      </c>
      <c r="I34" s="38">
        <f>COUNTIFS(Backlog!$AA$2:$AA$188,A34,Backlog!$B$2:$B$188,"M3")</f>
        <v>7</v>
      </c>
      <c r="J34" s="38" t="s">
        <v>10450</v>
      </c>
      <c r="K34" s="32">
        <f>COUNTIF('Secondary Capability Links'!$B$2:$B$179,A34)</f>
        <v>1</v>
      </c>
      <c r="L34" s="32">
        <f>COUNTIFS('Secondary Capability Links'!$B$2:$B$179,A34,'Secondary Capability Links'!$C$2:$C$179,"Done")</f>
        <v>0</v>
      </c>
      <c r="M34" s="32" t="s">
        <v>235</v>
      </c>
      <c r="N34" s="32" t="s">
        <v>831</v>
      </c>
    </row>
    <row r="35" spans="1:14" ht="26.1" customHeight="1">
      <c r="A35" s="38" t="s">
        <v>894</v>
      </c>
      <c r="B35" s="38" t="s">
        <v>882</v>
      </c>
      <c r="C35" s="38" t="s">
        <v>895</v>
      </c>
      <c r="D35" s="38" t="s">
        <v>830</v>
      </c>
      <c r="E35" s="38">
        <f>COUNTIF(Backlog!$AA$2:$AA$188,A35)</f>
        <v>8</v>
      </c>
      <c r="F35" s="38">
        <f>COUNTIFS(Backlog!$AA$2:$AA$188,A35,Backlog!$K$2:$K$188,"Done")</f>
        <v>1</v>
      </c>
      <c r="G35" s="38">
        <f t="shared" si="0"/>
        <v>7</v>
      </c>
      <c r="H35" s="38">
        <f>COUNTIFS(Backlog!$AA$2:$AA$188,A35,Backlog!$B$2:$B$188,"M2")</f>
        <v>1</v>
      </c>
      <c r="I35" s="38">
        <f>COUNTIFS(Backlog!$AA$2:$AA$188,A35,Backlog!$B$2:$B$188,"M3")</f>
        <v>7</v>
      </c>
      <c r="J35" s="38" t="s">
        <v>10451</v>
      </c>
      <c r="K35" s="32">
        <f>COUNTIF('Secondary Capability Links'!$B$2:$B$179,A35)</f>
        <v>2</v>
      </c>
      <c r="L35" s="32">
        <f>COUNTIFS('Secondary Capability Links'!$B$2:$B$179,A35,'Secondary Capability Links'!$C$2:$C$179,"Done")</f>
        <v>0</v>
      </c>
      <c r="M35" s="32" t="s">
        <v>10452</v>
      </c>
      <c r="N35" s="32" t="s">
        <v>831</v>
      </c>
    </row>
    <row r="36" spans="1:14" ht="26.1" customHeight="1">
      <c r="A36" s="38" t="s">
        <v>896</v>
      </c>
      <c r="B36" s="38" t="s">
        <v>882</v>
      </c>
      <c r="C36" s="38" t="s">
        <v>897</v>
      </c>
      <c r="D36" s="38" t="s">
        <v>830</v>
      </c>
      <c r="E36" s="38">
        <f>COUNTIF(Backlog!$AA$2:$AA$188,A36)</f>
        <v>4</v>
      </c>
      <c r="F36" s="38">
        <f>COUNTIFS(Backlog!$AA$2:$AA$188,A36,Backlog!$K$2:$K$188,"Done")</f>
        <v>2</v>
      </c>
      <c r="G36" s="38">
        <f t="shared" ref="G36:G67" si="1">E36-F36</f>
        <v>2</v>
      </c>
      <c r="H36" s="38">
        <f>COUNTIFS(Backlog!$AA$2:$AA$188,A36,Backlog!$B$2:$B$188,"M2")</f>
        <v>2</v>
      </c>
      <c r="I36" s="38">
        <f>COUNTIFS(Backlog!$AA$2:$AA$188,A36,Backlog!$B$2:$B$188,"M3")</f>
        <v>2</v>
      </c>
      <c r="J36" s="38" t="s">
        <v>10453</v>
      </c>
      <c r="K36" s="32">
        <f>COUNTIF('Secondary Capability Links'!$B$2:$B$179,A36)</f>
        <v>5</v>
      </c>
      <c r="L36" s="32">
        <f>COUNTIFS('Secondary Capability Links'!$B$2:$B$179,A36,'Secondary Capability Links'!$C$2:$C$179,"Done")</f>
        <v>1</v>
      </c>
      <c r="M36" s="32" t="s">
        <v>10454</v>
      </c>
      <c r="N36" s="32" t="s">
        <v>831</v>
      </c>
    </row>
    <row r="37" spans="1:14" ht="26.1" customHeight="1">
      <c r="A37" s="38" t="s">
        <v>898</v>
      </c>
      <c r="B37" s="38" t="s">
        <v>899</v>
      </c>
      <c r="C37" s="38" t="s">
        <v>900</v>
      </c>
      <c r="D37" s="38" t="s">
        <v>830</v>
      </c>
      <c r="E37" s="38">
        <f>COUNTIF(Backlog!$AA$2:$AA$188,A37)</f>
        <v>4</v>
      </c>
      <c r="F37" s="38">
        <f>COUNTIFS(Backlog!$AA$2:$AA$188,A37,Backlog!$K$2:$K$188,"Done")</f>
        <v>3</v>
      </c>
      <c r="G37" s="38">
        <f t="shared" si="1"/>
        <v>1</v>
      </c>
      <c r="H37" s="38">
        <f>COUNTIFS(Backlog!$AA$2:$AA$188,A37,Backlog!$B$2:$B$188,"M2")</f>
        <v>4</v>
      </c>
      <c r="I37" s="38">
        <f>COUNTIFS(Backlog!$AA$2:$AA$188,A37,Backlog!$B$2:$B$188,"M3")</f>
        <v>0</v>
      </c>
      <c r="J37" s="38" t="s">
        <v>10455</v>
      </c>
      <c r="K37" s="32">
        <f>COUNTIF('Secondary Capability Links'!$B$2:$B$179,A37)</f>
        <v>2</v>
      </c>
      <c r="L37" s="32">
        <f>COUNTIFS('Secondary Capability Links'!$B$2:$B$179,A37,'Secondary Capability Links'!$C$2:$C$179,"Done")</f>
        <v>2</v>
      </c>
      <c r="M37" s="32" t="s">
        <v>10456</v>
      </c>
      <c r="N37" s="32" t="s">
        <v>831</v>
      </c>
    </row>
    <row r="38" spans="1:14" ht="26.1" customHeight="1">
      <c r="A38" s="38" t="s">
        <v>901</v>
      </c>
      <c r="B38" s="38" t="s">
        <v>899</v>
      </c>
      <c r="C38" s="38" t="s">
        <v>902</v>
      </c>
      <c r="D38" s="38" t="s">
        <v>830</v>
      </c>
      <c r="E38" s="38">
        <f>COUNTIF(Backlog!$AA$2:$AA$188,A38)</f>
        <v>5</v>
      </c>
      <c r="F38" s="38">
        <f>COUNTIFS(Backlog!$AA$2:$AA$188,A38,Backlog!$K$2:$K$188,"Done")</f>
        <v>3</v>
      </c>
      <c r="G38" s="38">
        <f t="shared" si="1"/>
        <v>2</v>
      </c>
      <c r="H38" s="38">
        <f>COUNTIFS(Backlog!$AA$2:$AA$188,A38,Backlog!$B$2:$B$188,"M2")</f>
        <v>4</v>
      </c>
      <c r="I38" s="38">
        <f>COUNTIFS(Backlog!$AA$2:$AA$188,A38,Backlog!$B$2:$B$188,"M3")</f>
        <v>1</v>
      </c>
      <c r="J38" s="38" t="s">
        <v>10457</v>
      </c>
      <c r="K38" s="32">
        <f>COUNTIF('Secondary Capability Links'!$B$2:$B$179,A38)</f>
        <v>1</v>
      </c>
      <c r="L38" s="32">
        <f>COUNTIFS('Secondary Capability Links'!$B$2:$B$179,A38,'Secondary Capability Links'!$C$2:$C$179,"Done")</f>
        <v>0</v>
      </c>
      <c r="M38" s="32" t="s">
        <v>238</v>
      </c>
      <c r="N38" s="32" t="s">
        <v>831</v>
      </c>
    </row>
    <row r="39" spans="1:14" ht="26.1" customHeight="1">
      <c r="A39" s="38" t="s">
        <v>903</v>
      </c>
      <c r="B39" s="38" t="s">
        <v>899</v>
      </c>
      <c r="C39" s="38" t="s">
        <v>904</v>
      </c>
      <c r="D39" s="38" t="s">
        <v>830</v>
      </c>
      <c r="E39" s="38">
        <f>COUNTIF(Backlog!$AA$2:$AA$188,A39)</f>
        <v>4</v>
      </c>
      <c r="F39" s="38">
        <f>COUNTIFS(Backlog!$AA$2:$AA$188,A39,Backlog!$K$2:$K$188,"Done")</f>
        <v>3</v>
      </c>
      <c r="G39" s="38">
        <f t="shared" si="1"/>
        <v>1</v>
      </c>
      <c r="H39" s="38">
        <f>COUNTIFS(Backlog!$AA$2:$AA$188,A39,Backlog!$B$2:$B$188,"M2")</f>
        <v>3</v>
      </c>
      <c r="I39" s="38">
        <f>COUNTIFS(Backlog!$AA$2:$AA$188,A39,Backlog!$B$2:$B$188,"M3")</f>
        <v>1</v>
      </c>
      <c r="J39" s="38" t="s">
        <v>10458</v>
      </c>
      <c r="K39" s="32">
        <f>COUNTIF('Secondary Capability Links'!$B$2:$B$179,A39)</f>
        <v>3</v>
      </c>
      <c r="L39" s="32">
        <f>COUNTIFS('Secondary Capability Links'!$B$2:$B$179,A39,'Secondary Capability Links'!$C$2:$C$179,"Done")</f>
        <v>1</v>
      </c>
      <c r="M39" s="32" t="s">
        <v>10459</v>
      </c>
      <c r="N39" s="32" t="s">
        <v>831</v>
      </c>
    </row>
    <row r="40" spans="1:14" ht="26.1" customHeight="1">
      <c r="A40" s="38" t="s">
        <v>905</v>
      </c>
      <c r="B40" s="38" t="s">
        <v>899</v>
      </c>
      <c r="C40" s="38" t="s">
        <v>906</v>
      </c>
      <c r="D40" s="38" t="s">
        <v>830</v>
      </c>
      <c r="E40" s="38">
        <f>COUNTIF(Backlog!$AA$2:$AA$188,A40)</f>
        <v>3</v>
      </c>
      <c r="F40" s="38">
        <f>COUNTIFS(Backlog!$AA$2:$AA$188,A40,Backlog!$K$2:$K$188,"Done")</f>
        <v>2</v>
      </c>
      <c r="G40" s="38">
        <f t="shared" si="1"/>
        <v>1</v>
      </c>
      <c r="H40" s="38">
        <f>COUNTIFS(Backlog!$AA$2:$AA$188,A40,Backlog!$B$2:$B$188,"M2")</f>
        <v>3</v>
      </c>
      <c r="I40" s="38">
        <f>COUNTIFS(Backlog!$AA$2:$AA$188,A40,Backlog!$B$2:$B$188,"M3")</f>
        <v>0</v>
      </c>
      <c r="J40" s="38" t="s">
        <v>10460</v>
      </c>
      <c r="K40" s="32">
        <f>COUNTIF('Secondary Capability Links'!$B$2:$B$179,A40)</f>
        <v>0</v>
      </c>
      <c r="L40" s="32">
        <f>COUNTIFS('Secondary Capability Links'!$B$2:$B$179,A40,'Secondary Capability Links'!$C$2:$C$179,"Done")</f>
        <v>0</v>
      </c>
      <c r="M40" s="32"/>
      <c r="N40" s="32" t="s">
        <v>831</v>
      </c>
    </row>
    <row r="41" spans="1:14" ht="26.1" customHeight="1">
      <c r="A41" s="38" t="s">
        <v>907</v>
      </c>
      <c r="B41" s="38" t="s">
        <v>899</v>
      </c>
      <c r="C41" s="38" t="s">
        <v>908</v>
      </c>
      <c r="D41" s="38" t="s">
        <v>830</v>
      </c>
      <c r="E41" s="38">
        <f>COUNTIF(Backlog!$AA$2:$AA$188,A41)</f>
        <v>4</v>
      </c>
      <c r="F41" s="38">
        <f>COUNTIFS(Backlog!$AA$2:$AA$188,A41,Backlog!$K$2:$K$188,"Done")</f>
        <v>2</v>
      </c>
      <c r="G41" s="38">
        <f t="shared" si="1"/>
        <v>2</v>
      </c>
      <c r="H41" s="38">
        <f>COUNTIFS(Backlog!$AA$2:$AA$188,A41,Backlog!$B$2:$B$188,"M2")</f>
        <v>2</v>
      </c>
      <c r="I41" s="38">
        <f>COUNTIFS(Backlog!$AA$2:$AA$188,A41,Backlog!$B$2:$B$188,"M3")</f>
        <v>2</v>
      </c>
      <c r="J41" s="38" t="s">
        <v>10461</v>
      </c>
      <c r="K41" s="32">
        <f>COUNTIF('Secondary Capability Links'!$B$2:$B$179,A41)</f>
        <v>6</v>
      </c>
      <c r="L41" s="32">
        <f>COUNTIFS('Secondary Capability Links'!$B$2:$B$179,A41,'Secondary Capability Links'!$C$2:$C$179,"Done")</f>
        <v>3</v>
      </c>
      <c r="M41" s="32" t="s">
        <v>10462</v>
      </c>
      <c r="N41" s="32" t="s">
        <v>831</v>
      </c>
    </row>
    <row r="42" spans="1:14" ht="26.1" customHeight="1">
      <c r="A42" s="38" t="s">
        <v>909</v>
      </c>
      <c r="B42" s="38" t="s">
        <v>899</v>
      </c>
      <c r="C42" s="38" t="s">
        <v>910</v>
      </c>
      <c r="D42" s="38" t="s">
        <v>830</v>
      </c>
      <c r="E42" s="38">
        <f>COUNTIF(Backlog!$AA$2:$AA$188,A42)</f>
        <v>2</v>
      </c>
      <c r="F42" s="38">
        <f>COUNTIFS(Backlog!$AA$2:$AA$188,A42,Backlog!$K$2:$K$188,"Done")</f>
        <v>2</v>
      </c>
      <c r="G42" s="38">
        <f t="shared" si="1"/>
        <v>0</v>
      </c>
      <c r="H42" s="38">
        <f>COUNTIFS(Backlog!$AA$2:$AA$188,A42,Backlog!$B$2:$B$188,"M2")</f>
        <v>2</v>
      </c>
      <c r="I42" s="38">
        <f>COUNTIFS(Backlog!$AA$2:$AA$188,A42,Backlog!$B$2:$B$188,"M3")</f>
        <v>0</v>
      </c>
      <c r="J42" s="38" t="s">
        <v>10463</v>
      </c>
      <c r="K42" s="32">
        <f>COUNTIF('Secondary Capability Links'!$B$2:$B$179,A42)</f>
        <v>2</v>
      </c>
      <c r="L42" s="32">
        <f>COUNTIFS('Secondary Capability Links'!$B$2:$B$179,A42,'Secondary Capability Links'!$C$2:$C$179,"Done")</f>
        <v>2</v>
      </c>
      <c r="M42" s="32" t="s">
        <v>10464</v>
      </c>
      <c r="N42" s="32" t="s">
        <v>831</v>
      </c>
    </row>
    <row r="43" spans="1:14" ht="26.1" customHeight="1">
      <c r="A43" s="38" t="s">
        <v>911</v>
      </c>
      <c r="B43" s="38" t="s">
        <v>899</v>
      </c>
      <c r="C43" s="38" t="s">
        <v>912</v>
      </c>
      <c r="D43" s="38" t="s">
        <v>830</v>
      </c>
      <c r="E43" s="38">
        <f>COUNTIF(Backlog!$AA$2:$AA$188,A43)</f>
        <v>1</v>
      </c>
      <c r="F43" s="38">
        <f>COUNTIFS(Backlog!$AA$2:$AA$188,A43,Backlog!$K$2:$K$188,"Done")</f>
        <v>1</v>
      </c>
      <c r="G43" s="38">
        <f t="shared" si="1"/>
        <v>0</v>
      </c>
      <c r="H43" s="38">
        <f>COUNTIFS(Backlog!$AA$2:$AA$188,A43,Backlog!$B$2:$B$188,"M2")</f>
        <v>1</v>
      </c>
      <c r="I43" s="38">
        <f>COUNTIFS(Backlog!$AA$2:$AA$188,A43,Backlog!$B$2:$B$188,"M3")</f>
        <v>0</v>
      </c>
      <c r="J43" s="38" t="s">
        <v>83</v>
      </c>
      <c r="K43" s="32">
        <f>COUNTIF('Secondary Capability Links'!$B$2:$B$179,A43)</f>
        <v>5</v>
      </c>
      <c r="L43" s="32">
        <f>COUNTIFS('Secondary Capability Links'!$B$2:$B$179,A43,'Secondary Capability Links'!$C$2:$C$179,"Done")</f>
        <v>4</v>
      </c>
      <c r="M43" s="32" t="s">
        <v>10465</v>
      </c>
      <c r="N43" s="32" t="s">
        <v>831</v>
      </c>
    </row>
    <row r="44" spans="1:14" ht="26.1" customHeight="1">
      <c r="A44" s="38" t="s">
        <v>913</v>
      </c>
      <c r="B44" s="38" t="s">
        <v>899</v>
      </c>
      <c r="C44" s="38" t="s">
        <v>914</v>
      </c>
      <c r="D44" s="38" t="s">
        <v>830</v>
      </c>
      <c r="E44" s="38">
        <f>COUNTIF(Backlog!$AA$2:$AA$188,A44)</f>
        <v>2</v>
      </c>
      <c r="F44" s="38">
        <f>COUNTIFS(Backlog!$AA$2:$AA$188,A44,Backlog!$K$2:$K$188,"Done")</f>
        <v>1</v>
      </c>
      <c r="G44" s="38">
        <f t="shared" si="1"/>
        <v>1</v>
      </c>
      <c r="H44" s="38">
        <f>COUNTIFS(Backlog!$AA$2:$AA$188,A44,Backlog!$B$2:$B$188,"M2")</f>
        <v>1</v>
      </c>
      <c r="I44" s="38">
        <f>COUNTIFS(Backlog!$AA$2:$AA$188,A44,Backlog!$B$2:$B$188,"M3")</f>
        <v>1</v>
      </c>
      <c r="J44" s="38" t="s">
        <v>10466</v>
      </c>
      <c r="K44" s="32">
        <f>COUNTIF('Secondary Capability Links'!$B$2:$B$179,A44)</f>
        <v>2</v>
      </c>
      <c r="L44" s="32">
        <f>COUNTIFS('Secondary Capability Links'!$B$2:$B$179,A44,'Secondary Capability Links'!$C$2:$C$179,"Done")</f>
        <v>1</v>
      </c>
      <c r="M44" s="32" t="s">
        <v>10467</v>
      </c>
      <c r="N44" s="32" t="s">
        <v>831</v>
      </c>
    </row>
    <row r="45" spans="1:14" ht="26.1" customHeight="1">
      <c r="A45" s="38" t="s">
        <v>915</v>
      </c>
      <c r="B45" s="38" t="s">
        <v>916</v>
      </c>
      <c r="C45" s="38" t="s">
        <v>917</v>
      </c>
      <c r="D45" s="38" t="s">
        <v>830</v>
      </c>
      <c r="E45" s="38">
        <f>COUNTIF(Backlog!$AA$2:$AA$188,A45)</f>
        <v>0</v>
      </c>
      <c r="F45" s="38">
        <f>COUNTIFS(Backlog!$AA$2:$AA$188,A45,Backlog!$K$2:$K$188,"Done")</f>
        <v>0</v>
      </c>
      <c r="G45" s="38">
        <f t="shared" si="1"/>
        <v>0</v>
      </c>
      <c r="H45" s="38">
        <f>COUNTIFS(Backlog!$AA$2:$AA$188,A45,Backlog!$B$2:$B$188,"M2")</f>
        <v>0</v>
      </c>
      <c r="I45" s="38">
        <f>COUNTIFS(Backlog!$AA$2:$AA$188,A45,Backlog!$B$2:$B$188,"M3")</f>
        <v>0</v>
      </c>
      <c r="J45" s="38"/>
      <c r="K45" s="32">
        <f>COUNTIF('Secondary Capability Links'!$B$2:$B$179,A45)</f>
        <v>1</v>
      </c>
      <c r="L45" s="32">
        <f>COUNTIFS('Secondary Capability Links'!$B$2:$B$179,A45,'Secondary Capability Links'!$C$2:$C$179,"Done")</f>
        <v>0</v>
      </c>
      <c r="M45" s="32" t="s">
        <v>238</v>
      </c>
      <c r="N45" s="32" t="s">
        <v>831</v>
      </c>
    </row>
    <row r="46" spans="1:14" ht="26.1" customHeight="1">
      <c r="A46" s="38" t="s">
        <v>918</v>
      </c>
      <c r="B46" s="38" t="s">
        <v>916</v>
      </c>
      <c r="C46" s="38" t="s">
        <v>919</v>
      </c>
      <c r="D46" s="38" t="s">
        <v>830</v>
      </c>
      <c r="E46" s="38">
        <f>COUNTIF(Backlog!$AA$2:$AA$188,A46)</f>
        <v>5</v>
      </c>
      <c r="F46" s="38">
        <f>COUNTIFS(Backlog!$AA$2:$AA$188,A46,Backlog!$K$2:$K$188,"Done")</f>
        <v>3</v>
      </c>
      <c r="G46" s="38">
        <f t="shared" si="1"/>
        <v>2</v>
      </c>
      <c r="H46" s="38">
        <f>COUNTIFS(Backlog!$AA$2:$AA$188,A46,Backlog!$B$2:$B$188,"M2")</f>
        <v>4</v>
      </c>
      <c r="I46" s="38">
        <f>COUNTIFS(Backlog!$AA$2:$AA$188,A46,Backlog!$B$2:$B$188,"M3")</f>
        <v>1</v>
      </c>
      <c r="J46" s="38" t="s">
        <v>10468</v>
      </c>
      <c r="K46" s="32">
        <f>COUNTIF('Secondary Capability Links'!$B$2:$B$179,A46)</f>
        <v>1</v>
      </c>
      <c r="L46" s="32">
        <f>COUNTIFS('Secondary Capability Links'!$B$2:$B$179,A46,'Secondary Capability Links'!$C$2:$C$179,"Done")</f>
        <v>0</v>
      </c>
      <c r="M46" s="32" t="s">
        <v>233</v>
      </c>
      <c r="N46" s="32" t="s">
        <v>831</v>
      </c>
    </row>
    <row r="47" spans="1:14" ht="26.1" customHeight="1">
      <c r="A47" s="38" t="s">
        <v>920</v>
      </c>
      <c r="B47" s="38" t="s">
        <v>916</v>
      </c>
      <c r="C47" s="38" t="s">
        <v>921</v>
      </c>
      <c r="D47" s="38" t="s">
        <v>830</v>
      </c>
      <c r="E47" s="38">
        <f>COUNTIF(Backlog!$AA$2:$AA$188,A47)</f>
        <v>1</v>
      </c>
      <c r="F47" s="38">
        <f>COUNTIFS(Backlog!$AA$2:$AA$188,A47,Backlog!$K$2:$K$188,"Done")</f>
        <v>0</v>
      </c>
      <c r="G47" s="38">
        <f t="shared" si="1"/>
        <v>1</v>
      </c>
      <c r="H47" s="38">
        <f>COUNTIFS(Backlog!$AA$2:$AA$188,A47,Backlog!$B$2:$B$188,"M2")</f>
        <v>0</v>
      </c>
      <c r="I47" s="38">
        <f>COUNTIFS(Backlog!$AA$2:$AA$188,A47,Backlog!$B$2:$B$188,"M3")</f>
        <v>1</v>
      </c>
      <c r="J47" s="38" t="s">
        <v>229</v>
      </c>
      <c r="K47" s="32">
        <f>COUNTIF('Secondary Capability Links'!$B$2:$B$179,A47)</f>
        <v>0</v>
      </c>
      <c r="L47" s="32">
        <f>COUNTIFS('Secondary Capability Links'!$B$2:$B$179,A47,'Secondary Capability Links'!$C$2:$C$179,"Done")</f>
        <v>0</v>
      </c>
      <c r="M47" s="32"/>
      <c r="N47" s="32" t="s">
        <v>831</v>
      </c>
    </row>
    <row r="48" spans="1:14" ht="26.1" customHeight="1">
      <c r="A48" s="38" t="s">
        <v>922</v>
      </c>
      <c r="B48" s="38" t="s">
        <v>916</v>
      </c>
      <c r="C48" s="38" t="s">
        <v>923</v>
      </c>
      <c r="D48" s="38" t="s">
        <v>830</v>
      </c>
      <c r="E48" s="38">
        <f>COUNTIF(Backlog!$AA$2:$AA$188,A48)</f>
        <v>1</v>
      </c>
      <c r="F48" s="38">
        <f>COUNTIFS(Backlog!$AA$2:$AA$188,A48,Backlog!$K$2:$K$188,"Done")</f>
        <v>0</v>
      </c>
      <c r="G48" s="38">
        <f t="shared" si="1"/>
        <v>1</v>
      </c>
      <c r="H48" s="38">
        <f>COUNTIFS(Backlog!$AA$2:$AA$188,A48,Backlog!$B$2:$B$188,"M2")</f>
        <v>0</v>
      </c>
      <c r="I48" s="38">
        <f>COUNTIFS(Backlog!$AA$2:$AA$188,A48,Backlog!$B$2:$B$188,"M3")</f>
        <v>1</v>
      </c>
      <c r="J48" s="38" t="s">
        <v>185</v>
      </c>
      <c r="K48" s="32">
        <f>COUNTIF('Secondary Capability Links'!$B$2:$B$179,A48)</f>
        <v>2</v>
      </c>
      <c r="L48" s="32">
        <f>COUNTIFS('Secondary Capability Links'!$B$2:$B$179,A48,'Secondary Capability Links'!$C$2:$C$179,"Done")</f>
        <v>0</v>
      </c>
      <c r="M48" s="32" t="s">
        <v>10469</v>
      </c>
      <c r="N48" s="32" t="s">
        <v>831</v>
      </c>
    </row>
    <row r="49" spans="1:14" ht="26.1" customHeight="1">
      <c r="A49" s="38" t="s">
        <v>924</v>
      </c>
      <c r="B49" s="38" t="s">
        <v>916</v>
      </c>
      <c r="C49" s="38" t="s">
        <v>925</v>
      </c>
      <c r="D49" s="38" t="s">
        <v>830</v>
      </c>
      <c r="E49" s="38">
        <f>COUNTIF(Backlog!$AA$2:$AA$188,A49)</f>
        <v>1</v>
      </c>
      <c r="F49" s="38">
        <f>COUNTIFS(Backlog!$AA$2:$AA$188,A49,Backlog!$K$2:$K$188,"Done")</f>
        <v>0</v>
      </c>
      <c r="G49" s="38">
        <f t="shared" si="1"/>
        <v>1</v>
      </c>
      <c r="H49" s="38">
        <f>COUNTIFS(Backlog!$AA$2:$AA$188,A49,Backlog!$B$2:$B$188,"M2")</f>
        <v>0</v>
      </c>
      <c r="I49" s="38">
        <f>COUNTIFS(Backlog!$AA$2:$AA$188,A49,Backlog!$B$2:$B$188,"M3")</f>
        <v>1</v>
      </c>
      <c r="J49" s="38" t="s">
        <v>195</v>
      </c>
      <c r="K49" s="32">
        <f>COUNTIF('Secondary Capability Links'!$B$2:$B$179,A49)</f>
        <v>1</v>
      </c>
      <c r="L49" s="32">
        <f>COUNTIFS('Secondary Capability Links'!$B$2:$B$179,A49,'Secondary Capability Links'!$C$2:$C$179,"Done")</f>
        <v>0</v>
      </c>
      <c r="M49" s="32" t="s">
        <v>240</v>
      </c>
      <c r="N49" s="32" t="s">
        <v>831</v>
      </c>
    </row>
    <row r="50" spans="1:14" ht="26.1" customHeight="1">
      <c r="A50" s="38" t="s">
        <v>926</v>
      </c>
      <c r="B50" s="38" t="s">
        <v>916</v>
      </c>
      <c r="C50" s="38" t="s">
        <v>927</v>
      </c>
      <c r="D50" s="38" t="s">
        <v>830</v>
      </c>
      <c r="E50" s="38">
        <f>COUNTIF(Backlog!$AA$2:$AA$188,A50)</f>
        <v>2</v>
      </c>
      <c r="F50" s="38">
        <f>COUNTIFS(Backlog!$AA$2:$AA$188,A50,Backlog!$K$2:$K$188,"Done")</f>
        <v>0</v>
      </c>
      <c r="G50" s="38">
        <f t="shared" si="1"/>
        <v>2</v>
      </c>
      <c r="H50" s="38">
        <f>COUNTIFS(Backlog!$AA$2:$AA$188,A50,Backlog!$B$2:$B$188,"M2")</f>
        <v>0</v>
      </c>
      <c r="I50" s="38">
        <f>COUNTIFS(Backlog!$AA$2:$AA$188,A50,Backlog!$B$2:$B$188,"M3")</f>
        <v>2</v>
      </c>
      <c r="J50" s="38" t="s">
        <v>10470</v>
      </c>
      <c r="K50" s="32">
        <f>COUNTIF('Secondary Capability Links'!$B$2:$B$179,A50)</f>
        <v>0</v>
      </c>
      <c r="L50" s="32">
        <f>COUNTIFS('Secondary Capability Links'!$B$2:$B$179,A50,'Secondary Capability Links'!$C$2:$C$179,"Done")</f>
        <v>0</v>
      </c>
      <c r="M50" s="32"/>
      <c r="N50" s="32" t="s">
        <v>831</v>
      </c>
    </row>
    <row r="51" spans="1:14" ht="26.1" customHeight="1">
      <c r="A51" s="38" t="s">
        <v>928</v>
      </c>
      <c r="B51" s="38" t="s">
        <v>916</v>
      </c>
      <c r="C51" s="38" t="s">
        <v>929</v>
      </c>
      <c r="D51" s="38" t="s">
        <v>830</v>
      </c>
      <c r="E51" s="38">
        <f>COUNTIF(Backlog!$AA$2:$AA$188,A51)</f>
        <v>0</v>
      </c>
      <c r="F51" s="38">
        <f>COUNTIFS(Backlog!$AA$2:$AA$188,A51,Backlog!$K$2:$K$188,"Done")</f>
        <v>0</v>
      </c>
      <c r="G51" s="38">
        <f t="shared" si="1"/>
        <v>0</v>
      </c>
      <c r="H51" s="38">
        <f>COUNTIFS(Backlog!$AA$2:$AA$188,A51,Backlog!$B$2:$B$188,"M2")</f>
        <v>0</v>
      </c>
      <c r="I51" s="38">
        <f>COUNTIFS(Backlog!$AA$2:$AA$188,A51,Backlog!$B$2:$B$188,"M3")</f>
        <v>0</v>
      </c>
      <c r="J51" s="38"/>
      <c r="K51" s="32">
        <f>COUNTIF('Secondary Capability Links'!$B$2:$B$179,A51)</f>
        <v>4</v>
      </c>
      <c r="L51" s="32">
        <f>COUNTIFS('Secondary Capability Links'!$B$2:$B$179,A51,'Secondary Capability Links'!$C$2:$C$179,"Done")</f>
        <v>1</v>
      </c>
      <c r="M51" s="32" t="s">
        <v>10471</v>
      </c>
      <c r="N51" s="32" t="s">
        <v>831</v>
      </c>
    </row>
    <row r="52" spans="1:14" ht="26.1" customHeight="1">
      <c r="A52" s="38" t="s">
        <v>930</v>
      </c>
      <c r="B52" s="38" t="s">
        <v>916</v>
      </c>
      <c r="C52" s="38" t="s">
        <v>931</v>
      </c>
      <c r="D52" s="38" t="s">
        <v>830</v>
      </c>
      <c r="E52" s="38">
        <f>COUNTIF(Backlog!$AA$2:$AA$188,A52)</f>
        <v>1</v>
      </c>
      <c r="F52" s="38">
        <f>COUNTIFS(Backlog!$AA$2:$AA$188,A52,Backlog!$K$2:$K$188,"Done")</f>
        <v>0</v>
      </c>
      <c r="G52" s="38">
        <f t="shared" si="1"/>
        <v>1</v>
      </c>
      <c r="H52" s="38">
        <f>COUNTIFS(Backlog!$AA$2:$AA$188,A52,Backlog!$B$2:$B$188,"M2")</f>
        <v>0</v>
      </c>
      <c r="I52" s="38">
        <f>COUNTIFS(Backlog!$AA$2:$AA$188,A52,Backlog!$B$2:$B$188,"M3")</f>
        <v>1</v>
      </c>
      <c r="J52" s="38" t="s">
        <v>188</v>
      </c>
      <c r="K52" s="32">
        <f>COUNTIF('Secondary Capability Links'!$B$2:$B$179,A52)</f>
        <v>1</v>
      </c>
      <c r="L52" s="32">
        <f>COUNTIFS('Secondary Capability Links'!$B$2:$B$179,A52,'Secondary Capability Links'!$C$2:$C$179,"Done")</f>
        <v>0</v>
      </c>
      <c r="M52" s="32" t="s">
        <v>239</v>
      </c>
      <c r="N52" s="32" t="s">
        <v>831</v>
      </c>
    </row>
    <row r="53" spans="1:14" ht="26.1" customHeight="1">
      <c r="A53" s="38" t="s">
        <v>932</v>
      </c>
      <c r="B53" s="38" t="s">
        <v>933</v>
      </c>
      <c r="C53" s="38" t="s">
        <v>934</v>
      </c>
      <c r="D53" s="38" t="s">
        <v>830</v>
      </c>
      <c r="E53" s="38">
        <f>COUNTIF(Backlog!$AA$2:$AA$188,A53)</f>
        <v>3</v>
      </c>
      <c r="F53" s="38">
        <f>COUNTIFS(Backlog!$AA$2:$AA$188,A53,Backlog!$K$2:$K$188,"Done")</f>
        <v>0</v>
      </c>
      <c r="G53" s="38">
        <f t="shared" si="1"/>
        <v>3</v>
      </c>
      <c r="H53" s="38">
        <f>COUNTIFS(Backlog!$AA$2:$AA$188,A53,Backlog!$B$2:$B$188,"M2")</f>
        <v>2</v>
      </c>
      <c r="I53" s="38">
        <f>COUNTIFS(Backlog!$AA$2:$AA$188,A53,Backlog!$B$2:$B$188,"M3")</f>
        <v>1</v>
      </c>
      <c r="J53" s="38" t="s">
        <v>10472</v>
      </c>
      <c r="K53" s="32">
        <f>COUNTIF('Secondary Capability Links'!$B$2:$B$179,A53)</f>
        <v>0</v>
      </c>
      <c r="L53" s="32">
        <f>COUNTIFS('Secondary Capability Links'!$B$2:$B$179,A53,'Secondary Capability Links'!$C$2:$C$179,"Done")</f>
        <v>0</v>
      </c>
      <c r="M53" s="32"/>
      <c r="N53" s="32" t="s">
        <v>831</v>
      </c>
    </row>
    <row r="54" spans="1:14" ht="26.1" customHeight="1">
      <c r="A54" s="38" t="s">
        <v>935</v>
      </c>
      <c r="B54" s="38" t="s">
        <v>933</v>
      </c>
      <c r="C54" s="38" t="s">
        <v>936</v>
      </c>
      <c r="D54" s="38" t="s">
        <v>830</v>
      </c>
      <c r="E54" s="38">
        <f>COUNTIF(Backlog!$AA$2:$AA$188,A54)</f>
        <v>4</v>
      </c>
      <c r="F54" s="38">
        <f>COUNTIFS(Backlog!$AA$2:$AA$188,A54,Backlog!$K$2:$K$188,"Done")</f>
        <v>0</v>
      </c>
      <c r="G54" s="38">
        <f t="shared" si="1"/>
        <v>4</v>
      </c>
      <c r="H54" s="38">
        <f>COUNTIFS(Backlog!$AA$2:$AA$188,A54,Backlog!$B$2:$B$188,"M2")</f>
        <v>2</v>
      </c>
      <c r="I54" s="38">
        <f>COUNTIFS(Backlog!$AA$2:$AA$188,A54,Backlog!$B$2:$B$188,"M3")</f>
        <v>2</v>
      </c>
      <c r="J54" s="38" t="s">
        <v>10473</v>
      </c>
      <c r="K54" s="32">
        <f>COUNTIF('Secondary Capability Links'!$B$2:$B$179,A54)</f>
        <v>0</v>
      </c>
      <c r="L54" s="32">
        <f>COUNTIFS('Secondary Capability Links'!$B$2:$B$179,A54,'Secondary Capability Links'!$C$2:$C$179,"Done")</f>
        <v>0</v>
      </c>
      <c r="M54" s="32"/>
      <c r="N54" s="32" t="s">
        <v>831</v>
      </c>
    </row>
    <row r="55" spans="1:14" ht="26.1" customHeight="1">
      <c r="A55" s="38" t="s">
        <v>937</v>
      </c>
      <c r="B55" s="38" t="s">
        <v>933</v>
      </c>
      <c r="C55" s="38" t="s">
        <v>938</v>
      </c>
      <c r="D55" s="38" t="s">
        <v>830</v>
      </c>
      <c r="E55" s="38">
        <f>COUNTIF(Backlog!$AA$2:$AA$188,A55)</f>
        <v>1</v>
      </c>
      <c r="F55" s="38">
        <f>COUNTIFS(Backlog!$AA$2:$AA$188,A55,Backlog!$K$2:$K$188,"Done")</f>
        <v>0</v>
      </c>
      <c r="G55" s="38">
        <f t="shared" si="1"/>
        <v>1</v>
      </c>
      <c r="H55" s="38">
        <f>COUNTIFS(Backlog!$AA$2:$AA$188,A55,Backlog!$B$2:$B$188,"M2")</f>
        <v>1</v>
      </c>
      <c r="I55" s="38">
        <f>COUNTIFS(Backlog!$AA$2:$AA$188,A55,Backlog!$B$2:$B$188,"M3")</f>
        <v>0</v>
      </c>
      <c r="J55" s="38" t="s">
        <v>158</v>
      </c>
      <c r="K55" s="32">
        <f>COUNTIF('Secondary Capability Links'!$B$2:$B$179,A55)</f>
        <v>0</v>
      </c>
      <c r="L55" s="32">
        <f>COUNTIFS('Secondary Capability Links'!$B$2:$B$179,A55,'Secondary Capability Links'!$C$2:$C$179,"Done")</f>
        <v>0</v>
      </c>
      <c r="M55" s="32"/>
      <c r="N55" s="32" t="s">
        <v>831</v>
      </c>
    </row>
    <row r="56" spans="1:14" ht="26.1" customHeight="1">
      <c r="A56" s="38" t="s">
        <v>939</v>
      </c>
      <c r="B56" s="38" t="s">
        <v>933</v>
      </c>
      <c r="C56" s="38" t="s">
        <v>940</v>
      </c>
      <c r="D56" s="38" t="s">
        <v>830</v>
      </c>
      <c r="E56" s="38">
        <f>COUNTIF(Backlog!$AA$2:$AA$188,A56)</f>
        <v>0</v>
      </c>
      <c r="F56" s="38">
        <f>COUNTIFS(Backlog!$AA$2:$AA$188,A56,Backlog!$K$2:$K$188,"Done")</f>
        <v>0</v>
      </c>
      <c r="G56" s="38">
        <f t="shared" si="1"/>
        <v>0</v>
      </c>
      <c r="H56" s="38">
        <f>COUNTIFS(Backlog!$AA$2:$AA$188,A56,Backlog!$B$2:$B$188,"M2")</f>
        <v>0</v>
      </c>
      <c r="I56" s="38">
        <f>COUNTIFS(Backlog!$AA$2:$AA$188,A56,Backlog!$B$2:$B$188,"M3")</f>
        <v>0</v>
      </c>
      <c r="J56" s="38"/>
      <c r="K56" s="32">
        <f>COUNTIF('Secondary Capability Links'!$B$2:$B$179,A56)</f>
        <v>2</v>
      </c>
      <c r="L56" s="32">
        <f>COUNTIFS('Secondary Capability Links'!$B$2:$B$179,A56,'Secondary Capability Links'!$C$2:$C$179,"Done")</f>
        <v>0</v>
      </c>
      <c r="M56" s="32" t="s">
        <v>10474</v>
      </c>
      <c r="N56" s="32" t="s">
        <v>831</v>
      </c>
    </row>
    <row r="57" spans="1:14" ht="26.1" customHeight="1">
      <c r="A57" s="38" t="s">
        <v>941</v>
      </c>
      <c r="B57" s="38" t="s">
        <v>933</v>
      </c>
      <c r="C57" s="38" t="s">
        <v>942</v>
      </c>
      <c r="D57" s="38" t="s">
        <v>830</v>
      </c>
      <c r="E57" s="38">
        <f>COUNTIF(Backlog!$AA$2:$AA$188,A57)</f>
        <v>1</v>
      </c>
      <c r="F57" s="38">
        <f>COUNTIFS(Backlog!$AA$2:$AA$188,A57,Backlog!$K$2:$K$188,"Done")</f>
        <v>0</v>
      </c>
      <c r="G57" s="38">
        <f t="shared" si="1"/>
        <v>1</v>
      </c>
      <c r="H57" s="38">
        <f>COUNTIFS(Backlog!$AA$2:$AA$188,A57,Backlog!$B$2:$B$188,"M2")</f>
        <v>1</v>
      </c>
      <c r="I57" s="38">
        <f>COUNTIFS(Backlog!$AA$2:$AA$188,A57,Backlog!$B$2:$B$188,"M3")</f>
        <v>0</v>
      </c>
      <c r="J57" s="38" t="s">
        <v>153</v>
      </c>
      <c r="K57" s="32">
        <f>COUNTIF('Secondary Capability Links'!$B$2:$B$179,A57)</f>
        <v>1</v>
      </c>
      <c r="L57" s="32">
        <f>COUNTIFS('Secondary Capability Links'!$B$2:$B$179,A57,'Secondary Capability Links'!$C$2:$C$179,"Done")</f>
        <v>0</v>
      </c>
      <c r="M57" s="32" t="s">
        <v>182</v>
      </c>
      <c r="N57" s="32" t="s">
        <v>831</v>
      </c>
    </row>
    <row r="58" spans="1:14" ht="26.1" customHeight="1">
      <c r="A58" s="38" t="s">
        <v>943</v>
      </c>
      <c r="B58" s="38" t="s">
        <v>933</v>
      </c>
      <c r="C58" s="38" t="s">
        <v>944</v>
      </c>
      <c r="D58" s="38" t="s">
        <v>830</v>
      </c>
      <c r="E58" s="38">
        <f>COUNTIF(Backlog!$AA$2:$AA$188,A58)</f>
        <v>1</v>
      </c>
      <c r="F58" s="38">
        <f>COUNTIFS(Backlog!$AA$2:$AA$188,A58,Backlog!$K$2:$K$188,"Done")</f>
        <v>0</v>
      </c>
      <c r="G58" s="38">
        <f t="shared" si="1"/>
        <v>1</v>
      </c>
      <c r="H58" s="38">
        <f>COUNTIFS(Backlog!$AA$2:$AA$188,A58,Backlog!$B$2:$B$188,"M2")</f>
        <v>0</v>
      </c>
      <c r="I58" s="38">
        <f>COUNTIFS(Backlog!$AA$2:$AA$188,A58,Backlog!$B$2:$B$188,"M3")</f>
        <v>1</v>
      </c>
      <c r="J58" s="38" t="s">
        <v>218</v>
      </c>
      <c r="K58" s="32">
        <f>COUNTIF('Secondary Capability Links'!$B$2:$B$179,A58)</f>
        <v>0</v>
      </c>
      <c r="L58" s="32">
        <f>COUNTIFS('Secondary Capability Links'!$B$2:$B$179,A58,'Secondary Capability Links'!$C$2:$C$179,"Done")</f>
        <v>0</v>
      </c>
      <c r="M58" s="32"/>
      <c r="N58" s="32" t="s">
        <v>831</v>
      </c>
    </row>
    <row r="59" spans="1:14" ht="26.1" customHeight="1">
      <c r="A59" s="38" t="s">
        <v>945</v>
      </c>
      <c r="B59" s="38" t="s">
        <v>933</v>
      </c>
      <c r="C59" s="38" t="s">
        <v>946</v>
      </c>
      <c r="D59" s="38" t="s">
        <v>830</v>
      </c>
      <c r="E59" s="38">
        <f>COUNTIF(Backlog!$AA$2:$AA$188,A59)</f>
        <v>0</v>
      </c>
      <c r="F59" s="38">
        <f>COUNTIFS(Backlog!$AA$2:$AA$188,A59,Backlog!$K$2:$K$188,"Done")</f>
        <v>0</v>
      </c>
      <c r="G59" s="38">
        <f t="shared" si="1"/>
        <v>0</v>
      </c>
      <c r="H59" s="38">
        <f>COUNTIFS(Backlog!$AA$2:$AA$188,A59,Backlog!$B$2:$B$188,"M2")</f>
        <v>0</v>
      </c>
      <c r="I59" s="38">
        <f>COUNTIFS(Backlog!$AA$2:$AA$188,A59,Backlog!$B$2:$B$188,"M3")</f>
        <v>0</v>
      </c>
      <c r="J59" s="38"/>
      <c r="K59" s="32">
        <f>COUNTIF('Secondary Capability Links'!$B$2:$B$179,A59)</f>
        <v>1</v>
      </c>
      <c r="L59" s="32">
        <f>COUNTIFS('Secondary Capability Links'!$B$2:$B$179,A59,'Secondary Capability Links'!$C$2:$C$179,"Done")</f>
        <v>0</v>
      </c>
      <c r="M59" s="32" t="s">
        <v>218</v>
      </c>
      <c r="N59" s="32" t="s">
        <v>831</v>
      </c>
    </row>
    <row r="60" spans="1:14" ht="26.1" customHeight="1">
      <c r="A60" s="38" t="s">
        <v>947</v>
      </c>
      <c r="B60" s="38" t="s">
        <v>933</v>
      </c>
      <c r="C60" s="38" t="s">
        <v>948</v>
      </c>
      <c r="D60" s="38" t="s">
        <v>830</v>
      </c>
      <c r="E60" s="38">
        <f>COUNTIF(Backlog!$AA$2:$AA$188,A60)</f>
        <v>2</v>
      </c>
      <c r="F60" s="38">
        <f>COUNTIFS(Backlog!$AA$2:$AA$188,A60,Backlog!$K$2:$K$188,"Done")</f>
        <v>0</v>
      </c>
      <c r="G60" s="38">
        <f t="shared" si="1"/>
        <v>2</v>
      </c>
      <c r="H60" s="38">
        <f>COUNTIFS(Backlog!$AA$2:$AA$188,A60,Backlog!$B$2:$B$188,"M2")</f>
        <v>1</v>
      </c>
      <c r="I60" s="38">
        <f>COUNTIFS(Backlog!$AA$2:$AA$188,A60,Backlog!$B$2:$B$188,"M3")</f>
        <v>1</v>
      </c>
      <c r="J60" s="38" t="s">
        <v>10475</v>
      </c>
      <c r="K60" s="32">
        <f>COUNTIF('Secondary Capability Links'!$B$2:$B$179,A60)</f>
        <v>1</v>
      </c>
      <c r="L60" s="32">
        <f>COUNTIFS('Secondary Capability Links'!$B$2:$B$179,A60,'Secondary Capability Links'!$C$2:$C$179,"Done")</f>
        <v>1</v>
      </c>
      <c r="M60" s="32" t="s">
        <v>104</v>
      </c>
      <c r="N60" s="32" t="s">
        <v>831</v>
      </c>
    </row>
    <row r="61" spans="1:14" ht="26.1" customHeight="1">
      <c r="A61" s="38" t="s">
        <v>949</v>
      </c>
      <c r="B61" s="38" t="s">
        <v>950</v>
      </c>
      <c r="C61" s="38" t="s">
        <v>951</v>
      </c>
      <c r="D61" s="38" t="s">
        <v>830</v>
      </c>
      <c r="E61" s="38">
        <f>COUNTIF(Backlog!$AA$2:$AA$188,A61)</f>
        <v>4</v>
      </c>
      <c r="F61" s="38">
        <f>COUNTIFS(Backlog!$AA$2:$AA$188,A61,Backlog!$K$2:$K$188,"Done")</f>
        <v>2</v>
      </c>
      <c r="G61" s="38">
        <f t="shared" si="1"/>
        <v>2</v>
      </c>
      <c r="H61" s="38">
        <f>COUNTIFS(Backlog!$AA$2:$AA$188,A61,Backlog!$B$2:$B$188,"M2")</f>
        <v>4</v>
      </c>
      <c r="I61" s="38">
        <f>COUNTIFS(Backlog!$AA$2:$AA$188,A61,Backlog!$B$2:$B$188,"M3")</f>
        <v>0</v>
      </c>
      <c r="J61" s="38" t="s">
        <v>10476</v>
      </c>
      <c r="K61" s="32">
        <f>COUNTIF('Secondary Capability Links'!$B$2:$B$179,A61)</f>
        <v>1</v>
      </c>
      <c r="L61" s="32">
        <f>COUNTIFS('Secondary Capability Links'!$B$2:$B$179,A61,'Secondary Capability Links'!$C$2:$C$179,"Done")</f>
        <v>1</v>
      </c>
      <c r="M61" s="32" t="s">
        <v>83</v>
      </c>
      <c r="N61" s="32" t="s">
        <v>831</v>
      </c>
    </row>
    <row r="62" spans="1:14" ht="26.1" customHeight="1">
      <c r="A62" s="38" t="s">
        <v>952</v>
      </c>
      <c r="B62" s="38" t="s">
        <v>950</v>
      </c>
      <c r="C62" s="38" t="s">
        <v>953</v>
      </c>
      <c r="D62" s="38" t="s">
        <v>830</v>
      </c>
      <c r="E62" s="38">
        <f>COUNTIF(Backlog!$AA$2:$AA$188,A62)</f>
        <v>4</v>
      </c>
      <c r="F62" s="38">
        <f>COUNTIFS(Backlog!$AA$2:$AA$188,A62,Backlog!$K$2:$K$188,"Done")</f>
        <v>4</v>
      </c>
      <c r="G62" s="38">
        <f t="shared" si="1"/>
        <v>0</v>
      </c>
      <c r="H62" s="38">
        <f>COUNTIFS(Backlog!$AA$2:$AA$188,A62,Backlog!$B$2:$B$188,"M2")</f>
        <v>4</v>
      </c>
      <c r="I62" s="38">
        <f>COUNTIFS(Backlog!$AA$2:$AA$188,A62,Backlog!$B$2:$B$188,"M3")</f>
        <v>0</v>
      </c>
      <c r="J62" s="38" t="s">
        <v>10477</v>
      </c>
      <c r="K62" s="32">
        <f>COUNTIF('Secondary Capability Links'!$B$2:$B$179,A62)</f>
        <v>3</v>
      </c>
      <c r="L62" s="32">
        <f>COUNTIFS('Secondary Capability Links'!$B$2:$B$179,A62,'Secondary Capability Links'!$C$2:$C$179,"Done")</f>
        <v>1</v>
      </c>
      <c r="M62" s="32" t="s">
        <v>10478</v>
      </c>
      <c r="N62" s="32" t="s">
        <v>831</v>
      </c>
    </row>
    <row r="63" spans="1:14" ht="26.1" customHeight="1">
      <c r="A63" s="38" t="s">
        <v>954</v>
      </c>
      <c r="B63" s="38" t="s">
        <v>950</v>
      </c>
      <c r="C63" s="38" t="s">
        <v>955</v>
      </c>
      <c r="D63" s="38" t="s">
        <v>830</v>
      </c>
      <c r="E63" s="38">
        <f>COUNTIF(Backlog!$AA$2:$AA$188,A63)</f>
        <v>1</v>
      </c>
      <c r="F63" s="38">
        <f>COUNTIFS(Backlog!$AA$2:$AA$188,A63,Backlog!$K$2:$K$188,"Done")</f>
        <v>0</v>
      </c>
      <c r="G63" s="38">
        <f t="shared" si="1"/>
        <v>1</v>
      </c>
      <c r="H63" s="38">
        <f>COUNTIFS(Backlog!$AA$2:$AA$188,A63,Backlog!$B$2:$B$188,"M2")</f>
        <v>0</v>
      </c>
      <c r="I63" s="38">
        <f>COUNTIFS(Backlog!$AA$2:$AA$188,A63,Backlog!$B$2:$B$188,"M3")</f>
        <v>1</v>
      </c>
      <c r="J63" s="38" t="s">
        <v>168</v>
      </c>
      <c r="K63" s="32">
        <f>COUNTIF('Secondary Capability Links'!$B$2:$B$179,A63)</f>
        <v>1</v>
      </c>
      <c r="L63" s="32">
        <f>COUNTIFS('Secondary Capability Links'!$B$2:$B$179,A63,'Secondary Capability Links'!$C$2:$C$179,"Done")</f>
        <v>0</v>
      </c>
      <c r="M63" s="32" t="s">
        <v>159</v>
      </c>
      <c r="N63" s="32" t="s">
        <v>831</v>
      </c>
    </row>
    <row r="64" spans="1:14" ht="26.1" customHeight="1">
      <c r="A64" s="38" t="s">
        <v>956</v>
      </c>
      <c r="B64" s="38" t="s">
        <v>950</v>
      </c>
      <c r="C64" s="38" t="s">
        <v>957</v>
      </c>
      <c r="D64" s="38" t="s">
        <v>830</v>
      </c>
      <c r="E64" s="38">
        <f>COUNTIF(Backlog!$AA$2:$AA$188,A64)</f>
        <v>1</v>
      </c>
      <c r="F64" s="38">
        <f>COUNTIFS(Backlog!$AA$2:$AA$188,A64,Backlog!$K$2:$K$188,"Done")</f>
        <v>0</v>
      </c>
      <c r="G64" s="38">
        <f t="shared" si="1"/>
        <v>1</v>
      </c>
      <c r="H64" s="38">
        <f>COUNTIFS(Backlog!$AA$2:$AA$188,A64,Backlog!$B$2:$B$188,"M2")</f>
        <v>1</v>
      </c>
      <c r="I64" s="38">
        <f>COUNTIFS(Backlog!$AA$2:$AA$188,A64,Backlog!$B$2:$B$188,"M3")</f>
        <v>0</v>
      </c>
      <c r="J64" s="38" t="s">
        <v>99</v>
      </c>
      <c r="K64" s="32">
        <f>COUNTIF('Secondary Capability Links'!$B$2:$B$179,A64)</f>
        <v>4</v>
      </c>
      <c r="L64" s="32">
        <f>COUNTIFS('Secondary Capability Links'!$B$2:$B$179,A64,'Secondary Capability Links'!$C$2:$C$179,"Done")</f>
        <v>1</v>
      </c>
      <c r="M64" s="32" t="s">
        <v>10479</v>
      </c>
      <c r="N64" s="32" t="s">
        <v>831</v>
      </c>
    </row>
    <row r="65" spans="1:14" ht="26.1" customHeight="1">
      <c r="A65" s="38" t="s">
        <v>958</v>
      </c>
      <c r="B65" s="38" t="s">
        <v>950</v>
      </c>
      <c r="C65" s="38" t="s">
        <v>959</v>
      </c>
      <c r="D65" s="38" t="s">
        <v>830</v>
      </c>
      <c r="E65" s="38">
        <f>COUNTIF(Backlog!$AA$2:$AA$188,A65)</f>
        <v>4</v>
      </c>
      <c r="F65" s="38">
        <f>COUNTIFS(Backlog!$AA$2:$AA$188,A65,Backlog!$K$2:$K$188,"Done")</f>
        <v>1</v>
      </c>
      <c r="G65" s="38">
        <f t="shared" si="1"/>
        <v>3</v>
      </c>
      <c r="H65" s="38">
        <f>COUNTIFS(Backlog!$AA$2:$AA$188,A65,Backlog!$B$2:$B$188,"M2")</f>
        <v>2</v>
      </c>
      <c r="I65" s="38">
        <f>COUNTIFS(Backlog!$AA$2:$AA$188,A65,Backlog!$B$2:$B$188,"M3")</f>
        <v>2</v>
      </c>
      <c r="J65" s="38" t="s">
        <v>10480</v>
      </c>
      <c r="K65" s="32">
        <f>COUNTIF('Secondary Capability Links'!$B$2:$B$179,A65)</f>
        <v>1</v>
      </c>
      <c r="L65" s="32">
        <f>COUNTIFS('Secondary Capability Links'!$B$2:$B$179,A65,'Secondary Capability Links'!$C$2:$C$179,"Done")</f>
        <v>0</v>
      </c>
      <c r="M65" s="32" t="s">
        <v>174</v>
      </c>
      <c r="N65" s="32" t="s">
        <v>831</v>
      </c>
    </row>
    <row r="66" spans="1:14" ht="26.1" customHeight="1">
      <c r="A66" s="38" t="s">
        <v>960</v>
      </c>
      <c r="B66" s="38" t="s">
        <v>950</v>
      </c>
      <c r="C66" s="38" t="s">
        <v>961</v>
      </c>
      <c r="D66" s="38" t="s">
        <v>830</v>
      </c>
      <c r="E66" s="38">
        <f>COUNTIF(Backlog!$AA$2:$AA$188,A66)</f>
        <v>2</v>
      </c>
      <c r="F66" s="38">
        <f>COUNTIFS(Backlog!$AA$2:$AA$188,A66,Backlog!$K$2:$K$188,"Done")</f>
        <v>0</v>
      </c>
      <c r="G66" s="38">
        <f t="shared" si="1"/>
        <v>2</v>
      </c>
      <c r="H66" s="38">
        <f>COUNTIFS(Backlog!$AA$2:$AA$188,A66,Backlog!$B$2:$B$188,"M2")</f>
        <v>1</v>
      </c>
      <c r="I66" s="38">
        <f>COUNTIFS(Backlog!$AA$2:$AA$188,A66,Backlog!$B$2:$B$188,"M3")</f>
        <v>1</v>
      </c>
      <c r="J66" s="38" t="s">
        <v>10481</v>
      </c>
      <c r="K66" s="32">
        <f>COUNTIF('Secondary Capability Links'!$B$2:$B$179,A66)</f>
        <v>3</v>
      </c>
      <c r="L66" s="32">
        <f>COUNTIFS('Secondary Capability Links'!$B$2:$B$179,A66,'Secondary Capability Links'!$C$2:$C$179,"Done")</f>
        <v>0</v>
      </c>
      <c r="M66" s="32" t="s">
        <v>10482</v>
      </c>
      <c r="N66" s="32" t="s">
        <v>831</v>
      </c>
    </row>
    <row r="67" spans="1:14" ht="26.1" customHeight="1">
      <c r="A67" s="38" t="s">
        <v>962</v>
      </c>
      <c r="B67" s="38" t="s">
        <v>950</v>
      </c>
      <c r="C67" s="38" t="s">
        <v>963</v>
      </c>
      <c r="D67" s="38" t="s">
        <v>830</v>
      </c>
      <c r="E67" s="38">
        <f>COUNTIF(Backlog!$AA$2:$AA$188,A67)</f>
        <v>2</v>
      </c>
      <c r="F67" s="38">
        <f>COUNTIFS(Backlog!$AA$2:$AA$188,A67,Backlog!$K$2:$K$188,"Done")</f>
        <v>0</v>
      </c>
      <c r="G67" s="38">
        <f t="shared" si="1"/>
        <v>2</v>
      </c>
      <c r="H67" s="38">
        <f>COUNTIFS(Backlog!$AA$2:$AA$188,A67,Backlog!$B$2:$B$188,"M2")</f>
        <v>1</v>
      </c>
      <c r="I67" s="38">
        <f>COUNTIFS(Backlog!$AA$2:$AA$188,A67,Backlog!$B$2:$B$188,"M3")</f>
        <v>1</v>
      </c>
      <c r="J67" s="38" t="s">
        <v>10483</v>
      </c>
      <c r="K67" s="32">
        <f>COUNTIF('Secondary Capability Links'!$B$2:$B$179,A67)</f>
        <v>1</v>
      </c>
      <c r="L67" s="32">
        <f>COUNTIFS('Secondary Capability Links'!$B$2:$B$179,A67,'Secondary Capability Links'!$C$2:$C$179,"Done")</f>
        <v>0</v>
      </c>
      <c r="M67" s="32" t="s">
        <v>9642</v>
      </c>
      <c r="N67" s="32" t="s">
        <v>831</v>
      </c>
    </row>
    <row r="68" spans="1:14" ht="26.1" customHeight="1">
      <c r="A68" s="38" t="s">
        <v>964</v>
      </c>
      <c r="B68" s="38" t="s">
        <v>950</v>
      </c>
      <c r="C68" s="38" t="s">
        <v>965</v>
      </c>
      <c r="D68" s="38" t="s">
        <v>830</v>
      </c>
      <c r="E68" s="38">
        <f>COUNTIF(Backlog!$AA$2:$AA$188,A68)</f>
        <v>18</v>
      </c>
      <c r="F68" s="38">
        <f>COUNTIFS(Backlog!$AA$2:$AA$188,A68,Backlog!$K$2:$K$188,"Done")</f>
        <v>5</v>
      </c>
      <c r="G68" s="38">
        <f t="shared" ref="G68:G81" si="2">E68-F68</f>
        <v>13</v>
      </c>
      <c r="H68" s="38">
        <f>COUNTIFS(Backlog!$AA$2:$AA$188,A68,Backlog!$B$2:$B$188,"M2")</f>
        <v>9</v>
      </c>
      <c r="I68" s="38">
        <f>COUNTIFS(Backlog!$AA$2:$AA$188,A68,Backlog!$B$2:$B$188,"M3")</f>
        <v>9</v>
      </c>
      <c r="J68" s="38" t="s">
        <v>10484</v>
      </c>
      <c r="K68" s="32">
        <f>COUNTIF('Secondary Capability Links'!$B$2:$B$179,A68)</f>
        <v>4</v>
      </c>
      <c r="L68" s="32">
        <f>COUNTIFS('Secondary Capability Links'!$B$2:$B$179,A68,'Secondary Capability Links'!$C$2:$C$179,"Done")</f>
        <v>0</v>
      </c>
      <c r="M68" s="32" t="s">
        <v>10485</v>
      </c>
      <c r="N68" s="32" t="s">
        <v>831</v>
      </c>
    </row>
    <row r="69" spans="1:14" ht="26.1" customHeight="1">
      <c r="A69" s="38" t="s">
        <v>966</v>
      </c>
      <c r="B69" s="38" t="s">
        <v>967</v>
      </c>
      <c r="C69" s="38" t="s">
        <v>968</v>
      </c>
      <c r="D69" s="38" t="s">
        <v>830</v>
      </c>
      <c r="E69" s="38">
        <f>COUNTIF(Backlog!$AA$2:$AA$188,A69)</f>
        <v>3</v>
      </c>
      <c r="F69" s="38">
        <f>COUNTIFS(Backlog!$AA$2:$AA$188,A69,Backlog!$K$2:$K$188,"Done")</f>
        <v>0</v>
      </c>
      <c r="G69" s="38">
        <f t="shared" si="2"/>
        <v>3</v>
      </c>
      <c r="H69" s="38">
        <f>COUNTIFS(Backlog!$AA$2:$AA$188,A69,Backlog!$B$2:$B$188,"M2")</f>
        <v>3</v>
      </c>
      <c r="I69" s="38">
        <f>COUNTIFS(Backlog!$AA$2:$AA$188,A69,Backlog!$B$2:$B$188,"M3")</f>
        <v>0</v>
      </c>
      <c r="J69" s="38" t="s">
        <v>10486</v>
      </c>
      <c r="K69" s="32">
        <f>COUNTIF('Secondary Capability Links'!$B$2:$B$179,A69)</f>
        <v>2</v>
      </c>
      <c r="L69" s="32">
        <f>COUNTIFS('Secondary Capability Links'!$B$2:$B$179,A69,'Secondary Capability Links'!$C$2:$C$179,"Done")</f>
        <v>0</v>
      </c>
      <c r="M69" s="32" t="s">
        <v>10487</v>
      </c>
      <c r="N69" s="32" t="s">
        <v>831</v>
      </c>
    </row>
    <row r="70" spans="1:14" ht="26.1" customHeight="1">
      <c r="A70" s="38" t="s">
        <v>969</v>
      </c>
      <c r="B70" s="38" t="s">
        <v>967</v>
      </c>
      <c r="C70" s="38" t="s">
        <v>970</v>
      </c>
      <c r="D70" s="38" t="s">
        <v>830</v>
      </c>
      <c r="E70" s="38">
        <f>COUNTIF(Backlog!$AA$2:$AA$188,A70)</f>
        <v>1</v>
      </c>
      <c r="F70" s="38">
        <f>COUNTIFS(Backlog!$AA$2:$AA$188,A70,Backlog!$K$2:$K$188,"Done")</f>
        <v>0</v>
      </c>
      <c r="G70" s="38">
        <f t="shared" si="2"/>
        <v>1</v>
      </c>
      <c r="H70" s="38">
        <f>COUNTIFS(Backlog!$AA$2:$AA$188,A70,Backlog!$B$2:$B$188,"M2")</f>
        <v>0</v>
      </c>
      <c r="I70" s="38">
        <f>COUNTIFS(Backlog!$AA$2:$AA$188,A70,Backlog!$B$2:$B$188,"M3")</f>
        <v>1</v>
      </c>
      <c r="J70" s="38" t="s">
        <v>226</v>
      </c>
      <c r="K70" s="32">
        <f>COUNTIF('Secondary Capability Links'!$B$2:$B$179,A70)</f>
        <v>0</v>
      </c>
      <c r="L70" s="32">
        <f>COUNTIFS('Secondary Capability Links'!$B$2:$B$179,A70,'Secondary Capability Links'!$C$2:$C$179,"Done")</f>
        <v>0</v>
      </c>
      <c r="M70" s="32"/>
      <c r="N70" s="32" t="s">
        <v>831</v>
      </c>
    </row>
    <row r="71" spans="1:14" ht="26.1" customHeight="1">
      <c r="A71" s="38" t="s">
        <v>971</v>
      </c>
      <c r="B71" s="38" t="s">
        <v>967</v>
      </c>
      <c r="C71" s="38" t="s">
        <v>972</v>
      </c>
      <c r="D71" s="38" t="s">
        <v>830</v>
      </c>
      <c r="E71" s="38">
        <f>COUNTIF(Backlog!$AA$2:$AA$188,A71)</f>
        <v>1</v>
      </c>
      <c r="F71" s="38">
        <f>COUNTIFS(Backlog!$AA$2:$AA$188,A71,Backlog!$K$2:$K$188,"Done")</f>
        <v>0</v>
      </c>
      <c r="G71" s="38">
        <f t="shared" si="2"/>
        <v>1</v>
      </c>
      <c r="H71" s="38">
        <f>COUNTIFS(Backlog!$AA$2:$AA$188,A71,Backlog!$B$2:$B$188,"M2")</f>
        <v>0</v>
      </c>
      <c r="I71" s="38">
        <f>COUNTIFS(Backlog!$AA$2:$AA$188,A71,Backlog!$B$2:$B$188,"M3")</f>
        <v>1</v>
      </c>
      <c r="J71" s="38" t="s">
        <v>211</v>
      </c>
      <c r="K71" s="32">
        <f>COUNTIF('Secondary Capability Links'!$B$2:$B$179,A71)</f>
        <v>2</v>
      </c>
      <c r="L71" s="32">
        <f>COUNTIFS('Secondary Capability Links'!$B$2:$B$179,A71,'Secondary Capability Links'!$C$2:$C$179,"Done")</f>
        <v>0</v>
      </c>
      <c r="M71" s="32" t="s">
        <v>10488</v>
      </c>
      <c r="N71" s="32" t="s">
        <v>831</v>
      </c>
    </row>
    <row r="72" spans="1:14" ht="26.1" customHeight="1">
      <c r="A72" s="38" t="s">
        <v>973</v>
      </c>
      <c r="B72" s="38" t="s">
        <v>967</v>
      </c>
      <c r="C72" s="38" t="s">
        <v>974</v>
      </c>
      <c r="D72" s="38" t="s">
        <v>830</v>
      </c>
      <c r="E72" s="38">
        <f>COUNTIF(Backlog!$AA$2:$AA$188,A72)</f>
        <v>0</v>
      </c>
      <c r="F72" s="38">
        <f>COUNTIFS(Backlog!$AA$2:$AA$188,A72,Backlog!$K$2:$K$188,"Done")</f>
        <v>0</v>
      </c>
      <c r="G72" s="38">
        <f t="shared" si="2"/>
        <v>0</v>
      </c>
      <c r="H72" s="38">
        <f>COUNTIFS(Backlog!$AA$2:$AA$188,A72,Backlog!$B$2:$B$188,"M2")</f>
        <v>0</v>
      </c>
      <c r="I72" s="38">
        <f>COUNTIFS(Backlog!$AA$2:$AA$188,A72,Backlog!$B$2:$B$188,"M3")</f>
        <v>0</v>
      </c>
      <c r="J72" s="38"/>
      <c r="K72" s="32">
        <f>COUNTIF('Secondary Capability Links'!$B$2:$B$179,A72)</f>
        <v>2</v>
      </c>
      <c r="L72" s="32">
        <f>COUNTIFS('Secondary Capability Links'!$B$2:$B$179,A72,'Secondary Capability Links'!$C$2:$C$179,"Done")</f>
        <v>0</v>
      </c>
      <c r="M72" s="32" t="s">
        <v>10489</v>
      </c>
      <c r="N72" s="32" t="s">
        <v>831</v>
      </c>
    </row>
    <row r="73" spans="1:14" ht="26.1" customHeight="1">
      <c r="A73" s="38" t="s">
        <v>975</v>
      </c>
      <c r="B73" s="38" t="s">
        <v>967</v>
      </c>
      <c r="C73" s="38" t="s">
        <v>976</v>
      </c>
      <c r="D73" s="38" t="s">
        <v>830</v>
      </c>
      <c r="E73" s="38">
        <f>COUNTIF(Backlog!$AA$2:$AA$188,A73)</f>
        <v>1</v>
      </c>
      <c r="F73" s="38">
        <f>COUNTIFS(Backlog!$AA$2:$AA$188,A73,Backlog!$K$2:$K$188,"Done")</f>
        <v>0</v>
      </c>
      <c r="G73" s="38">
        <f t="shared" si="2"/>
        <v>1</v>
      </c>
      <c r="H73" s="38">
        <f>COUNTIFS(Backlog!$AA$2:$AA$188,A73,Backlog!$B$2:$B$188,"M2")</f>
        <v>0</v>
      </c>
      <c r="I73" s="38">
        <f>COUNTIFS(Backlog!$AA$2:$AA$188,A73,Backlog!$B$2:$B$188,"M3")</f>
        <v>1</v>
      </c>
      <c r="J73" s="38" t="s">
        <v>212</v>
      </c>
      <c r="K73" s="32">
        <f>COUNTIF('Secondary Capability Links'!$B$2:$B$179,A73)</f>
        <v>2</v>
      </c>
      <c r="L73" s="32">
        <f>COUNTIFS('Secondary Capability Links'!$B$2:$B$179,A73,'Secondary Capability Links'!$C$2:$C$179,"Done")</f>
        <v>0</v>
      </c>
      <c r="M73" s="32" t="s">
        <v>10490</v>
      </c>
      <c r="N73" s="32" t="s">
        <v>831</v>
      </c>
    </row>
    <row r="74" spans="1:14" ht="26.1" customHeight="1">
      <c r="A74" s="38" t="s">
        <v>977</v>
      </c>
      <c r="B74" s="38" t="s">
        <v>967</v>
      </c>
      <c r="C74" s="38" t="s">
        <v>978</v>
      </c>
      <c r="D74" s="38" t="s">
        <v>830</v>
      </c>
      <c r="E74" s="38">
        <f>COUNTIF(Backlog!$AA$2:$AA$188,A74)</f>
        <v>0</v>
      </c>
      <c r="F74" s="38">
        <f>COUNTIFS(Backlog!$AA$2:$AA$188,A74,Backlog!$K$2:$K$188,"Done")</f>
        <v>0</v>
      </c>
      <c r="G74" s="38">
        <f t="shared" si="2"/>
        <v>0</v>
      </c>
      <c r="H74" s="38">
        <f>COUNTIFS(Backlog!$AA$2:$AA$188,A74,Backlog!$B$2:$B$188,"M2")</f>
        <v>0</v>
      </c>
      <c r="I74" s="38">
        <f>COUNTIFS(Backlog!$AA$2:$AA$188,A74,Backlog!$B$2:$B$188,"M3")</f>
        <v>0</v>
      </c>
      <c r="J74" s="38"/>
      <c r="K74" s="32">
        <f>COUNTIF('Secondary Capability Links'!$B$2:$B$179,A74)</f>
        <v>1</v>
      </c>
      <c r="L74" s="32">
        <f>COUNTIFS('Secondary Capability Links'!$B$2:$B$179,A74,'Secondary Capability Links'!$C$2:$C$179,"Done")</f>
        <v>0</v>
      </c>
      <c r="M74" s="32" t="s">
        <v>212</v>
      </c>
      <c r="N74" s="32" t="s">
        <v>831</v>
      </c>
    </row>
    <row r="75" spans="1:14" ht="26.1" customHeight="1">
      <c r="A75" s="38" t="s">
        <v>979</v>
      </c>
      <c r="B75" s="38" t="s">
        <v>967</v>
      </c>
      <c r="C75" s="38" t="s">
        <v>980</v>
      </c>
      <c r="D75" s="38" t="s">
        <v>830</v>
      </c>
      <c r="E75" s="38">
        <f>COUNTIF(Backlog!$AA$2:$AA$188,A75)</f>
        <v>1</v>
      </c>
      <c r="F75" s="38">
        <f>COUNTIFS(Backlog!$AA$2:$AA$188,A75,Backlog!$K$2:$K$188,"Done")</f>
        <v>0</v>
      </c>
      <c r="G75" s="38">
        <f t="shared" si="2"/>
        <v>1</v>
      </c>
      <c r="H75" s="38">
        <f>COUNTIFS(Backlog!$AA$2:$AA$188,A75,Backlog!$B$2:$B$188,"M2")</f>
        <v>0</v>
      </c>
      <c r="I75" s="38">
        <f>COUNTIFS(Backlog!$AA$2:$AA$188,A75,Backlog!$B$2:$B$188,"M3")</f>
        <v>1</v>
      </c>
      <c r="J75" s="38" t="s">
        <v>217</v>
      </c>
      <c r="K75" s="32">
        <f>COUNTIF('Secondary Capability Links'!$B$2:$B$179,A75)</f>
        <v>0</v>
      </c>
      <c r="L75" s="32">
        <f>COUNTIFS('Secondary Capability Links'!$B$2:$B$179,A75,'Secondary Capability Links'!$C$2:$C$179,"Done")</f>
        <v>0</v>
      </c>
      <c r="M75" s="32"/>
      <c r="N75" s="32" t="s">
        <v>831</v>
      </c>
    </row>
    <row r="76" spans="1:14" ht="26.1" customHeight="1">
      <c r="A76" s="38" t="s">
        <v>981</v>
      </c>
      <c r="B76" s="38" t="s">
        <v>967</v>
      </c>
      <c r="C76" s="38" t="s">
        <v>982</v>
      </c>
      <c r="D76" s="38" t="s">
        <v>830</v>
      </c>
      <c r="E76" s="38">
        <f>COUNTIF(Backlog!$AA$2:$AA$188,A76)</f>
        <v>0</v>
      </c>
      <c r="F76" s="38">
        <f>COUNTIFS(Backlog!$AA$2:$AA$188,A76,Backlog!$K$2:$K$188,"Done")</f>
        <v>0</v>
      </c>
      <c r="G76" s="38">
        <f t="shared" si="2"/>
        <v>0</v>
      </c>
      <c r="H76" s="38">
        <f>COUNTIFS(Backlog!$AA$2:$AA$188,A76,Backlog!$B$2:$B$188,"M2")</f>
        <v>0</v>
      </c>
      <c r="I76" s="38">
        <f>COUNTIFS(Backlog!$AA$2:$AA$188,A76,Backlog!$B$2:$B$188,"M3")</f>
        <v>0</v>
      </c>
      <c r="J76" s="38"/>
      <c r="K76" s="32">
        <f>COUNTIF('Secondary Capability Links'!$B$2:$B$179,A76)</f>
        <v>1</v>
      </c>
      <c r="L76" s="32">
        <f>COUNTIFS('Secondary Capability Links'!$B$2:$B$179,A76,'Secondary Capability Links'!$C$2:$C$179,"Done")</f>
        <v>0</v>
      </c>
      <c r="M76" s="32" t="s">
        <v>212</v>
      </c>
      <c r="N76" s="32" t="s">
        <v>831</v>
      </c>
    </row>
    <row r="77" spans="1:14" ht="26.1" customHeight="1">
      <c r="A77" s="38" t="s">
        <v>983</v>
      </c>
      <c r="B77" s="38" t="s">
        <v>984</v>
      </c>
      <c r="C77" s="38" t="s">
        <v>985</v>
      </c>
      <c r="D77" s="38" t="s">
        <v>830</v>
      </c>
      <c r="E77" s="38">
        <f>COUNTIF(Backlog!$AA$2:$AA$188,A77)</f>
        <v>1</v>
      </c>
      <c r="F77" s="38">
        <f>COUNTIFS(Backlog!$AA$2:$AA$188,A77,Backlog!$K$2:$K$188,"Done")</f>
        <v>0</v>
      </c>
      <c r="G77" s="38">
        <f t="shared" si="2"/>
        <v>1</v>
      </c>
      <c r="H77" s="38">
        <f>COUNTIFS(Backlog!$AA$2:$AA$188,A77,Backlog!$B$2:$B$188,"M2")</f>
        <v>0</v>
      </c>
      <c r="I77" s="38">
        <f>COUNTIFS(Backlog!$AA$2:$AA$188,A77,Backlog!$B$2:$B$188,"M3")</f>
        <v>1</v>
      </c>
      <c r="J77" s="38" t="s">
        <v>235</v>
      </c>
      <c r="K77" s="32">
        <f>COUNTIF('Secondary Capability Links'!$B$2:$B$179,A77)</f>
        <v>2</v>
      </c>
      <c r="L77" s="32">
        <f>COUNTIFS('Secondary Capability Links'!$B$2:$B$179,A77,'Secondary Capability Links'!$C$2:$C$179,"Done")</f>
        <v>0</v>
      </c>
      <c r="M77" s="32" t="s">
        <v>10491</v>
      </c>
      <c r="N77" s="32" t="s">
        <v>831</v>
      </c>
    </row>
    <row r="78" spans="1:14" ht="26.1" customHeight="1">
      <c r="A78" s="38" t="s">
        <v>986</v>
      </c>
      <c r="B78" s="38" t="s">
        <v>984</v>
      </c>
      <c r="C78" s="38" t="s">
        <v>987</v>
      </c>
      <c r="D78" s="38" t="s">
        <v>830</v>
      </c>
      <c r="E78" s="38">
        <f>COUNTIF(Backlog!$AA$2:$AA$188,A78)</f>
        <v>1</v>
      </c>
      <c r="F78" s="38">
        <f>COUNTIFS(Backlog!$AA$2:$AA$188,A78,Backlog!$K$2:$K$188,"Done")</f>
        <v>0</v>
      </c>
      <c r="G78" s="38">
        <f t="shared" si="2"/>
        <v>1</v>
      </c>
      <c r="H78" s="38">
        <f>COUNTIFS(Backlog!$AA$2:$AA$188,A78,Backlog!$B$2:$B$188,"M2")</f>
        <v>1</v>
      </c>
      <c r="I78" s="38">
        <f>COUNTIFS(Backlog!$AA$2:$AA$188,A78,Backlog!$B$2:$B$188,"M3")</f>
        <v>0</v>
      </c>
      <c r="J78" s="38" t="s">
        <v>151</v>
      </c>
      <c r="K78" s="32">
        <f>COUNTIF('Secondary Capability Links'!$B$2:$B$179,A78)</f>
        <v>0</v>
      </c>
      <c r="L78" s="32">
        <f>COUNTIFS('Secondary Capability Links'!$B$2:$B$179,A78,'Secondary Capability Links'!$C$2:$C$179,"Done")</f>
        <v>0</v>
      </c>
      <c r="M78" s="32"/>
      <c r="N78" s="32" t="s">
        <v>831</v>
      </c>
    </row>
    <row r="79" spans="1:14" ht="26.1" customHeight="1">
      <c r="A79" s="38" t="s">
        <v>988</v>
      </c>
      <c r="B79" s="38" t="s">
        <v>984</v>
      </c>
      <c r="C79" s="38" t="s">
        <v>989</v>
      </c>
      <c r="D79" s="38" t="s">
        <v>990</v>
      </c>
      <c r="E79" s="38">
        <f>COUNTIF(Backlog!$AA$2:$AA$188,A79)</f>
        <v>3</v>
      </c>
      <c r="F79" s="38">
        <f>COUNTIFS(Backlog!$AA$2:$AA$188,A79,Backlog!$K$2:$K$188,"Done")</f>
        <v>1</v>
      </c>
      <c r="G79" s="38">
        <f t="shared" si="2"/>
        <v>2</v>
      </c>
      <c r="H79" s="38">
        <f>COUNTIFS(Backlog!$AA$2:$AA$188,A79,Backlog!$B$2:$B$188,"M2")</f>
        <v>3</v>
      </c>
      <c r="I79" s="38">
        <f>COUNTIFS(Backlog!$AA$2:$AA$188,A79,Backlog!$B$2:$B$188,"M3")</f>
        <v>0</v>
      </c>
      <c r="J79" s="38" t="s">
        <v>10492</v>
      </c>
      <c r="K79" s="32">
        <f>COUNTIF('Secondary Capability Links'!$B$2:$B$179,A79)</f>
        <v>2</v>
      </c>
      <c r="L79" s="32">
        <f>COUNTIFS('Secondary Capability Links'!$B$2:$B$179,A79,'Secondary Capability Links'!$C$2:$C$179,"Done")</f>
        <v>1</v>
      </c>
      <c r="M79" s="32" t="s">
        <v>10493</v>
      </c>
      <c r="N79" s="32" t="s">
        <v>831</v>
      </c>
    </row>
    <row r="80" spans="1:14" ht="26.1" customHeight="1">
      <c r="A80" s="38" t="s">
        <v>991</v>
      </c>
      <c r="B80" s="38" t="s">
        <v>984</v>
      </c>
      <c r="C80" s="38" t="s">
        <v>992</v>
      </c>
      <c r="D80" s="38" t="s">
        <v>990</v>
      </c>
      <c r="E80" s="38">
        <f>COUNTIF(Backlog!$AA$2:$AA$188,A80)</f>
        <v>1</v>
      </c>
      <c r="F80" s="38">
        <f>COUNTIFS(Backlog!$AA$2:$AA$188,A80,Backlog!$K$2:$K$188,"Done")</f>
        <v>0</v>
      </c>
      <c r="G80" s="38">
        <f t="shared" si="2"/>
        <v>1</v>
      </c>
      <c r="H80" s="38">
        <f>COUNTIFS(Backlog!$AA$2:$AA$188,A80,Backlog!$B$2:$B$188,"M2")</f>
        <v>0</v>
      </c>
      <c r="I80" s="38">
        <f>COUNTIFS(Backlog!$AA$2:$AA$188,A80,Backlog!$B$2:$B$188,"M3")</f>
        <v>1</v>
      </c>
      <c r="J80" s="38" t="s">
        <v>227</v>
      </c>
      <c r="K80" s="32">
        <f>COUNTIF('Secondary Capability Links'!$B$2:$B$179,A80)</f>
        <v>1</v>
      </c>
      <c r="L80" s="32">
        <f>COUNTIFS('Secondary Capability Links'!$B$2:$B$179,A80,'Secondary Capability Links'!$C$2:$C$179,"Done")</f>
        <v>0</v>
      </c>
      <c r="M80" s="32" t="s">
        <v>240</v>
      </c>
      <c r="N80" s="32" t="s">
        <v>831</v>
      </c>
    </row>
    <row r="81" spans="1:14" ht="26.1" customHeight="1">
      <c r="A81" s="38" t="s">
        <v>993</v>
      </c>
      <c r="B81" s="38" t="s">
        <v>984</v>
      </c>
      <c r="C81" s="38" t="s">
        <v>994</v>
      </c>
      <c r="D81" s="38" t="s">
        <v>990</v>
      </c>
      <c r="E81" s="38">
        <f>COUNTIF(Backlog!$AA$2:$AA$188,A81)</f>
        <v>3</v>
      </c>
      <c r="F81" s="38">
        <f>COUNTIFS(Backlog!$AA$2:$AA$188,A81,Backlog!$K$2:$K$188,"Done")</f>
        <v>0</v>
      </c>
      <c r="G81" s="38">
        <f t="shared" si="2"/>
        <v>3</v>
      </c>
      <c r="H81" s="38">
        <f>COUNTIFS(Backlog!$AA$2:$AA$188,A81,Backlog!$B$2:$B$188,"M2")</f>
        <v>0</v>
      </c>
      <c r="I81" s="38">
        <f>COUNTIFS(Backlog!$AA$2:$AA$188,A81,Backlog!$B$2:$B$188,"M3")</f>
        <v>3</v>
      </c>
      <c r="J81" s="38" t="s">
        <v>10494</v>
      </c>
      <c r="K81" s="32">
        <f>COUNTIF('Secondary Capability Links'!$B$2:$B$179,A81)</f>
        <v>0</v>
      </c>
      <c r="L81" s="32">
        <f>COUNTIFS('Secondary Capability Links'!$B$2:$B$179,A81,'Secondary Capability Links'!$C$2:$C$179,"Done")</f>
        <v>0</v>
      </c>
      <c r="M81" s="32"/>
      <c r="N81" s="32" t="s">
        <v>831</v>
      </c>
    </row>
    <row r="82" spans="1:14">
      <c r="A82" s="2"/>
      <c r="B82" s="2"/>
      <c r="C82" s="2"/>
      <c r="D82" s="2"/>
      <c r="E82" s="2"/>
      <c r="F82" s="2"/>
      <c r="G82" s="2"/>
      <c r="H82" s="2"/>
      <c r="I82" s="2"/>
      <c r="J82" s="2"/>
    </row>
    <row r="83" spans="1:14">
      <c r="A83" s="118" t="s">
        <v>995</v>
      </c>
      <c r="B83" s="118"/>
      <c r="C83" s="118"/>
      <c r="D83" s="118"/>
      <c r="E83" s="118"/>
      <c r="F83" s="118"/>
      <c r="G83" s="118"/>
      <c r="H83" s="118"/>
      <c r="I83" s="118"/>
      <c r="J83" s="118"/>
      <c r="K83" s="118"/>
      <c r="L83" s="118"/>
      <c r="M83" s="118"/>
      <c r="N83" s="118"/>
    </row>
  </sheetData>
  <mergeCells count="3">
    <mergeCell ref="A1:N1"/>
    <mergeCell ref="A2:N2"/>
    <mergeCell ref="A83:N83"/>
  </mergeCells>
  <conditionalFormatting sqref="E4:E83">
    <cfRule type="dataBar" priority="1">
      <dataBar>
        <cfvo type="min"/>
        <cfvo type="max"/>
        <color rgb="FF156082"/>
      </dataBar>
    </cfRule>
    <cfRule type="dataBar" priority="6">
      <dataBar>
        <cfvo type="min"/>
        <cfvo type="max"/>
        <color rgb="FF156082"/>
      </dataBar>
    </cfRule>
    <cfRule type="dataBar" priority="11">
      <dataBar>
        <cfvo type="min"/>
        <cfvo type="max"/>
        <color rgb="FF156082"/>
      </dataBar>
    </cfRule>
    <cfRule type="dataBar" priority="16">
      <dataBar>
        <cfvo type="min"/>
        <cfvo type="max"/>
        <color rgb="FF156082"/>
      </dataBar>
      <extLst>
        <ext xmlns:x14="http://schemas.microsoft.com/office/spreadsheetml/2009/9/main" uri="{B025F937-C7B1-47D3-B67F-A62EFF666E3E}">
          <x14:id>{483D8A87-B9DC-D794-C9BA-06F40A711C31}</x14:id>
        </ext>
      </extLst>
    </cfRule>
  </conditionalFormatting>
  <conditionalFormatting sqref="F4:F83">
    <cfRule type="dataBar" priority="2">
      <dataBar>
        <cfvo type="min"/>
        <cfvo type="max"/>
        <color rgb="FF156082"/>
      </dataBar>
    </cfRule>
    <cfRule type="dataBar" priority="7">
      <dataBar>
        <cfvo type="min"/>
        <cfvo type="max"/>
        <color rgb="FF156082"/>
      </dataBar>
    </cfRule>
    <cfRule type="dataBar" priority="12">
      <dataBar>
        <cfvo type="min"/>
        <cfvo type="max"/>
        <color rgb="FF156082"/>
      </dataBar>
    </cfRule>
    <cfRule type="dataBar" priority="17">
      <dataBar>
        <cfvo type="min"/>
        <cfvo type="max"/>
        <color rgb="FF156082"/>
      </dataBar>
      <extLst>
        <ext xmlns:x14="http://schemas.microsoft.com/office/spreadsheetml/2009/9/main" uri="{B025F937-C7B1-47D3-B67F-A62EFF666E3E}">
          <x14:id>{2938A8BA-6643-4F03-9A37-03083614EE5E}</x14:id>
        </ext>
      </extLst>
    </cfRule>
  </conditionalFormatting>
  <conditionalFormatting sqref="G4:G83">
    <cfRule type="dataBar" priority="3">
      <dataBar>
        <cfvo type="min"/>
        <cfvo type="max"/>
        <color rgb="FF156082"/>
      </dataBar>
    </cfRule>
    <cfRule type="dataBar" priority="8">
      <dataBar>
        <cfvo type="min"/>
        <cfvo type="max"/>
        <color rgb="FF156082"/>
      </dataBar>
    </cfRule>
    <cfRule type="dataBar" priority="13">
      <dataBar>
        <cfvo type="min"/>
        <cfvo type="max"/>
        <color rgb="FF156082"/>
      </dataBar>
    </cfRule>
    <cfRule type="dataBar" priority="18">
      <dataBar>
        <cfvo type="min"/>
        <cfvo type="max"/>
        <color rgb="FF156082"/>
      </dataBar>
      <extLst>
        <ext xmlns:x14="http://schemas.microsoft.com/office/spreadsheetml/2009/9/main" uri="{B025F937-C7B1-47D3-B67F-A62EFF666E3E}">
          <x14:id>{4E9339B8-32E6-E0FB-E202-CF54D5194D93}</x14:id>
        </ext>
      </extLst>
    </cfRule>
  </conditionalFormatting>
  <conditionalFormatting sqref="H4:H83">
    <cfRule type="dataBar" priority="4">
      <dataBar>
        <cfvo type="min"/>
        <cfvo type="max"/>
        <color rgb="FF156082"/>
      </dataBar>
    </cfRule>
    <cfRule type="dataBar" priority="9">
      <dataBar>
        <cfvo type="min"/>
        <cfvo type="max"/>
        <color rgb="FF156082"/>
      </dataBar>
    </cfRule>
    <cfRule type="dataBar" priority="14">
      <dataBar>
        <cfvo type="min"/>
        <cfvo type="max"/>
        <color rgb="FF156082"/>
      </dataBar>
    </cfRule>
    <cfRule type="dataBar" priority="19">
      <dataBar>
        <cfvo type="min"/>
        <cfvo type="max"/>
        <color rgb="FF156082"/>
      </dataBar>
      <extLst>
        <ext xmlns:x14="http://schemas.microsoft.com/office/spreadsheetml/2009/9/main" uri="{B025F937-C7B1-47D3-B67F-A62EFF666E3E}">
          <x14:id>{93B8FE78-9D76-3D9A-5A36-C34E15AD3821}</x14:id>
        </ext>
      </extLst>
    </cfRule>
  </conditionalFormatting>
  <conditionalFormatting sqref="I4:I83">
    <cfRule type="dataBar" priority="5">
      <dataBar>
        <cfvo type="min"/>
        <cfvo type="max"/>
        <color rgb="FF156082"/>
      </dataBar>
    </cfRule>
    <cfRule type="dataBar" priority="10">
      <dataBar>
        <cfvo type="min"/>
        <cfvo type="max"/>
        <color rgb="FF156082"/>
      </dataBar>
    </cfRule>
    <cfRule type="dataBar" priority="15">
      <dataBar>
        <cfvo type="min"/>
        <cfvo type="max"/>
        <color rgb="FF156082"/>
      </dataBar>
    </cfRule>
    <cfRule type="dataBar" priority="20">
      <dataBar>
        <cfvo type="min"/>
        <cfvo type="max"/>
        <color rgb="FF156082"/>
      </dataBar>
      <extLst>
        <ext xmlns:x14="http://schemas.microsoft.com/office/spreadsheetml/2009/9/main" uri="{B025F937-C7B1-47D3-B67F-A62EFF666E3E}">
          <x14:id>{B17A4BEC-C983-AD76-82E5-8042957F1C26}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83D8A87-B9DC-D794-C9BA-06F40A711C31}">
            <x14:dataBar>
              <x14:cfvo type="min"/>
              <x14:cfvo type="max"/>
              <x14:negativeFillColor auto="1"/>
              <x14:axisColor auto="1"/>
            </x14:dataBar>
          </x14:cfRule>
          <xm:sqref>E4:E83</xm:sqref>
        </x14:conditionalFormatting>
        <x14:conditionalFormatting xmlns:xm="http://schemas.microsoft.com/office/excel/2006/main">
          <x14:cfRule type="dataBar" id="{2938A8BA-6643-4F03-9A37-03083614EE5E}">
            <x14:dataBar>
              <x14:cfvo type="min"/>
              <x14:cfvo type="max"/>
              <x14:negativeFillColor auto="1"/>
              <x14:axisColor auto="1"/>
            </x14:dataBar>
          </x14:cfRule>
          <xm:sqref>F4:F83</xm:sqref>
        </x14:conditionalFormatting>
        <x14:conditionalFormatting xmlns:xm="http://schemas.microsoft.com/office/excel/2006/main">
          <x14:cfRule type="dataBar" id="{4E9339B8-32E6-E0FB-E202-CF54D5194D93}">
            <x14:dataBar>
              <x14:cfvo type="min"/>
              <x14:cfvo type="max"/>
              <x14:negativeFillColor auto="1"/>
              <x14:axisColor auto="1"/>
            </x14:dataBar>
          </x14:cfRule>
          <xm:sqref>G4:G83</xm:sqref>
        </x14:conditionalFormatting>
        <x14:conditionalFormatting xmlns:xm="http://schemas.microsoft.com/office/excel/2006/main">
          <x14:cfRule type="dataBar" id="{93B8FE78-9D76-3D9A-5A36-C34E15AD3821}">
            <x14:dataBar>
              <x14:cfvo type="min"/>
              <x14:cfvo type="max"/>
              <x14:negativeFillColor auto="1"/>
              <x14:axisColor auto="1"/>
            </x14:dataBar>
          </x14:cfRule>
          <xm:sqref>H4:H83</xm:sqref>
        </x14:conditionalFormatting>
        <x14:conditionalFormatting xmlns:xm="http://schemas.microsoft.com/office/excel/2006/main">
          <x14:cfRule type="dataBar" id="{B17A4BEC-C983-AD76-82E5-8042957F1C26}">
            <x14:dataBar>
              <x14:cfvo type="min"/>
              <x14:cfvo type="max"/>
              <x14:negativeFillColor auto="1"/>
              <x14:axisColor auto="1"/>
            </x14:dataBar>
          </x14:cfRule>
          <xm:sqref>I4:I83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
  <sheetViews>
    <sheetView workbookViewId="0"/>
  </sheetViews>
  <sheetFormatPr defaultRowHeight="14.25"/>
  <cols>
    <col min="1" max="2" width="20" customWidth="1"/>
    <col min="3" max="3" width="50" customWidth="1"/>
    <col min="4" max="4" width="40" customWidth="1"/>
    <col min="5" max="6" width="70" customWidth="1"/>
    <col min="7" max="8" width="20" customWidth="1"/>
  </cols>
  <sheetData>
    <row r="1" spans="1:8" ht="32.1" customHeight="1">
      <c r="A1" s="26" t="s">
        <v>996</v>
      </c>
      <c r="B1" s="26" t="s">
        <v>997</v>
      </c>
      <c r="C1" s="26" t="s">
        <v>998</v>
      </c>
      <c r="D1" s="26" t="s">
        <v>999</v>
      </c>
      <c r="E1" s="26" t="s">
        <v>1000</v>
      </c>
      <c r="F1" s="26" t="s">
        <v>1001</v>
      </c>
      <c r="G1" s="26" t="s">
        <v>1002</v>
      </c>
      <c r="H1" s="26" t="s">
        <v>1003</v>
      </c>
    </row>
    <row r="2" spans="1:8" ht="135" customHeight="1">
      <c r="A2" s="24" t="s">
        <v>555</v>
      </c>
      <c r="B2" s="24" t="s">
        <v>1004</v>
      </c>
      <c r="C2" s="24" t="s">
        <v>97</v>
      </c>
      <c r="D2" s="24" t="s">
        <v>556</v>
      </c>
      <c r="E2" s="24" t="s">
        <v>1005</v>
      </c>
      <c r="F2" s="24" t="s">
        <v>1006</v>
      </c>
      <c r="G2" s="24">
        <v>6</v>
      </c>
      <c r="H2" s="24" t="s">
        <v>537</v>
      </c>
    </row>
    <row r="3" spans="1:8" ht="135" customHeight="1">
      <c r="A3" s="24" t="s">
        <v>568</v>
      </c>
      <c r="B3" s="24" t="s">
        <v>1004</v>
      </c>
      <c r="C3" s="24" t="s">
        <v>1007</v>
      </c>
      <c r="D3" s="24" t="s">
        <v>569</v>
      </c>
      <c r="E3" s="24" t="s">
        <v>1008</v>
      </c>
      <c r="F3" s="24" t="s">
        <v>1009</v>
      </c>
      <c r="G3" s="24">
        <v>12</v>
      </c>
      <c r="H3" s="24" t="s">
        <v>537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13"/>
  <sheetViews>
    <sheetView workbookViewId="0"/>
  </sheetViews>
  <sheetFormatPr defaultRowHeight="14.25"/>
  <cols>
    <col min="1" max="1" width="15" customWidth="1"/>
    <col min="2" max="2" width="28" customWidth="1"/>
    <col min="3" max="4" width="66" customWidth="1"/>
    <col min="5" max="5" width="43" customWidth="1"/>
  </cols>
  <sheetData>
    <row r="1" spans="1:5" ht="32.1" customHeight="1">
      <c r="A1" s="26" t="s">
        <v>1010</v>
      </c>
      <c r="B1" s="26" t="s">
        <v>1011</v>
      </c>
      <c r="C1" s="26" t="s">
        <v>1012</v>
      </c>
      <c r="D1" s="26" t="s">
        <v>1013</v>
      </c>
      <c r="E1" s="26" t="s">
        <v>1014</v>
      </c>
    </row>
    <row r="2" spans="1:5" ht="72" customHeight="1">
      <c r="A2" s="24" t="s">
        <v>97</v>
      </c>
      <c r="B2" s="24" t="s">
        <v>7</v>
      </c>
      <c r="C2" s="24" t="s">
        <v>1015</v>
      </c>
      <c r="D2" s="24" t="s">
        <v>1016</v>
      </c>
      <c r="E2" s="24" t="s">
        <v>1017</v>
      </c>
    </row>
    <row r="3" spans="1:5" ht="72" customHeight="1">
      <c r="A3" s="24" t="s">
        <v>97</v>
      </c>
      <c r="B3" s="24" t="s">
        <v>8</v>
      </c>
      <c r="C3" s="24" t="s">
        <v>1018</v>
      </c>
      <c r="D3" s="24" t="s">
        <v>1019</v>
      </c>
      <c r="E3" s="24" t="s">
        <v>1020</v>
      </c>
    </row>
    <row r="4" spans="1:5" ht="72" customHeight="1">
      <c r="A4" s="24" t="s">
        <v>97</v>
      </c>
      <c r="B4" s="24" t="s">
        <v>3</v>
      </c>
      <c r="C4" s="24" t="s">
        <v>552</v>
      </c>
      <c r="D4" s="24" t="s">
        <v>1021</v>
      </c>
      <c r="E4" s="24" t="s">
        <v>1022</v>
      </c>
    </row>
    <row r="5" spans="1:5" ht="72" customHeight="1">
      <c r="A5" s="24" t="s">
        <v>97</v>
      </c>
      <c r="B5" s="24" t="s">
        <v>9</v>
      </c>
      <c r="C5" s="24">
        <v>8</v>
      </c>
      <c r="D5" s="24">
        <v>14</v>
      </c>
      <c r="E5" s="24" t="s">
        <v>1023</v>
      </c>
    </row>
    <row r="6" spans="1:5" ht="72" customHeight="1">
      <c r="A6" s="24" t="s">
        <v>98</v>
      </c>
      <c r="B6" s="24" t="s">
        <v>7</v>
      </c>
      <c r="C6" s="24" t="s">
        <v>1024</v>
      </c>
      <c r="D6" s="24" t="s">
        <v>1025</v>
      </c>
      <c r="E6" s="24" t="s">
        <v>1026</v>
      </c>
    </row>
    <row r="7" spans="1:5" ht="72" customHeight="1">
      <c r="A7" s="24" t="s">
        <v>98</v>
      </c>
      <c r="B7" s="24" t="s">
        <v>8</v>
      </c>
      <c r="C7" s="24" t="s">
        <v>1027</v>
      </c>
      <c r="D7" s="24" t="s">
        <v>1028</v>
      </c>
      <c r="E7" s="24" t="s">
        <v>1029</v>
      </c>
    </row>
    <row r="8" spans="1:5" ht="72" customHeight="1">
      <c r="A8" s="24" t="s">
        <v>98</v>
      </c>
      <c r="B8" s="24" t="s">
        <v>3</v>
      </c>
      <c r="C8" s="24" t="s">
        <v>557</v>
      </c>
      <c r="D8" s="24" t="s">
        <v>1030</v>
      </c>
      <c r="E8" s="24" t="s">
        <v>1031</v>
      </c>
    </row>
    <row r="9" spans="1:5" ht="72" customHeight="1">
      <c r="A9" s="24" t="s">
        <v>98</v>
      </c>
      <c r="B9" s="24" t="s">
        <v>10</v>
      </c>
      <c r="C9" s="24" t="s">
        <v>537</v>
      </c>
      <c r="D9" s="24" t="s">
        <v>615</v>
      </c>
      <c r="E9" s="24" t="s">
        <v>1032</v>
      </c>
    </row>
    <row r="10" spans="1:5" ht="72" customHeight="1">
      <c r="A10" s="24" t="s">
        <v>98</v>
      </c>
      <c r="B10" s="24" t="s">
        <v>28</v>
      </c>
      <c r="C10" s="24" t="s">
        <v>1033</v>
      </c>
      <c r="D10" s="24" t="s">
        <v>1034</v>
      </c>
      <c r="E10" s="24" t="s">
        <v>1035</v>
      </c>
    </row>
    <row r="11" spans="1:5" ht="72" customHeight="1">
      <c r="A11" s="24" t="s">
        <v>98</v>
      </c>
      <c r="B11" s="24" t="s">
        <v>12</v>
      </c>
      <c r="C11" s="24" t="s">
        <v>558</v>
      </c>
      <c r="D11" s="24" t="s">
        <v>1036</v>
      </c>
      <c r="E11" s="24" t="s">
        <v>1037</v>
      </c>
    </row>
    <row r="12" spans="1:5" ht="72" customHeight="1">
      <c r="A12" s="24" t="s">
        <v>100</v>
      </c>
      <c r="B12" s="24" t="s">
        <v>7</v>
      </c>
      <c r="C12" s="24" t="s">
        <v>1038</v>
      </c>
      <c r="D12" s="24" t="s">
        <v>1039</v>
      </c>
      <c r="E12" s="24" t="s">
        <v>1040</v>
      </c>
    </row>
    <row r="13" spans="1:5" ht="72" customHeight="1">
      <c r="A13" s="24" t="s">
        <v>100</v>
      </c>
      <c r="B13" s="24" t="s">
        <v>8</v>
      </c>
      <c r="C13" s="24" t="s">
        <v>1041</v>
      </c>
      <c r="D13" s="24" t="s">
        <v>1042</v>
      </c>
      <c r="E13" s="24" t="s">
        <v>1043</v>
      </c>
    </row>
    <row r="14" spans="1:5" ht="72" customHeight="1">
      <c r="A14" s="24" t="s">
        <v>100</v>
      </c>
      <c r="B14" s="24" t="s">
        <v>3</v>
      </c>
      <c r="C14" s="24" t="s">
        <v>563</v>
      </c>
      <c r="D14" s="24" t="s">
        <v>1044</v>
      </c>
      <c r="E14" s="24" t="s">
        <v>1045</v>
      </c>
    </row>
    <row r="15" spans="1:5" ht="72" customHeight="1">
      <c r="A15" s="24" t="s">
        <v>100</v>
      </c>
      <c r="B15" s="24" t="s">
        <v>28</v>
      </c>
      <c r="C15" s="24" t="s">
        <v>834</v>
      </c>
      <c r="D15" s="24" t="s">
        <v>1046</v>
      </c>
      <c r="E15" s="24" t="s">
        <v>1035</v>
      </c>
    </row>
    <row r="16" spans="1:5" ht="72" customHeight="1">
      <c r="A16" s="24" t="s">
        <v>100</v>
      </c>
      <c r="B16" s="24" t="s">
        <v>12</v>
      </c>
      <c r="C16" s="24"/>
      <c r="D16" s="24" t="s">
        <v>1047</v>
      </c>
      <c r="E16" s="24" t="s">
        <v>1037</v>
      </c>
    </row>
    <row r="17" spans="1:5" ht="72" customHeight="1">
      <c r="A17" s="24" t="s">
        <v>167</v>
      </c>
      <c r="B17" s="24" t="s">
        <v>7</v>
      </c>
      <c r="C17" s="24" t="s">
        <v>1048</v>
      </c>
      <c r="D17" s="24" t="s">
        <v>1049</v>
      </c>
      <c r="E17" s="24" t="s">
        <v>1050</v>
      </c>
    </row>
    <row r="18" spans="1:5" ht="72" customHeight="1">
      <c r="A18" s="24" t="s">
        <v>167</v>
      </c>
      <c r="B18" s="24" t="s">
        <v>8</v>
      </c>
      <c r="C18" s="24" t="s">
        <v>1051</v>
      </c>
      <c r="D18" s="24" t="s">
        <v>1052</v>
      </c>
      <c r="E18" s="24" t="s">
        <v>1053</v>
      </c>
    </row>
    <row r="19" spans="1:5" ht="72" customHeight="1">
      <c r="A19" s="24" t="s">
        <v>167</v>
      </c>
      <c r="B19" s="24" t="s">
        <v>3</v>
      </c>
      <c r="C19" s="24" t="s">
        <v>567</v>
      </c>
      <c r="D19" s="24" t="s">
        <v>1054</v>
      </c>
      <c r="E19" s="24" t="s">
        <v>1055</v>
      </c>
    </row>
    <row r="20" spans="1:5" ht="72" customHeight="1">
      <c r="A20" s="24" t="s">
        <v>167</v>
      </c>
      <c r="B20" s="24" t="s">
        <v>9</v>
      </c>
      <c r="C20" s="24">
        <v>12</v>
      </c>
      <c r="D20" s="24">
        <v>24</v>
      </c>
      <c r="E20" s="24" t="s">
        <v>1056</v>
      </c>
    </row>
    <row r="21" spans="1:5" ht="72" customHeight="1">
      <c r="A21" s="24" t="s">
        <v>167</v>
      </c>
      <c r="B21" s="24" t="s">
        <v>12</v>
      </c>
      <c r="C21" s="24"/>
      <c r="D21" s="24" t="s">
        <v>1057</v>
      </c>
      <c r="E21" s="24" t="s">
        <v>1037</v>
      </c>
    </row>
    <row r="22" spans="1:5" ht="72" customHeight="1">
      <c r="A22" s="24" t="s">
        <v>167</v>
      </c>
      <c r="B22" s="24" t="s">
        <v>1</v>
      </c>
      <c r="C22" s="24" t="s">
        <v>449</v>
      </c>
      <c r="D22" s="24" t="s">
        <v>1058</v>
      </c>
      <c r="E22" s="24" t="s">
        <v>1059</v>
      </c>
    </row>
    <row r="23" spans="1:5" ht="72" customHeight="1">
      <c r="A23" s="24" t="s">
        <v>167</v>
      </c>
      <c r="B23" s="24" t="s">
        <v>2</v>
      </c>
      <c r="C23" s="24" t="s">
        <v>524</v>
      </c>
      <c r="D23" s="24" t="s">
        <v>450</v>
      </c>
      <c r="E23" s="24" t="s">
        <v>1059</v>
      </c>
    </row>
    <row r="24" spans="1:5" ht="72" customHeight="1">
      <c r="A24" s="24" t="s">
        <v>167</v>
      </c>
      <c r="B24" s="24" t="s">
        <v>15</v>
      </c>
      <c r="C24" s="24" t="s">
        <v>455</v>
      </c>
      <c r="D24" s="24" t="s">
        <v>1060</v>
      </c>
      <c r="E24" s="24" t="s">
        <v>1059</v>
      </c>
    </row>
    <row r="25" spans="1:5" ht="72" customHeight="1">
      <c r="A25" s="24" t="s">
        <v>167</v>
      </c>
      <c r="B25" s="24" t="s">
        <v>32</v>
      </c>
      <c r="C25" s="24" t="s">
        <v>1061</v>
      </c>
      <c r="D25" s="24" t="s">
        <v>1062</v>
      </c>
      <c r="E25" s="24" t="s">
        <v>1059</v>
      </c>
    </row>
    <row r="26" spans="1:5" ht="72" customHeight="1">
      <c r="A26" s="24" t="s">
        <v>234</v>
      </c>
      <c r="B26" s="24" t="s">
        <v>1</v>
      </c>
      <c r="C26" s="24" t="s">
        <v>449</v>
      </c>
      <c r="D26" s="24" t="s">
        <v>1058</v>
      </c>
      <c r="E26" s="24" t="s">
        <v>1059</v>
      </c>
    </row>
    <row r="27" spans="1:5" ht="72" customHeight="1">
      <c r="A27" s="24" t="s">
        <v>234</v>
      </c>
      <c r="B27" s="24" t="s">
        <v>2</v>
      </c>
      <c r="C27" s="24" t="s">
        <v>524</v>
      </c>
      <c r="D27" s="24" t="s">
        <v>634</v>
      </c>
      <c r="E27" s="24" t="s">
        <v>1059</v>
      </c>
    </row>
    <row r="28" spans="1:5" ht="72" customHeight="1">
      <c r="A28" s="24" t="s">
        <v>234</v>
      </c>
      <c r="B28" s="24" t="s">
        <v>15</v>
      </c>
      <c r="C28" s="24" t="s">
        <v>455</v>
      </c>
      <c r="D28" s="24" t="s">
        <v>1060</v>
      </c>
      <c r="E28" s="24" t="s">
        <v>1059</v>
      </c>
    </row>
    <row r="29" spans="1:5" ht="72" customHeight="1">
      <c r="A29" s="24" t="s">
        <v>234</v>
      </c>
      <c r="B29" s="24" t="s">
        <v>32</v>
      </c>
      <c r="C29" s="24" t="s">
        <v>1061</v>
      </c>
      <c r="D29" s="24" t="s">
        <v>1062</v>
      </c>
      <c r="E29" s="24" t="s">
        <v>1059</v>
      </c>
    </row>
    <row r="30" spans="1:5" ht="72" customHeight="1">
      <c r="A30" s="24" t="s">
        <v>234</v>
      </c>
      <c r="B30" s="24" t="s">
        <v>12</v>
      </c>
      <c r="C30" s="24" t="s">
        <v>611</v>
      </c>
      <c r="D30" s="24" t="s">
        <v>1063</v>
      </c>
      <c r="E30" s="24" t="s">
        <v>1037</v>
      </c>
    </row>
    <row r="31" spans="1:5" ht="72" customHeight="1">
      <c r="A31" s="24" t="s">
        <v>194</v>
      </c>
      <c r="B31" s="24" t="s">
        <v>12</v>
      </c>
      <c r="C31" s="24" t="s">
        <v>1064</v>
      </c>
      <c r="D31" s="24" t="s">
        <v>1065</v>
      </c>
      <c r="E31" s="24" t="s">
        <v>1066</v>
      </c>
    </row>
    <row r="32" spans="1:5" ht="72" customHeight="1">
      <c r="A32" s="24" t="s">
        <v>94</v>
      </c>
      <c r="B32" s="24" t="s">
        <v>7</v>
      </c>
      <c r="C32" s="24" t="s">
        <v>1067</v>
      </c>
      <c r="D32" s="24" t="s">
        <v>1068</v>
      </c>
      <c r="E32" s="24" t="s">
        <v>1069</v>
      </c>
    </row>
    <row r="33" spans="1:5" ht="72" customHeight="1">
      <c r="A33" s="24" t="s">
        <v>94</v>
      </c>
      <c r="B33" s="24" t="s">
        <v>8</v>
      </c>
      <c r="C33" s="24" t="s">
        <v>1070</v>
      </c>
      <c r="D33" s="24" t="s">
        <v>1071</v>
      </c>
      <c r="E33" s="24" t="s">
        <v>1072</v>
      </c>
    </row>
    <row r="34" spans="1:5" ht="72" customHeight="1">
      <c r="A34" s="24" t="s">
        <v>96</v>
      </c>
      <c r="B34" s="24" t="s">
        <v>7</v>
      </c>
      <c r="C34" s="24" t="s">
        <v>1073</v>
      </c>
      <c r="D34" s="24" t="s">
        <v>1074</v>
      </c>
      <c r="E34" s="24" t="s">
        <v>1069</v>
      </c>
    </row>
    <row r="35" spans="1:5" ht="72" customHeight="1">
      <c r="A35" s="24" t="s">
        <v>96</v>
      </c>
      <c r="B35" s="24" t="s">
        <v>8</v>
      </c>
      <c r="C35" s="24" t="s">
        <v>1075</v>
      </c>
      <c r="D35" s="24" t="s">
        <v>1076</v>
      </c>
      <c r="E35" s="24" t="s">
        <v>1072</v>
      </c>
    </row>
    <row r="36" spans="1:5" ht="72" customHeight="1">
      <c r="A36" s="24" t="s">
        <v>113</v>
      </c>
      <c r="B36" s="24" t="s">
        <v>7</v>
      </c>
      <c r="C36" s="24" t="s">
        <v>1077</v>
      </c>
      <c r="D36" s="24" t="s">
        <v>1078</v>
      </c>
      <c r="E36" s="24" t="s">
        <v>1069</v>
      </c>
    </row>
    <row r="37" spans="1:5" ht="72" customHeight="1">
      <c r="A37" s="24" t="s">
        <v>113</v>
      </c>
      <c r="B37" s="24" t="s">
        <v>8</v>
      </c>
      <c r="C37" s="24" t="s">
        <v>1079</v>
      </c>
      <c r="D37" s="24" t="s">
        <v>1080</v>
      </c>
      <c r="E37" s="24" t="s">
        <v>1072</v>
      </c>
    </row>
    <row r="38" spans="1:5" ht="72" customHeight="1">
      <c r="A38" s="24" t="s">
        <v>118</v>
      </c>
      <c r="B38" s="24" t="s">
        <v>7</v>
      </c>
      <c r="C38" s="24" t="s">
        <v>1081</v>
      </c>
      <c r="D38" s="24" t="s">
        <v>1082</v>
      </c>
      <c r="E38" s="24" t="s">
        <v>1069</v>
      </c>
    </row>
    <row r="39" spans="1:5" ht="72" customHeight="1">
      <c r="A39" s="24" t="s">
        <v>118</v>
      </c>
      <c r="B39" s="24" t="s">
        <v>8</v>
      </c>
      <c r="C39" s="24" t="s">
        <v>1083</v>
      </c>
      <c r="D39" s="24" t="s">
        <v>1084</v>
      </c>
      <c r="E39" s="24" t="s">
        <v>1072</v>
      </c>
    </row>
    <row r="40" spans="1:5" ht="72" customHeight="1">
      <c r="A40" s="24" t="s">
        <v>153</v>
      </c>
      <c r="B40" s="24" t="s">
        <v>7</v>
      </c>
      <c r="C40" s="24" t="s">
        <v>1085</v>
      </c>
      <c r="D40" s="24" t="s">
        <v>1086</v>
      </c>
      <c r="E40" s="24" t="s">
        <v>1069</v>
      </c>
    </row>
    <row r="41" spans="1:5" ht="72" customHeight="1">
      <c r="A41" s="24" t="s">
        <v>153</v>
      </c>
      <c r="B41" s="24" t="s">
        <v>8</v>
      </c>
      <c r="C41" s="24" t="s">
        <v>1087</v>
      </c>
      <c r="D41" s="24" t="s">
        <v>1088</v>
      </c>
      <c r="E41" s="24" t="s">
        <v>1072</v>
      </c>
    </row>
    <row r="42" spans="1:5" ht="72" customHeight="1">
      <c r="A42" s="24" t="s">
        <v>158</v>
      </c>
      <c r="B42" s="24" t="s">
        <v>7</v>
      </c>
      <c r="C42" s="24" t="s">
        <v>1089</v>
      </c>
      <c r="D42" s="24" t="s">
        <v>1090</v>
      </c>
      <c r="E42" s="24" t="s">
        <v>1069</v>
      </c>
    </row>
    <row r="43" spans="1:5" ht="72" customHeight="1">
      <c r="A43" s="24" t="s">
        <v>158</v>
      </c>
      <c r="B43" s="24" t="s">
        <v>8</v>
      </c>
      <c r="C43" s="24" t="s">
        <v>1091</v>
      </c>
      <c r="D43" s="24" t="s">
        <v>1092</v>
      </c>
      <c r="E43" s="24" t="s">
        <v>1072</v>
      </c>
    </row>
    <row r="44" spans="1:5" ht="72" customHeight="1">
      <c r="A44" s="24" t="s">
        <v>159</v>
      </c>
      <c r="B44" s="24" t="s">
        <v>7</v>
      </c>
      <c r="C44" s="24" t="s">
        <v>1093</v>
      </c>
      <c r="D44" s="24" t="s">
        <v>1094</v>
      </c>
      <c r="E44" s="24" t="s">
        <v>1069</v>
      </c>
    </row>
    <row r="45" spans="1:5" ht="72" customHeight="1">
      <c r="A45" s="24" t="s">
        <v>159</v>
      </c>
      <c r="B45" s="24" t="s">
        <v>8</v>
      </c>
      <c r="C45" s="24" t="s">
        <v>1095</v>
      </c>
      <c r="D45" s="24" t="s">
        <v>1096</v>
      </c>
      <c r="E45" s="24" t="s">
        <v>1072</v>
      </c>
    </row>
    <row r="46" spans="1:5" ht="72" customHeight="1">
      <c r="A46" s="24" t="s">
        <v>110</v>
      </c>
      <c r="B46" s="24" t="s">
        <v>7</v>
      </c>
      <c r="C46" s="24" t="s">
        <v>1097</v>
      </c>
      <c r="D46" s="24" t="s">
        <v>1098</v>
      </c>
      <c r="E46" s="24" t="s">
        <v>1069</v>
      </c>
    </row>
    <row r="47" spans="1:5" ht="72" customHeight="1">
      <c r="A47" s="24" t="s">
        <v>110</v>
      </c>
      <c r="B47" s="24" t="s">
        <v>8</v>
      </c>
      <c r="C47" s="24" t="s">
        <v>1099</v>
      </c>
      <c r="D47" s="24" t="s">
        <v>1100</v>
      </c>
      <c r="E47" s="24" t="s">
        <v>1072</v>
      </c>
    </row>
    <row r="48" spans="1:5" ht="72" customHeight="1">
      <c r="A48" s="24" t="s">
        <v>212</v>
      </c>
      <c r="B48" s="24" t="s">
        <v>7</v>
      </c>
      <c r="C48" s="24" t="s">
        <v>1101</v>
      </c>
      <c r="D48" s="24" t="s">
        <v>1102</v>
      </c>
      <c r="E48" s="24" t="s">
        <v>1069</v>
      </c>
    </row>
    <row r="49" spans="1:5" ht="72" customHeight="1">
      <c r="A49" s="24" t="s">
        <v>212</v>
      </c>
      <c r="B49" s="24" t="s">
        <v>8</v>
      </c>
      <c r="C49" s="24" t="s">
        <v>1103</v>
      </c>
      <c r="D49" s="24" t="s">
        <v>1104</v>
      </c>
      <c r="E49" s="24" t="s">
        <v>1072</v>
      </c>
    </row>
    <row r="50" spans="1:5" ht="72" customHeight="1">
      <c r="A50" s="24" t="s">
        <v>213</v>
      </c>
      <c r="B50" s="24" t="s">
        <v>7</v>
      </c>
      <c r="C50" s="24" t="s">
        <v>1105</v>
      </c>
      <c r="D50" s="24" t="s">
        <v>1106</v>
      </c>
      <c r="E50" s="24" t="s">
        <v>1069</v>
      </c>
    </row>
    <row r="51" spans="1:5" ht="72" customHeight="1">
      <c r="A51" s="24" t="s">
        <v>213</v>
      </c>
      <c r="B51" s="24" t="s">
        <v>8</v>
      </c>
      <c r="C51" s="24" t="s">
        <v>1107</v>
      </c>
      <c r="D51" s="24" t="s">
        <v>1108</v>
      </c>
      <c r="E51" s="24" t="s">
        <v>1072</v>
      </c>
    </row>
    <row r="52" spans="1:5" ht="72" customHeight="1">
      <c r="A52" s="24" t="s">
        <v>222</v>
      </c>
      <c r="B52" s="24" t="s">
        <v>7</v>
      </c>
      <c r="C52" s="24" t="s">
        <v>1109</v>
      </c>
      <c r="D52" s="24" t="s">
        <v>1110</v>
      </c>
      <c r="E52" s="24" t="s">
        <v>1069</v>
      </c>
    </row>
    <row r="53" spans="1:5" ht="72" customHeight="1">
      <c r="A53" s="24" t="s">
        <v>222</v>
      </c>
      <c r="B53" s="24" t="s">
        <v>8</v>
      </c>
      <c r="C53" s="24" t="s">
        <v>1111</v>
      </c>
      <c r="D53" s="24" t="s">
        <v>1112</v>
      </c>
      <c r="E53" s="24" t="s">
        <v>1072</v>
      </c>
    </row>
    <row r="54" spans="1:5" ht="72" customHeight="1">
      <c r="A54" s="24" t="s">
        <v>218</v>
      </c>
      <c r="B54" s="24" t="s">
        <v>7</v>
      </c>
      <c r="C54" s="24" t="s">
        <v>1113</v>
      </c>
      <c r="D54" s="24" t="s">
        <v>1114</v>
      </c>
      <c r="E54" s="24" t="s">
        <v>1069</v>
      </c>
    </row>
    <row r="55" spans="1:5" ht="72" customHeight="1">
      <c r="A55" s="24" t="s">
        <v>218</v>
      </c>
      <c r="B55" s="24" t="s">
        <v>8</v>
      </c>
      <c r="C55" s="24" t="s">
        <v>1115</v>
      </c>
      <c r="D55" s="24" t="s">
        <v>1116</v>
      </c>
      <c r="E55" s="24" t="s">
        <v>1072</v>
      </c>
    </row>
    <row r="56" spans="1:5" ht="72" customHeight="1">
      <c r="A56" s="24" t="s">
        <v>194</v>
      </c>
      <c r="B56" s="24" t="s">
        <v>7</v>
      </c>
      <c r="C56" s="24" t="s">
        <v>1117</v>
      </c>
      <c r="D56" s="24" t="s">
        <v>1118</v>
      </c>
      <c r="E56" s="24" t="s">
        <v>1069</v>
      </c>
    </row>
    <row r="57" spans="1:5" ht="72" customHeight="1">
      <c r="A57" s="24" t="s">
        <v>194</v>
      </c>
      <c r="B57" s="24" t="s">
        <v>8</v>
      </c>
      <c r="C57" s="24" t="s">
        <v>1119</v>
      </c>
      <c r="D57" s="24" t="s">
        <v>1120</v>
      </c>
      <c r="E57" s="24" t="s">
        <v>1072</v>
      </c>
    </row>
    <row r="58" spans="1:5" ht="72" customHeight="1">
      <c r="A58" s="24" t="s">
        <v>177</v>
      </c>
      <c r="B58" s="24" t="s">
        <v>7</v>
      </c>
      <c r="C58" s="24" t="s">
        <v>1121</v>
      </c>
      <c r="D58" s="24" t="s">
        <v>1122</v>
      </c>
      <c r="E58" s="24" t="s">
        <v>1069</v>
      </c>
    </row>
    <row r="59" spans="1:5" ht="72" customHeight="1">
      <c r="A59" s="24" t="s">
        <v>177</v>
      </c>
      <c r="B59" s="24" t="s">
        <v>8</v>
      </c>
      <c r="C59" s="24" t="s">
        <v>1123</v>
      </c>
      <c r="D59" s="24" t="s">
        <v>1124</v>
      </c>
      <c r="E59" s="24" t="s">
        <v>1072</v>
      </c>
    </row>
    <row r="60" spans="1:5" ht="72" customHeight="1">
      <c r="A60" s="24" t="s">
        <v>226</v>
      </c>
      <c r="B60" s="24" t="s">
        <v>7</v>
      </c>
      <c r="C60" s="24" t="s">
        <v>1125</v>
      </c>
      <c r="D60" s="24" t="s">
        <v>1126</v>
      </c>
      <c r="E60" s="24" t="s">
        <v>1069</v>
      </c>
    </row>
    <row r="61" spans="1:5" ht="72" customHeight="1">
      <c r="A61" s="24" t="s">
        <v>226</v>
      </c>
      <c r="B61" s="24" t="s">
        <v>8</v>
      </c>
      <c r="C61" s="24" t="s">
        <v>1127</v>
      </c>
      <c r="D61" s="24" t="s">
        <v>1128</v>
      </c>
      <c r="E61" s="24" t="s">
        <v>1072</v>
      </c>
    </row>
    <row r="62" spans="1:5" ht="72" customHeight="1">
      <c r="A62" s="24" t="s">
        <v>173</v>
      </c>
      <c r="B62" s="24" t="s">
        <v>7</v>
      </c>
      <c r="C62" s="24" t="s">
        <v>1129</v>
      </c>
      <c r="D62" s="24" t="s">
        <v>1130</v>
      </c>
      <c r="E62" s="24" t="s">
        <v>1069</v>
      </c>
    </row>
    <row r="63" spans="1:5" ht="72" customHeight="1">
      <c r="A63" s="24" t="s">
        <v>173</v>
      </c>
      <c r="B63" s="24" t="s">
        <v>8</v>
      </c>
      <c r="C63" s="24" t="s">
        <v>1131</v>
      </c>
      <c r="D63" s="24" t="s">
        <v>1132</v>
      </c>
      <c r="E63" s="24" t="s">
        <v>1072</v>
      </c>
    </row>
    <row r="64" spans="1:5" ht="72" customHeight="1">
      <c r="A64" s="24" t="s">
        <v>174</v>
      </c>
      <c r="B64" s="24" t="s">
        <v>7</v>
      </c>
      <c r="C64" s="24" t="s">
        <v>1133</v>
      </c>
      <c r="D64" s="24" t="s">
        <v>1134</v>
      </c>
      <c r="E64" s="24" t="s">
        <v>1069</v>
      </c>
    </row>
    <row r="65" spans="1:5" ht="72" customHeight="1">
      <c r="A65" s="24" t="s">
        <v>174</v>
      </c>
      <c r="B65" s="24" t="s">
        <v>8</v>
      </c>
      <c r="C65" s="24" t="s">
        <v>1135</v>
      </c>
      <c r="D65" s="24" t="s">
        <v>1136</v>
      </c>
      <c r="E65" s="24" t="s">
        <v>1072</v>
      </c>
    </row>
    <row r="66" spans="1:5" ht="72" customHeight="1">
      <c r="A66" s="24" t="s">
        <v>94</v>
      </c>
      <c r="B66" s="24" t="s">
        <v>28</v>
      </c>
      <c r="C66" s="24" t="s">
        <v>840</v>
      </c>
      <c r="D66" s="24" t="s">
        <v>1137</v>
      </c>
      <c r="E66" s="24" t="s">
        <v>1035</v>
      </c>
    </row>
    <row r="67" spans="1:5" ht="72" customHeight="1">
      <c r="A67" s="24" t="s">
        <v>158</v>
      </c>
      <c r="B67" s="24" t="s">
        <v>28</v>
      </c>
      <c r="C67" s="24"/>
      <c r="D67" s="24" t="s">
        <v>939</v>
      </c>
      <c r="E67" s="24" t="s">
        <v>1035</v>
      </c>
    </row>
    <row r="68" spans="1:5" ht="72" customHeight="1">
      <c r="A68" s="24" t="s">
        <v>212</v>
      </c>
      <c r="B68" s="24" t="s">
        <v>28</v>
      </c>
      <c r="C68" s="24" t="s">
        <v>1138</v>
      </c>
      <c r="D68" s="24" t="s">
        <v>1139</v>
      </c>
      <c r="E68" s="24" t="s">
        <v>1035</v>
      </c>
    </row>
    <row r="69" spans="1:5" ht="72" customHeight="1">
      <c r="A69" s="24" t="s">
        <v>194</v>
      </c>
      <c r="B69" s="24" t="s">
        <v>28</v>
      </c>
      <c r="C69" s="24" t="s">
        <v>1140</v>
      </c>
      <c r="D69" s="24" t="s">
        <v>1141</v>
      </c>
      <c r="E69" s="24" t="s">
        <v>1035</v>
      </c>
    </row>
    <row r="70" spans="1:5" ht="72" customHeight="1">
      <c r="A70" s="24" t="s">
        <v>113</v>
      </c>
      <c r="B70" s="24" t="s">
        <v>28</v>
      </c>
      <c r="C70" s="24" t="s">
        <v>1142</v>
      </c>
      <c r="D70" s="24" t="s">
        <v>1143</v>
      </c>
      <c r="E70" s="24" t="s">
        <v>1035</v>
      </c>
    </row>
    <row r="71" spans="1:5" ht="72" customHeight="1">
      <c r="A71" s="24" t="s">
        <v>118</v>
      </c>
      <c r="B71" s="24" t="s">
        <v>28</v>
      </c>
      <c r="C71" s="24"/>
      <c r="D71" s="24" t="s">
        <v>836</v>
      </c>
      <c r="E71" s="24" t="s">
        <v>1035</v>
      </c>
    </row>
    <row r="72" spans="1:5" ht="72" customHeight="1">
      <c r="A72" s="24" t="s">
        <v>113</v>
      </c>
      <c r="B72" s="24" t="s">
        <v>10</v>
      </c>
      <c r="C72" s="24" t="s">
        <v>537</v>
      </c>
      <c r="D72" s="24" t="s">
        <v>615</v>
      </c>
      <c r="E72" s="24" t="s">
        <v>1144</v>
      </c>
    </row>
    <row r="73" spans="1:5" ht="72" customHeight="1">
      <c r="A73" s="24" t="s">
        <v>115</v>
      </c>
      <c r="B73" s="24" t="s">
        <v>10</v>
      </c>
      <c r="C73" s="24" t="s">
        <v>615</v>
      </c>
      <c r="D73" s="24" t="s">
        <v>537</v>
      </c>
      <c r="E73" s="24" t="s">
        <v>1145</v>
      </c>
    </row>
    <row r="74" spans="1:5" ht="72" customHeight="1">
      <c r="A74" s="24" t="s">
        <v>119</v>
      </c>
      <c r="B74" s="24" t="s">
        <v>12</v>
      </c>
      <c r="C74" s="24" t="s">
        <v>1146</v>
      </c>
      <c r="D74" s="24" t="s">
        <v>1147</v>
      </c>
      <c r="E74" s="24" t="s">
        <v>1037</v>
      </c>
    </row>
    <row r="75" spans="1:5" ht="72" customHeight="1">
      <c r="A75" s="24" t="s">
        <v>97</v>
      </c>
      <c r="B75" s="24" t="s">
        <v>12</v>
      </c>
      <c r="C75" s="24" t="s">
        <v>553</v>
      </c>
      <c r="D75" s="24" t="s">
        <v>1148</v>
      </c>
      <c r="E75" s="24" t="s">
        <v>1037</v>
      </c>
    </row>
    <row r="76" spans="1:5" ht="72" customHeight="1">
      <c r="A76" s="24" t="s">
        <v>97</v>
      </c>
      <c r="B76" s="24" t="s">
        <v>13</v>
      </c>
      <c r="C76" s="24" t="s">
        <v>554</v>
      </c>
      <c r="D76" s="24" t="s">
        <v>539</v>
      </c>
      <c r="E76" s="24" t="s">
        <v>1149</v>
      </c>
    </row>
    <row r="77" spans="1:5" ht="72" customHeight="1">
      <c r="A77" s="24" t="s">
        <v>99</v>
      </c>
      <c r="B77" s="24" t="s">
        <v>12</v>
      </c>
      <c r="C77" s="24" t="s">
        <v>561</v>
      </c>
      <c r="D77" s="24" t="s">
        <v>1150</v>
      </c>
      <c r="E77" s="24" t="s">
        <v>1149</v>
      </c>
    </row>
    <row r="78" spans="1:5" ht="72" customHeight="1">
      <c r="A78" s="24" t="s">
        <v>101</v>
      </c>
      <c r="B78" s="24" t="s">
        <v>12</v>
      </c>
      <c r="C78" s="24" t="s">
        <v>565</v>
      </c>
      <c r="D78" s="24" t="s">
        <v>1151</v>
      </c>
      <c r="E78" s="24" t="s">
        <v>1149</v>
      </c>
    </row>
    <row r="79" spans="1:5" ht="72" customHeight="1">
      <c r="A79" s="24" t="s">
        <v>196</v>
      </c>
      <c r="B79" s="24" t="s">
        <v>12</v>
      </c>
      <c r="C79" s="24" t="s">
        <v>1152</v>
      </c>
      <c r="D79" s="24" t="s">
        <v>1153</v>
      </c>
      <c r="E79" s="24" t="s">
        <v>1149</v>
      </c>
    </row>
    <row r="80" spans="1:5" ht="72" customHeight="1">
      <c r="A80" s="24" t="s">
        <v>219</v>
      </c>
      <c r="B80" s="24" t="s">
        <v>12</v>
      </c>
      <c r="C80" s="24" t="s">
        <v>1154</v>
      </c>
      <c r="D80" s="24" t="s">
        <v>1155</v>
      </c>
      <c r="E80" s="24" t="s">
        <v>1149</v>
      </c>
    </row>
    <row r="81" spans="1:5" ht="72" customHeight="1">
      <c r="A81" s="24" t="s">
        <v>120</v>
      </c>
      <c r="B81" s="24" t="s">
        <v>1156</v>
      </c>
      <c r="C81" s="24"/>
      <c r="D81" s="24" t="s">
        <v>1157</v>
      </c>
      <c r="E81" s="24" t="s">
        <v>1158</v>
      </c>
    </row>
    <row r="82" spans="1:5" ht="72" customHeight="1">
      <c r="A82" s="24" t="s">
        <v>195</v>
      </c>
      <c r="B82" s="24" t="s">
        <v>1156</v>
      </c>
      <c r="C82" s="24"/>
      <c r="D82" s="24" t="s">
        <v>1159</v>
      </c>
      <c r="E82" s="24" t="s">
        <v>1158</v>
      </c>
    </row>
    <row r="83" spans="1:5" ht="72" customHeight="1">
      <c r="A83" s="24" t="s">
        <v>235</v>
      </c>
      <c r="B83" s="24" t="s">
        <v>1156</v>
      </c>
      <c r="C83" s="24"/>
      <c r="D83" s="24" t="s">
        <v>1160</v>
      </c>
      <c r="E83" s="24" t="s">
        <v>1158</v>
      </c>
    </row>
    <row r="84" spans="1:5" ht="72" customHeight="1">
      <c r="A84" s="24" t="s">
        <v>237</v>
      </c>
      <c r="B84" s="24" t="s">
        <v>12</v>
      </c>
      <c r="C84" s="24" t="s">
        <v>1161</v>
      </c>
      <c r="D84" s="24" t="s">
        <v>1162</v>
      </c>
      <c r="E84" s="24" t="s">
        <v>1037</v>
      </c>
    </row>
    <row r="85" spans="1:5" ht="72" customHeight="1">
      <c r="A85" s="24" t="s">
        <v>116</v>
      </c>
      <c r="B85" s="24" t="s">
        <v>12</v>
      </c>
      <c r="C85" s="24" t="s">
        <v>613</v>
      </c>
      <c r="D85" s="24" t="s">
        <v>1163</v>
      </c>
      <c r="E85" s="24" t="s">
        <v>1037</v>
      </c>
    </row>
    <row r="86" spans="1:5" ht="72" customHeight="1">
      <c r="A86" s="24" t="s">
        <v>62</v>
      </c>
      <c r="B86" s="24" t="s">
        <v>14</v>
      </c>
      <c r="C86" s="24" t="s">
        <v>1164</v>
      </c>
      <c r="D86" s="24" t="s">
        <v>1165</v>
      </c>
      <c r="E86" s="24" t="s">
        <v>1166</v>
      </c>
    </row>
    <row r="87" spans="1:5" ht="72" customHeight="1">
      <c r="A87" s="24" t="s">
        <v>63</v>
      </c>
      <c r="B87" s="24" t="s">
        <v>14</v>
      </c>
      <c r="C87" s="24" t="s">
        <v>1164</v>
      </c>
      <c r="D87" s="24" t="s">
        <v>1165</v>
      </c>
      <c r="E87" s="24" t="s">
        <v>1166</v>
      </c>
    </row>
    <row r="88" spans="1:5" ht="72" customHeight="1">
      <c r="A88" s="24" t="s">
        <v>64</v>
      </c>
      <c r="B88" s="24" t="s">
        <v>14</v>
      </c>
      <c r="C88" s="24" t="s">
        <v>1164</v>
      </c>
      <c r="D88" s="24" t="s">
        <v>1165</v>
      </c>
      <c r="E88" s="24" t="s">
        <v>1166</v>
      </c>
    </row>
    <row r="89" spans="1:5" ht="72" customHeight="1">
      <c r="A89" s="24" t="s">
        <v>65</v>
      </c>
      <c r="B89" s="24" t="s">
        <v>14</v>
      </c>
      <c r="C89" s="24" t="s">
        <v>1164</v>
      </c>
      <c r="D89" s="24" t="s">
        <v>1165</v>
      </c>
      <c r="E89" s="24" t="s">
        <v>1166</v>
      </c>
    </row>
    <row r="90" spans="1:5" ht="72" customHeight="1">
      <c r="A90" s="24" t="s">
        <v>66</v>
      </c>
      <c r="B90" s="24" t="s">
        <v>14</v>
      </c>
      <c r="C90" s="24" t="s">
        <v>1164</v>
      </c>
      <c r="D90" s="24" t="s">
        <v>1165</v>
      </c>
      <c r="E90" s="24" t="s">
        <v>1166</v>
      </c>
    </row>
    <row r="91" spans="1:5" ht="72" customHeight="1">
      <c r="A91" s="24" t="s">
        <v>67</v>
      </c>
      <c r="B91" s="24" t="s">
        <v>14</v>
      </c>
      <c r="C91" s="24" t="s">
        <v>1164</v>
      </c>
      <c r="D91" s="24" t="s">
        <v>1165</v>
      </c>
      <c r="E91" s="24" t="s">
        <v>1166</v>
      </c>
    </row>
    <row r="92" spans="1:5" ht="72" customHeight="1">
      <c r="A92" s="24" t="s">
        <v>68</v>
      </c>
      <c r="B92" s="24" t="s">
        <v>14</v>
      </c>
      <c r="C92" s="24" t="s">
        <v>1164</v>
      </c>
      <c r="D92" s="24" t="s">
        <v>1165</v>
      </c>
      <c r="E92" s="24" t="s">
        <v>1166</v>
      </c>
    </row>
    <row r="93" spans="1:5" ht="72" customHeight="1">
      <c r="A93" s="24" t="s">
        <v>69</v>
      </c>
      <c r="B93" s="24" t="s">
        <v>14</v>
      </c>
      <c r="C93" s="24" t="s">
        <v>1164</v>
      </c>
      <c r="D93" s="24" t="s">
        <v>1165</v>
      </c>
      <c r="E93" s="24" t="s">
        <v>1166</v>
      </c>
    </row>
    <row r="94" spans="1:5" ht="72" customHeight="1">
      <c r="A94" s="24" t="s">
        <v>70</v>
      </c>
      <c r="B94" s="24" t="s">
        <v>14</v>
      </c>
      <c r="C94" s="24" t="s">
        <v>1164</v>
      </c>
      <c r="D94" s="24" t="s">
        <v>1165</v>
      </c>
      <c r="E94" s="24" t="s">
        <v>1166</v>
      </c>
    </row>
    <row r="95" spans="1:5" ht="72" customHeight="1">
      <c r="A95" s="24" t="s">
        <v>71</v>
      </c>
      <c r="B95" s="24" t="s">
        <v>14</v>
      </c>
      <c r="C95" s="24" t="s">
        <v>1164</v>
      </c>
      <c r="D95" s="24" t="s">
        <v>1165</v>
      </c>
      <c r="E95" s="24" t="s">
        <v>1166</v>
      </c>
    </row>
    <row r="96" spans="1:5" ht="72" customHeight="1">
      <c r="A96" s="24" t="s">
        <v>72</v>
      </c>
      <c r="B96" s="24" t="s">
        <v>14</v>
      </c>
      <c r="C96" s="24" t="s">
        <v>1164</v>
      </c>
      <c r="D96" s="24" t="s">
        <v>1165</v>
      </c>
      <c r="E96" s="24" t="s">
        <v>1166</v>
      </c>
    </row>
    <row r="97" spans="1:5" ht="72" customHeight="1">
      <c r="A97" s="24" t="s">
        <v>73</v>
      </c>
      <c r="B97" s="24" t="s">
        <v>14</v>
      </c>
      <c r="C97" s="24" t="s">
        <v>1164</v>
      </c>
      <c r="D97" s="24" t="s">
        <v>1165</v>
      </c>
      <c r="E97" s="24" t="s">
        <v>1166</v>
      </c>
    </row>
    <row r="98" spans="1:5" ht="72" customHeight="1">
      <c r="A98" s="24" t="s">
        <v>74</v>
      </c>
      <c r="B98" s="24" t="s">
        <v>14</v>
      </c>
      <c r="C98" s="24" t="s">
        <v>1164</v>
      </c>
      <c r="D98" s="24" t="s">
        <v>1165</v>
      </c>
      <c r="E98" s="24" t="s">
        <v>1166</v>
      </c>
    </row>
    <row r="99" spans="1:5" ht="72" customHeight="1">
      <c r="A99" s="24" t="s">
        <v>75</v>
      </c>
      <c r="B99" s="24" t="s">
        <v>14</v>
      </c>
      <c r="C99" s="24" t="s">
        <v>1164</v>
      </c>
      <c r="D99" s="24" t="s">
        <v>1165</v>
      </c>
      <c r="E99" s="24" t="s">
        <v>1166</v>
      </c>
    </row>
    <row r="100" spans="1:5" ht="72" customHeight="1">
      <c r="A100" s="24" t="s">
        <v>76</v>
      </c>
      <c r="B100" s="24" t="s">
        <v>14</v>
      </c>
      <c r="C100" s="24" t="s">
        <v>1164</v>
      </c>
      <c r="D100" s="24" t="s">
        <v>1165</v>
      </c>
      <c r="E100" s="24" t="s">
        <v>1166</v>
      </c>
    </row>
    <row r="101" spans="1:5" ht="72" customHeight="1">
      <c r="A101" s="24" t="s">
        <v>77</v>
      </c>
      <c r="B101" s="24" t="s">
        <v>14</v>
      </c>
      <c r="C101" s="24" t="s">
        <v>1164</v>
      </c>
      <c r="D101" s="24" t="s">
        <v>1165</v>
      </c>
      <c r="E101" s="24" t="s">
        <v>1166</v>
      </c>
    </row>
    <row r="102" spans="1:5" ht="72" customHeight="1">
      <c r="A102" s="24" t="s">
        <v>78</v>
      </c>
      <c r="B102" s="24" t="s">
        <v>14</v>
      </c>
      <c r="C102" s="24" t="s">
        <v>1164</v>
      </c>
      <c r="D102" s="24" t="s">
        <v>1165</v>
      </c>
      <c r="E102" s="24" t="s">
        <v>1166</v>
      </c>
    </row>
    <row r="103" spans="1:5" ht="72" customHeight="1">
      <c r="A103" s="24" t="s">
        <v>79</v>
      </c>
      <c r="B103" s="24" t="s">
        <v>14</v>
      </c>
      <c r="C103" s="24" t="s">
        <v>1164</v>
      </c>
      <c r="D103" s="24" t="s">
        <v>1165</v>
      </c>
      <c r="E103" s="24" t="s">
        <v>1166</v>
      </c>
    </row>
    <row r="104" spans="1:5" ht="72" customHeight="1">
      <c r="A104" s="24" t="s">
        <v>80</v>
      </c>
      <c r="B104" s="24" t="s">
        <v>14</v>
      </c>
      <c r="C104" s="24" t="s">
        <v>1164</v>
      </c>
      <c r="D104" s="24" t="s">
        <v>1165</v>
      </c>
      <c r="E104" s="24" t="s">
        <v>1166</v>
      </c>
    </row>
    <row r="105" spans="1:5" ht="72" customHeight="1">
      <c r="A105" s="24" t="s">
        <v>81</v>
      </c>
      <c r="B105" s="24" t="s">
        <v>14</v>
      </c>
      <c r="C105" s="24" t="s">
        <v>1164</v>
      </c>
      <c r="D105" s="24" t="s">
        <v>1165</v>
      </c>
      <c r="E105" s="24" t="s">
        <v>1166</v>
      </c>
    </row>
    <row r="106" spans="1:5" ht="72" customHeight="1">
      <c r="A106" s="24" t="s">
        <v>88</v>
      </c>
      <c r="B106" s="24" t="s">
        <v>14</v>
      </c>
      <c r="C106" s="24" t="s">
        <v>1164</v>
      </c>
      <c r="D106" s="24" t="s">
        <v>1165</v>
      </c>
      <c r="E106" s="24" t="s">
        <v>1166</v>
      </c>
    </row>
    <row r="107" spans="1:5" ht="72" customHeight="1">
      <c r="A107" s="24" t="s">
        <v>89</v>
      </c>
      <c r="B107" s="24" t="s">
        <v>14</v>
      </c>
      <c r="C107" s="24" t="s">
        <v>1164</v>
      </c>
      <c r="D107" s="24" t="s">
        <v>1165</v>
      </c>
      <c r="E107" s="24" t="s">
        <v>1166</v>
      </c>
    </row>
    <row r="108" spans="1:5" ht="72" customHeight="1">
      <c r="A108" s="24" t="s">
        <v>90</v>
      </c>
      <c r="B108" s="24" t="s">
        <v>14</v>
      </c>
      <c r="C108" s="24" t="s">
        <v>1164</v>
      </c>
      <c r="D108" s="24" t="s">
        <v>1165</v>
      </c>
      <c r="E108" s="24" t="s">
        <v>1166</v>
      </c>
    </row>
    <row r="109" spans="1:5" ht="72" customHeight="1">
      <c r="A109" s="24" t="s">
        <v>91</v>
      </c>
      <c r="B109" s="24" t="s">
        <v>14</v>
      </c>
      <c r="C109" s="24" t="s">
        <v>1164</v>
      </c>
      <c r="D109" s="24" t="s">
        <v>1165</v>
      </c>
      <c r="E109" s="24" t="s">
        <v>1166</v>
      </c>
    </row>
    <row r="110" spans="1:5" ht="72" customHeight="1">
      <c r="A110" s="24" t="s">
        <v>92</v>
      </c>
      <c r="B110" s="24" t="s">
        <v>14</v>
      </c>
      <c r="C110" s="24" t="s">
        <v>1164</v>
      </c>
      <c r="D110" s="24" t="s">
        <v>1165</v>
      </c>
      <c r="E110" s="24" t="s">
        <v>1166</v>
      </c>
    </row>
    <row r="111" spans="1:5" ht="72" customHeight="1">
      <c r="A111" s="24" t="s">
        <v>93</v>
      </c>
      <c r="B111" s="24" t="s">
        <v>14</v>
      </c>
      <c r="C111" s="24" t="s">
        <v>1164</v>
      </c>
      <c r="D111" s="24" t="s">
        <v>1165</v>
      </c>
      <c r="E111" s="24" t="s">
        <v>1166</v>
      </c>
    </row>
    <row r="112" spans="1:5" ht="72" customHeight="1">
      <c r="A112" s="24" t="s">
        <v>94</v>
      </c>
      <c r="B112" s="24" t="s">
        <v>14</v>
      </c>
      <c r="C112" s="24" t="s">
        <v>1164</v>
      </c>
      <c r="D112" s="24" t="s">
        <v>1165</v>
      </c>
      <c r="E112" s="24" t="s">
        <v>1166</v>
      </c>
    </row>
    <row r="113" spans="1:5" ht="72" customHeight="1">
      <c r="A113" s="24" t="s">
        <v>95</v>
      </c>
      <c r="B113" s="24" t="s">
        <v>14</v>
      </c>
      <c r="C113" s="24" t="s">
        <v>1164</v>
      </c>
      <c r="D113" s="24" t="s">
        <v>1165</v>
      </c>
      <c r="E113" s="24" t="s">
        <v>1166</v>
      </c>
    </row>
    <row r="114" spans="1:5" ht="72" customHeight="1">
      <c r="A114" s="24" t="s">
        <v>96</v>
      </c>
      <c r="B114" s="24" t="s">
        <v>14</v>
      </c>
      <c r="C114" s="24" t="s">
        <v>1164</v>
      </c>
      <c r="D114" s="24" t="s">
        <v>1165</v>
      </c>
      <c r="E114" s="24" t="s">
        <v>1166</v>
      </c>
    </row>
    <row r="115" spans="1:5" ht="72" customHeight="1">
      <c r="A115" s="24" t="s">
        <v>97</v>
      </c>
      <c r="B115" s="24" t="s">
        <v>14</v>
      </c>
      <c r="C115" s="24" t="s">
        <v>1164</v>
      </c>
      <c r="D115" s="24" t="s">
        <v>1165</v>
      </c>
      <c r="E115" s="24" t="s">
        <v>1166</v>
      </c>
    </row>
    <row r="116" spans="1:5" ht="72" customHeight="1">
      <c r="A116" s="24" t="s">
        <v>98</v>
      </c>
      <c r="B116" s="24" t="s">
        <v>14</v>
      </c>
      <c r="C116" s="24" t="s">
        <v>1164</v>
      </c>
      <c r="D116" s="24" t="s">
        <v>1165</v>
      </c>
      <c r="E116" s="24" t="s">
        <v>1166</v>
      </c>
    </row>
    <row r="117" spans="1:5" ht="72" customHeight="1">
      <c r="A117" s="24" t="s">
        <v>98</v>
      </c>
      <c r="B117" s="24" t="s">
        <v>19</v>
      </c>
      <c r="C117" s="24" t="s">
        <v>1167</v>
      </c>
      <c r="D117" s="24" t="s">
        <v>1168</v>
      </c>
      <c r="E117" s="24" t="s">
        <v>1169</v>
      </c>
    </row>
    <row r="118" spans="1:5" ht="72" customHeight="1">
      <c r="A118" s="24" t="s">
        <v>98</v>
      </c>
      <c r="B118" s="24" t="s">
        <v>23</v>
      </c>
      <c r="C118" s="24" t="s">
        <v>529</v>
      </c>
      <c r="D118" s="24" t="s">
        <v>1170</v>
      </c>
      <c r="E118" s="24" t="s">
        <v>1171</v>
      </c>
    </row>
    <row r="119" spans="1:5" ht="72" customHeight="1">
      <c r="A119" s="24" t="s">
        <v>99</v>
      </c>
      <c r="B119" s="24" t="s">
        <v>14</v>
      </c>
      <c r="C119" s="24" t="s">
        <v>1164</v>
      </c>
      <c r="D119" s="24" t="s">
        <v>1165</v>
      </c>
      <c r="E119" s="24" t="s">
        <v>1166</v>
      </c>
    </row>
    <row r="120" spans="1:5" ht="72" customHeight="1">
      <c r="A120" s="24" t="s">
        <v>100</v>
      </c>
      <c r="B120" s="24" t="s">
        <v>14</v>
      </c>
      <c r="C120" s="24" t="s">
        <v>1164</v>
      </c>
      <c r="D120" s="24" t="s">
        <v>1165</v>
      </c>
      <c r="E120" s="24" t="s">
        <v>1166</v>
      </c>
    </row>
    <row r="121" spans="1:5" ht="72" customHeight="1">
      <c r="A121" s="24" t="s">
        <v>100</v>
      </c>
      <c r="B121" s="24" t="s">
        <v>19</v>
      </c>
      <c r="C121" s="24" t="s">
        <v>1172</v>
      </c>
      <c r="D121" s="24" t="s">
        <v>1173</v>
      </c>
      <c r="E121" s="24" t="s">
        <v>1169</v>
      </c>
    </row>
    <row r="122" spans="1:5" ht="72" customHeight="1">
      <c r="A122" s="24" t="s">
        <v>100</v>
      </c>
      <c r="B122" s="24" t="s">
        <v>23</v>
      </c>
      <c r="C122" s="24" t="s">
        <v>529</v>
      </c>
      <c r="D122" s="24" t="s">
        <v>1170</v>
      </c>
      <c r="E122" s="24" t="s">
        <v>1171</v>
      </c>
    </row>
    <row r="123" spans="1:5" ht="72" customHeight="1">
      <c r="A123" s="24" t="s">
        <v>101</v>
      </c>
      <c r="B123" s="24" t="s">
        <v>14</v>
      </c>
      <c r="C123" s="24" t="s">
        <v>1164</v>
      </c>
      <c r="D123" s="24" t="s">
        <v>1165</v>
      </c>
      <c r="E123" s="24" t="s">
        <v>1166</v>
      </c>
    </row>
    <row r="124" spans="1:5" ht="72" customHeight="1">
      <c r="A124" s="24" t="s">
        <v>167</v>
      </c>
      <c r="B124" s="24" t="s">
        <v>14</v>
      </c>
      <c r="C124" s="24" t="s">
        <v>1164</v>
      </c>
      <c r="D124" s="24" t="s">
        <v>1174</v>
      </c>
      <c r="E124" s="24" t="s">
        <v>1166</v>
      </c>
    </row>
    <row r="125" spans="1:5" ht="72" customHeight="1">
      <c r="A125" s="24" t="s">
        <v>167</v>
      </c>
      <c r="B125" s="24" t="s">
        <v>18</v>
      </c>
      <c r="C125" s="24" t="s">
        <v>1175</v>
      </c>
      <c r="D125" s="24" t="s">
        <v>1176</v>
      </c>
      <c r="E125" s="24" t="s">
        <v>1177</v>
      </c>
    </row>
    <row r="126" spans="1:5" ht="72" customHeight="1">
      <c r="A126" s="24" t="s">
        <v>167</v>
      </c>
      <c r="B126" s="24" t="s">
        <v>22</v>
      </c>
      <c r="C126" s="24" t="s">
        <v>1178</v>
      </c>
      <c r="D126" s="24" t="s">
        <v>1179</v>
      </c>
      <c r="E126" s="24" t="s">
        <v>1177</v>
      </c>
    </row>
    <row r="127" spans="1:5" ht="72" customHeight="1">
      <c r="A127" s="24" t="s">
        <v>167</v>
      </c>
      <c r="B127" s="24" t="s">
        <v>19</v>
      </c>
      <c r="C127" s="24" t="s">
        <v>1172</v>
      </c>
      <c r="D127" s="24" t="s">
        <v>1180</v>
      </c>
      <c r="E127" s="24" t="s">
        <v>1169</v>
      </c>
    </row>
    <row r="128" spans="1:5" ht="72" customHeight="1">
      <c r="A128" s="24" t="s">
        <v>167</v>
      </c>
      <c r="B128" s="24" t="s">
        <v>23</v>
      </c>
      <c r="C128" s="24" t="s">
        <v>529</v>
      </c>
      <c r="D128" s="24" t="s">
        <v>1170</v>
      </c>
      <c r="E128" s="24" t="s">
        <v>1171</v>
      </c>
    </row>
    <row r="129" spans="1:5" ht="72" customHeight="1">
      <c r="A129" s="24" t="s">
        <v>102</v>
      </c>
      <c r="B129" s="24" t="s">
        <v>14</v>
      </c>
      <c r="C129" s="24" t="s">
        <v>1164</v>
      </c>
      <c r="D129" s="24" t="s">
        <v>1165</v>
      </c>
      <c r="E129" s="24" t="s">
        <v>1166</v>
      </c>
    </row>
    <row r="130" spans="1:5" ht="72" customHeight="1">
      <c r="A130" s="24" t="s">
        <v>103</v>
      </c>
      <c r="B130" s="24" t="s">
        <v>14</v>
      </c>
      <c r="C130" s="24" t="s">
        <v>1164</v>
      </c>
      <c r="D130" s="24" t="s">
        <v>1165</v>
      </c>
      <c r="E130" s="24" t="s">
        <v>1166</v>
      </c>
    </row>
    <row r="131" spans="1:5" ht="72" customHeight="1">
      <c r="A131" s="24" t="s">
        <v>104</v>
      </c>
      <c r="B131" s="24" t="s">
        <v>14</v>
      </c>
      <c r="C131" s="24" t="s">
        <v>1164</v>
      </c>
      <c r="D131" s="24" t="s">
        <v>1165</v>
      </c>
      <c r="E131" s="24" t="s">
        <v>1166</v>
      </c>
    </row>
    <row r="132" spans="1:5" ht="72" customHeight="1">
      <c r="A132" s="24" t="s">
        <v>105</v>
      </c>
      <c r="B132" s="24" t="s">
        <v>14</v>
      </c>
      <c r="C132" s="24" t="s">
        <v>1164</v>
      </c>
      <c r="D132" s="24" t="s">
        <v>1165</v>
      </c>
      <c r="E132" s="24" t="s">
        <v>1166</v>
      </c>
    </row>
    <row r="133" spans="1:5" ht="72" customHeight="1">
      <c r="A133" s="24" t="s">
        <v>106</v>
      </c>
      <c r="B133" s="24" t="s">
        <v>14</v>
      </c>
      <c r="C133" s="24" t="s">
        <v>1164</v>
      </c>
      <c r="D133" s="24" t="s">
        <v>1165</v>
      </c>
      <c r="E133" s="24" t="s">
        <v>1166</v>
      </c>
    </row>
    <row r="134" spans="1:5" ht="72" customHeight="1">
      <c r="A134" s="24" t="s">
        <v>107</v>
      </c>
      <c r="B134" s="24" t="s">
        <v>14</v>
      </c>
      <c r="C134" s="24" t="s">
        <v>1164</v>
      </c>
      <c r="D134" s="24" t="s">
        <v>1165</v>
      </c>
      <c r="E134" s="24" t="s">
        <v>1166</v>
      </c>
    </row>
    <row r="135" spans="1:5" ht="72" customHeight="1">
      <c r="A135" s="24" t="s">
        <v>108</v>
      </c>
      <c r="B135" s="24" t="s">
        <v>14</v>
      </c>
      <c r="C135" s="24" t="s">
        <v>1164</v>
      </c>
      <c r="D135" s="24" t="s">
        <v>1165</v>
      </c>
      <c r="E135" s="24" t="s">
        <v>1166</v>
      </c>
    </row>
    <row r="136" spans="1:5" ht="72" customHeight="1">
      <c r="A136" s="24" t="s">
        <v>109</v>
      </c>
      <c r="B136" s="24" t="s">
        <v>14</v>
      </c>
      <c r="C136" s="24" t="s">
        <v>1164</v>
      </c>
      <c r="D136" s="24" t="s">
        <v>1165</v>
      </c>
      <c r="E136" s="24" t="s">
        <v>1166</v>
      </c>
    </row>
    <row r="137" spans="1:5" ht="72" customHeight="1">
      <c r="A137" s="24" t="s">
        <v>110</v>
      </c>
      <c r="B137" s="24" t="s">
        <v>14</v>
      </c>
      <c r="C137" s="24" t="s">
        <v>1164</v>
      </c>
      <c r="D137" s="24" t="s">
        <v>1165</v>
      </c>
      <c r="E137" s="24" t="s">
        <v>1166</v>
      </c>
    </row>
    <row r="138" spans="1:5" ht="72" customHeight="1">
      <c r="A138" s="24" t="s">
        <v>111</v>
      </c>
      <c r="B138" s="24" t="s">
        <v>14</v>
      </c>
      <c r="C138" s="24" t="s">
        <v>1164</v>
      </c>
      <c r="D138" s="24" t="s">
        <v>1165</v>
      </c>
      <c r="E138" s="24" t="s">
        <v>1166</v>
      </c>
    </row>
    <row r="139" spans="1:5" ht="72" customHeight="1">
      <c r="A139" s="24" t="s">
        <v>112</v>
      </c>
      <c r="B139" s="24" t="s">
        <v>14</v>
      </c>
      <c r="C139" s="24" t="s">
        <v>1164</v>
      </c>
      <c r="D139" s="24" t="s">
        <v>1165</v>
      </c>
      <c r="E139" s="24" t="s">
        <v>1166</v>
      </c>
    </row>
    <row r="140" spans="1:5" ht="72" customHeight="1">
      <c r="A140" s="24" t="s">
        <v>113</v>
      </c>
      <c r="B140" s="24" t="s">
        <v>14</v>
      </c>
      <c r="C140" s="24" t="s">
        <v>1164</v>
      </c>
      <c r="D140" s="24" t="s">
        <v>1165</v>
      </c>
      <c r="E140" s="24" t="s">
        <v>1166</v>
      </c>
    </row>
    <row r="141" spans="1:5" ht="72" customHeight="1">
      <c r="A141" s="24" t="s">
        <v>113</v>
      </c>
      <c r="B141" s="24" t="s">
        <v>19</v>
      </c>
      <c r="C141" s="24" t="s">
        <v>1181</v>
      </c>
      <c r="D141" s="24" t="s">
        <v>1182</v>
      </c>
      <c r="E141" s="24" t="s">
        <v>1169</v>
      </c>
    </row>
    <row r="142" spans="1:5" ht="72" customHeight="1">
      <c r="A142" s="24" t="s">
        <v>113</v>
      </c>
      <c r="B142" s="24" t="s">
        <v>23</v>
      </c>
      <c r="C142" s="24" t="s">
        <v>604</v>
      </c>
      <c r="D142" s="24" t="s">
        <v>1170</v>
      </c>
      <c r="E142" s="24" t="s">
        <v>1171</v>
      </c>
    </row>
    <row r="143" spans="1:5" ht="72" customHeight="1">
      <c r="A143" s="24" t="s">
        <v>114</v>
      </c>
      <c r="B143" s="24" t="s">
        <v>14</v>
      </c>
      <c r="C143" s="24" t="s">
        <v>1164</v>
      </c>
      <c r="D143" s="24" t="s">
        <v>1165</v>
      </c>
      <c r="E143" s="24" t="s">
        <v>1166</v>
      </c>
    </row>
    <row r="144" spans="1:5" ht="72" customHeight="1">
      <c r="A144" s="24" t="s">
        <v>115</v>
      </c>
      <c r="B144" s="24" t="s">
        <v>14</v>
      </c>
      <c r="C144" s="24" t="s">
        <v>1164</v>
      </c>
      <c r="D144" s="24" t="s">
        <v>1165</v>
      </c>
      <c r="E144" s="24" t="s">
        <v>1166</v>
      </c>
    </row>
    <row r="145" spans="1:5" ht="72" customHeight="1">
      <c r="A145" s="24" t="s">
        <v>115</v>
      </c>
      <c r="B145" s="24" t="s">
        <v>19</v>
      </c>
      <c r="C145" s="24" t="s">
        <v>1183</v>
      </c>
      <c r="D145" s="24" t="s">
        <v>1184</v>
      </c>
      <c r="E145" s="24" t="s">
        <v>1169</v>
      </c>
    </row>
    <row r="146" spans="1:5" ht="72" customHeight="1">
      <c r="A146" s="24" t="s">
        <v>115</v>
      </c>
      <c r="B146" s="24" t="s">
        <v>23</v>
      </c>
      <c r="C146" s="24" t="s">
        <v>600</v>
      </c>
      <c r="D146" s="24" t="s">
        <v>1170</v>
      </c>
      <c r="E146" s="24" t="s">
        <v>1171</v>
      </c>
    </row>
    <row r="147" spans="1:5" ht="72" customHeight="1">
      <c r="A147" s="24" t="s">
        <v>234</v>
      </c>
      <c r="B147" s="24" t="s">
        <v>14</v>
      </c>
      <c r="C147" s="24" t="s">
        <v>1164</v>
      </c>
      <c r="D147" s="24" t="s">
        <v>1174</v>
      </c>
      <c r="E147" s="24" t="s">
        <v>1166</v>
      </c>
    </row>
    <row r="148" spans="1:5" ht="72" customHeight="1">
      <c r="A148" s="24" t="s">
        <v>234</v>
      </c>
      <c r="B148" s="24" t="s">
        <v>18</v>
      </c>
      <c r="C148" s="24" t="s">
        <v>1175</v>
      </c>
      <c r="D148" s="24" t="s">
        <v>1185</v>
      </c>
      <c r="E148" s="24" t="s">
        <v>1177</v>
      </c>
    </row>
    <row r="149" spans="1:5" ht="72" customHeight="1">
      <c r="A149" s="24" t="s">
        <v>234</v>
      </c>
      <c r="B149" s="24" t="s">
        <v>22</v>
      </c>
      <c r="C149" s="24" t="s">
        <v>1178</v>
      </c>
      <c r="D149" s="24" t="s">
        <v>1186</v>
      </c>
      <c r="E149" s="24" t="s">
        <v>1177</v>
      </c>
    </row>
    <row r="150" spans="1:5" ht="72" customHeight="1">
      <c r="A150" s="24" t="s">
        <v>234</v>
      </c>
      <c r="B150" s="24" t="s">
        <v>19</v>
      </c>
      <c r="C150" s="24" t="s">
        <v>1187</v>
      </c>
      <c r="D150" s="24" t="s">
        <v>1188</v>
      </c>
      <c r="E150" s="24" t="s">
        <v>1169</v>
      </c>
    </row>
    <row r="151" spans="1:5" ht="72" customHeight="1">
      <c r="A151" s="24" t="s">
        <v>234</v>
      </c>
      <c r="B151" s="24" t="s">
        <v>23</v>
      </c>
      <c r="C151" s="24" t="s">
        <v>600</v>
      </c>
      <c r="D151" s="24" t="s">
        <v>1170</v>
      </c>
      <c r="E151" s="24" t="s">
        <v>1171</v>
      </c>
    </row>
    <row r="152" spans="1:5" ht="72" customHeight="1">
      <c r="A152" s="24" t="s">
        <v>116</v>
      </c>
      <c r="B152" s="24" t="s">
        <v>14</v>
      </c>
      <c r="C152" s="24" t="s">
        <v>1164</v>
      </c>
      <c r="D152" s="24" t="s">
        <v>1165</v>
      </c>
      <c r="E152" s="24" t="s">
        <v>1166</v>
      </c>
    </row>
    <row r="153" spans="1:5" ht="72" customHeight="1">
      <c r="A153" s="24" t="s">
        <v>117</v>
      </c>
      <c r="B153" s="24" t="s">
        <v>14</v>
      </c>
      <c r="C153" s="24" t="s">
        <v>1164</v>
      </c>
      <c r="D153" s="24" t="s">
        <v>1165</v>
      </c>
      <c r="E153" s="24" t="s">
        <v>1166</v>
      </c>
    </row>
    <row r="154" spans="1:5" ht="72" customHeight="1">
      <c r="A154" s="24" t="s">
        <v>118</v>
      </c>
      <c r="B154" s="24" t="s">
        <v>14</v>
      </c>
      <c r="C154" s="24" t="s">
        <v>1164</v>
      </c>
      <c r="D154" s="24" t="s">
        <v>1165</v>
      </c>
      <c r="E154" s="24" t="s">
        <v>1166</v>
      </c>
    </row>
    <row r="155" spans="1:5" ht="72" customHeight="1">
      <c r="A155" s="24" t="s">
        <v>124</v>
      </c>
      <c r="B155" s="24" t="s">
        <v>14</v>
      </c>
      <c r="C155" s="24" t="s">
        <v>1164</v>
      </c>
      <c r="D155" s="24" t="s">
        <v>1165</v>
      </c>
      <c r="E155" s="24" t="s">
        <v>1166</v>
      </c>
    </row>
    <row r="156" spans="1:5" ht="72" customHeight="1">
      <c r="A156" s="24" t="s">
        <v>121</v>
      </c>
      <c r="B156" s="24" t="s">
        <v>14</v>
      </c>
      <c r="C156" s="24" t="s">
        <v>1164</v>
      </c>
      <c r="D156" s="24" t="s">
        <v>1165</v>
      </c>
      <c r="E156" s="24" t="s">
        <v>1166</v>
      </c>
    </row>
    <row r="157" spans="1:5" ht="72" customHeight="1">
      <c r="A157" s="24" t="s">
        <v>122</v>
      </c>
      <c r="B157" s="24" t="s">
        <v>14</v>
      </c>
      <c r="C157" s="24" t="s">
        <v>1164</v>
      </c>
      <c r="D157" s="24" t="s">
        <v>1165</v>
      </c>
      <c r="E157" s="24" t="s">
        <v>1166</v>
      </c>
    </row>
    <row r="158" spans="1:5" ht="72" customHeight="1">
      <c r="A158" s="24" t="s">
        <v>123</v>
      </c>
      <c r="B158" s="24" t="s">
        <v>14</v>
      </c>
      <c r="C158" s="24" t="s">
        <v>1164</v>
      </c>
      <c r="D158" s="24" t="s">
        <v>1165</v>
      </c>
      <c r="E158" s="24" t="s">
        <v>1166</v>
      </c>
    </row>
    <row r="159" spans="1:5" ht="72" customHeight="1">
      <c r="A159" s="24" t="s">
        <v>125</v>
      </c>
      <c r="B159" s="24" t="s">
        <v>14</v>
      </c>
      <c r="C159" s="24" t="s">
        <v>1164</v>
      </c>
      <c r="D159" s="24" t="s">
        <v>1165</v>
      </c>
      <c r="E159" s="24" t="s">
        <v>1166</v>
      </c>
    </row>
    <row r="160" spans="1:5" ht="72" customHeight="1">
      <c r="A160" s="24" t="s">
        <v>125</v>
      </c>
      <c r="B160" s="24" t="s">
        <v>22</v>
      </c>
      <c r="C160" s="24" t="s">
        <v>1189</v>
      </c>
      <c r="D160" s="24" t="s">
        <v>1190</v>
      </c>
      <c r="E160" s="24" t="s">
        <v>1177</v>
      </c>
    </row>
    <row r="161" spans="1:5" ht="72" customHeight="1">
      <c r="A161" s="24" t="s">
        <v>126</v>
      </c>
      <c r="B161" s="24" t="s">
        <v>14</v>
      </c>
      <c r="C161" s="24" t="s">
        <v>1164</v>
      </c>
      <c r="D161" s="24" t="s">
        <v>1165</v>
      </c>
      <c r="E161" s="24" t="s">
        <v>1166</v>
      </c>
    </row>
    <row r="162" spans="1:5" ht="72" customHeight="1">
      <c r="A162" s="24" t="s">
        <v>126</v>
      </c>
      <c r="B162" s="24" t="s">
        <v>22</v>
      </c>
      <c r="C162" s="24" t="s">
        <v>1189</v>
      </c>
      <c r="D162" s="24" t="s">
        <v>1190</v>
      </c>
      <c r="E162" s="24" t="s">
        <v>1177</v>
      </c>
    </row>
    <row r="163" spans="1:5" ht="72" customHeight="1">
      <c r="A163" s="24" t="s">
        <v>127</v>
      </c>
      <c r="B163" s="24" t="s">
        <v>14</v>
      </c>
      <c r="C163" s="24" t="s">
        <v>1164</v>
      </c>
      <c r="D163" s="24" t="s">
        <v>1165</v>
      </c>
      <c r="E163" s="24" t="s">
        <v>1166</v>
      </c>
    </row>
    <row r="164" spans="1:5" ht="72" customHeight="1">
      <c r="A164" s="24" t="s">
        <v>127</v>
      </c>
      <c r="B164" s="24" t="s">
        <v>22</v>
      </c>
      <c r="C164" s="24" t="s">
        <v>1189</v>
      </c>
      <c r="D164" s="24" t="s">
        <v>1190</v>
      </c>
      <c r="E164" s="24" t="s">
        <v>1177</v>
      </c>
    </row>
    <row r="165" spans="1:5" ht="72" customHeight="1">
      <c r="A165" s="24" t="s">
        <v>128</v>
      </c>
      <c r="B165" s="24" t="s">
        <v>14</v>
      </c>
      <c r="C165" s="24" t="s">
        <v>1164</v>
      </c>
      <c r="D165" s="24" t="s">
        <v>1165</v>
      </c>
      <c r="E165" s="24" t="s">
        <v>1166</v>
      </c>
    </row>
    <row r="166" spans="1:5" ht="72" customHeight="1">
      <c r="A166" s="24" t="s">
        <v>128</v>
      </c>
      <c r="B166" s="24" t="s">
        <v>22</v>
      </c>
      <c r="C166" s="24" t="s">
        <v>1189</v>
      </c>
      <c r="D166" s="24" t="s">
        <v>1190</v>
      </c>
      <c r="E166" s="24" t="s">
        <v>1177</v>
      </c>
    </row>
    <row r="167" spans="1:5" ht="72" customHeight="1">
      <c r="A167" s="24" t="s">
        <v>129</v>
      </c>
      <c r="B167" s="24" t="s">
        <v>14</v>
      </c>
      <c r="C167" s="24" t="s">
        <v>1164</v>
      </c>
      <c r="D167" s="24" t="s">
        <v>1165</v>
      </c>
      <c r="E167" s="24" t="s">
        <v>1166</v>
      </c>
    </row>
    <row r="168" spans="1:5" ht="72" customHeight="1">
      <c r="A168" s="24" t="s">
        <v>129</v>
      </c>
      <c r="B168" s="24" t="s">
        <v>22</v>
      </c>
      <c r="C168" s="24" t="s">
        <v>1189</v>
      </c>
      <c r="D168" s="24" t="s">
        <v>1190</v>
      </c>
      <c r="E168" s="24" t="s">
        <v>1177</v>
      </c>
    </row>
    <row r="169" spans="1:5" ht="72" customHeight="1">
      <c r="A169" s="24" t="s">
        <v>130</v>
      </c>
      <c r="B169" s="24" t="s">
        <v>14</v>
      </c>
      <c r="C169" s="24" t="s">
        <v>1164</v>
      </c>
      <c r="D169" s="24" t="s">
        <v>1165</v>
      </c>
      <c r="E169" s="24" t="s">
        <v>1166</v>
      </c>
    </row>
    <row r="170" spans="1:5" ht="72" customHeight="1">
      <c r="A170" s="24" t="s">
        <v>130</v>
      </c>
      <c r="B170" s="24" t="s">
        <v>22</v>
      </c>
      <c r="C170" s="24" t="s">
        <v>1189</v>
      </c>
      <c r="D170" s="24" t="s">
        <v>1190</v>
      </c>
      <c r="E170" s="24" t="s">
        <v>1177</v>
      </c>
    </row>
    <row r="171" spans="1:5" ht="72" customHeight="1">
      <c r="A171" s="24" t="s">
        <v>131</v>
      </c>
      <c r="B171" s="24" t="s">
        <v>14</v>
      </c>
      <c r="C171" s="24" t="s">
        <v>1164</v>
      </c>
      <c r="D171" s="24" t="s">
        <v>1165</v>
      </c>
      <c r="E171" s="24" t="s">
        <v>1166</v>
      </c>
    </row>
    <row r="172" spans="1:5" ht="72" customHeight="1">
      <c r="A172" s="24" t="s">
        <v>131</v>
      </c>
      <c r="B172" s="24" t="s">
        <v>22</v>
      </c>
      <c r="C172" s="24" t="s">
        <v>1189</v>
      </c>
      <c r="D172" s="24" t="s">
        <v>1190</v>
      </c>
      <c r="E172" s="24" t="s">
        <v>1177</v>
      </c>
    </row>
    <row r="173" spans="1:5" ht="72" customHeight="1">
      <c r="A173" s="24" t="s">
        <v>132</v>
      </c>
      <c r="B173" s="24" t="s">
        <v>14</v>
      </c>
      <c r="C173" s="24" t="s">
        <v>1164</v>
      </c>
      <c r="D173" s="24" t="s">
        <v>1165</v>
      </c>
      <c r="E173" s="24" t="s">
        <v>1166</v>
      </c>
    </row>
    <row r="174" spans="1:5" ht="72" customHeight="1">
      <c r="A174" s="24" t="s">
        <v>132</v>
      </c>
      <c r="B174" s="24" t="s">
        <v>22</v>
      </c>
      <c r="C174" s="24" t="s">
        <v>1189</v>
      </c>
      <c r="D174" s="24" t="s">
        <v>1190</v>
      </c>
      <c r="E174" s="24" t="s">
        <v>1177</v>
      </c>
    </row>
    <row r="175" spans="1:5" ht="72" customHeight="1">
      <c r="A175" s="24" t="s">
        <v>133</v>
      </c>
      <c r="B175" s="24" t="s">
        <v>14</v>
      </c>
      <c r="C175" s="24" t="s">
        <v>1164</v>
      </c>
      <c r="D175" s="24" t="s">
        <v>1165</v>
      </c>
      <c r="E175" s="24" t="s">
        <v>1166</v>
      </c>
    </row>
    <row r="176" spans="1:5" ht="72" customHeight="1">
      <c r="A176" s="24" t="s">
        <v>133</v>
      </c>
      <c r="B176" s="24" t="s">
        <v>22</v>
      </c>
      <c r="C176" s="24" t="s">
        <v>1189</v>
      </c>
      <c r="D176" s="24" t="s">
        <v>1190</v>
      </c>
      <c r="E176" s="24" t="s">
        <v>1177</v>
      </c>
    </row>
    <row r="177" spans="1:5" ht="72" customHeight="1">
      <c r="A177" s="24" t="s">
        <v>134</v>
      </c>
      <c r="B177" s="24" t="s">
        <v>14</v>
      </c>
      <c r="C177" s="24" t="s">
        <v>1164</v>
      </c>
      <c r="D177" s="24" t="s">
        <v>1165</v>
      </c>
      <c r="E177" s="24" t="s">
        <v>1166</v>
      </c>
    </row>
    <row r="178" spans="1:5" ht="72" customHeight="1">
      <c r="A178" s="24" t="s">
        <v>134</v>
      </c>
      <c r="B178" s="24" t="s">
        <v>22</v>
      </c>
      <c r="C178" s="24" t="s">
        <v>1189</v>
      </c>
      <c r="D178" s="24" t="s">
        <v>1190</v>
      </c>
      <c r="E178" s="24" t="s">
        <v>1177</v>
      </c>
    </row>
    <row r="179" spans="1:5" ht="72" customHeight="1">
      <c r="A179" s="24" t="s">
        <v>135</v>
      </c>
      <c r="B179" s="24" t="s">
        <v>14</v>
      </c>
      <c r="C179" s="24" t="s">
        <v>1164</v>
      </c>
      <c r="D179" s="24" t="s">
        <v>1165</v>
      </c>
      <c r="E179" s="24" t="s">
        <v>1166</v>
      </c>
    </row>
    <row r="180" spans="1:5" ht="72" customHeight="1">
      <c r="A180" s="24" t="s">
        <v>135</v>
      </c>
      <c r="B180" s="24" t="s">
        <v>22</v>
      </c>
      <c r="C180" s="24" t="s">
        <v>1189</v>
      </c>
      <c r="D180" s="24" t="s">
        <v>1190</v>
      </c>
      <c r="E180" s="24" t="s">
        <v>1177</v>
      </c>
    </row>
    <row r="181" spans="1:5" ht="72" customHeight="1">
      <c r="A181" s="24" t="s">
        <v>136</v>
      </c>
      <c r="B181" s="24" t="s">
        <v>14</v>
      </c>
      <c r="C181" s="24" t="s">
        <v>1164</v>
      </c>
      <c r="D181" s="24" t="s">
        <v>1165</v>
      </c>
      <c r="E181" s="24" t="s">
        <v>1166</v>
      </c>
    </row>
    <row r="182" spans="1:5" ht="72" customHeight="1">
      <c r="A182" s="24" t="s">
        <v>136</v>
      </c>
      <c r="B182" s="24" t="s">
        <v>22</v>
      </c>
      <c r="C182" s="24" t="s">
        <v>1189</v>
      </c>
      <c r="D182" s="24" t="s">
        <v>1190</v>
      </c>
      <c r="E182" s="24" t="s">
        <v>1177</v>
      </c>
    </row>
    <row r="183" spans="1:5" ht="72" customHeight="1">
      <c r="A183" s="24" t="s">
        <v>137</v>
      </c>
      <c r="B183" s="24" t="s">
        <v>14</v>
      </c>
      <c r="C183" s="24" t="s">
        <v>1164</v>
      </c>
      <c r="D183" s="24" t="s">
        <v>1165</v>
      </c>
      <c r="E183" s="24" t="s">
        <v>1166</v>
      </c>
    </row>
    <row r="184" spans="1:5" ht="72" customHeight="1">
      <c r="A184" s="24" t="s">
        <v>137</v>
      </c>
      <c r="B184" s="24" t="s">
        <v>22</v>
      </c>
      <c r="C184" s="24" t="s">
        <v>1189</v>
      </c>
      <c r="D184" s="24" t="s">
        <v>1190</v>
      </c>
      <c r="E184" s="24" t="s">
        <v>1177</v>
      </c>
    </row>
    <row r="185" spans="1:5" ht="72" customHeight="1">
      <c r="A185" s="24" t="s">
        <v>138</v>
      </c>
      <c r="B185" s="24" t="s">
        <v>14</v>
      </c>
      <c r="C185" s="24" t="s">
        <v>1164</v>
      </c>
      <c r="D185" s="24" t="s">
        <v>1165</v>
      </c>
      <c r="E185" s="24" t="s">
        <v>1166</v>
      </c>
    </row>
    <row r="186" spans="1:5" ht="72" customHeight="1">
      <c r="A186" s="24" t="s">
        <v>138</v>
      </c>
      <c r="B186" s="24" t="s">
        <v>22</v>
      </c>
      <c r="C186" s="24" t="s">
        <v>1189</v>
      </c>
      <c r="D186" s="24" t="s">
        <v>1190</v>
      </c>
      <c r="E186" s="24" t="s">
        <v>1177</v>
      </c>
    </row>
    <row r="187" spans="1:5" ht="72" customHeight="1">
      <c r="A187" s="24" t="s">
        <v>139</v>
      </c>
      <c r="B187" s="24" t="s">
        <v>14</v>
      </c>
      <c r="C187" s="24" t="s">
        <v>1164</v>
      </c>
      <c r="D187" s="24" t="s">
        <v>1165</v>
      </c>
      <c r="E187" s="24" t="s">
        <v>1166</v>
      </c>
    </row>
    <row r="188" spans="1:5" ht="72" customHeight="1">
      <c r="A188" s="24" t="s">
        <v>139</v>
      </c>
      <c r="B188" s="24" t="s">
        <v>22</v>
      </c>
      <c r="C188" s="24" t="s">
        <v>1189</v>
      </c>
      <c r="D188" s="24" t="s">
        <v>1190</v>
      </c>
      <c r="E188" s="24" t="s">
        <v>1177</v>
      </c>
    </row>
    <row r="189" spans="1:5" ht="72" customHeight="1">
      <c r="A189" s="24" t="s">
        <v>140</v>
      </c>
      <c r="B189" s="24" t="s">
        <v>14</v>
      </c>
      <c r="C189" s="24" t="s">
        <v>1164</v>
      </c>
      <c r="D189" s="24" t="s">
        <v>1165</v>
      </c>
      <c r="E189" s="24" t="s">
        <v>1166</v>
      </c>
    </row>
    <row r="190" spans="1:5" ht="72" customHeight="1">
      <c r="A190" s="24" t="s">
        <v>140</v>
      </c>
      <c r="B190" s="24" t="s">
        <v>22</v>
      </c>
      <c r="C190" s="24" t="s">
        <v>1189</v>
      </c>
      <c r="D190" s="24" t="s">
        <v>1190</v>
      </c>
      <c r="E190" s="24" t="s">
        <v>1177</v>
      </c>
    </row>
    <row r="191" spans="1:5" ht="72" customHeight="1">
      <c r="A191" s="24" t="s">
        <v>141</v>
      </c>
      <c r="B191" s="24" t="s">
        <v>14</v>
      </c>
      <c r="C191" s="24" t="s">
        <v>1164</v>
      </c>
      <c r="D191" s="24" t="s">
        <v>1165</v>
      </c>
      <c r="E191" s="24" t="s">
        <v>1166</v>
      </c>
    </row>
    <row r="192" spans="1:5" ht="72" customHeight="1">
      <c r="A192" s="24" t="s">
        <v>141</v>
      </c>
      <c r="B192" s="24" t="s">
        <v>22</v>
      </c>
      <c r="C192" s="24" t="s">
        <v>1189</v>
      </c>
      <c r="D192" s="24" t="s">
        <v>1190</v>
      </c>
      <c r="E192" s="24" t="s">
        <v>1177</v>
      </c>
    </row>
    <row r="193" spans="1:5" ht="72" customHeight="1">
      <c r="A193" s="24" t="s">
        <v>142</v>
      </c>
      <c r="B193" s="24" t="s">
        <v>14</v>
      </c>
      <c r="C193" s="24" t="s">
        <v>1164</v>
      </c>
      <c r="D193" s="24" t="s">
        <v>1165</v>
      </c>
      <c r="E193" s="24" t="s">
        <v>1166</v>
      </c>
    </row>
    <row r="194" spans="1:5" ht="72" customHeight="1">
      <c r="A194" s="24" t="s">
        <v>142</v>
      </c>
      <c r="B194" s="24" t="s">
        <v>22</v>
      </c>
      <c r="C194" s="24" t="s">
        <v>1189</v>
      </c>
      <c r="D194" s="24" t="s">
        <v>1190</v>
      </c>
      <c r="E194" s="24" t="s">
        <v>1177</v>
      </c>
    </row>
    <row r="195" spans="1:5" ht="72" customHeight="1">
      <c r="A195" s="24" t="s">
        <v>143</v>
      </c>
      <c r="B195" s="24" t="s">
        <v>14</v>
      </c>
      <c r="C195" s="24" t="s">
        <v>1164</v>
      </c>
      <c r="D195" s="24" t="s">
        <v>1165</v>
      </c>
      <c r="E195" s="24" t="s">
        <v>1166</v>
      </c>
    </row>
    <row r="196" spans="1:5" ht="72" customHeight="1">
      <c r="A196" s="24" t="s">
        <v>143</v>
      </c>
      <c r="B196" s="24" t="s">
        <v>22</v>
      </c>
      <c r="C196" s="24" t="s">
        <v>1189</v>
      </c>
      <c r="D196" s="24" t="s">
        <v>1190</v>
      </c>
      <c r="E196" s="24" t="s">
        <v>1177</v>
      </c>
    </row>
    <row r="197" spans="1:5" ht="72" customHeight="1">
      <c r="A197" s="24" t="s">
        <v>144</v>
      </c>
      <c r="B197" s="24" t="s">
        <v>14</v>
      </c>
      <c r="C197" s="24" t="s">
        <v>1164</v>
      </c>
      <c r="D197" s="24" t="s">
        <v>1165</v>
      </c>
      <c r="E197" s="24" t="s">
        <v>1166</v>
      </c>
    </row>
    <row r="198" spans="1:5" ht="72" customHeight="1">
      <c r="A198" s="24" t="s">
        <v>144</v>
      </c>
      <c r="B198" s="24" t="s">
        <v>22</v>
      </c>
      <c r="C198" s="24" t="s">
        <v>1189</v>
      </c>
      <c r="D198" s="24" t="s">
        <v>1190</v>
      </c>
      <c r="E198" s="24" t="s">
        <v>1177</v>
      </c>
    </row>
    <row r="199" spans="1:5" ht="72" customHeight="1">
      <c r="A199" s="24" t="s">
        <v>145</v>
      </c>
      <c r="B199" s="24" t="s">
        <v>14</v>
      </c>
      <c r="C199" s="24" t="s">
        <v>1164</v>
      </c>
      <c r="D199" s="24" t="s">
        <v>1165</v>
      </c>
      <c r="E199" s="24" t="s">
        <v>1166</v>
      </c>
    </row>
    <row r="200" spans="1:5" ht="72" customHeight="1">
      <c r="A200" s="24" t="s">
        <v>145</v>
      </c>
      <c r="B200" s="24" t="s">
        <v>22</v>
      </c>
      <c r="C200" s="24" t="s">
        <v>1189</v>
      </c>
      <c r="D200" s="24" t="s">
        <v>1190</v>
      </c>
      <c r="E200" s="24" t="s">
        <v>1177</v>
      </c>
    </row>
    <row r="201" spans="1:5" ht="72" customHeight="1">
      <c r="A201" s="24" t="s">
        <v>146</v>
      </c>
      <c r="B201" s="24" t="s">
        <v>14</v>
      </c>
      <c r="C201" s="24" t="s">
        <v>1164</v>
      </c>
      <c r="D201" s="24" t="s">
        <v>1165</v>
      </c>
      <c r="E201" s="24" t="s">
        <v>1166</v>
      </c>
    </row>
    <row r="202" spans="1:5" ht="72" customHeight="1">
      <c r="A202" s="24" t="s">
        <v>146</v>
      </c>
      <c r="B202" s="24" t="s">
        <v>22</v>
      </c>
      <c r="C202" s="24" t="s">
        <v>1189</v>
      </c>
      <c r="D202" s="24" t="s">
        <v>1190</v>
      </c>
      <c r="E202" s="24" t="s">
        <v>1177</v>
      </c>
    </row>
    <row r="203" spans="1:5" ht="72" customHeight="1">
      <c r="A203" s="24" t="s">
        <v>147</v>
      </c>
      <c r="B203" s="24" t="s">
        <v>14</v>
      </c>
      <c r="C203" s="24" t="s">
        <v>1164</v>
      </c>
      <c r="D203" s="24" t="s">
        <v>1165</v>
      </c>
      <c r="E203" s="24" t="s">
        <v>1166</v>
      </c>
    </row>
    <row r="204" spans="1:5" ht="72" customHeight="1">
      <c r="A204" s="24" t="s">
        <v>147</v>
      </c>
      <c r="B204" s="24" t="s">
        <v>22</v>
      </c>
      <c r="C204" s="24" t="s">
        <v>1189</v>
      </c>
      <c r="D204" s="24" t="s">
        <v>1190</v>
      </c>
      <c r="E204" s="24" t="s">
        <v>1177</v>
      </c>
    </row>
    <row r="205" spans="1:5" ht="72" customHeight="1">
      <c r="A205" s="24" t="s">
        <v>148</v>
      </c>
      <c r="B205" s="24" t="s">
        <v>14</v>
      </c>
      <c r="C205" s="24" t="s">
        <v>1164</v>
      </c>
      <c r="D205" s="24" t="s">
        <v>1165</v>
      </c>
      <c r="E205" s="24" t="s">
        <v>1166</v>
      </c>
    </row>
    <row r="206" spans="1:5" ht="72" customHeight="1">
      <c r="A206" s="24" t="s">
        <v>148</v>
      </c>
      <c r="B206" s="24" t="s">
        <v>22</v>
      </c>
      <c r="C206" s="24" t="s">
        <v>1189</v>
      </c>
      <c r="D206" s="24" t="s">
        <v>1190</v>
      </c>
      <c r="E206" s="24" t="s">
        <v>1177</v>
      </c>
    </row>
    <row r="207" spans="1:5" ht="72" customHeight="1">
      <c r="A207" s="24" t="s">
        <v>149</v>
      </c>
      <c r="B207" s="24" t="s">
        <v>14</v>
      </c>
      <c r="C207" s="24" t="s">
        <v>1164</v>
      </c>
      <c r="D207" s="24" t="s">
        <v>1165</v>
      </c>
      <c r="E207" s="24" t="s">
        <v>1166</v>
      </c>
    </row>
    <row r="208" spans="1:5" ht="72" customHeight="1">
      <c r="A208" s="24" t="s">
        <v>149</v>
      </c>
      <c r="B208" s="24" t="s">
        <v>22</v>
      </c>
      <c r="C208" s="24" t="s">
        <v>1189</v>
      </c>
      <c r="D208" s="24" t="s">
        <v>1190</v>
      </c>
      <c r="E208" s="24" t="s">
        <v>1177</v>
      </c>
    </row>
    <row r="209" spans="1:5" ht="72" customHeight="1">
      <c r="A209" s="24" t="s">
        <v>150</v>
      </c>
      <c r="B209" s="24" t="s">
        <v>14</v>
      </c>
      <c r="C209" s="24" t="s">
        <v>1164</v>
      </c>
      <c r="D209" s="24" t="s">
        <v>1165</v>
      </c>
      <c r="E209" s="24" t="s">
        <v>1166</v>
      </c>
    </row>
    <row r="210" spans="1:5" ht="72" customHeight="1">
      <c r="A210" s="24" t="s">
        <v>150</v>
      </c>
      <c r="B210" s="24" t="s">
        <v>22</v>
      </c>
      <c r="C210" s="24" t="s">
        <v>1189</v>
      </c>
      <c r="D210" s="24" t="s">
        <v>1190</v>
      </c>
      <c r="E210" s="24" t="s">
        <v>1177</v>
      </c>
    </row>
    <row r="211" spans="1:5" ht="72" customHeight="1">
      <c r="A211" s="24" t="s">
        <v>151</v>
      </c>
      <c r="B211" s="24" t="s">
        <v>14</v>
      </c>
      <c r="C211" s="24" t="s">
        <v>1164</v>
      </c>
      <c r="D211" s="24" t="s">
        <v>1165</v>
      </c>
      <c r="E211" s="24" t="s">
        <v>1166</v>
      </c>
    </row>
    <row r="212" spans="1:5" ht="72" customHeight="1">
      <c r="A212" s="24" t="s">
        <v>151</v>
      </c>
      <c r="B212" s="24" t="s">
        <v>22</v>
      </c>
      <c r="C212" s="24" t="s">
        <v>1189</v>
      </c>
      <c r="D212" s="24" t="s">
        <v>1190</v>
      </c>
      <c r="E212" s="24" t="s">
        <v>1177</v>
      </c>
    </row>
    <row r="213" spans="1:5" ht="72" customHeight="1">
      <c r="A213" s="24" t="s">
        <v>152</v>
      </c>
      <c r="B213" s="24" t="s">
        <v>14</v>
      </c>
      <c r="C213" s="24" t="s">
        <v>1164</v>
      </c>
      <c r="D213" s="24" t="s">
        <v>1165</v>
      </c>
      <c r="E213" s="24" t="s">
        <v>1166</v>
      </c>
    </row>
    <row r="214" spans="1:5" ht="72" customHeight="1">
      <c r="A214" s="24" t="s">
        <v>153</v>
      </c>
      <c r="B214" s="24" t="s">
        <v>14</v>
      </c>
      <c r="C214" s="24" t="s">
        <v>1164</v>
      </c>
      <c r="D214" s="24" t="s">
        <v>1165</v>
      </c>
      <c r="E214" s="24" t="s">
        <v>1166</v>
      </c>
    </row>
    <row r="215" spans="1:5" ht="72" customHeight="1">
      <c r="A215" s="24" t="s">
        <v>154</v>
      </c>
      <c r="B215" s="24" t="s">
        <v>14</v>
      </c>
      <c r="C215" s="24" t="s">
        <v>1164</v>
      </c>
      <c r="D215" s="24" t="s">
        <v>1165</v>
      </c>
      <c r="E215" s="24" t="s">
        <v>1166</v>
      </c>
    </row>
    <row r="216" spans="1:5" ht="72" customHeight="1">
      <c r="A216" s="24" t="s">
        <v>155</v>
      </c>
      <c r="B216" s="24" t="s">
        <v>14</v>
      </c>
      <c r="C216" s="24" t="s">
        <v>1164</v>
      </c>
      <c r="D216" s="24" t="s">
        <v>1165</v>
      </c>
      <c r="E216" s="24" t="s">
        <v>1166</v>
      </c>
    </row>
    <row r="217" spans="1:5" ht="72" customHeight="1">
      <c r="A217" s="24" t="s">
        <v>156</v>
      </c>
      <c r="B217" s="24" t="s">
        <v>14</v>
      </c>
      <c r="C217" s="24" t="s">
        <v>1164</v>
      </c>
      <c r="D217" s="24" t="s">
        <v>1165</v>
      </c>
      <c r="E217" s="24" t="s">
        <v>1166</v>
      </c>
    </row>
    <row r="218" spans="1:5" ht="72" customHeight="1">
      <c r="A218" s="24" t="s">
        <v>157</v>
      </c>
      <c r="B218" s="24" t="s">
        <v>14</v>
      </c>
      <c r="C218" s="24" t="s">
        <v>1164</v>
      </c>
      <c r="D218" s="24" t="s">
        <v>1165</v>
      </c>
      <c r="E218" s="24" t="s">
        <v>1166</v>
      </c>
    </row>
    <row r="219" spans="1:5" ht="72" customHeight="1">
      <c r="A219" s="24" t="s">
        <v>158</v>
      </c>
      <c r="B219" s="24" t="s">
        <v>14</v>
      </c>
      <c r="C219" s="24" t="s">
        <v>1164</v>
      </c>
      <c r="D219" s="24" t="s">
        <v>1165</v>
      </c>
      <c r="E219" s="24" t="s">
        <v>1166</v>
      </c>
    </row>
    <row r="220" spans="1:5" ht="72" customHeight="1">
      <c r="A220" s="24" t="s">
        <v>159</v>
      </c>
      <c r="B220" s="24" t="s">
        <v>14</v>
      </c>
      <c r="C220" s="24" t="s">
        <v>1164</v>
      </c>
      <c r="D220" s="24" t="s">
        <v>1165</v>
      </c>
      <c r="E220" s="24" t="s">
        <v>1166</v>
      </c>
    </row>
    <row r="221" spans="1:5" ht="72" customHeight="1">
      <c r="A221" s="24" t="s">
        <v>160</v>
      </c>
      <c r="B221" s="24" t="s">
        <v>14</v>
      </c>
      <c r="C221" s="24" t="s">
        <v>1164</v>
      </c>
      <c r="D221" s="24" t="s">
        <v>1165</v>
      </c>
      <c r="E221" s="24" t="s">
        <v>1166</v>
      </c>
    </row>
    <row r="222" spans="1:5" ht="72" customHeight="1">
      <c r="A222" s="24" t="s">
        <v>161</v>
      </c>
      <c r="B222" s="24" t="s">
        <v>14</v>
      </c>
      <c r="C222" s="24" t="s">
        <v>1164</v>
      </c>
      <c r="D222" s="24" t="s">
        <v>1165</v>
      </c>
      <c r="E222" s="24" t="s">
        <v>1166</v>
      </c>
    </row>
    <row r="223" spans="1:5" ht="72" customHeight="1">
      <c r="A223" s="24" t="s">
        <v>162</v>
      </c>
      <c r="B223" s="24" t="s">
        <v>14</v>
      </c>
      <c r="C223" s="24" t="s">
        <v>1164</v>
      </c>
      <c r="D223" s="24" t="s">
        <v>1165</v>
      </c>
      <c r="E223" s="24" t="s">
        <v>1166</v>
      </c>
    </row>
    <row r="224" spans="1:5" ht="72" customHeight="1">
      <c r="A224" s="24" t="s">
        <v>163</v>
      </c>
      <c r="B224" s="24" t="s">
        <v>14</v>
      </c>
      <c r="C224" s="24" t="s">
        <v>1164</v>
      </c>
      <c r="D224" s="24" t="s">
        <v>1165</v>
      </c>
      <c r="E224" s="24" t="s">
        <v>1166</v>
      </c>
    </row>
    <row r="225" spans="1:5" ht="72" customHeight="1">
      <c r="A225" s="24" t="s">
        <v>164</v>
      </c>
      <c r="B225" s="24" t="s">
        <v>14</v>
      </c>
      <c r="C225" s="24" t="s">
        <v>1164</v>
      </c>
      <c r="D225" s="24" t="s">
        <v>1165</v>
      </c>
      <c r="E225" s="24" t="s">
        <v>1166</v>
      </c>
    </row>
    <row r="226" spans="1:5" ht="72" customHeight="1">
      <c r="A226" s="24" t="s">
        <v>168</v>
      </c>
      <c r="B226" s="24" t="s">
        <v>14</v>
      </c>
      <c r="C226" s="24" t="s">
        <v>1191</v>
      </c>
      <c r="D226" s="24" t="s">
        <v>1174</v>
      </c>
      <c r="E226" s="24" t="s">
        <v>1166</v>
      </c>
    </row>
    <row r="227" spans="1:5" ht="72" customHeight="1">
      <c r="A227" s="24" t="s">
        <v>169</v>
      </c>
      <c r="B227" s="24" t="s">
        <v>14</v>
      </c>
      <c r="C227" s="24" t="s">
        <v>1191</v>
      </c>
      <c r="D227" s="24" t="s">
        <v>1174</v>
      </c>
      <c r="E227" s="24" t="s">
        <v>1166</v>
      </c>
    </row>
    <row r="228" spans="1:5" ht="72" customHeight="1">
      <c r="A228" s="24" t="s">
        <v>170</v>
      </c>
      <c r="B228" s="24" t="s">
        <v>14</v>
      </c>
      <c r="C228" s="24" t="s">
        <v>1191</v>
      </c>
      <c r="D228" s="24" t="s">
        <v>1174</v>
      </c>
      <c r="E228" s="24" t="s">
        <v>1166</v>
      </c>
    </row>
    <row r="229" spans="1:5" ht="72" customHeight="1">
      <c r="A229" s="24" t="s">
        <v>171</v>
      </c>
      <c r="B229" s="24" t="s">
        <v>14</v>
      </c>
      <c r="C229" s="24" t="s">
        <v>1191</v>
      </c>
      <c r="D229" s="24" t="s">
        <v>1174</v>
      </c>
      <c r="E229" s="24" t="s">
        <v>1166</v>
      </c>
    </row>
    <row r="230" spans="1:5" ht="72" customHeight="1">
      <c r="A230" s="24" t="s">
        <v>172</v>
      </c>
      <c r="B230" s="24" t="s">
        <v>14</v>
      </c>
      <c r="C230" s="24" t="s">
        <v>1191</v>
      </c>
      <c r="D230" s="24" t="s">
        <v>1174</v>
      </c>
      <c r="E230" s="24" t="s">
        <v>1166</v>
      </c>
    </row>
    <row r="231" spans="1:5" ht="72" customHeight="1">
      <c r="A231" s="24" t="s">
        <v>173</v>
      </c>
      <c r="B231" s="24" t="s">
        <v>14</v>
      </c>
      <c r="C231" s="24" t="s">
        <v>1191</v>
      </c>
      <c r="D231" s="24" t="s">
        <v>1174</v>
      </c>
      <c r="E231" s="24" t="s">
        <v>1166</v>
      </c>
    </row>
    <row r="232" spans="1:5" ht="72" customHeight="1">
      <c r="A232" s="24" t="s">
        <v>174</v>
      </c>
      <c r="B232" s="24" t="s">
        <v>14</v>
      </c>
      <c r="C232" s="24" t="s">
        <v>1191</v>
      </c>
      <c r="D232" s="24" t="s">
        <v>1174</v>
      </c>
      <c r="E232" s="24" t="s">
        <v>1166</v>
      </c>
    </row>
    <row r="233" spans="1:5" ht="72" customHeight="1">
      <c r="A233" s="24" t="s">
        <v>175</v>
      </c>
      <c r="B233" s="24" t="s">
        <v>14</v>
      </c>
      <c r="C233" s="24" t="s">
        <v>1191</v>
      </c>
      <c r="D233" s="24" t="s">
        <v>1174</v>
      </c>
      <c r="E233" s="24" t="s">
        <v>1166</v>
      </c>
    </row>
    <row r="234" spans="1:5" ht="72" customHeight="1">
      <c r="A234" s="24" t="s">
        <v>176</v>
      </c>
      <c r="B234" s="24" t="s">
        <v>14</v>
      </c>
      <c r="C234" s="24" t="s">
        <v>1191</v>
      </c>
      <c r="D234" s="24" t="s">
        <v>1174</v>
      </c>
      <c r="E234" s="24" t="s">
        <v>1166</v>
      </c>
    </row>
    <row r="235" spans="1:5" ht="72" customHeight="1">
      <c r="A235" s="24" t="s">
        <v>177</v>
      </c>
      <c r="B235" s="24" t="s">
        <v>14</v>
      </c>
      <c r="C235" s="24" t="s">
        <v>1191</v>
      </c>
      <c r="D235" s="24" t="s">
        <v>1174</v>
      </c>
      <c r="E235" s="24" t="s">
        <v>1166</v>
      </c>
    </row>
    <row r="236" spans="1:5" ht="72" customHeight="1">
      <c r="A236" s="24" t="s">
        <v>178</v>
      </c>
      <c r="B236" s="24" t="s">
        <v>14</v>
      </c>
      <c r="C236" s="24" t="s">
        <v>1191</v>
      </c>
      <c r="D236" s="24" t="s">
        <v>1174</v>
      </c>
      <c r="E236" s="24" t="s">
        <v>1166</v>
      </c>
    </row>
    <row r="237" spans="1:5" ht="72" customHeight="1">
      <c r="A237" s="24" t="s">
        <v>179</v>
      </c>
      <c r="B237" s="24" t="s">
        <v>14</v>
      </c>
      <c r="C237" s="24" t="s">
        <v>1191</v>
      </c>
      <c r="D237" s="24" t="s">
        <v>1174</v>
      </c>
      <c r="E237" s="24" t="s">
        <v>1166</v>
      </c>
    </row>
    <row r="238" spans="1:5" ht="72" customHeight="1">
      <c r="A238" s="24" t="s">
        <v>180</v>
      </c>
      <c r="B238" s="24" t="s">
        <v>14</v>
      </c>
      <c r="C238" s="24" t="s">
        <v>1191</v>
      </c>
      <c r="D238" s="24" t="s">
        <v>1174</v>
      </c>
      <c r="E238" s="24" t="s">
        <v>1166</v>
      </c>
    </row>
    <row r="239" spans="1:5" ht="72" customHeight="1">
      <c r="A239" s="24" t="s">
        <v>181</v>
      </c>
      <c r="B239" s="24" t="s">
        <v>14</v>
      </c>
      <c r="C239" s="24" t="s">
        <v>1191</v>
      </c>
      <c r="D239" s="24" t="s">
        <v>1174</v>
      </c>
      <c r="E239" s="24" t="s">
        <v>1166</v>
      </c>
    </row>
    <row r="240" spans="1:5" ht="72" customHeight="1">
      <c r="A240" s="24" t="s">
        <v>182</v>
      </c>
      <c r="B240" s="24" t="s">
        <v>14</v>
      </c>
      <c r="C240" s="24" t="s">
        <v>1191</v>
      </c>
      <c r="D240" s="24" t="s">
        <v>1174</v>
      </c>
      <c r="E240" s="24" t="s">
        <v>1166</v>
      </c>
    </row>
    <row r="241" spans="1:5" ht="72" customHeight="1">
      <c r="A241" s="24" t="s">
        <v>183</v>
      </c>
      <c r="B241" s="24" t="s">
        <v>14</v>
      </c>
      <c r="C241" s="24" t="s">
        <v>1191</v>
      </c>
      <c r="D241" s="24" t="s">
        <v>1174</v>
      </c>
      <c r="E241" s="24" t="s">
        <v>1166</v>
      </c>
    </row>
    <row r="242" spans="1:5" ht="72" customHeight="1">
      <c r="A242" s="24" t="s">
        <v>184</v>
      </c>
      <c r="B242" s="24" t="s">
        <v>14</v>
      </c>
      <c r="C242" s="24" t="s">
        <v>1191</v>
      </c>
      <c r="D242" s="24" t="s">
        <v>1174</v>
      </c>
      <c r="E242" s="24" t="s">
        <v>1166</v>
      </c>
    </row>
    <row r="243" spans="1:5" ht="72" customHeight="1">
      <c r="A243" s="24" t="s">
        <v>185</v>
      </c>
      <c r="B243" s="24" t="s">
        <v>14</v>
      </c>
      <c r="C243" s="24" t="s">
        <v>1191</v>
      </c>
      <c r="D243" s="24" t="s">
        <v>1174</v>
      </c>
      <c r="E243" s="24" t="s">
        <v>1166</v>
      </c>
    </row>
    <row r="244" spans="1:5" ht="72" customHeight="1">
      <c r="A244" s="24" t="s">
        <v>186</v>
      </c>
      <c r="B244" s="24" t="s">
        <v>14</v>
      </c>
      <c r="C244" s="24" t="s">
        <v>1191</v>
      </c>
      <c r="D244" s="24" t="s">
        <v>1174</v>
      </c>
      <c r="E244" s="24" t="s">
        <v>1166</v>
      </c>
    </row>
    <row r="245" spans="1:5" ht="72" customHeight="1">
      <c r="A245" s="24" t="s">
        <v>187</v>
      </c>
      <c r="B245" s="24" t="s">
        <v>14</v>
      </c>
      <c r="C245" s="24" t="s">
        <v>1191</v>
      </c>
      <c r="D245" s="24" t="s">
        <v>1174</v>
      </c>
      <c r="E245" s="24" t="s">
        <v>1166</v>
      </c>
    </row>
    <row r="246" spans="1:5" ht="72" customHeight="1">
      <c r="A246" s="24" t="s">
        <v>188</v>
      </c>
      <c r="B246" s="24" t="s">
        <v>14</v>
      </c>
      <c r="C246" s="24" t="s">
        <v>1191</v>
      </c>
      <c r="D246" s="24" t="s">
        <v>1174</v>
      </c>
      <c r="E246" s="24" t="s">
        <v>1166</v>
      </c>
    </row>
    <row r="247" spans="1:5" ht="72" customHeight="1">
      <c r="A247" s="24" t="s">
        <v>189</v>
      </c>
      <c r="B247" s="24" t="s">
        <v>14</v>
      </c>
      <c r="C247" s="24" t="s">
        <v>1191</v>
      </c>
      <c r="D247" s="24" t="s">
        <v>1174</v>
      </c>
      <c r="E247" s="24" t="s">
        <v>1166</v>
      </c>
    </row>
    <row r="248" spans="1:5" ht="72" customHeight="1">
      <c r="A248" s="24" t="s">
        <v>190</v>
      </c>
      <c r="B248" s="24" t="s">
        <v>14</v>
      </c>
      <c r="C248" s="24" t="s">
        <v>1191</v>
      </c>
      <c r="D248" s="24" t="s">
        <v>1174</v>
      </c>
      <c r="E248" s="24" t="s">
        <v>1166</v>
      </c>
    </row>
    <row r="249" spans="1:5" ht="72" customHeight="1">
      <c r="A249" s="24" t="s">
        <v>191</v>
      </c>
      <c r="B249" s="24" t="s">
        <v>14</v>
      </c>
      <c r="C249" s="24" t="s">
        <v>1191</v>
      </c>
      <c r="D249" s="24" t="s">
        <v>1174</v>
      </c>
      <c r="E249" s="24" t="s">
        <v>1166</v>
      </c>
    </row>
    <row r="250" spans="1:5" ht="72" customHeight="1">
      <c r="A250" s="24" t="s">
        <v>192</v>
      </c>
      <c r="B250" s="24" t="s">
        <v>14</v>
      </c>
      <c r="C250" s="24" t="s">
        <v>1191</v>
      </c>
      <c r="D250" s="24" t="s">
        <v>1174</v>
      </c>
      <c r="E250" s="24" t="s">
        <v>1166</v>
      </c>
    </row>
    <row r="251" spans="1:5" ht="72" customHeight="1">
      <c r="A251" s="24" t="s">
        <v>193</v>
      </c>
      <c r="B251" s="24" t="s">
        <v>14</v>
      </c>
      <c r="C251" s="24" t="s">
        <v>1191</v>
      </c>
      <c r="D251" s="24" t="s">
        <v>1174</v>
      </c>
      <c r="E251" s="24" t="s">
        <v>1166</v>
      </c>
    </row>
    <row r="252" spans="1:5" ht="72" customHeight="1">
      <c r="A252" s="24" t="s">
        <v>194</v>
      </c>
      <c r="B252" s="24" t="s">
        <v>14</v>
      </c>
      <c r="C252" s="24" t="s">
        <v>1191</v>
      </c>
      <c r="D252" s="24" t="s">
        <v>1174</v>
      </c>
      <c r="E252" s="24" t="s">
        <v>1166</v>
      </c>
    </row>
    <row r="253" spans="1:5" ht="72" customHeight="1">
      <c r="A253" s="24" t="s">
        <v>196</v>
      </c>
      <c r="B253" s="24" t="s">
        <v>14</v>
      </c>
      <c r="C253" s="24" t="s">
        <v>1191</v>
      </c>
      <c r="D253" s="24" t="s">
        <v>1174</v>
      </c>
      <c r="E253" s="24" t="s">
        <v>1166</v>
      </c>
    </row>
    <row r="254" spans="1:5" ht="72" customHeight="1">
      <c r="A254" s="24" t="s">
        <v>197</v>
      </c>
      <c r="B254" s="24" t="s">
        <v>14</v>
      </c>
      <c r="C254" s="24" t="s">
        <v>1191</v>
      </c>
      <c r="D254" s="24" t="s">
        <v>1174</v>
      </c>
      <c r="E254" s="24" t="s">
        <v>1166</v>
      </c>
    </row>
    <row r="255" spans="1:5" ht="72" customHeight="1">
      <c r="A255" s="24" t="s">
        <v>198</v>
      </c>
      <c r="B255" s="24" t="s">
        <v>14</v>
      </c>
      <c r="C255" s="24" t="s">
        <v>1191</v>
      </c>
      <c r="D255" s="24" t="s">
        <v>1174</v>
      </c>
      <c r="E255" s="24" t="s">
        <v>1166</v>
      </c>
    </row>
    <row r="256" spans="1:5" ht="72" customHeight="1">
      <c r="A256" s="24" t="s">
        <v>199</v>
      </c>
      <c r="B256" s="24" t="s">
        <v>14</v>
      </c>
      <c r="C256" s="24" t="s">
        <v>1191</v>
      </c>
      <c r="D256" s="24" t="s">
        <v>1174</v>
      </c>
      <c r="E256" s="24" t="s">
        <v>1166</v>
      </c>
    </row>
    <row r="257" spans="1:5" ht="72" customHeight="1">
      <c r="A257" s="24" t="s">
        <v>200</v>
      </c>
      <c r="B257" s="24" t="s">
        <v>14</v>
      </c>
      <c r="C257" s="24" t="s">
        <v>1191</v>
      </c>
      <c r="D257" s="24" t="s">
        <v>1174</v>
      </c>
      <c r="E257" s="24" t="s">
        <v>1166</v>
      </c>
    </row>
    <row r="258" spans="1:5" ht="72" customHeight="1">
      <c r="A258" s="24" t="s">
        <v>201</v>
      </c>
      <c r="B258" s="24" t="s">
        <v>14</v>
      </c>
      <c r="C258" s="24" t="s">
        <v>1191</v>
      </c>
      <c r="D258" s="24" t="s">
        <v>1174</v>
      </c>
      <c r="E258" s="24" t="s">
        <v>1166</v>
      </c>
    </row>
    <row r="259" spans="1:5" ht="72" customHeight="1">
      <c r="A259" s="24" t="s">
        <v>202</v>
      </c>
      <c r="B259" s="24" t="s">
        <v>14</v>
      </c>
      <c r="C259" s="24" t="s">
        <v>1191</v>
      </c>
      <c r="D259" s="24" t="s">
        <v>1174</v>
      </c>
      <c r="E259" s="24" t="s">
        <v>1166</v>
      </c>
    </row>
    <row r="260" spans="1:5" ht="72" customHeight="1">
      <c r="A260" s="24" t="s">
        <v>203</v>
      </c>
      <c r="B260" s="24" t="s">
        <v>14</v>
      </c>
      <c r="C260" s="24" t="s">
        <v>1191</v>
      </c>
      <c r="D260" s="24" t="s">
        <v>1174</v>
      </c>
      <c r="E260" s="24" t="s">
        <v>1166</v>
      </c>
    </row>
    <row r="261" spans="1:5" ht="72" customHeight="1">
      <c r="A261" s="24" t="s">
        <v>204</v>
      </c>
      <c r="B261" s="24" t="s">
        <v>14</v>
      </c>
      <c r="C261" s="24" t="s">
        <v>1191</v>
      </c>
      <c r="D261" s="24" t="s">
        <v>1174</v>
      </c>
      <c r="E261" s="24" t="s">
        <v>1166</v>
      </c>
    </row>
    <row r="262" spans="1:5" ht="72" customHeight="1">
      <c r="A262" s="24" t="s">
        <v>205</v>
      </c>
      <c r="B262" s="24" t="s">
        <v>14</v>
      </c>
      <c r="C262" s="24" t="s">
        <v>1191</v>
      </c>
      <c r="D262" s="24" t="s">
        <v>1174</v>
      </c>
      <c r="E262" s="24" t="s">
        <v>1166</v>
      </c>
    </row>
    <row r="263" spans="1:5" ht="72" customHeight="1">
      <c r="A263" s="24" t="s">
        <v>206</v>
      </c>
      <c r="B263" s="24" t="s">
        <v>14</v>
      </c>
      <c r="C263" s="24" t="s">
        <v>1191</v>
      </c>
      <c r="D263" s="24" t="s">
        <v>1174</v>
      </c>
      <c r="E263" s="24" t="s">
        <v>1166</v>
      </c>
    </row>
    <row r="264" spans="1:5" ht="72" customHeight="1">
      <c r="A264" s="24" t="s">
        <v>207</v>
      </c>
      <c r="B264" s="24" t="s">
        <v>14</v>
      </c>
      <c r="C264" s="24" t="s">
        <v>1191</v>
      </c>
      <c r="D264" s="24" t="s">
        <v>1174</v>
      </c>
      <c r="E264" s="24" t="s">
        <v>1166</v>
      </c>
    </row>
    <row r="265" spans="1:5" ht="72" customHeight="1">
      <c r="A265" s="24" t="s">
        <v>208</v>
      </c>
      <c r="B265" s="24" t="s">
        <v>14</v>
      </c>
      <c r="C265" s="24" t="s">
        <v>1191</v>
      </c>
      <c r="D265" s="24" t="s">
        <v>1174</v>
      </c>
      <c r="E265" s="24" t="s">
        <v>1166</v>
      </c>
    </row>
    <row r="266" spans="1:5" ht="72" customHeight="1">
      <c r="A266" s="24" t="s">
        <v>209</v>
      </c>
      <c r="B266" s="24" t="s">
        <v>14</v>
      </c>
      <c r="C266" s="24" t="s">
        <v>1191</v>
      </c>
      <c r="D266" s="24" t="s">
        <v>1174</v>
      </c>
      <c r="E266" s="24" t="s">
        <v>1166</v>
      </c>
    </row>
    <row r="267" spans="1:5" ht="72" customHeight="1">
      <c r="A267" s="24" t="s">
        <v>210</v>
      </c>
      <c r="B267" s="24" t="s">
        <v>14</v>
      </c>
      <c r="C267" s="24" t="s">
        <v>1191</v>
      </c>
      <c r="D267" s="24" t="s">
        <v>1174</v>
      </c>
      <c r="E267" s="24" t="s">
        <v>1166</v>
      </c>
    </row>
    <row r="268" spans="1:5" ht="72" customHeight="1">
      <c r="A268" s="24" t="s">
        <v>211</v>
      </c>
      <c r="B268" s="24" t="s">
        <v>14</v>
      </c>
      <c r="C268" s="24" t="s">
        <v>1191</v>
      </c>
      <c r="D268" s="24" t="s">
        <v>1174</v>
      </c>
      <c r="E268" s="24" t="s">
        <v>1166</v>
      </c>
    </row>
    <row r="269" spans="1:5" ht="72" customHeight="1">
      <c r="A269" s="24" t="s">
        <v>212</v>
      </c>
      <c r="B269" s="24" t="s">
        <v>14</v>
      </c>
      <c r="C269" s="24" t="s">
        <v>1191</v>
      </c>
      <c r="D269" s="24" t="s">
        <v>1174</v>
      </c>
      <c r="E269" s="24" t="s">
        <v>1166</v>
      </c>
    </row>
    <row r="270" spans="1:5" ht="72" customHeight="1">
      <c r="A270" s="24" t="s">
        <v>213</v>
      </c>
      <c r="B270" s="24" t="s">
        <v>14</v>
      </c>
      <c r="C270" s="24" t="s">
        <v>1191</v>
      </c>
      <c r="D270" s="24" t="s">
        <v>1174</v>
      </c>
      <c r="E270" s="24" t="s">
        <v>1166</v>
      </c>
    </row>
    <row r="271" spans="1:5" ht="72" customHeight="1">
      <c r="A271" s="24" t="s">
        <v>214</v>
      </c>
      <c r="B271" s="24" t="s">
        <v>14</v>
      </c>
      <c r="C271" s="24" t="s">
        <v>1191</v>
      </c>
      <c r="D271" s="24" t="s">
        <v>1174</v>
      </c>
      <c r="E271" s="24" t="s">
        <v>1166</v>
      </c>
    </row>
    <row r="272" spans="1:5" ht="72" customHeight="1">
      <c r="A272" s="24" t="s">
        <v>215</v>
      </c>
      <c r="B272" s="24" t="s">
        <v>14</v>
      </c>
      <c r="C272" s="24" t="s">
        <v>1191</v>
      </c>
      <c r="D272" s="24" t="s">
        <v>1174</v>
      </c>
      <c r="E272" s="24" t="s">
        <v>1166</v>
      </c>
    </row>
    <row r="273" spans="1:5" ht="72" customHeight="1">
      <c r="A273" s="24" t="s">
        <v>216</v>
      </c>
      <c r="B273" s="24" t="s">
        <v>14</v>
      </c>
      <c r="C273" s="24" t="s">
        <v>1191</v>
      </c>
      <c r="D273" s="24" t="s">
        <v>1174</v>
      </c>
      <c r="E273" s="24" t="s">
        <v>1166</v>
      </c>
    </row>
    <row r="274" spans="1:5" ht="72" customHeight="1">
      <c r="A274" s="24" t="s">
        <v>217</v>
      </c>
      <c r="B274" s="24" t="s">
        <v>14</v>
      </c>
      <c r="C274" s="24" t="s">
        <v>1191</v>
      </c>
      <c r="D274" s="24" t="s">
        <v>1174</v>
      </c>
      <c r="E274" s="24" t="s">
        <v>1166</v>
      </c>
    </row>
    <row r="275" spans="1:5" ht="72" customHeight="1">
      <c r="A275" s="24" t="s">
        <v>218</v>
      </c>
      <c r="B275" s="24" t="s">
        <v>14</v>
      </c>
      <c r="C275" s="24" t="s">
        <v>1191</v>
      </c>
      <c r="D275" s="24" t="s">
        <v>1174</v>
      </c>
      <c r="E275" s="24" t="s">
        <v>1166</v>
      </c>
    </row>
    <row r="276" spans="1:5" ht="72" customHeight="1">
      <c r="A276" s="24" t="s">
        <v>219</v>
      </c>
      <c r="B276" s="24" t="s">
        <v>14</v>
      </c>
      <c r="C276" s="24" t="s">
        <v>1191</v>
      </c>
      <c r="D276" s="24" t="s">
        <v>1174</v>
      </c>
      <c r="E276" s="24" t="s">
        <v>1166</v>
      </c>
    </row>
    <row r="277" spans="1:5" ht="72" customHeight="1">
      <c r="A277" s="24" t="s">
        <v>220</v>
      </c>
      <c r="B277" s="24" t="s">
        <v>14</v>
      </c>
      <c r="C277" s="24" t="s">
        <v>1191</v>
      </c>
      <c r="D277" s="24" t="s">
        <v>1174</v>
      </c>
      <c r="E277" s="24" t="s">
        <v>1166</v>
      </c>
    </row>
    <row r="278" spans="1:5" ht="72" customHeight="1">
      <c r="A278" s="24" t="s">
        <v>221</v>
      </c>
      <c r="B278" s="24" t="s">
        <v>14</v>
      </c>
      <c r="C278" s="24" t="s">
        <v>1191</v>
      </c>
      <c r="D278" s="24" t="s">
        <v>1174</v>
      </c>
      <c r="E278" s="24" t="s">
        <v>1166</v>
      </c>
    </row>
    <row r="279" spans="1:5" ht="72" customHeight="1">
      <c r="A279" s="24" t="s">
        <v>222</v>
      </c>
      <c r="B279" s="24" t="s">
        <v>14</v>
      </c>
      <c r="C279" s="24" t="s">
        <v>1191</v>
      </c>
      <c r="D279" s="24" t="s">
        <v>1174</v>
      </c>
      <c r="E279" s="24" t="s">
        <v>1166</v>
      </c>
    </row>
    <row r="280" spans="1:5" ht="72" customHeight="1">
      <c r="A280" s="24" t="s">
        <v>223</v>
      </c>
      <c r="B280" s="24" t="s">
        <v>14</v>
      </c>
      <c r="C280" s="24" t="s">
        <v>1191</v>
      </c>
      <c r="D280" s="24" t="s">
        <v>1174</v>
      </c>
      <c r="E280" s="24" t="s">
        <v>1166</v>
      </c>
    </row>
    <row r="281" spans="1:5" ht="72" customHeight="1">
      <c r="A281" s="24" t="s">
        <v>224</v>
      </c>
      <c r="B281" s="24" t="s">
        <v>14</v>
      </c>
      <c r="C281" s="24" t="s">
        <v>1191</v>
      </c>
      <c r="D281" s="24" t="s">
        <v>1174</v>
      </c>
      <c r="E281" s="24" t="s">
        <v>1166</v>
      </c>
    </row>
    <row r="282" spans="1:5" ht="72" customHeight="1">
      <c r="A282" s="24" t="s">
        <v>225</v>
      </c>
      <c r="B282" s="24" t="s">
        <v>14</v>
      </c>
      <c r="C282" s="24" t="s">
        <v>1191</v>
      </c>
      <c r="D282" s="24" t="s">
        <v>1174</v>
      </c>
      <c r="E282" s="24" t="s">
        <v>1166</v>
      </c>
    </row>
    <row r="283" spans="1:5" ht="72" customHeight="1">
      <c r="A283" s="24" t="s">
        <v>226</v>
      </c>
      <c r="B283" s="24" t="s">
        <v>14</v>
      </c>
      <c r="C283" s="24" t="s">
        <v>1191</v>
      </c>
      <c r="D283" s="24" t="s">
        <v>1174</v>
      </c>
      <c r="E283" s="24" t="s">
        <v>1166</v>
      </c>
    </row>
    <row r="284" spans="1:5" ht="72" customHeight="1">
      <c r="A284" s="24" t="s">
        <v>227</v>
      </c>
      <c r="B284" s="24" t="s">
        <v>14</v>
      </c>
      <c r="C284" s="24" t="s">
        <v>1191</v>
      </c>
      <c r="D284" s="24" t="s">
        <v>1174</v>
      </c>
      <c r="E284" s="24" t="s">
        <v>1166</v>
      </c>
    </row>
    <row r="285" spans="1:5" ht="72" customHeight="1">
      <c r="A285" s="24" t="s">
        <v>228</v>
      </c>
      <c r="B285" s="24" t="s">
        <v>14</v>
      </c>
      <c r="C285" s="24" t="s">
        <v>1191</v>
      </c>
      <c r="D285" s="24" t="s">
        <v>1174</v>
      </c>
      <c r="E285" s="24" t="s">
        <v>1166</v>
      </c>
    </row>
    <row r="286" spans="1:5" ht="72" customHeight="1">
      <c r="A286" s="24" t="s">
        <v>229</v>
      </c>
      <c r="B286" s="24" t="s">
        <v>14</v>
      </c>
      <c r="C286" s="24" t="s">
        <v>1191</v>
      </c>
      <c r="D286" s="24" t="s">
        <v>1174</v>
      </c>
      <c r="E286" s="24" t="s">
        <v>1166</v>
      </c>
    </row>
    <row r="287" spans="1:5" ht="72" customHeight="1">
      <c r="A287" s="24" t="s">
        <v>230</v>
      </c>
      <c r="B287" s="24" t="s">
        <v>14</v>
      </c>
      <c r="C287" s="24" t="s">
        <v>1191</v>
      </c>
      <c r="D287" s="24" t="s">
        <v>1174</v>
      </c>
      <c r="E287" s="24" t="s">
        <v>1166</v>
      </c>
    </row>
    <row r="288" spans="1:5" ht="72" customHeight="1">
      <c r="A288" s="24" t="s">
        <v>231</v>
      </c>
      <c r="B288" s="24" t="s">
        <v>14</v>
      </c>
      <c r="C288" s="24" t="s">
        <v>1191</v>
      </c>
      <c r="D288" s="24" t="s">
        <v>1174</v>
      </c>
      <c r="E288" s="24" t="s">
        <v>1166</v>
      </c>
    </row>
    <row r="289" spans="1:5" ht="72" customHeight="1">
      <c r="A289" s="24" t="s">
        <v>232</v>
      </c>
      <c r="B289" s="24" t="s">
        <v>14</v>
      </c>
      <c r="C289" s="24" t="s">
        <v>1191</v>
      </c>
      <c r="D289" s="24" t="s">
        <v>1174</v>
      </c>
      <c r="E289" s="24" t="s">
        <v>1166</v>
      </c>
    </row>
    <row r="290" spans="1:5" ht="72" customHeight="1">
      <c r="A290" s="24" t="s">
        <v>233</v>
      </c>
      <c r="B290" s="24" t="s">
        <v>14</v>
      </c>
      <c r="C290" s="24" t="s">
        <v>1191</v>
      </c>
      <c r="D290" s="24" t="s">
        <v>1174</v>
      </c>
      <c r="E290" s="24" t="s">
        <v>1166</v>
      </c>
    </row>
    <row r="291" spans="1:5" ht="72" customHeight="1">
      <c r="A291" s="24" t="s">
        <v>236</v>
      </c>
      <c r="B291" s="24" t="s">
        <v>14</v>
      </c>
      <c r="C291" s="24" t="s">
        <v>1191</v>
      </c>
      <c r="D291" s="24" t="s">
        <v>1174</v>
      </c>
      <c r="E291" s="24" t="s">
        <v>1166</v>
      </c>
    </row>
    <row r="292" spans="1:5" ht="72" customHeight="1">
      <c r="A292" s="24" t="s">
        <v>237</v>
      </c>
      <c r="B292" s="24" t="s">
        <v>14</v>
      </c>
      <c r="C292" s="24" t="s">
        <v>1191</v>
      </c>
      <c r="D292" s="24" t="s">
        <v>1174</v>
      </c>
      <c r="E292" s="24" t="s">
        <v>1166</v>
      </c>
    </row>
    <row r="293" spans="1:5" ht="72" customHeight="1">
      <c r="A293" s="24" t="s">
        <v>82</v>
      </c>
      <c r="B293" s="24" t="s">
        <v>14</v>
      </c>
      <c r="C293" s="24" t="s">
        <v>1164</v>
      </c>
      <c r="D293" s="24" t="s">
        <v>1165</v>
      </c>
      <c r="E293" s="24" t="s">
        <v>1166</v>
      </c>
    </row>
    <row r="294" spans="1:5" ht="72" customHeight="1">
      <c r="A294" s="24" t="s">
        <v>83</v>
      </c>
      <c r="B294" s="24" t="s">
        <v>14</v>
      </c>
      <c r="C294" s="24" t="s">
        <v>1164</v>
      </c>
      <c r="D294" s="24" t="s">
        <v>1165</v>
      </c>
      <c r="E294" s="24" t="s">
        <v>1166</v>
      </c>
    </row>
    <row r="295" spans="1:5" ht="72" customHeight="1">
      <c r="A295" s="24" t="s">
        <v>87</v>
      </c>
      <c r="B295" s="24" t="s">
        <v>14</v>
      </c>
      <c r="C295" s="24" t="s">
        <v>1164</v>
      </c>
      <c r="D295" s="24" t="s">
        <v>1165</v>
      </c>
      <c r="E295" s="24" t="s">
        <v>1166</v>
      </c>
    </row>
    <row r="296" spans="1:5" ht="72" customHeight="1">
      <c r="A296" s="24" t="s">
        <v>86</v>
      </c>
      <c r="B296" s="24" t="s">
        <v>14</v>
      </c>
      <c r="C296" s="24" t="s">
        <v>1164</v>
      </c>
      <c r="D296" s="24" t="s">
        <v>1165</v>
      </c>
      <c r="E296" s="24" t="s">
        <v>1166</v>
      </c>
    </row>
    <row r="297" spans="1:5" ht="72" customHeight="1">
      <c r="A297" s="24" t="s">
        <v>84</v>
      </c>
      <c r="B297" s="24" t="s">
        <v>14</v>
      </c>
      <c r="C297" s="24" t="s">
        <v>1164</v>
      </c>
      <c r="D297" s="24" t="s">
        <v>1165</v>
      </c>
      <c r="E297" s="24" t="s">
        <v>1166</v>
      </c>
    </row>
    <row r="298" spans="1:5" ht="72" customHeight="1">
      <c r="A298" s="24" t="s">
        <v>85</v>
      </c>
      <c r="B298" s="24" t="s">
        <v>14</v>
      </c>
      <c r="C298" s="24" t="s">
        <v>1164</v>
      </c>
      <c r="D298" s="24" t="s">
        <v>1165</v>
      </c>
      <c r="E298" s="24" t="s">
        <v>1166</v>
      </c>
    </row>
    <row r="299" spans="1:5" ht="72" customHeight="1">
      <c r="A299" s="24" t="s">
        <v>165</v>
      </c>
      <c r="B299" s="24" t="s">
        <v>14</v>
      </c>
      <c r="C299" s="24" t="s">
        <v>1164</v>
      </c>
      <c r="D299" s="24" t="s">
        <v>1165</v>
      </c>
      <c r="E299" s="24" t="s">
        <v>1166</v>
      </c>
    </row>
    <row r="300" spans="1:5" ht="72" customHeight="1">
      <c r="A300" s="24" t="s">
        <v>166</v>
      </c>
      <c r="B300" s="24" t="s">
        <v>14</v>
      </c>
      <c r="C300" s="24" t="s">
        <v>1164</v>
      </c>
      <c r="D300" s="24" t="s">
        <v>1165</v>
      </c>
      <c r="E300" s="24" t="s">
        <v>1166</v>
      </c>
    </row>
    <row r="301" spans="1:5" ht="72" customHeight="1">
      <c r="A301" s="24" t="s">
        <v>119</v>
      </c>
      <c r="B301" s="24" t="s">
        <v>14</v>
      </c>
      <c r="C301" s="24" t="s">
        <v>1164</v>
      </c>
      <c r="D301" s="24" t="s">
        <v>1165</v>
      </c>
      <c r="E301" s="24" t="s">
        <v>1166</v>
      </c>
    </row>
    <row r="302" spans="1:5" ht="72" customHeight="1">
      <c r="A302" s="24" t="s">
        <v>119</v>
      </c>
      <c r="B302" s="24" t="s">
        <v>19</v>
      </c>
      <c r="C302" s="24" t="s">
        <v>1192</v>
      </c>
      <c r="D302" s="24" t="s">
        <v>1193</v>
      </c>
      <c r="E302" s="24" t="s">
        <v>1169</v>
      </c>
    </row>
    <row r="303" spans="1:5" ht="72" customHeight="1">
      <c r="A303" s="24" t="s">
        <v>119</v>
      </c>
      <c r="B303" s="24" t="s">
        <v>23</v>
      </c>
      <c r="C303" s="24" t="s">
        <v>1194</v>
      </c>
      <c r="D303" s="24" t="s">
        <v>1170</v>
      </c>
      <c r="E303" s="24" t="s">
        <v>1171</v>
      </c>
    </row>
    <row r="304" spans="1:5" ht="72" customHeight="1">
      <c r="A304" s="24" t="s">
        <v>120</v>
      </c>
      <c r="B304" s="24" t="s">
        <v>14</v>
      </c>
      <c r="C304" s="24"/>
      <c r="D304" s="24" t="s">
        <v>1165</v>
      </c>
      <c r="E304" s="24" t="s">
        <v>1166</v>
      </c>
    </row>
    <row r="305" spans="1:5" ht="72" customHeight="1">
      <c r="A305" s="24" t="s">
        <v>120</v>
      </c>
      <c r="B305" s="24" t="s">
        <v>22</v>
      </c>
      <c r="C305" s="24"/>
      <c r="D305" s="24" t="s">
        <v>1178</v>
      </c>
      <c r="E305" s="24" t="s">
        <v>1177</v>
      </c>
    </row>
    <row r="306" spans="1:5" ht="72" customHeight="1">
      <c r="A306" s="24" t="s">
        <v>120</v>
      </c>
      <c r="B306" s="24" t="s">
        <v>19</v>
      </c>
      <c r="C306" s="24" t="s">
        <v>1195</v>
      </c>
      <c r="D306" s="24" t="s">
        <v>1196</v>
      </c>
      <c r="E306" s="24" t="s">
        <v>1169</v>
      </c>
    </row>
    <row r="307" spans="1:5" ht="72" customHeight="1">
      <c r="A307" s="24" t="s">
        <v>120</v>
      </c>
      <c r="B307" s="24" t="s">
        <v>23</v>
      </c>
      <c r="C307" s="24"/>
      <c r="D307" s="24" t="s">
        <v>1170</v>
      </c>
      <c r="E307" s="24" t="s">
        <v>1171</v>
      </c>
    </row>
    <row r="308" spans="1:5" ht="72" customHeight="1">
      <c r="A308" s="24" t="s">
        <v>195</v>
      </c>
      <c r="B308" s="24" t="s">
        <v>14</v>
      </c>
      <c r="C308" s="24"/>
      <c r="D308" s="24" t="s">
        <v>1174</v>
      </c>
      <c r="E308" s="24" t="s">
        <v>1166</v>
      </c>
    </row>
    <row r="309" spans="1:5" ht="72" customHeight="1">
      <c r="A309" s="24" t="s">
        <v>195</v>
      </c>
      <c r="B309" s="24" t="s">
        <v>22</v>
      </c>
      <c r="C309" s="24"/>
      <c r="D309" s="24" t="s">
        <v>1197</v>
      </c>
      <c r="E309" s="24" t="s">
        <v>1177</v>
      </c>
    </row>
    <row r="310" spans="1:5" ht="72" customHeight="1">
      <c r="A310" s="24" t="s">
        <v>195</v>
      </c>
      <c r="B310" s="24" t="s">
        <v>19</v>
      </c>
      <c r="C310" s="24" t="s">
        <v>1195</v>
      </c>
      <c r="D310" s="24" t="s">
        <v>1198</v>
      </c>
      <c r="E310" s="24" t="s">
        <v>1169</v>
      </c>
    </row>
    <row r="311" spans="1:5" ht="72" customHeight="1">
      <c r="A311" s="24" t="s">
        <v>195</v>
      </c>
      <c r="B311" s="24" t="s">
        <v>23</v>
      </c>
      <c r="C311" s="24"/>
      <c r="D311" s="24" t="s">
        <v>1170</v>
      </c>
      <c r="E311" s="24" t="s">
        <v>1171</v>
      </c>
    </row>
    <row r="312" spans="1:5" ht="72" customHeight="1">
      <c r="A312" s="24" t="s">
        <v>235</v>
      </c>
      <c r="B312" s="24" t="s">
        <v>14</v>
      </c>
      <c r="C312" s="24"/>
      <c r="D312" s="24" t="s">
        <v>1174</v>
      </c>
      <c r="E312" s="24" t="s">
        <v>1166</v>
      </c>
    </row>
    <row r="313" spans="1:5" ht="72" customHeight="1">
      <c r="A313" s="24" t="s">
        <v>235</v>
      </c>
      <c r="B313" s="24" t="s">
        <v>22</v>
      </c>
      <c r="C313" s="24"/>
      <c r="D313" s="24" t="s">
        <v>1186</v>
      </c>
      <c r="E313" s="24" t="s">
        <v>1177</v>
      </c>
    </row>
    <row r="314" spans="1:5" ht="72" customHeight="1">
      <c r="A314" s="24" t="s">
        <v>235</v>
      </c>
      <c r="B314" s="24" t="s">
        <v>19</v>
      </c>
      <c r="C314" s="24" t="s">
        <v>1195</v>
      </c>
      <c r="D314" s="24" t="s">
        <v>1199</v>
      </c>
      <c r="E314" s="24" t="s">
        <v>1169</v>
      </c>
    </row>
    <row r="315" spans="1:5" ht="72" customHeight="1">
      <c r="A315" s="24" t="s">
        <v>235</v>
      </c>
      <c r="B315" s="24" t="s">
        <v>23</v>
      </c>
      <c r="C315" s="24"/>
      <c r="D315" s="24" t="s">
        <v>1170</v>
      </c>
      <c r="E315" s="24" t="s">
        <v>1171</v>
      </c>
    </row>
    <row r="316" spans="1:5" ht="72" customHeight="1">
      <c r="A316" s="24" t="s">
        <v>63</v>
      </c>
      <c r="B316" s="24" t="s">
        <v>13</v>
      </c>
      <c r="C316" s="24" t="s">
        <v>460</v>
      </c>
      <c r="D316" s="24" t="s">
        <v>1200</v>
      </c>
      <c r="E316" s="24" t="s">
        <v>1201</v>
      </c>
    </row>
    <row r="317" spans="1:5" ht="72" customHeight="1">
      <c r="A317" s="24" t="s">
        <v>64</v>
      </c>
      <c r="B317" s="24" t="s">
        <v>13</v>
      </c>
      <c r="C317" s="24" t="s">
        <v>463</v>
      </c>
      <c r="D317" s="24" t="s">
        <v>1202</v>
      </c>
      <c r="E317" s="24" t="s">
        <v>1201</v>
      </c>
    </row>
    <row r="318" spans="1:5" ht="72" customHeight="1">
      <c r="A318" s="24" t="s">
        <v>65</v>
      </c>
      <c r="B318" s="24" t="s">
        <v>13</v>
      </c>
      <c r="C318" s="24" t="s">
        <v>467</v>
      </c>
      <c r="D318" s="24" t="s">
        <v>1203</v>
      </c>
      <c r="E318" s="24" t="s">
        <v>1201</v>
      </c>
    </row>
    <row r="319" spans="1:5" ht="72" customHeight="1">
      <c r="A319" s="24" t="s">
        <v>66</v>
      </c>
      <c r="B319" s="24" t="s">
        <v>13</v>
      </c>
      <c r="C319" s="24" t="s">
        <v>470</v>
      </c>
      <c r="D319" s="24" t="s">
        <v>1204</v>
      </c>
      <c r="E319" s="24" t="s">
        <v>1201</v>
      </c>
    </row>
    <row r="320" spans="1:5" ht="72" customHeight="1">
      <c r="A320" s="24" t="s">
        <v>68</v>
      </c>
      <c r="B320" s="24" t="s">
        <v>13</v>
      </c>
      <c r="C320" s="24" t="s">
        <v>478</v>
      </c>
      <c r="D320" s="24" t="s">
        <v>1205</v>
      </c>
      <c r="E320" s="24" t="s">
        <v>1201</v>
      </c>
    </row>
    <row r="321" spans="1:5" ht="72" customHeight="1">
      <c r="A321" s="24" t="s">
        <v>70</v>
      </c>
      <c r="B321" s="24" t="s">
        <v>13</v>
      </c>
      <c r="C321" s="24" t="s">
        <v>486</v>
      </c>
      <c r="D321" s="24" t="s">
        <v>1206</v>
      </c>
      <c r="E321" s="24" t="s">
        <v>1201</v>
      </c>
    </row>
    <row r="322" spans="1:5" ht="72" customHeight="1">
      <c r="A322" s="24" t="s">
        <v>71</v>
      </c>
      <c r="B322" s="24" t="s">
        <v>13</v>
      </c>
      <c r="C322" s="24" t="s">
        <v>490</v>
      </c>
      <c r="D322" s="24" t="s">
        <v>1207</v>
      </c>
      <c r="E322" s="24" t="s">
        <v>1201</v>
      </c>
    </row>
    <row r="323" spans="1:5" ht="72" customHeight="1">
      <c r="A323" s="24" t="s">
        <v>72</v>
      </c>
      <c r="B323" s="24" t="s">
        <v>13</v>
      </c>
      <c r="C323" s="24" t="s">
        <v>494</v>
      </c>
      <c r="D323" s="24" t="s">
        <v>1208</v>
      </c>
      <c r="E323" s="24" t="s">
        <v>1201</v>
      </c>
    </row>
    <row r="324" spans="1:5" ht="72" customHeight="1">
      <c r="A324" s="24" t="s">
        <v>73</v>
      </c>
      <c r="B324" s="24" t="s">
        <v>13</v>
      </c>
      <c r="C324" s="24" t="s">
        <v>497</v>
      </c>
      <c r="D324" s="24" t="s">
        <v>1209</v>
      </c>
      <c r="E324" s="24" t="s">
        <v>1201</v>
      </c>
    </row>
    <row r="325" spans="1:5" ht="72" customHeight="1">
      <c r="A325" s="24" t="s">
        <v>74</v>
      </c>
      <c r="B325" s="24" t="s">
        <v>13</v>
      </c>
      <c r="C325" s="24" t="s">
        <v>497</v>
      </c>
      <c r="D325" s="24" t="s">
        <v>1209</v>
      </c>
      <c r="E325" s="24" t="s">
        <v>1201</v>
      </c>
    </row>
    <row r="326" spans="1:5" ht="72" customHeight="1">
      <c r="A326" s="24" t="s">
        <v>75</v>
      </c>
      <c r="B326" s="24" t="s">
        <v>13</v>
      </c>
      <c r="C326" s="24" t="s">
        <v>502</v>
      </c>
      <c r="D326" s="24" t="s">
        <v>1210</v>
      </c>
      <c r="E326" s="24" t="s">
        <v>1201</v>
      </c>
    </row>
    <row r="327" spans="1:5" ht="72" customHeight="1">
      <c r="A327" s="24" t="s">
        <v>76</v>
      </c>
      <c r="B327" s="24" t="s">
        <v>13</v>
      </c>
      <c r="C327" s="24" t="s">
        <v>507</v>
      </c>
      <c r="D327" s="24" t="s">
        <v>1211</v>
      </c>
      <c r="E327" s="24" t="s">
        <v>1201</v>
      </c>
    </row>
    <row r="328" spans="1:5" ht="72" customHeight="1">
      <c r="A328" s="24" t="s">
        <v>77</v>
      </c>
      <c r="B328" s="24" t="s">
        <v>13</v>
      </c>
      <c r="C328" s="24" t="s">
        <v>510</v>
      </c>
      <c r="D328" s="24" t="s">
        <v>1212</v>
      </c>
      <c r="E328" s="24" t="s">
        <v>1201</v>
      </c>
    </row>
    <row r="329" spans="1:5" ht="72" customHeight="1">
      <c r="A329" s="24" t="s">
        <v>78</v>
      </c>
      <c r="B329" s="24" t="s">
        <v>13</v>
      </c>
      <c r="C329" s="24" t="s">
        <v>513</v>
      </c>
      <c r="D329" s="24" t="s">
        <v>1213</v>
      </c>
      <c r="E329" s="24" t="s">
        <v>1201</v>
      </c>
    </row>
    <row r="330" spans="1:5" ht="72" customHeight="1">
      <c r="A330" s="24" t="s">
        <v>79</v>
      </c>
      <c r="B330" s="24" t="s">
        <v>13</v>
      </c>
      <c r="C330" s="24" t="s">
        <v>517</v>
      </c>
      <c r="D330" s="24" t="s">
        <v>1214</v>
      </c>
      <c r="E330" s="24" t="s">
        <v>1201</v>
      </c>
    </row>
    <row r="331" spans="1:5" ht="72" customHeight="1">
      <c r="A331" s="24" t="s">
        <v>80</v>
      </c>
      <c r="B331" s="24" t="s">
        <v>13</v>
      </c>
      <c r="C331" s="24" t="s">
        <v>520</v>
      </c>
      <c r="D331" s="24" t="s">
        <v>1215</v>
      </c>
      <c r="E331" s="24" t="s">
        <v>1201</v>
      </c>
    </row>
    <row r="332" spans="1:5" ht="72" customHeight="1">
      <c r="A332" s="24" t="s">
        <v>81</v>
      </c>
      <c r="B332" s="24" t="s">
        <v>13</v>
      </c>
      <c r="C332" s="24" t="s">
        <v>523</v>
      </c>
      <c r="D332" s="24" t="s">
        <v>1216</v>
      </c>
      <c r="E332" s="24" t="s">
        <v>1201</v>
      </c>
    </row>
    <row r="333" spans="1:5" ht="72" customHeight="1">
      <c r="A333" s="24" t="s">
        <v>88</v>
      </c>
      <c r="B333" s="24" t="s">
        <v>13</v>
      </c>
      <c r="C333" s="24" t="s">
        <v>528</v>
      </c>
      <c r="D333" s="24" t="s">
        <v>1217</v>
      </c>
      <c r="E333" s="24" t="s">
        <v>1201</v>
      </c>
    </row>
    <row r="334" spans="1:5" ht="72" customHeight="1">
      <c r="A334" s="24" t="s">
        <v>89</v>
      </c>
      <c r="B334" s="24" t="s">
        <v>13</v>
      </c>
      <c r="C334" s="24" t="s">
        <v>532</v>
      </c>
      <c r="D334" s="24" t="s">
        <v>1218</v>
      </c>
      <c r="E334" s="24" t="s">
        <v>1201</v>
      </c>
    </row>
    <row r="335" spans="1:5" ht="72" customHeight="1">
      <c r="A335" s="24" t="s">
        <v>92</v>
      </c>
      <c r="B335" s="24" t="s">
        <v>13</v>
      </c>
      <c r="C335" s="24" t="s">
        <v>542</v>
      </c>
      <c r="D335" s="24" t="s">
        <v>1219</v>
      </c>
      <c r="E335" s="24" t="s">
        <v>1201</v>
      </c>
    </row>
    <row r="336" spans="1:5" ht="72" customHeight="1">
      <c r="A336" s="24" t="s">
        <v>97</v>
      </c>
      <c r="B336" s="24" t="s">
        <v>13</v>
      </c>
      <c r="C336" s="24" t="s">
        <v>539</v>
      </c>
      <c r="D336" s="24" t="s">
        <v>1220</v>
      </c>
      <c r="E336" s="24" t="s">
        <v>1201</v>
      </c>
    </row>
    <row r="337" spans="1:5" ht="72" customHeight="1">
      <c r="A337" s="24" t="s">
        <v>98</v>
      </c>
      <c r="B337" s="24" t="s">
        <v>13</v>
      </c>
      <c r="C337" s="24" t="s">
        <v>1221</v>
      </c>
      <c r="D337" s="24" t="s">
        <v>1222</v>
      </c>
      <c r="E337" s="24" t="s">
        <v>1201</v>
      </c>
    </row>
    <row r="338" spans="1:5" ht="72" customHeight="1">
      <c r="A338" s="24" t="s">
        <v>99</v>
      </c>
      <c r="B338" s="24" t="s">
        <v>13</v>
      </c>
      <c r="C338" s="24" t="s">
        <v>562</v>
      </c>
      <c r="D338" s="24" t="s">
        <v>1223</v>
      </c>
      <c r="E338" s="24" t="s">
        <v>1201</v>
      </c>
    </row>
    <row r="339" spans="1:5" ht="72" customHeight="1">
      <c r="A339" s="24" t="s">
        <v>100</v>
      </c>
      <c r="B339" s="24" t="s">
        <v>13</v>
      </c>
      <c r="C339" s="24" t="s">
        <v>101</v>
      </c>
      <c r="D339" s="24" t="s">
        <v>1224</v>
      </c>
      <c r="E339" s="24" t="s">
        <v>1201</v>
      </c>
    </row>
    <row r="340" spans="1:5" ht="72" customHeight="1">
      <c r="A340" s="24" t="s">
        <v>101</v>
      </c>
      <c r="B340" s="24" t="s">
        <v>13</v>
      </c>
      <c r="C340" s="24" t="s">
        <v>566</v>
      </c>
      <c r="D340" s="24" t="s">
        <v>1225</v>
      </c>
      <c r="E340" s="24" t="s">
        <v>1201</v>
      </c>
    </row>
    <row r="341" spans="1:5" ht="72" customHeight="1">
      <c r="A341" s="24" t="s">
        <v>167</v>
      </c>
      <c r="B341" s="24" t="s">
        <v>13</v>
      </c>
      <c r="C341" s="24"/>
      <c r="D341" s="24" t="s">
        <v>237</v>
      </c>
      <c r="E341" s="24" t="s">
        <v>1201</v>
      </c>
    </row>
    <row r="342" spans="1:5" ht="72" customHeight="1">
      <c r="A342" s="24" t="s">
        <v>102</v>
      </c>
      <c r="B342" s="24" t="s">
        <v>13</v>
      </c>
      <c r="C342" s="24" t="s">
        <v>571</v>
      </c>
      <c r="D342" s="24" t="s">
        <v>1226</v>
      </c>
      <c r="E342" s="24" t="s">
        <v>1201</v>
      </c>
    </row>
    <row r="343" spans="1:5" ht="72" customHeight="1">
      <c r="A343" s="24" t="s">
        <v>103</v>
      </c>
      <c r="B343" s="24" t="s">
        <v>13</v>
      </c>
      <c r="C343" s="24"/>
      <c r="D343" s="24" t="s">
        <v>625</v>
      </c>
      <c r="E343" s="24" t="s">
        <v>1201</v>
      </c>
    </row>
    <row r="344" spans="1:5" ht="72" customHeight="1">
      <c r="A344" s="24" t="s">
        <v>104</v>
      </c>
      <c r="B344" s="24" t="s">
        <v>13</v>
      </c>
      <c r="C344" s="24" t="s">
        <v>577</v>
      </c>
      <c r="D344" s="24" t="s">
        <v>1227</v>
      </c>
      <c r="E344" s="24" t="s">
        <v>1201</v>
      </c>
    </row>
    <row r="345" spans="1:5" ht="72" customHeight="1">
      <c r="A345" s="24" t="s">
        <v>105</v>
      </c>
      <c r="B345" s="24" t="s">
        <v>13</v>
      </c>
      <c r="C345" s="24" t="s">
        <v>579</v>
      </c>
      <c r="D345" s="24" t="s">
        <v>1228</v>
      </c>
      <c r="E345" s="24" t="s">
        <v>1201</v>
      </c>
    </row>
    <row r="346" spans="1:5" ht="72" customHeight="1">
      <c r="A346" s="24" t="s">
        <v>106</v>
      </c>
      <c r="B346" s="24" t="s">
        <v>13</v>
      </c>
      <c r="C346" s="24" t="s">
        <v>582</v>
      </c>
      <c r="D346" s="24" t="s">
        <v>1229</v>
      </c>
      <c r="E346" s="24" t="s">
        <v>1201</v>
      </c>
    </row>
    <row r="347" spans="1:5" ht="72" customHeight="1">
      <c r="A347" s="24" t="s">
        <v>107</v>
      </c>
      <c r="B347" s="24" t="s">
        <v>13</v>
      </c>
      <c r="C347" s="24" t="s">
        <v>171</v>
      </c>
      <c r="D347" s="24" t="s">
        <v>1230</v>
      </c>
      <c r="E347" s="24" t="s">
        <v>1201</v>
      </c>
    </row>
    <row r="348" spans="1:5" ht="72" customHeight="1">
      <c r="A348" s="24" t="s">
        <v>109</v>
      </c>
      <c r="B348" s="24" t="s">
        <v>13</v>
      </c>
      <c r="C348" s="24" t="s">
        <v>589</v>
      </c>
      <c r="D348" s="24" t="s">
        <v>1231</v>
      </c>
      <c r="E348" s="24" t="s">
        <v>1201</v>
      </c>
    </row>
    <row r="349" spans="1:5" ht="72" customHeight="1">
      <c r="A349" s="24" t="s">
        <v>110</v>
      </c>
      <c r="B349" s="24" t="s">
        <v>13</v>
      </c>
      <c r="C349" s="24" t="s">
        <v>592</v>
      </c>
      <c r="D349" s="24" t="s">
        <v>1232</v>
      </c>
      <c r="E349" s="24" t="s">
        <v>1201</v>
      </c>
    </row>
    <row r="350" spans="1:5" ht="72" customHeight="1">
      <c r="A350" s="24" t="s">
        <v>111</v>
      </c>
      <c r="B350" s="24" t="s">
        <v>13</v>
      </c>
      <c r="C350" s="24" t="s">
        <v>1233</v>
      </c>
      <c r="D350" s="24" t="s">
        <v>1234</v>
      </c>
      <c r="E350" s="24" t="s">
        <v>1201</v>
      </c>
    </row>
    <row r="351" spans="1:5" ht="72" customHeight="1">
      <c r="A351" s="24" t="s">
        <v>112</v>
      </c>
      <c r="B351" s="24" t="s">
        <v>13</v>
      </c>
      <c r="C351" s="24" t="s">
        <v>1235</v>
      </c>
      <c r="D351" s="24" t="s">
        <v>1236</v>
      </c>
      <c r="E351" s="24" t="s">
        <v>1201</v>
      </c>
    </row>
    <row r="352" spans="1:5" ht="72" customHeight="1">
      <c r="A352" s="24" t="s">
        <v>113</v>
      </c>
      <c r="B352" s="24" t="s">
        <v>13</v>
      </c>
      <c r="C352" s="24" t="s">
        <v>1237</v>
      </c>
      <c r="D352" s="24" t="s">
        <v>1238</v>
      </c>
      <c r="E352" s="24" t="s">
        <v>1201</v>
      </c>
    </row>
    <row r="353" spans="1:5" ht="72" customHeight="1">
      <c r="A353" s="24" t="s">
        <v>114</v>
      </c>
      <c r="B353" s="24" t="s">
        <v>13</v>
      </c>
      <c r="C353" s="24" t="s">
        <v>115</v>
      </c>
      <c r="D353" s="24" t="s">
        <v>1239</v>
      </c>
      <c r="E353" s="24" t="s">
        <v>1201</v>
      </c>
    </row>
    <row r="354" spans="1:5" ht="72" customHeight="1">
      <c r="A354" s="24" t="s">
        <v>115</v>
      </c>
      <c r="B354" s="24" t="s">
        <v>13</v>
      </c>
      <c r="C354" s="24"/>
      <c r="D354" s="24" t="s">
        <v>1240</v>
      </c>
      <c r="E354" s="24" t="s">
        <v>1201</v>
      </c>
    </row>
    <row r="355" spans="1:5" ht="72" customHeight="1">
      <c r="A355" s="24" t="s">
        <v>234</v>
      </c>
      <c r="B355" s="24" t="s">
        <v>13</v>
      </c>
      <c r="C355" s="24"/>
      <c r="D355" s="24" t="s">
        <v>237</v>
      </c>
      <c r="E355" s="24" t="s">
        <v>1201</v>
      </c>
    </row>
    <row r="356" spans="1:5" ht="72" customHeight="1">
      <c r="A356" s="24" t="s">
        <v>116</v>
      </c>
      <c r="B356" s="24" t="s">
        <v>13</v>
      </c>
      <c r="C356" s="24"/>
      <c r="D356" s="24" t="s">
        <v>163</v>
      </c>
      <c r="E356" s="24" t="s">
        <v>1201</v>
      </c>
    </row>
    <row r="357" spans="1:5" ht="72" customHeight="1">
      <c r="A357" s="24" t="s">
        <v>117</v>
      </c>
      <c r="B357" s="24" t="s">
        <v>13</v>
      </c>
      <c r="C357" s="24" t="s">
        <v>617</v>
      </c>
      <c r="D357" s="24" t="s">
        <v>1241</v>
      </c>
      <c r="E357" s="24" t="s">
        <v>1201</v>
      </c>
    </row>
    <row r="358" spans="1:5" ht="72" customHeight="1">
      <c r="A358" s="24" t="s">
        <v>121</v>
      </c>
      <c r="B358" s="24" t="s">
        <v>13</v>
      </c>
      <c r="C358" s="24" t="s">
        <v>163</v>
      </c>
      <c r="D358" s="24" t="s">
        <v>194</v>
      </c>
      <c r="E358" s="24" t="s">
        <v>1201</v>
      </c>
    </row>
    <row r="359" spans="1:5" ht="72" customHeight="1">
      <c r="A359" s="24" t="s">
        <v>122</v>
      </c>
      <c r="B359" s="24" t="s">
        <v>13</v>
      </c>
      <c r="C359" s="24" t="s">
        <v>123</v>
      </c>
      <c r="D359" s="24" t="s">
        <v>1242</v>
      </c>
      <c r="E359" s="24" t="s">
        <v>1201</v>
      </c>
    </row>
    <row r="360" spans="1:5" ht="72" customHeight="1">
      <c r="A360" s="24" t="s">
        <v>123</v>
      </c>
      <c r="B360" s="24" t="s">
        <v>13</v>
      </c>
      <c r="C360" s="24"/>
      <c r="D360" s="24" t="s">
        <v>163</v>
      </c>
      <c r="E360" s="24" t="s">
        <v>1201</v>
      </c>
    </row>
    <row r="361" spans="1:5" ht="72" customHeight="1">
      <c r="A361" s="24" t="s">
        <v>125</v>
      </c>
      <c r="B361" s="24" t="s">
        <v>13</v>
      </c>
      <c r="C361" s="24" t="s">
        <v>637</v>
      </c>
      <c r="D361" s="24" t="s">
        <v>1243</v>
      </c>
      <c r="E361" s="24" t="s">
        <v>1201</v>
      </c>
    </row>
    <row r="362" spans="1:5" ht="72" customHeight="1">
      <c r="A362" s="24" t="s">
        <v>126</v>
      </c>
      <c r="B362" s="24" t="s">
        <v>13</v>
      </c>
      <c r="C362" s="24" t="s">
        <v>641</v>
      </c>
      <c r="D362" s="24" t="s">
        <v>1244</v>
      </c>
      <c r="E362" s="24" t="s">
        <v>1201</v>
      </c>
    </row>
    <row r="363" spans="1:5" ht="72" customHeight="1">
      <c r="A363" s="24" t="s">
        <v>137</v>
      </c>
      <c r="B363" s="24" t="s">
        <v>13</v>
      </c>
      <c r="C363" s="24" t="s">
        <v>671</v>
      </c>
      <c r="D363" s="24" t="s">
        <v>1245</v>
      </c>
      <c r="E363" s="24" t="s">
        <v>1201</v>
      </c>
    </row>
    <row r="364" spans="1:5" ht="72" customHeight="1">
      <c r="A364" s="24" t="s">
        <v>138</v>
      </c>
      <c r="B364" s="24" t="s">
        <v>13</v>
      </c>
      <c r="C364" s="24" t="s">
        <v>671</v>
      </c>
      <c r="D364" s="24" t="s">
        <v>1245</v>
      </c>
      <c r="E364" s="24" t="s">
        <v>1201</v>
      </c>
    </row>
    <row r="365" spans="1:5" ht="72" customHeight="1">
      <c r="A365" s="24" t="s">
        <v>139</v>
      </c>
      <c r="B365" s="24" t="s">
        <v>13</v>
      </c>
      <c r="C365" s="24" t="s">
        <v>671</v>
      </c>
      <c r="D365" s="24" t="s">
        <v>1245</v>
      </c>
      <c r="E365" s="24" t="s">
        <v>1201</v>
      </c>
    </row>
    <row r="366" spans="1:5" ht="72" customHeight="1">
      <c r="A366" s="24" t="s">
        <v>141</v>
      </c>
      <c r="B366" s="24" t="s">
        <v>13</v>
      </c>
      <c r="C366" s="24" t="s">
        <v>103</v>
      </c>
      <c r="D366" s="24" t="s">
        <v>1246</v>
      </c>
      <c r="E366" s="24" t="s">
        <v>1201</v>
      </c>
    </row>
    <row r="367" spans="1:5" ht="72" customHeight="1">
      <c r="A367" s="24" t="s">
        <v>142</v>
      </c>
      <c r="B367" s="24" t="s">
        <v>13</v>
      </c>
      <c r="C367" s="24" t="s">
        <v>680</v>
      </c>
      <c r="D367" s="24" t="s">
        <v>1247</v>
      </c>
      <c r="E367" s="24" t="s">
        <v>1201</v>
      </c>
    </row>
    <row r="368" spans="1:5" ht="72" customHeight="1">
      <c r="A368" s="24" t="s">
        <v>145</v>
      </c>
      <c r="B368" s="24" t="s">
        <v>13</v>
      </c>
      <c r="C368" s="24" t="s">
        <v>687</v>
      </c>
      <c r="D368" s="24" t="s">
        <v>1248</v>
      </c>
      <c r="E368" s="24" t="s">
        <v>1201</v>
      </c>
    </row>
    <row r="369" spans="1:5" ht="72" customHeight="1">
      <c r="A369" s="24" t="s">
        <v>146</v>
      </c>
      <c r="B369" s="24" t="s">
        <v>13</v>
      </c>
      <c r="C369" s="24" t="s">
        <v>689</v>
      </c>
      <c r="D369" s="24" t="s">
        <v>1249</v>
      </c>
      <c r="E369" s="24" t="s">
        <v>1201</v>
      </c>
    </row>
    <row r="370" spans="1:5" ht="72" customHeight="1">
      <c r="A370" s="24" t="s">
        <v>148</v>
      </c>
      <c r="B370" s="24" t="s">
        <v>13</v>
      </c>
      <c r="C370" s="24"/>
      <c r="D370" s="24" t="s">
        <v>163</v>
      </c>
      <c r="E370" s="24" t="s">
        <v>1201</v>
      </c>
    </row>
    <row r="371" spans="1:5" ht="72" customHeight="1">
      <c r="A371" s="24" t="s">
        <v>152</v>
      </c>
      <c r="B371" s="24" t="s">
        <v>13</v>
      </c>
      <c r="C371" s="24" t="s">
        <v>705</v>
      </c>
      <c r="D371" s="24" t="s">
        <v>1250</v>
      </c>
      <c r="E371" s="24" t="s">
        <v>1201</v>
      </c>
    </row>
    <row r="372" spans="1:5" ht="72" customHeight="1">
      <c r="A372" s="24" t="s">
        <v>154</v>
      </c>
      <c r="B372" s="24" t="s">
        <v>13</v>
      </c>
      <c r="C372" s="24" t="s">
        <v>705</v>
      </c>
      <c r="D372" s="24" t="s">
        <v>1250</v>
      </c>
      <c r="E372" s="24" t="s">
        <v>1201</v>
      </c>
    </row>
    <row r="373" spans="1:5" ht="72" customHeight="1">
      <c r="A373" s="24" t="s">
        <v>155</v>
      </c>
      <c r="B373" s="24" t="s">
        <v>13</v>
      </c>
      <c r="C373" s="24"/>
      <c r="D373" s="24" t="s">
        <v>163</v>
      </c>
      <c r="E373" s="24" t="s">
        <v>1201</v>
      </c>
    </row>
    <row r="374" spans="1:5" ht="72" customHeight="1">
      <c r="A374" s="24" t="s">
        <v>159</v>
      </c>
      <c r="B374" s="24" t="s">
        <v>13</v>
      </c>
      <c r="C374" s="24"/>
      <c r="D374" s="24" t="s">
        <v>1251</v>
      </c>
      <c r="E374" s="24" t="s">
        <v>1201</v>
      </c>
    </row>
    <row r="375" spans="1:5" ht="72" customHeight="1">
      <c r="A375" s="24" t="s">
        <v>160</v>
      </c>
      <c r="B375" s="24" t="s">
        <v>13</v>
      </c>
      <c r="C375" s="24" t="s">
        <v>187</v>
      </c>
      <c r="D375" s="24" t="s">
        <v>1252</v>
      </c>
      <c r="E375" s="24" t="s">
        <v>1201</v>
      </c>
    </row>
    <row r="376" spans="1:5" ht="72" customHeight="1">
      <c r="A376" s="24" t="s">
        <v>161</v>
      </c>
      <c r="B376" s="24" t="s">
        <v>13</v>
      </c>
      <c r="C376" s="24"/>
      <c r="D376" s="24" t="s">
        <v>163</v>
      </c>
      <c r="E376" s="24" t="s">
        <v>1201</v>
      </c>
    </row>
    <row r="377" spans="1:5" ht="72" customHeight="1">
      <c r="A377" s="24" t="s">
        <v>162</v>
      </c>
      <c r="B377" s="24" t="s">
        <v>13</v>
      </c>
      <c r="C377" s="24"/>
      <c r="D377" s="24" t="s">
        <v>163</v>
      </c>
      <c r="E377" s="24" t="s">
        <v>1201</v>
      </c>
    </row>
    <row r="378" spans="1:5" ht="72" customHeight="1">
      <c r="A378" s="24" t="s">
        <v>171</v>
      </c>
      <c r="B378" s="24" t="s">
        <v>13</v>
      </c>
      <c r="C378" s="24"/>
      <c r="D378" s="24" t="s">
        <v>237</v>
      </c>
      <c r="E378" s="24" t="s">
        <v>1201</v>
      </c>
    </row>
    <row r="379" spans="1:5" ht="72" customHeight="1">
      <c r="A379" s="24" t="s">
        <v>174</v>
      </c>
      <c r="B379" s="24" t="s">
        <v>13</v>
      </c>
      <c r="C379" s="24"/>
      <c r="D379" s="24" t="s">
        <v>237</v>
      </c>
      <c r="E379" s="24" t="s">
        <v>1201</v>
      </c>
    </row>
    <row r="380" spans="1:5" ht="72" customHeight="1">
      <c r="A380" s="24" t="s">
        <v>175</v>
      </c>
      <c r="B380" s="24" t="s">
        <v>13</v>
      </c>
      <c r="C380" s="24"/>
      <c r="D380" s="24" t="s">
        <v>237</v>
      </c>
      <c r="E380" s="24" t="s">
        <v>1201</v>
      </c>
    </row>
    <row r="381" spans="1:5" ht="72" customHeight="1">
      <c r="A381" s="24" t="s">
        <v>176</v>
      </c>
      <c r="B381" s="24" t="s">
        <v>13</v>
      </c>
      <c r="C381" s="24"/>
      <c r="D381" s="24" t="s">
        <v>237</v>
      </c>
      <c r="E381" s="24" t="s">
        <v>1201</v>
      </c>
    </row>
    <row r="382" spans="1:5" ht="72" customHeight="1">
      <c r="A382" s="24" t="s">
        <v>181</v>
      </c>
      <c r="B382" s="24" t="s">
        <v>13</v>
      </c>
      <c r="C382" s="24"/>
      <c r="D382" s="24" t="s">
        <v>237</v>
      </c>
      <c r="E382" s="24" t="s">
        <v>1201</v>
      </c>
    </row>
    <row r="383" spans="1:5" ht="72" customHeight="1">
      <c r="A383" s="24" t="s">
        <v>182</v>
      </c>
      <c r="B383" s="24" t="s">
        <v>13</v>
      </c>
      <c r="C383" s="24"/>
      <c r="D383" s="24" t="s">
        <v>237</v>
      </c>
      <c r="E383" s="24" t="s">
        <v>1201</v>
      </c>
    </row>
    <row r="384" spans="1:5" ht="72" customHeight="1">
      <c r="A384" s="24" t="s">
        <v>183</v>
      </c>
      <c r="B384" s="24" t="s">
        <v>13</v>
      </c>
      <c r="C384" s="24" t="s">
        <v>163</v>
      </c>
      <c r="D384" s="24"/>
      <c r="E384" s="24" t="s">
        <v>1201</v>
      </c>
    </row>
    <row r="385" spans="1:5" ht="72" customHeight="1">
      <c r="A385" s="24" t="s">
        <v>184</v>
      </c>
      <c r="B385" s="24" t="s">
        <v>13</v>
      </c>
      <c r="C385" s="24" t="s">
        <v>1253</v>
      </c>
      <c r="D385" s="24" t="s">
        <v>1254</v>
      </c>
      <c r="E385" s="24" t="s">
        <v>1201</v>
      </c>
    </row>
    <row r="386" spans="1:5" ht="72" customHeight="1">
      <c r="A386" s="24" t="s">
        <v>185</v>
      </c>
      <c r="B386" s="24" t="s">
        <v>13</v>
      </c>
      <c r="C386" s="24" t="s">
        <v>1253</v>
      </c>
      <c r="D386" s="24" t="s">
        <v>1254</v>
      </c>
      <c r="E386" s="24" t="s">
        <v>1201</v>
      </c>
    </row>
    <row r="387" spans="1:5" ht="72" customHeight="1">
      <c r="A387" s="24" t="s">
        <v>186</v>
      </c>
      <c r="B387" s="24" t="s">
        <v>13</v>
      </c>
      <c r="C387" s="24" t="s">
        <v>1255</v>
      </c>
      <c r="D387" s="24" t="s">
        <v>1256</v>
      </c>
      <c r="E387" s="24" t="s">
        <v>1201</v>
      </c>
    </row>
    <row r="388" spans="1:5" ht="72" customHeight="1">
      <c r="A388" s="24" t="s">
        <v>187</v>
      </c>
      <c r="B388" s="24" t="s">
        <v>13</v>
      </c>
      <c r="C388" s="24" t="s">
        <v>1253</v>
      </c>
      <c r="D388" s="24" t="s">
        <v>1254</v>
      </c>
      <c r="E388" s="24" t="s">
        <v>1201</v>
      </c>
    </row>
    <row r="389" spans="1:5" ht="72" customHeight="1">
      <c r="A389" s="24" t="s">
        <v>188</v>
      </c>
      <c r="B389" s="24" t="s">
        <v>13</v>
      </c>
      <c r="C389" s="24" t="s">
        <v>1253</v>
      </c>
      <c r="D389" s="24" t="s">
        <v>1254</v>
      </c>
      <c r="E389" s="24" t="s">
        <v>1201</v>
      </c>
    </row>
    <row r="390" spans="1:5" ht="72" customHeight="1">
      <c r="A390" s="24" t="s">
        <v>191</v>
      </c>
      <c r="B390" s="24" t="s">
        <v>13</v>
      </c>
      <c r="C390" s="24" t="s">
        <v>192</v>
      </c>
      <c r="D390" s="24" t="s">
        <v>1257</v>
      </c>
      <c r="E390" s="24" t="s">
        <v>1201</v>
      </c>
    </row>
    <row r="391" spans="1:5" ht="72" customHeight="1">
      <c r="A391" s="24" t="s">
        <v>193</v>
      </c>
      <c r="B391" s="24" t="s">
        <v>13</v>
      </c>
      <c r="C391" s="24"/>
      <c r="D391" s="24" t="s">
        <v>237</v>
      </c>
      <c r="E391" s="24" t="s">
        <v>1201</v>
      </c>
    </row>
    <row r="392" spans="1:5" ht="72" customHeight="1">
      <c r="A392" s="24" t="s">
        <v>194</v>
      </c>
      <c r="B392" s="24" t="s">
        <v>13</v>
      </c>
      <c r="C392" s="24" t="s">
        <v>237</v>
      </c>
      <c r="D392" s="24" t="s">
        <v>1258</v>
      </c>
      <c r="E392" s="24" t="s">
        <v>1201</v>
      </c>
    </row>
    <row r="393" spans="1:5" ht="72" customHeight="1">
      <c r="A393" s="24" t="s">
        <v>198</v>
      </c>
      <c r="B393" s="24" t="s">
        <v>13</v>
      </c>
      <c r="C393" s="24" t="s">
        <v>1259</v>
      </c>
      <c r="D393" s="24" t="s">
        <v>1260</v>
      </c>
      <c r="E393" s="24" t="s">
        <v>1201</v>
      </c>
    </row>
    <row r="394" spans="1:5" ht="72" customHeight="1">
      <c r="A394" s="24" t="s">
        <v>202</v>
      </c>
      <c r="B394" s="24" t="s">
        <v>13</v>
      </c>
      <c r="C394" s="24" t="s">
        <v>1261</v>
      </c>
      <c r="D394" s="24" t="s">
        <v>1262</v>
      </c>
      <c r="E394" s="24" t="s">
        <v>1201</v>
      </c>
    </row>
    <row r="395" spans="1:5" ht="72" customHeight="1">
      <c r="A395" s="24" t="s">
        <v>217</v>
      </c>
      <c r="B395" s="24" t="s">
        <v>13</v>
      </c>
      <c r="C395" s="24"/>
      <c r="D395" s="24" t="s">
        <v>237</v>
      </c>
      <c r="E395" s="24" t="s">
        <v>1201</v>
      </c>
    </row>
    <row r="396" spans="1:5" ht="72" customHeight="1">
      <c r="A396" s="24" t="s">
        <v>223</v>
      </c>
      <c r="B396" s="24" t="s">
        <v>13</v>
      </c>
      <c r="C396" s="24" t="s">
        <v>1263</v>
      </c>
      <c r="D396" s="24" t="s">
        <v>1264</v>
      </c>
      <c r="E396" s="24" t="s">
        <v>1201</v>
      </c>
    </row>
    <row r="397" spans="1:5" ht="72" customHeight="1">
      <c r="A397" s="24" t="s">
        <v>228</v>
      </c>
      <c r="B397" s="24" t="s">
        <v>13</v>
      </c>
      <c r="C397" s="24" t="s">
        <v>163</v>
      </c>
      <c r="D397" s="24"/>
      <c r="E397" s="24" t="s">
        <v>1201</v>
      </c>
    </row>
    <row r="398" spans="1:5" ht="72" customHeight="1">
      <c r="A398" s="24" t="s">
        <v>229</v>
      </c>
      <c r="B398" s="24" t="s">
        <v>13</v>
      </c>
      <c r="C398" s="24"/>
      <c r="D398" s="24" t="s">
        <v>237</v>
      </c>
      <c r="E398" s="24" t="s">
        <v>1201</v>
      </c>
    </row>
    <row r="399" spans="1:5" ht="72" customHeight="1">
      <c r="A399" s="24" t="s">
        <v>230</v>
      </c>
      <c r="B399" s="24" t="s">
        <v>13</v>
      </c>
      <c r="C399" s="24" t="s">
        <v>1265</v>
      </c>
      <c r="D399" s="24" t="s">
        <v>1266</v>
      </c>
      <c r="E399" s="24" t="s">
        <v>1201</v>
      </c>
    </row>
    <row r="400" spans="1:5" ht="72" customHeight="1">
      <c r="A400" s="24" t="s">
        <v>233</v>
      </c>
      <c r="B400" s="24" t="s">
        <v>13</v>
      </c>
      <c r="C400" s="24"/>
      <c r="D400" s="24" t="s">
        <v>1267</v>
      </c>
      <c r="E400" s="24" t="s">
        <v>1201</v>
      </c>
    </row>
    <row r="401" spans="1:5" ht="72" customHeight="1">
      <c r="A401" s="24" t="s">
        <v>236</v>
      </c>
      <c r="B401" s="24" t="s">
        <v>13</v>
      </c>
      <c r="C401" s="24"/>
      <c r="D401" s="24" t="s">
        <v>237</v>
      </c>
      <c r="E401" s="24" t="s">
        <v>1201</v>
      </c>
    </row>
    <row r="402" spans="1:5" ht="72" customHeight="1">
      <c r="A402" s="24" t="s">
        <v>82</v>
      </c>
      <c r="B402" s="24" t="s">
        <v>13</v>
      </c>
      <c r="C402" s="24" t="s">
        <v>163</v>
      </c>
      <c r="D402" s="24" t="s">
        <v>1268</v>
      </c>
      <c r="E402" s="24" t="s">
        <v>1201</v>
      </c>
    </row>
    <row r="403" spans="1:5" ht="72" customHeight="1">
      <c r="A403" s="24" t="s">
        <v>83</v>
      </c>
      <c r="B403" s="24" t="s">
        <v>13</v>
      </c>
      <c r="C403" s="24" t="s">
        <v>730</v>
      </c>
      <c r="D403" s="24" t="s">
        <v>1269</v>
      </c>
      <c r="E403" s="24" t="s">
        <v>1201</v>
      </c>
    </row>
    <row r="404" spans="1:5" ht="72" customHeight="1">
      <c r="A404" s="24" t="s">
        <v>87</v>
      </c>
      <c r="B404" s="24" t="s">
        <v>13</v>
      </c>
      <c r="C404" s="24" t="s">
        <v>1270</v>
      </c>
      <c r="D404" s="24" t="s">
        <v>83</v>
      </c>
      <c r="E404" s="24" t="s">
        <v>1201</v>
      </c>
    </row>
    <row r="405" spans="1:5" ht="72" customHeight="1">
      <c r="A405" s="24" t="s">
        <v>86</v>
      </c>
      <c r="B405" s="24" t="s">
        <v>13</v>
      </c>
      <c r="C405" s="24" t="s">
        <v>733</v>
      </c>
      <c r="D405" s="24" t="s">
        <v>1271</v>
      </c>
      <c r="E405" s="24" t="s">
        <v>1201</v>
      </c>
    </row>
    <row r="406" spans="1:5" ht="72" customHeight="1">
      <c r="A406" s="24" t="s">
        <v>84</v>
      </c>
      <c r="B406" s="24" t="s">
        <v>13</v>
      </c>
      <c r="C406" s="24" t="s">
        <v>737</v>
      </c>
      <c r="D406" s="24" t="s">
        <v>1272</v>
      </c>
      <c r="E406" s="24" t="s">
        <v>1201</v>
      </c>
    </row>
    <row r="407" spans="1:5" ht="72" customHeight="1">
      <c r="A407" s="24" t="s">
        <v>85</v>
      </c>
      <c r="B407" s="24" t="s">
        <v>13</v>
      </c>
      <c r="C407" s="24" t="s">
        <v>741</v>
      </c>
      <c r="D407" s="24" t="s">
        <v>1273</v>
      </c>
      <c r="E407" s="24" t="s">
        <v>1201</v>
      </c>
    </row>
    <row r="408" spans="1:5" ht="72" customHeight="1">
      <c r="A408" s="24" t="s">
        <v>165</v>
      </c>
      <c r="B408" s="24" t="s">
        <v>13</v>
      </c>
      <c r="C408" s="24" t="s">
        <v>745</v>
      </c>
      <c r="D408" s="24" t="s">
        <v>163</v>
      </c>
      <c r="E408" s="24" t="s">
        <v>1201</v>
      </c>
    </row>
    <row r="409" spans="1:5" ht="72" customHeight="1">
      <c r="A409" s="24" t="s">
        <v>119</v>
      </c>
      <c r="B409" s="24" t="s">
        <v>13</v>
      </c>
      <c r="C409" s="24" t="s">
        <v>115</v>
      </c>
      <c r="D409" s="24" t="s">
        <v>1274</v>
      </c>
      <c r="E409" s="24" t="s">
        <v>1201</v>
      </c>
    </row>
    <row r="410" spans="1:5" ht="72" customHeight="1">
      <c r="A410" s="24" t="s">
        <v>120</v>
      </c>
      <c r="B410" s="24" t="s">
        <v>13</v>
      </c>
      <c r="C410" s="24"/>
      <c r="D410" s="24" t="s">
        <v>119</v>
      </c>
      <c r="E410" s="24" t="s">
        <v>1201</v>
      </c>
    </row>
    <row r="411" spans="1:5" ht="72" customHeight="1">
      <c r="A411" s="24" t="s">
        <v>195</v>
      </c>
      <c r="B411" s="24" t="s">
        <v>13</v>
      </c>
      <c r="C411" s="24"/>
      <c r="D411" s="24" t="s">
        <v>237</v>
      </c>
      <c r="E411" s="24" t="s">
        <v>1201</v>
      </c>
    </row>
    <row r="412" spans="1:5" ht="72" customHeight="1">
      <c r="A412" s="24" t="s">
        <v>235</v>
      </c>
      <c r="B412" s="24" t="s">
        <v>13</v>
      </c>
      <c r="C412" s="24"/>
      <c r="D412" s="24" t="s">
        <v>237</v>
      </c>
      <c r="E412" s="24" t="s">
        <v>1201</v>
      </c>
    </row>
    <row r="413" spans="1:5" ht="110.1" customHeight="1">
      <c r="A413" s="2" t="s">
        <v>121</v>
      </c>
      <c r="B413" s="2" t="s">
        <v>1275</v>
      </c>
      <c r="C413" s="2" t="s">
        <v>628</v>
      </c>
      <c r="D413" s="2" t="s">
        <v>1276</v>
      </c>
      <c r="E413" s="2" t="s">
        <v>1277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2"/>
  <sheetViews>
    <sheetView workbookViewId="0"/>
  </sheetViews>
  <sheetFormatPr defaultRowHeight="14.25"/>
  <cols>
    <col min="1" max="10" width="20" customWidth="1"/>
  </cols>
  <sheetData>
    <row r="1" spans="1:14" ht="26.1" customHeight="1">
      <c r="A1" s="101" t="s">
        <v>10495</v>
      </c>
      <c r="B1" s="101"/>
      <c r="C1" s="101"/>
      <c r="D1" s="101"/>
      <c r="E1" s="101"/>
      <c r="F1" s="101"/>
      <c r="G1" s="101"/>
      <c r="H1" s="101"/>
      <c r="I1" s="101"/>
      <c r="J1" s="101"/>
      <c r="K1" s="54"/>
      <c r="L1" s="54"/>
      <c r="M1" s="54"/>
      <c r="N1" s="54"/>
    </row>
    <row r="2" spans="1:14" ht="36" customHeight="1">
      <c r="A2" s="40" t="s">
        <v>54</v>
      </c>
      <c r="B2" s="40" t="s">
        <v>55</v>
      </c>
      <c r="C2" s="40" t="s">
        <v>442</v>
      </c>
      <c r="D2" s="40" t="s">
        <v>1278</v>
      </c>
      <c r="E2" s="40" t="s">
        <v>1279</v>
      </c>
      <c r="F2" s="40" t="s">
        <v>755</v>
      </c>
      <c r="G2" s="40" t="s">
        <v>1280</v>
      </c>
      <c r="H2" s="40" t="s">
        <v>1281</v>
      </c>
      <c r="I2" s="40" t="s">
        <v>1282</v>
      </c>
      <c r="J2" s="40" t="s">
        <v>1283</v>
      </c>
    </row>
    <row r="3" spans="1:14" ht="26.1" customHeight="1">
      <c r="A3" s="38" t="s">
        <v>449</v>
      </c>
      <c r="B3" s="38" t="s">
        <v>450</v>
      </c>
      <c r="C3" s="38" t="s">
        <v>451</v>
      </c>
      <c r="D3" s="38">
        <f>COUNTIFS(Backlog!$B$2:$B$188,A3,Backlog!$C$2:$C$188,B3,Backlog!$L$2:$L$188,C3)</f>
        <v>17</v>
      </c>
      <c r="E3" s="38">
        <f>COUNTIFS(Backlog!$B$2:$B$188,A3,Backlog!$C$2:$C$188,B3,Backlog!$L$2:$L$188,C3,Backlog!$K$2:$K$188,"Done")</f>
        <v>17</v>
      </c>
      <c r="F3" s="38">
        <f t="shared" ref="F3:F32" si="0">D3-E3</f>
        <v>0</v>
      </c>
      <c r="G3" s="38">
        <f>SUMIFS(Backlog!$AS$2:$AS$188,Backlog!$B$2:$B$188,A3,Backlog!$C$2:$C$188,B3,Backlog!$L$2:$L$188,C3)</f>
        <v>172</v>
      </c>
      <c r="H3" s="38">
        <f>SUMIFS(Backlog!$AS$2:$AS$188,Backlog!$B$2:$B$188,A3,Backlog!$C$2:$C$188,B3,Backlog!$L$2:$L$188,C3,Backlog!$K$2:$K$188,"Done")</f>
        <v>172</v>
      </c>
      <c r="I3" s="38">
        <f t="shared" ref="I3:I32" si="1">G3-H3</f>
        <v>0</v>
      </c>
      <c r="J3" s="38">
        <f>COUNTIFS(Backlog!$B$2:$B$188,A3,Backlog!$C$2:$C$188,B3,Backlog!$L$2:$L$188,C3,Backlog!$AM$2:$AM$188,0)</f>
        <v>0</v>
      </c>
    </row>
    <row r="4" spans="1:14" ht="26.1" customHeight="1">
      <c r="A4" s="38" t="s">
        <v>449</v>
      </c>
      <c r="B4" s="38" t="s">
        <v>450</v>
      </c>
      <c r="C4" s="38" t="s">
        <v>491</v>
      </c>
      <c r="D4" s="38">
        <f>COUNTIFS(Backlog!$B$2:$B$188,A4,Backlog!$C$2:$C$188,B4,Backlog!$L$2:$L$188,C4)</f>
        <v>5</v>
      </c>
      <c r="E4" s="38">
        <f>COUNTIFS(Backlog!$B$2:$B$188,A4,Backlog!$C$2:$C$188,B4,Backlog!$L$2:$L$188,C4,Backlog!$K$2:$K$188,"Done")</f>
        <v>5</v>
      </c>
      <c r="F4" s="38">
        <f t="shared" si="0"/>
        <v>0</v>
      </c>
      <c r="G4" s="38">
        <f>SUMIFS(Backlog!$AS$2:$AS$188,Backlog!$B$2:$B$188,A4,Backlog!$C$2:$C$188,B4,Backlog!$L$2:$L$188,C4)</f>
        <v>44</v>
      </c>
      <c r="H4" s="38">
        <f>SUMIFS(Backlog!$AS$2:$AS$188,Backlog!$B$2:$B$188,A4,Backlog!$C$2:$C$188,B4,Backlog!$L$2:$L$188,C4,Backlog!$K$2:$K$188,"Done")</f>
        <v>44</v>
      </c>
      <c r="I4" s="38">
        <f t="shared" si="1"/>
        <v>0</v>
      </c>
      <c r="J4" s="38">
        <f>COUNTIFS(Backlog!$B$2:$B$188,A4,Backlog!$C$2:$C$188,B4,Backlog!$L$2:$L$188,C4,Backlog!$AM$2:$AM$188,0)</f>
        <v>0</v>
      </c>
    </row>
    <row r="5" spans="1:14" ht="26.1" customHeight="1">
      <c r="A5" s="38" t="s">
        <v>449</v>
      </c>
      <c r="B5" s="38" t="s">
        <v>450</v>
      </c>
      <c r="C5" s="38" t="s">
        <v>504</v>
      </c>
      <c r="D5" s="38">
        <f>COUNTIFS(Backlog!$B$2:$B$188,A5,Backlog!$C$2:$C$188,B5,Backlog!$L$2:$L$188,C5)</f>
        <v>4</v>
      </c>
      <c r="E5" s="38">
        <f>COUNTIFS(Backlog!$B$2:$B$188,A5,Backlog!$C$2:$C$188,B5,Backlog!$L$2:$L$188,C5,Backlog!$K$2:$K$188,"Done")</f>
        <v>4</v>
      </c>
      <c r="F5" s="38">
        <f t="shared" si="0"/>
        <v>0</v>
      </c>
      <c r="G5" s="38">
        <f>SUMIFS(Backlog!$AS$2:$AS$188,Backlog!$B$2:$B$188,A5,Backlog!$C$2:$C$188,B5,Backlog!$L$2:$L$188,C5)</f>
        <v>29</v>
      </c>
      <c r="H5" s="38">
        <f>SUMIFS(Backlog!$AS$2:$AS$188,Backlog!$B$2:$B$188,A5,Backlog!$C$2:$C$188,B5,Backlog!$L$2:$L$188,C5,Backlog!$K$2:$K$188,"Done")</f>
        <v>29</v>
      </c>
      <c r="I5" s="38">
        <f t="shared" si="1"/>
        <v>0</v>
      </c>
      <c r="J5" s="38">
        <f>COUNTIFS(Backlog!$B$2:$B$188,A5,Backlog!$C$2:$C$188,B5,Backlog!$L$2:$L$188,C5,Backlog!$AM$2:$AM$188,0)</f>
        <v>0</v>
      </c>
    </row>
    <row r="6" spans="1:14" ht="26.1" customHeight="1">
      <c r="A6" s="38" t="s">
        <v>449</v>
      </c>
      <c r="B6" s="38" t="s">
        <v>524</v>
      </c>
      <c r="C6" s="38" t="s">
        <v>451</v>
      </c>
      <c r="D6" s="38">
        <f>COUNTIFS(Backlog!$B$2:$B$188,A6,Backlog!$C$2:$C$188,B6,Backlog!$L$2:$L$188,C6)</f>
        <v>19</v>
      </c>
      <c r="E6" s="38">
        <f>COUNTIFS(Backlog!$B$2:$B$188,A6,Backlog!$C$2:$C$188,B6,Backlog!$L$2:$L$188,C6,Backlog!$K$2:$K$188,"Done")</f>
        <v>9</v>
      </c>
      <c r="F6" s="38">
        <f t="shared" si="0"/>
        <v>10</v>
      </c>
      <c r="G6" s="38">
        <f>SUMIFS(Backlog!$AS$2:$AS$188,Backlog!$B$2:$B$188,A6,Backlog!$C$2:$C$188,B6,Backlog!$L$2:$L$188,C6)</f>
        <v>59</v>
      </c>
      <c r="H6" s="38">
        <f>SUMIFS(Backlog!$AS$2:$AS$188,Backlog!$B$2:$B$188,A6,Backlog!$C$2:$C$188,B6,Backlog!$L$2:$L$188,C6,Backlog!$K$2:$K$188,"Done")</f>
        <v>45</v>
      </c>
      <c r="I6" s="38">
        <f t="shared" si="1"/>
        <v>14</v>
      </c>
      <c r="J6" s="38">
        <f>COUNTIFS(Backlog!$B$2:$B$188,A6,Backlog!$C$2:$C$188,B6,Backlog!$L$2:$L$188,C6,Backlog!$AM$2:$AM$188,0)</f>
        <v>11</v>
      </c>
    </row>
    <row r="7" spans="1:14" ht="26.1" customHeight="1">
      <c r="A7" s="38" t="s">
        <v>449</v>
      </c>
      <c r="B7" s="38" t="s">
        <v>524</v>
      </c>
      <c r="C7" s="38" t="s">
        <v>491</v>
      </c>
      <c r="D7" s="38">
        <f>COUNTIFS(Backlog!$B$2:$B$188,A7,Backlog!$C$2:$C$188,B7,Backlog!$L$2:$L$188,C7)</f>
        <v>16</v>
      </c>
      <c r="E7" s="38">
        <f>COUNTIFS(Backlog!$B$2:$B$188,A7,Backlog!$C$2:$C$188,B7,Backlog!$L$2:$L$188,C7,Backlog!$K$2:$K$188,"Done")</f>
        <v>8</v>
      </c>
      <c r="F7" s="38">
        <f t="shared" si="0"/>
        <v>8</v>
      </c>
      <c r="G7" s="38">
        <f>SUMIFS(Backlog!$AS$2:$AS$188,Backlog!$B$2:$B$188,A7,Backlog!$C$2:$C$188,B7,Backlog!$L$2:$L$188,C7)</f>
        <v>118</v>
      </c>
      <c r="H7" s="38">
        <f>SUMIFS(Backlog!$AS$2:$AS$188,Backlog!$B$2:$B$188,A7,Backlog!$C$2:$C$188,B7,Backlog!$L$2:$L$188,C7,Backlog!$K$2:$K$188,"Done")</f>
        <v>72</v>
      </c>
      <c r="I7" s="38">
        <f t="shared" si="1"/>
        <v>46</v>
      </c>
      <c r="J7" s="38">
        <f>COUNTIFS(Backlog!$B$2:$B$188,A7,Backlog!$C$2:$C$188,B7,Backlog!$L$2:$L$188,C7,Backlog!$AM$2:$AM$188,0)</f>
        <v>6</v>
      </c>
    </row>
    <row r="8" spans="1:14" ht="26.1" customHeight="1">
      <c r="A8" s="38" t="s">
        <v>449</v>
      </c>
      <c r="B8" s="38" t="s">
        <v>524</v>
      </c>
      <c r="C8" s="38" t="s">
        <v>504</v>
      </c>
      <c r="D8" s="38">
        <f>COUNTIFS(Backlog!$B$2:$B$188,A8,Backlog!$C$2:$C$188,B8,Backlog!$L$2:$L$188,C8)</f>
        <v>7</v>
      </c>
      <c r="E8" s="38">
        <f>COUNTIFS(Backlog!$B$2:$B$188,A8,Backlog!$C$2:$C$188,B8,Backlog!$L$2:$L$188,C8,Backlog!$K$2:$K$188,"Done")</f>
        <v>3</v>
      </c>
      <c r="F8" s="38">
        <f t="shared" si="0"/>
        <v>4</v>
      </c>
      <c r="G8" s="38">
        <f>SUMIFS(Backlog!$AS$2:$AS$188,Backlog!$B$2:$B$188,A8,Backlog!$C$2:$C$188,B8,Backlog!$L$2:$L$188,C8)</f>
        <v>34</v>
      </c>
      <c r="H8" s="38">
        <f>SUMIFS(Backlog!$AS$2:$AS$188,Backlog!$B$2:$B$188,A8,Backlog!$C$2:$C$188,B8,Backlog!$L$2:$L$188,C8,Backlog!$K$2:$K$188,"Done")</f>
        <v>12</v>
      </c>
      <c r="I8" s="38">
        <f t="shared" si="1"/>
        <v>22</v>
      </c>
      <c r="J8" s="38">
        <f>COUNTIFS(Backlog!$B$2:$B$188,A8,Backlog!$C$2:$C$188,B8,Backlog!$L$2:$L$188,C8,Backlog!$AM$2:$AM$188,0)</f>
        <v>4</v>
      </c>
    </row>
    <row r="9" spans="1:14" ht="26.1" customHeight="1">
      <c r="A9" s="38" t="s">
        <v>449</v>
      </c>
      <c r="B9" s="38" t="s">
        <v>622</v>
      </c>
      <c r="C9" s="38" t="s">
        <v>451</v>
      </c>
      <c r="D9" s="38">
        <f>COUNTIFS(Backlog!$B$2:$B$188,A9,Backlog!$C$2:$C$188,B9,Backlog!$L$2:$L$188,C9)</f>
        <v>0</v>
      </c>
      <c r="E9" s="38">
        <f>COUNTIFS(Backlog!$B$2:$B$188,A9,Backlog!$C$2:$C$188,B9,Backlog!$L$2:$L$188,C9,Backlog!$K$2:$K$188,"Done")</f>
        <v>0</v>
      </c>
      <c r="F9" s="38">
        <f t="shared" si="0"/>
        <v>0</v>
      </c>
      <c r="G9" s="38">
        <f>SUMIFS(Backlog!$AS$2:$AS$188,Backlog!$B$2:$B$188,A9,Backlog!$C$2:$C$188,B9,Backlog!$L$2:$L$188,C9)</f>
        <v>0</v>
      </c>
      <c r="H9" s="38">
        <f>SUMIFS(Backlog!$AS$2:$AS$188,Backlog!$B$2:$B$188,A9,Backlog!$C$2:$C$188,B9,Backlog!$L$2:$L$188,C9,Backlog!$K$2:$K$188,"Done")</f>
        <v>0</v>
      </c>
      <c r="I9" s="38">
        <f t="shared" si="1"/>
        <v>0</v>
      </c>
      <c r="J9" s="38">
        <f>COUNTIFS(Backlog!$B$2:$B$188,A9,Backlog!$C$2:$C$188,B9,Backlog!$L$2:$L$188,C9,Backlog!$AM$2:$AM$188,0)</f>
        <v>0</v>
      </c>
    </row>
    <row r="10" spans="1:14" ht="26.1" customHeight="1">
      <c r="A10" s="38" t="s">
        <v>449</v>
      </c>
      <c r="B10" s="38" t="s">
        <v>622</v>
      </c>
      <c r="C10" s="38" t="s">
        <v>491</v>
      </c>
      <c r="D10" s="38">
        <f>COUNTIFS(Backlog!$B$2:$B$188,A10,Backlog!$C$2:$C$188,B10,Backlog!$L$2:$L$188,C10)</f>
        <v>5</v>
      </c>
      <c r="E10" s="38">
        <f>COUNTIFS(Backlog!$B$2:$B$188,A10,Backlog!$C$2:$C$188,B10,Backlog!$L$2:$L$188,C10,Backlog!$K$2:$K$188,"Done")</f>
        <v>0</v>
      </c>
      <c r="F10" s="38">
        <f t="shared" si="0"/>
        <v>5</v>
      </c>
      <c r="G10" s="38">
        <f>SUMIFS(Backlog!$AS$2:$AS$188,Backlog!$B$2:$B$188,A10,Backlog!$C$2:$C$188,B10,Backlog!$L$2:$L$188,C10)</f>
        <v>36</v>
      </c>
      <c r="H10" s="38">
        <f>SUMIFS(Backlog!$AS$2:$AS$188,Backlog!$B$2:$B$188,A10,Backlog!$C$2:$C$188,B10,Backlog!$L$2:$L$188,C10,Backlog!$K$2:$K$188,"Done")</f>
        <v>0</v>
      </c>
      <c r="I10" s="38">
        <f t="shared" si="1"/>
        <v>36</v>
      </c>
      <c r="J10" s="38">
        <f>COUNTIFS(Backlog!$B$2:$B$188,A10,Backlog!$C$2:$C$188,B10,Backlog!$L$2:$L$188,C10,Backlog!$AM$2:$AM$188,0)</f>
        <v>1</v>
      </c>
    </row>
    <row r="11" spans="1:14" ht="26.1" customHeight="1">
      <c r="A11" s="38" t="s">
        <v>449</v>
      </c>
      <c r="B11" s="38" t="s">
        <v>622</v>
      </c>
      <c r="C11" s="38" t="s">
        <v>504</v>
      </c>
      <c r="D11" s="38">
        <f>COUNTIFS(Backlog!$B$2:$B$188,A11,Backlog!$C$2:$C$188,B11,Backlog!$L$2:$L$188,C11)</f>
        <v>0</v>
      </c>
      <c r="E11" s="38">
        <f>COUNTIFS(Backlog!$B$2:$B$188,A11,Backlog!$C$2:$C$188,B11,Backlog!$L$2:$L$188,C11,Backlog!$K$2:$K$188,"Done")</f>
        <v>0</v>
      </c>
      <c r="F11" s="38">
        <f t="shared" si="0"/>
        <v>0</v>
      </c>
      <c r="G11" s="38">
        <f>SUMIFS(Backlog!$AS$2:$AS$188,Backlog!$B$2:$B$188,A11,Backlog!$C$2:$C$188,B11,Backlog!$L$2:$L$188,C11)</f>
        <v>0</v>
      </c>
      <c r="H11" s="38">
        <f>SUMIFS(Backlog!$AS$2:$AS$188,Backlog!$B$2:$B$188,A11,Backlog!$C$2:$C$188,B11,Backlog!$L$2:$L$188,C11,Backlog!$K$2:$K$188,"Done")</f>
        <v>0</v>
      </c>
      <c r="I11" s="38">
        <f t="shared" si="1"/>
        <v>0</v>
      </c>
      <c r="J11" s="38">
        <f>COUNTIFS(Backlog!$B$2:$B$188,A11,Backlog!$C$2:$C$188,B11,Backlog!$L$2:$L$188,C11,Backlog!$AM$2:$AM$188,0)</f>
        <v>0</v>
      </c>
    </row>
    <row r="12" spans="1:14" ht="26.1" customHeight="1">
      <c r="A12" s="38" t="s">
        <v>449</v>
      </c>
      <c r="B12" s="38" t="s">
        <v>634</v>
      </c>
      <c r="C12" s="38" t="s">
        <v>451</v>
      </c>
      <c r="D12" s="38">
        <f>COUNTIFS(Backlog!$B$2:$B$188,A12,Backlog!$C$2:$C$188,B12,Backlog!$L$2:$L$188,C12)</f>
        <v>0</v>
      </c>
      <c r="E12" s="38">
        <f>COUNTIFS(Backlog!$B$2:$B$188,A12,Backlog!$C$2:$C$188,B12,Backlog!$L$2:$L$188,C12,Backlog!$K$2:$K$188,"Done")</f>
        <v>0</v>
      </c>
      <c r="F12" s="38">
        <f t="shared" si="0"/>
        <v>0</v>
      </c>
      <c r="G12" s="38">
        <f>SUMIFS(Backlog!$AS$2:$AS$188,Backlog!$B$2:$B$188,A12,Backlog!$C$2:$C$188,B12,Backlog!$L$2:$L$188,C12)</f>
        <v>0</v>
      </c>
      <c r="H12" s="38">
        <f>SUMIFS(Backlog!$AS$2:$AS$188,Backlog!$B$2:$B$188,A12,Backlog!$C$2:$C$188,B12,Backlog!$L$2:$L$188,C12,Backlog!$K$2:$K$188,"Done")</f>
        <v>0</v>
      </c>
      <c r="I12" s="38">
        <f t="shared" si="1"/>
        <v>0</v>
      </c>
      <c r="J12" s="38">
        <f>COUNTIFS(Backlog!$B$2:$B$188,A12,Backlog!$C$2:$C$188,B12,Backlog!$L$2:$L$188,C12,Backlog!$AM$2:$AM$188,0)</f>
        <v>0</v>
      </c>
    </row>
    <row r="13" spans="1:14" ht="26.1" customHeight="1">
      <c r="A13" s="38" t="s">
        <v>449</v>
      </c>
      <c r="B13" s="38" t="s">
        <v>634</v>
      </c>
      <c r="C13" s="38" t="s">
        <v>491</v>
      </c>
      <c r="D13" s="38">
        <f>COUNTIFS(Backlog!$B$2:$B$188,A13,Backlog!$C$2:$C$188,B13,Backlog!$L$2:$L$188,C13)</f>
        <v>1</v>
      </c>
      <c r="E13" s="38">
        <f>COUNTIFS(Backlog!$B$2:$B$188,A13,Backlog!$C$2:$C$188,B13,Backlog!$L$2:$L$188,C13,Backlog!$K$2:$K$188,"Done")</f>
        <v>0</v>
      </c>
      <c r="F13" s="38">
        <f t="shared" si="0"/>
        <v>1</v>
      </c>
      <c r="G13" s="38">
        <f>SUMIFS(Backlog!$AS$2:$AS$188,Backlog!$B$2:$B$188,A13,Backlog!$C$2:$C$188,B13,Backlog!$L$2:$L$188,C13)</f>
        <v>10</v>
      </c>
      <c r="H13" s="38">
        <f>SUMIFS(Backlog!$AS$2:$AS$188,Backlog!$B$2:$B$188,A13,Backlog!$C$2:$C$188,B13,Backlog!$L$2:$L$188,C13,Backlog!$K$2:$K$188,"Done")</f>
        <v>0</v>
      </c>
      <c r="I13" s="38">
        <f t="shared" si="1"/>
        <v>10</v>
      </c>
      <c r="J13" s="38">
        <f>COUNTIFS(Backlog!$B$2:$B$188,A13,Backlog!$C$2:$C$188,B13,Backlog!$L$2:$L$188,C13,Backlog!$AM$2:$AM$188,0)</f>
        <v>0</v>
      </c>
    </row>
    <row r="14" spans="1:14" ht="26.1" customHeight="1">
      <c r="A14" s="38" t="s">
        <v>449</v>
      </c>
      <c r="B14" s="38" t="s">
        <v>634</v>
      </c>
      <c r="C14" s="38" t="s">
        <v>504</v>
      </c>
      <c r="D14" s="38">
        <f>COUNTIFS(Backlog!$B$2:$B$188,A14,Backlog!$C$2:$C$188,B14,Backlog!$L$2:$L$188,C14)</f>
        <v>26</v>
      </c>
      <c r="E14" s="38">
        <f>COUNTIFS(Backlog!$B$2:$B$188,A14,Backlog!$C$2:$C$188,B14,Backlog!$L$2:$L$188,C14,Backlog!$K$2:$K$188,"Done")</f>
        <v>22</v>
      </c>
      <c r="F14" s="38">
        <f t="shared" si="0"/>
        <v>4</v>
      </c>
      <c r="G14" s="38">
        <f>SUMIFS(Backlog!$AS$2:$AS$188,Backlog!$B$2:$B$188,A14,Backlog!$C$2:$C$188,B14,Backlog!$L$2:$L$188,C14)</f>
        <v>266</v>
      </c>
      <c r="H14" s="38">
        <f>SUMIFS(Backlog!$AS$2:$AS$188,Backlog!$B$2:$B$188,A14,Backlog!$C$2:$C$188,B14,Backlog!$L$2:$L$188,C14,Backlog!$K$2:$K$188,"Done")</f>
        <v>228</v>
      </c>
      <c r="I14" s="38">
        <f t="shared" si="1"/>
        <v>38</v>
      </c>
      <c r="J14" s="38">
        <f>COUNTIFS(Backlog!$B$2:$B$188,A14,Backlog!$C$2:$C$188,B14,Backlog!$L$2:$L$188,C14,Backlog!$AM$2:$AM$188,0)</f>
        <v>0</v>
      </c>
    </row>
    <row r="15" spans="1:14" ht="26.1" customHeight="1">
      <c r="A15" s="38" t="s">
        <v>449</v>
      </c>
      <c r="B15" s="38" t="s">
        <v>702</v>
      </c>
      <c r="C15" s="38" t="s">
        <v>451</v>
      </c>
      <c r="D15" s="38">
        <f>COUNTIFS(Backlog!$B$2:$B$188,A15,Backlog!$C$2:$C$188,B15,Backlog!$L$2:$L$188,C15)</f>
        <v>12</v>
      </c>
      <c r="E15" s="38">
        <f>COUNTIFS(Backlog!$B$2:$B$188,A15,Backlog!$C$2:$C$188,B15,Backlog!$L$2:$L$188,C15,Backlog!$K$2:$K$188,"Done")</f>
        <v>0</v>
      </c>
      <c r="F15" s="38">
        <f t="shared" si="0"/>
        <v>12</v>
      </c>
      <c r="G15" s="38">
        <f>SUMIFS(Backlog!$AS$2:$AS$188,Backlog!$B$2:$B$188,A15,Backlog!$C$2:$C$188,B15,Backlog!$L$2:$L$188,C15)</f>
        <v>90</v>
      </c>
      <c r="H15" s="38">
        <f>SUMIFS(Backlog!$AS$2:$AS$188,Backlog!$B$2:$B$188,A15,Backlog!$C$2:$C$188,B15,Backlog!$L$2:$L$188,C15,Backlog!$K$2:$K$188,"Done")</f>
        <v>0</v>
      </c>
      <c r="I15" s="38">
        <f t="shared" si="1"/>
        <v>90</v>
      </c>
      <c r="J15" s="38">
        <f>COUNTIFS(Backlog!$B$2:$B$188,A15,Backlog!$C$2:$C$188,B15,Backlog!$L$2:$L$188,C15,Backlog!$AM$2:$AM$188,0)</f>
        <v>3</v>
      </c>
    </row>
    <row r="16" spans="1:14" ht="26.1" customHeight="1">
      <c r="A16" s="38" t="s">
        <v>449</v>
      </c>
      <c r="B16" s="38" t="s">
        <v>702</v>
      </c>
      <c r="C16" s="38" t="s">
        <v>491</v>
      </c>
      <c r="D16" s="38">
        <f>COUNTIFS(Backlog!$B$2:$B$188,A16,Backlog!$C$2:$C$188,B16,Backlog!$L$2:$L$188,C16)</f>
        <v>2</v>
      </c>
      <c r="E16" s="38">
        <f>COUNTIFS(Backlog!$B$2:$B$188,A16,Backlog!$C$2:$C$188,B16,Backlog!$L$2:$L$188,C16,Backlog!$K$2:$K$188,"Done")</f>
        <v>0</v>
      </c>
      <c r="F16" s="38">
        <f t="shared" si="0"/>
        <v>2</v>
      </c>
      <c r="G16" s="38">
        <f>SUMIFS(Backlog!$AS$2:$AS$188,Backlog!$B$2:$B$188,A16,Backlog!$C$2:$C$188,B16,Backlog!$L$2:$L$188,C16)</f>
        <v>18</v>
      </c>
      <c r="H16" s="38">
        <f>SUMIFS(Backlog!$AS$2:$AS$188,Backlog!$B$2:$B$188,A16,Backlog!$C$2:$C$188,B16,Backlog!$L$2:$L$188,C16,Backlog!$K$2:$K$188,"Done")</f>
        <v>0</v>
      </c>
      <c r="I16" s="38">
        <f t="shared" si="1"/>
        <v>18</v>
      </c>
      <c r="J16" s="38">
        <f>COUNTIFS(Backlog!$B$2:$B$188,A16,Backlog!$C$2:$C$188,B16,Backlog!$L$2:$L$188,C16,Backlog!$AM$2:$AM$188,0)</f>
        <v>0</v>
      </c>
    </row>
    <row r="17" spans="1:10" ht="26.1" customHeight="1">
      <c r="A17" s="38" t="s">
        <v>449</v>
      </c>
      <c r="B17" s="38" t="s">
        <v>702</v>
      </c>
      <c r="C17" s="38" t="s">
        <v>504</v>
      </c>
      <c r="D17" s="38">
        <f>COUNTIFS(Backlog!$B$2:$B$188,A17,Backlog!$C$2:$C$188,B17,Backlog!$L$2:$L$188,C17)</f>
        <v>1</v>
      </c>
      <c r="E17" s="38">
        <f>COUNTIFS(Backlog!$B$2:$B$188,A17,Backlog!$C$2:$C$188,B17,Backlog!$L$2:$L$188,C17,Backlog!$K$2:$K$188,"Done")</f>
        <v>0</v>
      </c>
      <c r="F17" s="38">
        <f t="shared" si="0"/>
        <v>1</v>
      </c>
      <c r="G17" s="38">
        <f>SUMIFS(Backlog!$AS$2:$AS$188,Backlog!$B$2:$B$188,A17,Backlog!$C$2:$C$188,B17,Backlog!$L$2:$L$188,C17)</f>
        <v>8</v>
      </c>
      <c r="H17" s="38">
        <f>SUMIFS(Backlog!$AS$2:$AS$188,Backlog!$B$2:$B$188,A17,Backlog!$C$2:$C$188,B17,Backlog!$L$2:$L$188,C17,Backlog!$K$2:$K$188,"Done")</f>
        <v>0</v>
      </c>
      <c r="I17" s="38">
        <f t="shared" si="1"/>
        <v>8</v>
      </c>
      <c r="J17" s="38">
        <f>COUNTIFS(Backlog!$B$2:$B$188,A17,Backlog!$C$2:$C$188,B17,Backlog!$L$2:$L$188,C17,Backlog!$AM$2:$AM$188,0)</f>
        <v>0</v>
      </c>
    </row>
    <row r="18" spans="1:10" ht="26.1" customHeight="1">
      <c r="A18" s="38" t="s">
        <v>1058</v>
      </c>
      <c r="B18" s="38" t="s">
        <v>450</v>
      </c>
      <c r="C18" s="38" t="s">
        <v>451</v>
      </c>
      <c r="D18" s="38">
        <f>COUNTIFS(Backlog!$B$2:$B$188,A18,Backlog!$C$2:$C$188,B18,Backlog!$L$2:$L$188,C18)</f>
        <v>8</v>
      </c>
      <c r="E18" s="38">
        <f>COUNTIFS(Backlog!$B$2:$B$188,A18,Backlog!$C$2:$C$188,B18,Backlog!$L$2:$L$188,C18,Backlog!$K$2:$K$188,"Done")</f>
        <v>0</v>
      </c>
      <c r="F18" s="38">
        <f t="shared" si="0"/>
        <v>8</v>
      </c>
      <c r="G18" s="38">
        <f>SUMIFS(Backlog!$AS$2:$AS$188,Backlog!$B$2:$B$188,A18,Backlog!$C$2:$C$188,B18,Backlog!$L$2:$L$188,C18)</f>
        <v>84</v>
      </c>
      <c r="H18" s="38">
        <f>SUMIFS(Backlog!$AS$2:$AS$188,Backlog!$B$2:$B$188,A18,Backlog!$C$2:$C$188,B18,Backlog!$L$2:$L$188,C18,Backlog!$K$2:$K$188,"Done")</f>
        <v>0</v>
      </c>
      <c r="I18" s="38">
        <f t="shared" si="1"/>
        <v>84</v>
      </c>
      <c r="J18" s="38">
        <f>COUNTIFS(Backlog!$B$2:$B$188,A18,Backlog!$C$2:$C$188,B18,Backlog!$L$2:$L$188,C18,Backlog!$AM$2:$AM$188,0)</f>
        <v>1</v>
      </c>
    </row>
    <row r="19" spans="1:10" ht="26.1" customHeight="1">
      <c r="A19" s="38" t="s">
        <v>1058</v>
      </c>
      <c r="B19" s="38" t="s">
        <v>450</v>
      </c>
      <c r="C19" s="38" t="s">
        <v>491</v>
      </c>
      <c r="D19" s="38">
        <f>COUNTIFS(Backlog!$B$2:$B$188,A19,Backlog!$C$2:$C$188,B19,Backlog!$L$2:$L$188,C19)</f>
        <v>0</v>
      </c>
      <c r="E19" s="38">
        <f>COUNTIFS(Backlog!$B$2:$B$188,A19,Backlog!$C$2:$C$188,B19,Backlog!$L$2:$L$188,C19,Backlog!$K$2:$K$188,"Done")</f>
        <v>0</v>
      </c>
      <c r="F19" s="38">
        <f t="shared" si="0"/>
        <v>0</v>
      </c>
      <c r="G19" s="38">
        <f>SUMIFS(Backlog!$AS$2:$AS$188,Backlog!$B$2:$B$188,A19,Backlog!$C$2:$C$188,B19,Backlog!$L$2:$L$188,C19)</f>
        <v>0</v>
      </c>
      <c r="H19" s="38">
        <f>SUMIFS(Backlog!$AS$2:$AS$188,Backlog!$B$2:$B$188,A19,Backlog!$C$2:$C$188,B19,Backlog!$L$2:$L$188,C19,Backlog!$K$2:$K$188,"Done")</f>
        <v>0</v>
      </c>
      <c r="I19" s="38">
        <f t="shared" si="1"/>
        <v>0</v>
      </c>
      <c r="J19" s="38">
        <f>COUNTIFS(Backlog!$B$2:$B$188,A19,Backlog!$C$2:$C$188,B19,Backlog!$L$2:$L$188,C19,Backlog!$AM$2:$AM$188,0)</f>
        <v>0</v>
      </c>
    </row>
    <row r="20" spans="1:10" ht="26.1" customHeight="1">
      <c r="A20" s="38" t="s">
        <v>1058</v>
      </c>
      <c r="B20" s="38" t="s">
        <v>450</v>
      </c>
      <c r="C20" s="38" t="s">
        <v>504</v>
      </c>
      <c r="D20" s="38">
        <f>COUNTIFS(Backlog!$B$2:$B$188,A20,Backlog!$C$2:$C$188,B20,Backlog!$L$2:$L$188,C20)</f>
        <v>2</v>
      </c>
      <c r="E20" s="38">
        <f>COUNTIFS(Backlog!$B$2:$B$188,A20,Backlog!$C$2:$C$188,B20,Backlog!$L$2:$L$188,C20,Backlog!$K$2:$K$188,"Done")</f>
        <v>0</v>
      </c>
      <c r="F20" s="38">
        <f t="shared" si="0"/>
        <v>2</v>
      </c>
      <c r="G20" s="38">
        <f>SUMIFS(Backlog!$AS$2:$AS$188,Backlog!$B$2:$B$188,A20,Backlog!$C$2:$C$188,B20,Backlog!$L$2:$L$188,C20)</f>
        <v>0</v>
      </c>
      <c r="H20" s="38">
        <f>SUMIFS(Backlog!$AS$2:$AS$188,Backlog!$B$2:$B$188,A20,Backlog!$C$2:$C$188,B20,Backlog!$L$2:$L$188,C20,Backlog!$K$2:$K$188,"Done")</f>
        <v>0</v>
      </c>
      <c r="I20" s="38">
        <f t="shared" si="1"/>
        <v>0</v>
      </c>
      <c r="J20" s="38">
        <f>COUNTIFS(Backlog!$B$2:$B$188,A20,Backlog!$C$2:$C$188,B20,Backlog!$L$2:$L$188,C20,Backlog!$AM$2:$AM$188,0)</f>
        <v>2</v>
      </c>
    </row>
    <row r="21" spans="1:10" ht="26.1" customHeight="1">
      <c r="A21" s="38" t="s">
        <v>1058</v>
      </c>
      <c r="B21" s="38" t="s">
        <v>524</v>
      </c>
      <c r="C21" s="38" t="s">
        <v>451</v>
      </c>
      <c r="D21" s="38">
        <f>COUNTIFS(Backlog!$B$2:$B$188,A21,Backlog!$C$2:$C$188,B21,Backlog!$L$2:$L$188,C21)</f>
        <v>5</v>
      </c>
      <c r="E21" s="38">
        <f>COUNTIFS(Backlog!$B$2:$B$188,A21,Backlog!$C$2:$C$188,B21,Backlog!$L$2:$L$188,C21,Backlog!$K$2:$K$188,"Done")</f>
        <v>0</v>
      </c>
      <c r="F21" s="38">
        <f t="shared" si="0"/>
        <v>5</v>
      </c>
      <c r="G21" s="38">
        <f>SUMIFS(Backlog!$AS$2:$AS$188,Backlog!$B$2:$B$188,A21,Backlog!$C$2:$C$188,B21,Backlog!$L$2:$L$188,C21)</f>
        <v>36</v>
      </c>
      <c r="H21" s="38">
        <f>SUMIFS(Backlog!$AS$2:$AS$188,Backlog!$B$2:$B$188,A21,Backlog!$C$2:$C$188,B21,Backlog!$L$2:$L$188,C21,Backlog!$K$2:$K$188,"Done")</f>
        <v>0</v>
      </c>
      <c r="I21" s="38">
        <f t="shared" si="1"/>
        <v>36</v>
      </c>
      <c r="J21" s="38">
        <f>COUNTIFS(Backlog!$B$2:$B$188,A21,Backlog!$C$2:$C$188,B21,Backlog!$L$2:$L$188,C21,Backlog!$AM$2:$AM$188,0)</f>
        <v>1</v>
      </c>
    </row>
    <row r="22" spans="1:10" ht="26.1" customHeight="1">
      <c r="A22" s="38" t="s">
        <v>1058</v>
      </c>
      <c r="B22" s="38" t="s">
        <v>524</v>
      </c>
      <c r="C22" s="38" t="s">
        <v>491</v>
      </c>
      <c r="D22" s="38">
        <f>COUNTIFS(Backlog!$B$2:$B$188,A22,Backlog!$C$2:$C$188,B22,Backlog!$L$2:$L$188,C22)</f>
        <v>7</v>
      </c>
      <c r="E22" s="38">
        <f>COUNTIFS(Backlog!$B$2:$B$188,A22,Backlog!$C$2:$C$188,B22,Backlog!$L$2:$L$188,C22,Backlog!$K$2:$K$188,"Done")</f>
        <v>0</v>
      </c>
      <c r="F22" s="38">
        <f t="shared" si="0"/>
        <v>7</v>
      </c>
      <c r="G22" s="38">
        <f>SUMIFS(Backlog!$AS$2:$AS$188,Backlog!$B$2:$B$188,A22,Backlog!$C$2:$C$188,B22,Backlog!$L$2:$L$188,C22)</f>
        <v>70</v>
      </c>
      <c r="H22" s="38">
        <f>SUMIFS(Backlog!$AS$2:$AS$188,Backlog!$B$2:$B$188,A22,Backlog!$C$2:$C$188,B22,Backlog!$L$2:$L$188,C22,Backlog!$K$2:$K$188,"Done")</f>
        <v>0</v>
      </c>
      <c r="I22" s="38">
        <f t="shared" si="1"/>
        <v>70</v>
      </c>
      <c r="J22" s="38">
        <f>COUNTIFS(Backlog!$B$2:$B$188,A22,Backlog!$C$2:$C$188,B22,Backlog!$L$2:$L$188,C22,Backlog!$AM$2:$AM$188,0)</f>
        <v>0</v>
      </c>
    </row>
    <row r="23" spans="1:10" ht="26.1" customHeight="1">
      <c r="A23" s="38" t="s">
        <v>1058</v>
      </c>
      <c r="B23" s="38" t="s">
        <v>524</v>
      </c>
      <c r="C23" s="38" t="s">
        <v>504</v>
      </c>
      <c r="D23" s="38">
        <f>COUNTIFS(Backlog!$B$2:$B$188,A23,Backlog!$C$2:$C$188,B23,Backlog!$L$2:$L$188,C23)</f>
        <v>0</v>
      </c>
      <c r="E23" s="38">
        <f>COUNTIFS(Backlog!$B$2:$B$188,A23,Backlog!$C$2:$C$188,B23,Backlog!$L$2:$L$188,C23,Backlog!$K$2:$K$188,"Done")</f>
        <v>0</v>
      </c>
      <c r="F23" s="38">
        <f t="shared" si="0"/>
        <v>0</v>
      </c>
      <c r="G23" s="38">
        <f>SUMIFS(Backlog!$AS$2:$AS$188,Backlog!$B$2:$B$188,A23,Backlog!$C$2:$C$188,B23,Backlog!$L$2:$L$188,C23)</f>
        <v>0</v>
      </c>
      <c r="H23" s="38">
        <f>SUMIFS(Backlog!$AS$2:$AS$188,Backlog!$B$2:$B$188,A23,Backlog!$C$2:$C$188,B23,Backlog!$L$2:$L$188,C23,Backlog!$K$2:$K$188,"Done")</f>
        <v>0</v>
      </c>
      <c r="I23" s="38">
        <f t="shared" si="1"/>
        <v>0</v>
      </c>
      <c r="J23" s="38">
        <f>COUNTIFS(Backlog!$B$2:$B$188,A23,Backlog!$C$2:$C$188,B23,Backlog!$L$2:$L$188,C23,Backlog!$AM$2:$AM$188,0)</f>
        <v>0</v>
      </c>
    </row>
    <row r="24" spans="1:10" ht="26.1" customHeight="1">
      <c r="A24" s="38" t="s">
        <v>1058</v>
      </c>
      <c r="B24" s="38" t="s">
        <v>622</v>
      </c>
      <c r="C24" s="38" t="s">
        <v>451</v>
      </c>
      <c r="D24" s="38">
        <f>COUNTIFS(Backlog!$B$2:$B$188,A24,Backlog!$C$2:$C$188,B24,Backlog!$L$2:$L$188,C24)</f>
        <v>0</v>
      </c>
      <c r="E24" s="38">
        <f>COUNTIFS(Backlog!$B$2:$B$188,A24,Backlog!$C$2:$C$188,B24,Backlog!$L$2:$L$188,C24,Backlog!$K$2:$K$188,"Done")</f>
        <v>0</v>
      </c>
      <c r="F24" s="38">
        <f t="shared" si="0"/>
        <v>0</v>
      </c>
      <c r="G24" s="38">
        <f>SUMIFS(Backlog!$AS$2:$AS$188,Backlog!$B$2:$B$188,A24,Backlog!$C$2:$C$188,B24,Backlog!$L$2:$L$188,C24)</f>
        <v>0</v>
      </c>
      <c r="H24" s="38">
        <f>SUMIFS(Backlog!$AS$2:$AS$188,Backlog!$B$2:$B$188,A24,Backlog!$C$2:$C$188,B24,Backlog!$L$2:$L$188,C24,Backlog!$K$2:$K$188,"Done")</f>
        <v>0</v>
      </c>
      <c r="I24" s="38">
        <f t="shared" si="1"/>
        <v>0</v>
      </c>
      <c r="J24" s="38">
        <f>COUNTIFS(Backlog!$B$2:$B$188,A24,Backlog!$C$2:$C$188,B24,Backlog!$L$2:$L$188,C24,Backlog!$AM$2:$AM$188,0)</f>
        <v>0</v>
      </c>
    </row>
    <row r="25" spans="1:10" ht="26.1" customHeight="1">
      <c r="A25" s="38" t="s">
        <v>1058</v>
      </c>
      <c r="B25" s="38" t="s">
        <v>622</v>
      </c>
      <c r="C25" s="38" t="s">
        <v>491</v>
      </c>
      <c r="D25" s="38">
        <f>COUNTIFS(Backlog!$B$2:$B$188,A25,Backlog!$C$2:$C$188,B25,Backlog!$L$2:$L$188,C25)</f>
        <v>5</v>
      </c>
      <c r="E25" s="38">
        <f>COUNTIFS(Backlog!$B$2:$B$188,A25,Backlog!$C$2:$C$188,B25,Backlog!$L$2:$L$188,C25,Backlog!$K$2:$K$188,"Done")</f>
        <v>0</v>
      </c>
      <c r="F25" s="38">
        <f t="shared" si="0"/>
        <v>5</v>
      </c>
      <c r="G25" s="38">
        <f>SUMIFS(Backlog!$AS$2:$AS$188,Backlog!$B$2:$B$188,A25,Backlog!$C$2:$C$188,B25,Backlog!$L$2:$L$188,C25)</f>
        <v>24</v>
      </c>
      <c r="H25" s="38">
        <f>SUMIFS(Backlog!$AS$2:$AS$188,Backlog!$B$2:$B$188,A25,Backlog!$C$2:$C$188,B25,Backlog!$L$2:$L$188,C25,Backlog!$K$2:$K$188,"Done")</f>
        <v>0</v>
      </c>
      <c r="I25" s="38">
        <f t="shared" si="1"/>
        <v>24</v>
      </c>
      <c r="J25" s="38">
        <f>COUNTIFS(Backlog!$B$2:$B$188,A25,Backlog!$C$2:$C$188,B25,Backlog!$L$2:$L$188,C25,Backlog!$AM$2:$AM$188,0)</f>
        <v>3</v>
      </c>
    </row>
    <row r="26" spans="1:10" ht="26.1" customHeight="1">
      <c r="A26" s="38" t="s">
        <v>1058</v>
      </c>
      <c r="B26" s="38" t="s">
        <v>622</v>
      </c>
      <c r="C26" s="38" t="s">
        <v>504</v>
      </c>
      <c r="D26" s="38">
        <f>COUNTIFS(Backlog!$B$2:$B$188,A26,Backlog!$C$2:$C$188,B26,Backlog!$L$2:$L$188,C26)</f>
        <v>3</v>
      </c>
      <c r="E26" s="38">
        <f>COUNTIFS(Backlog!$B$2:$B$188,A26,Backlog!$C$2:$C$188,B26,Backlog!$L$2:$L$188,C26,Backlog!$K$2:$K$188,"Done")</f>
        <v>0</v>
      </c>
      <c r="F26" s="38">
        <f t="shared" si="0"/>
        <v>3</v>
      </c>
      <c r="G26" s="38">
        <f>SUMIFS(Backlog!$AS$2:$AS$188,Backlog!$B$2:$B$188,A26,Backlog!$C$2:$C$188,B26,Backlog!$L$2:$L$188,C26)</f>
        <v>34</v>
      </c>
      <c r="H26" s="38">
        <f>SUMIFS(Backlog!$AS$2:$AS$188,Backlog!$B$2:$B$188,A26,Backlog!$C$2:$C$188,B26,Backlog!$L$2:$L$188,C26,Backlog!$K$2:$K$188,"Done")</f>
        <v>0</v>
      </c>
      <c r="I26" s="38">
        <f t="shared" si="1"/>
        <v>34</v>
      </c>
      <c r="J26" s="38">
        <f>COUNTIFS(Backlog!$B$2:$B$188,A26,Backlog!$C$2:$C$188,B26,Backlog!$L$2:$L$188,C26,Backlog!$AM$2:$AM$188,0)</f>
        <v>0</v>
      </c>
    </row>
    <row r="27" spans="1:10" ht="26.1" customHeight="1">
      <c r="A27" s="38" t="s">
        <v>1058</v>
      </c>
      <c r="B27" s="38" t="s">
        <v>634</v>
      </c>
      <c r="C27" s="38" t="s">
        <v>451</v>
      </c>
      <c r="D27" s="38">
        <f>COUNTIFS(Backlog!$B$2:$B$188,A27,Backlog!$C$2:$C$188,B27,Backlog!$L$2:$L$188,C27)</f>
        <v>3</v>
      </c>
      <c r="E27" s="38">
        <f>COUNTIFS(Backlog!$B$2:$B$188,A27,Backlog!$C$2:$C$188,B27,Backlog!$L$2:$L$188,C27,Backlog!$K$2:$K$188,"Done")</f>
        <v>0</v>
      </c>
      <c r="F27" s="38">
        <f t="shared" si="0"/>
        <v>3</v>
      </c>
      <c r="G27" s="38">
        <f>SUMIFS(Backlog!$AS$2:$AS$188,Backlog!$B$2:$B$188,A27,Backlog!$C$2:$C$188,B27,Backlog!$L$2:$L$188,C27)</f>
        <v>20</v>
      </c>
      <c r="H27" s="38">
        <f>SUMIFS(Backlog!$AS$2:$AS$188,Backlog!$B$2:$B$188,A27,Backlog!$C$2:$C$188,B27,Backlog!$L$2:$L$188,C27,Backlog!$K$2:$K$188,"Done")</f>
        <v>0</v>
      </c>
      <c r="I27" s="38">
        <f t="shared" si="1"/>
        <v>20</v>
      </c>
      <c r="J27" s="38">
        <f>COUNTIFS(Backlog!$B$2:$B$188,A27,Backlog!$C$2:$C$188,B27,Backlog!$L$2:$L$188,C27,Backlog!$AM$2:$AM$188,0)</f>
        <v>1</v>
      </c>
    </row>
    <row r="28" spans="1:10" ht="26.1" customHeight="1">
      <c r="A28" s="38" t="s">
        <v>1058</v>
      </c>
      <c r="B28" s="38" t="s">
        <v>634</v>
      </c>
      <c r="C28" s="38" t="s">
        <v>491</v>
      </c>
      <c r="D28" s="38">
        <f>COUNTIFS(Backlog!$B$2:$B$188,A28,Backlog!$C$2:$C$188,B28,Backlog!$L$2:$L$188,C28)</f>
        <v>1</v>
      </c>
      <c r="E28" s="38">
        <f>COUNTIFS(Backlog!$B$2:$B$188,A28,Backlog!$C$2:$C$188,B28,Backlog!$L$2:$L$188,C28,Backlog!$K$2:$K$188,"Done")</f>
        <v>0</v>
      </c>
      <c r="F28" s="38">
        <f t="shared" si="0"/>
        <v>1</v>
      </c>
      <c r="G28" s="38">
        <f>SUMIFS(Backlog!$AS$2:$AS$188,Backlog!$B$2:$B$188,A28,Backlog!$C$2:$C$188,B28,Backlog!$L$2:$L$188,C28)</f>
        <v>11</v>
      </c>
      <c r="H28" s="38">
        <f>SUMIFS(Backlog!$AS$2:$AS$188,Backlog!$B$2:$B$188,A28,Backlog!$C$2:$C$188,B28,Backlog!$L$2:$L$188,C28,Backlog!$K$2:$K$188,"Done")</f>
        <v>0</v>
      </c>
      <c r="I28" s="38">
        <f t="shared" si="1"/>
        <v>11</v>
      </c>
      <c r="J28" s="38">
        <f>COUNTIFS(Backlog!$B$2:$B$188,A28,Backlog!$C$2:$C$188,B28,Backlog!$L$2:$L$188,C28,Backlog!$AM$2:$AM$188,0)</f>
        <v>0</v>
      </c>
    </row>
    <row r="29" spans="1:10" ht="26.1" customHeight="1">
      <c r="A29" s="38" t="s">
        <v>1058</v>
      </c>
      <c r="B29" s="38" t="s">
        <v>634</v>
      </c>
      <c r="C29" s="38" t="s">
        <v>504</v>
      </c>
      <c r="D29" s="38">
        <f>COUNTIFS(Backlog!$B$2:$B$188,A29,Backlog!$C$2:$C$188,B29,Backlog!$L$2:$L$188,C29)</f>
        <v>36</v>
      </c>
      <c r="E29" s="38">
        <f>COUNTIFS(Backlog!$B$2:$B$188,A29,Backlog!$C$2:$C$188,B29,Backlog!$L$2:$L$188,C29,Backlog!$K$2:$K$188,"Done")</f>
        <v>0</v>
      </c>
      <c r="F29" s="38">
        <f t="shared" si="0"/>
        <v>36</v>
      </c>
      <c r="G29" s="38">
        <f>SUMIFS(Backlog!$AS$2:$AS$188,Backlog!$B$2:$B$188,A29,Backlog!$C$2:$C$188,B29,Backlog!$L$2:$L$188,C29)</f>
        <v>346</v>
      </c>
      <c r="H29" s="38">
        <f>SUMIFS(Backlog!$AS$2:$AS$188,Backlog!$B$2:$B$188,A29,Backlog!$C$2:$C$188,B29,Backlog!$L$2:$L$188,C29,Backlog!$K$2:$K$188,"Done")</f>
        <v>0</v>
      </c>
      <c r="I29" s="38">
        <f t="shared" si="1"/>
        <v>346</v>
      </c>
      <c r="J29" s="38">
        <f>COUNTIFS(Backlog!$B$2:$B$188,A29,Backlog!$C$2:$C$188,B29,Backlog!$L$2:$L$188,C29,Backlog!$AM$2:$AM$188,0)</f>
        <v>5</v>
      </c>
    </row>
    <row r="30" spans="1:10" ht="26.1" customHeight="1">
      <c r="A30" s="38" t="s">
        <v>1058</v>
      </c>
      <c r="B30" s="38" t="s">
        <v>702</v>
      </c>
      <c r="C30" s="38" t="s">
        <v>451</v>
      </c>
      <c r="D30" s="38">
        <f>COUNTIFS(Backlog!$B$2:$B$188,A30,Backlog!$C$2:$C$188,B30,Backlog!$L$2:$L$188,C30)</f>
        <v>1</v>
      </c>
      <c r="E30" s="38">
        <f>COUNTIFS(Backlog!$B$2:$B$188,A30,Backlog!$C$2:$C$188,B30,Backlog!$L$2:$L$188,C30,Backlog!$K$2:$K$188,"Done")</f>
        <v>0</v>
      </c>
      <c r="F30" s="38">
        <f t="shared" si="0"/>
        <v>1</v>
      </c>
      <c r="G30" s="38">
        <f>SUMIFS(Backlog!$AS$2:$AS$188,Backlog!$B$2:$B$188,A30,Backlog!$C$2:$C$188,B30,Backlog!$L$2:$L$188,C30)</f>
        <v>12</v>
      </c>
      <c r="H30" s="38">
        <f>SUMIFS(Backlog!$AS$2:$AS$188,Backlog!$B$2:$B$188,A30,Backlog!$C$2:$C$188,B30,Backlog!$L$2:$L$188,C30,Backlog!$K$2:$K$188,"Done")</f>
        <v>0</v>
      </c>
      <c r="I30" s="38">
        <f t="shared" si="1"/>
        <v>12</v>
      </c>
      <c r="J30" s="38">
        <f>COUNTIFS(Backlog!$B$2:$B$188,A30,Backlog!$C$2:$C$188,B30,Backlog!$L$2:$L$188,C30,Backlog!$AM$2:$AM$188,0)</f>
        <v>0</v>
      </c>
    </row>
    <row r="31" spans="1:10" ht="26.1" customHeight="1">
      <c r="A31" s="38" t="s">
        <v>1058</v>
      </c>
      <c r="B31" s="38" t="s">
        <v>702</v>
      </c>
      <c r="C31" s="38" t="s">
        <v>491</v>
      </c>
      <c r="D31" s="38">
        <f>COUNTIFS(Backlog!$B$2:$B$188,A31,Backlog!$C$2:$C$188,B31,Backlog!$L$2:$L$188,C31)</f>
        <v>1</v>
      </c>
      <c r="E31" s="38">
        <f>COUNTIFS(Backlog!$B$2:$B$188,A31,Backlog!$C$2:$C$188,B31,Backlog!$L$2:$L$188,C31,Backlog!$K$2:$K$188,"Done")</f>
        <v>0</v>
      </c>
      <c r="F31" s="38">
        <f t="shared" si="0"/>
        <v>1</v>
      </c>
      <c r="G31" s="38">
        <f>SUMIFS(Backlog!$AS$2:$AS$188,Backlog!$B$2:$B$188,A31,Backlog!$C$2:$C$188,B31,Backlog!$L$2:$L$188,C31)</f>
        <v>12</v>
      </c>
      <c r="H31" s="38">
        <f>SUMIFS(Backlog!$AS$2:$AS$188,Backlog!$B$2:$B$188,A31,Backlog!$C$2:$C$188,B31,Backlog!$L$2:$L$188,C31,Backlog!$K$2:$K$188,"Done")</f>
        <v>0</v>
      </c>
      <c r="I31" s="38">
        <f t="shared" si="1"/>
        <v>12</v>
      </c>
      <c r="J31" s="38">
        <f>COUNTIFS(Backlog!$B$2:$B$188,A31,Backlog!$C$2:$C$188,B31,Backlog!$L$2:$L$188,C31,Backlog!$AM$2:$AM$188,0)</f>
        <v>0</v>
      </c>
    </row>
    <row r="32" spans="1:10" ht="26.1" customHeight="1">
      <c r="A32" s="38" t="s">
        <v>1058</v>
      </c>
      <c r="B32" s="38" t="s">
        <v>702</v>
      </c>
      <c r="C32" s="38" t="s">
        <v>504</v>
      </c>
      <c r="D32" s="38">
        <f>COUNTIFS(Backlog!$B$2:$B$188,A32,Backlog!$C$2:$C$188,B32,Backlog!$L$2:$L$188,C32)</f>
        <v>0</v>
      </c>
      <c r="E32" s="38">
        <f>COUNTIFS(Backlog!$B$2:$B$188,A32,Backlog!$C$2:$C$188,B32,Backlog!$L$2:$L$188,C32,Backlog!$K$2:$K$188,"Done")</f>
        <v>0</v>
      </c>
      <c r="F32" s="38">
        <f t="shared" si="0"/>
        <v>0</v>
      </c>
      <c r="G32" s="38">
        <f>SUMIFS(Backlog!$AS$2:$AS$188,Backlog!$B$2:$B$188,A32,Backlog!$C$2:$C$188,B32,Backlog!$L$2:$L$188,C32)</f>
        <v>0</v>
      </c>
      <c r="H32" s="38">
        <f>SUMIFS(Backlog!$AS$2:$AS$188,Backlog!$B$2:$B$188,A32,Backlog!$C$2:$C$188,B32,Backlog!$L$2:$L$188,C32,Backlog!$K$2:$K$188,"Done")</f>
        <v>0</v>
      </c>
      <c r="I32" s="38">
        <f t="shared" si="1"/>
        <v>0</v>
      </c>
      <c r="J32" s="38">
        <f>COUNTIFS(Backlog!$B$2:$B$188,A32,Backlog!$C$2:$C$188,B32,Backlog!$L$2:$L$188,C32,Backlog!$AM$2:$AM$188,0)</f>
        <v>0</v>
      </c>
    </row>
  </sheetData>
  <mergeCells count="1">
    <mergeCell ref="A1:J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02"/>
  <sheetViews>
    <sheetView workbookViewId="0"/>
  </sheetViews>
  <sheetFormatPr defaultRowHeight="14.25"/>
  <cols>
    <col min="1" max="1" width="26" customWidth="1"/>
    <col min="2" max="2" width="10" customWidth="1"/>
    <col min="3" max="3" width="120" customWidth="1"/>
  </cols>
  <sheetData>
    <row r="1" spans="1:3" ht="32.1" customHeight="1">
      <c r="A1" s="26" t="s">
        <v>10496</v>
      </c>
      <c r="B1" s="26" t="s">
        <v>1284</v>
      </c>
      <c r="C1" s="26" t="s">
        <v>1285</v>
      </c>
    </row>
    <row r="2" spans="1:3" ht="32.1" customHeight="1">
      <c r="A2" s="24" t="s">
        <v>1286</v>
      </c>
      <c r="B2" s="24">
        <v>1</v>
      </c>
      <c r="C2" s="24" t="s">
        <v>1287</v>
      </c>
    </row>
    <row r="3" spans="1:3" ht="32.1" customHeight="1">
      <c r="A3" s="24" t="s">
        <v>1286</v>
      </c>
      <c r="B3" s="24">
        <v>2</v>
      </c>
      <c r="C3" s="24" t="s">
        <v>1288</v>
      </c>
    </row>
    <row r="4" spans="1:3" ht="32.1" customHeight="1">
      <c r="A4" s="24" t="s">
        <v>1286</v>
      </c>
      <c r="B4" s="24">
        <v>3</v>
      </c>
      <c r="C4" s="24" t="s">
        <v>1289</v>
      </c>
    </row>
    <row r="5" spans="1:3" ht="32.1" customHeight="1">
      <c r="A5" s="24" t="s">
        <v>1286</v>
      </c>
      <c r="B5" s="24">
        <v>4</v>
      </c>
      <c r="C5" s="24" t="s">
        <v>1290</v>
      </c>
    </row>
    <row r="6" spans="1:3" ht="32.1" customHeight="1">
      <c r="A6" s="24" t="s">
        <v>1286</v>
      </c>
      <c r="B6" s="24">
        <v>5</v>
      </c>
      <c r="C6" s="24" t="s">
        <v>1291</v>
      </c>
    </row>
    <row r="7" spans="1:3" ht="32.1" customHeight="1">
      <c r="A7" s="24" t="s">
        <v>1286</v>
      </c>
      <c r="B7" s="24">
        <v>6</v>
      </c>
      <c r="C7" s="24" t="s">
        <v>1292</v>
      </c>
    </row>
    <row r="8" spans="1:3" ht="32.1" customHeight="1">
      <c r="A8" s="24" t="s">
        <v>1286</v>
      </c>
      <c r="B8" s="24">
        <v>7</v>
      </c>
      <c r="C8" s="24" t="s">
        <v>1293</v>
      </c>
    </row>
    <row r="9" spans="1:3" ht="32.1" customHeight="1">
      <c r="A9" s="24" t="s">
        <v>1286</v>
      </c>
      <c r="B9" s="24">
        <v>8</v>
      </c>
      <c r="C9" s="24" t="s">
        <v>1294</v>
      </c>
    </row>
    <row r="10" spans="1:3" ht="32.1" customHeight="1">
      <c r="A10" s="24" t="s">
        <v>1286</v>
      </c>
      <c r="B10" s="24">
        <v>9</v>
      </c>
      <c r="C10" s="24" t="s">
        <v>1295</v>
      </c>
    </row>
    <row r="11" spans="1:3" ht="32.1" customHeight="1">
      <c r="A11" s="24" t="s">
        <v>1286</v>
      </c>
      <c r="B11" s="24">
        <v>10</v>
      </c>
      <c r="C11" s="24" t="s">
        <v>1296</v>
      </c>
    </row>
    <row r="12" spans="1:3" ht="32.1" customHeight="1">
      <c r="A12" s="24" t="s">
        <v>1286</v>
      </c>
      <c r="B12" s="24">
        <v>11</v>
      </c>
      <c r="C12" s="24" t="s">
        <v>1297</v>
      </c>
    </row>
    <row r="13" spans="1:3" ht="32.1" customHeight="1">
      <c r="A13" s="24" t="s">
        <v>1298</v>
      </c>
      <c r="B13" s="24">
        <v>1</v>
      </c>
      <c r="C13" s="24" t="s">
        <v>1299</v>
      </c>
    </row>
    <row r="14" spans="1:3" ht="32.1" customHeight="1">
      <c r="A14" s="24" t="s">
        <v>1298</v>
      </c>
      <c r="B14" s="24">
        <v>2</v>
      </c>
      <c r="C14" s="24" t="s">
        <v>1300</v>
      </c>
    </row>
    <row r="15" spans="1:3" ht="32.1" customHeight="1">
      <c r="A15" s="24" t="s">
        <v>1298</v>
      </c>
      <c r="B15" s="24">
        <v>3</v>
      </c>
      <c r="C15" s="24" t="s">
        <v>1301</v>
      </c>
    </row>
    <row r="16" spans="1:3" ht="32.1" customHeight="1">
      <c r="A16" s="24" t="s">
        <v>1298</v>
      </c>
      <c r="B16" s="24">
        <v>4</v>
      </c>
      <c r="C16" s="24" t="s">
        <v>1302</v>
      </c>
    </row>
    <row r="17" spans="1:3" ht="32.1" customHeight="1">
      <c r="A17" s="24" t="s">
        <v>1298</v>
      </c>
      <c r="B17" s="24">
        <v>5</v>
      </c>
      <c r="C17" s="24" t="s">
        <v>1303</v>
      </c>
    </row>
    <row r="18" spans="1:3" ht="32.1" customHeight="1">
      <c r="A18" s="24" t="s">
        <v>1298</v>
      </c>
      <c r="B18" s="24">
        <v>6</v>
      </c>
      <c r="C18" s="24" t="s">
        <v>1304</v>
      </c>
    </row>
    <row r="19" spans="1:3" ht="32.1" customHeight="1">
      <c r="A19" s="24" t="s">
        <v>1298</v>
      </c>
      <c r="B19" s="24">
        <v>7</v>
      </c>
      <c r="C19" s="24" t="s">
        <v>1305</v>
      </c>
    </row>
    <row r="20" spans="1:3" ht="32.1" customHeight="1">
      <c r="A20" s="24" t="s">
        <v>1298</v>
      </c>
      <c r="B20" s="24">
        <v>8</v>
      </c>
      <c r="C20" s="24" t="s">
        <v>1306</v>
      </c>
    </row>
    <row r="21" spans="1:3" ht="32.1" customHeight="1">
      <c r="A21" s="24" t="s">
        <v>1298</v>
      </c>
      <c r="B21" s="24">
        <v>9</v>
      </c>
      <c r="C21" s="24" t="s">
        <v>1307</v>
      </c>
    </row>
    <row r="22" spans="1:3" ht="32.1" customHeight="1">
      <c r="A22" s="24" t="s">
        <v>1298</v>
      </c>
      <c r="B22" s="24">
        <v>10</v>
      </c>
      <c r="C22" s="24" t="s">
        <v>1308</v>
      </c>
    </row>
    <row r="23" spans="1:3" ht="32.1" customHeight="1">
      <c r="A23" s="24" t="s">
        <v>1298</v>
      </c>
      <c r="B23" s="24">
        <v>11</v>
      </c>
      <c r="C23" s="24" t="s">
        <v>1309</v>
      </c>
    </row>
    <row r="24" spans="1:3" ht="32.1" customHeight="1">
      <c r="A24" s="24" t="s">
        <v>1298</v>
      </c>
      <c r="B24" s="24">
        <v>12</v>
      </c>
      <c r="C24" s="24" t="s">
        <v>1310</v>
      </c>
    </row>
    <row r="25" spans="1:3" ht="32.1" customHeight="1">
      <c r="A25" s="24" t="s">
        <v>1298</v>
      </c>
      <c r="B25" s="24">
        <v>13</v>
      </c>
      <c r="C25" s="24" t="s">
        <v>1311</v>
      </c>
    </row>
    <row r="26" spans="1:3" ht="32.1" customHeight="1">
      <c r="A26" s="24" t="s">
        <v>1298</v>
      </c>
      <c r="B26" s="24">
        <v>14</v>
      </c>
      <c r="C26" s="24" t="s">
        <v>1312</v>
      </c>
    </row>
    <row r="27" spans="1:3" ht="32.1" customHeight="1">
      <c r="A27" s="24" t="s">
        <v>1298</v>
      </c>
      <c r="B27" s="24">
        <v>15</v>
      </c>
      <c r="C27" s="24" t="s">
        <v>1313</v>
      </c>
    </row>
    <row r="28" spans="1:3" ht="32.1" customHeight="1">
      <c r="A28" s="24" t="s">
        <v>1298</v>
      </c>
      <c r="B28" s="24">
        <v>16</v>
      </c>
      <c r="C28" s="24" t="s">
        <v>1314</v>
      </c>
    </row>
    <row r="29" spans="1:3" ht="32.1" customHeight="1">
      <c r="A29" s="24" t="s">
        <v>1298</v>
      </c>
      <c r="B29" s="24">
        <v>17</v>
      </c>
      <c r="C29" s="24" t="s">
        <v>1315</v>
      </c>
    </row>
    <row r="30" spans="1:3" ht="32.1" customHeight="1">
      <c r="A30" s="24" t="s">
        <v>1298</v>
      </c>
      <c r="B30" s="24">
        <v>18</v>
      </c>
      <c r="C30" s="24" t="s">
        <v>1316</v>
      </c>
    </row>
    <row r="31" spans="1:3" ht="32.1" customHeight="1">
      <c r="A31" s="24" t="s">
        <v>1298</v>
      </c>
      <c r="B31" s="24">
        <v>19</v>
      </c>
      <c r="C31" s="24" t="s">
        <v>1317</v>
      </c>
    </row>
    <row r="32" spans="1:3" ht="32.1" customHeight="1">
      <c r="A32" s="24" t="s">
        <v>1298</v>
      </c>
      <c r="B32" s="24">
        <v>20</v>
      </c>
      <c r="C32" s="24" t="s">
        <v>1318</v>
      </c>
    </row>
    <row r="33" spans="1:3" ht="32.1" customHeight="1">
      <c r="A33" s="24" t="s">
        <v>1298</v>
      </c>
      <c r="B33" s="24">
        <v>21</v>
      </c>
      <c r="C33" s="24" t="s">
        <v>1319</v>
      </c>
    </row>
    <row r="34" spans="1:3" ht="32.1" customHeight="1">
      <c r="A34" s="24" t="s">
        <v>1298</v>
      </c>
      <c r="B34" s="24">
        <v>22</v>
      </c>
      <c r="C34" s="24" t="s">
        <v>1320</v>
      </c>
    </row>
    <row r="35" spans="1:3" ht="32.1" customHeight="1">
      <c r="A35" s="24" t="s">
        <v>1298</v>
      </c>
      <c r="B35" s="24">
        <v>23</v>
      </c>
      <c r="C35" s="24" t="s">
        <v>1321</v>
      </c>
    </row>
    <row r="36" spans="1:3" ht="32.1" customHeight="1">
      <c r="A36" s="24" t="s">
        <v>1298</v>
      </c>
      <c r="B36" s="24">
        <v>24</v>
      </c>
      <c r="C36" s="24" t="s">
        <v>1322</v>
      </c>
    </row>
    <row r="37" spans="1:3" ht="32.1" customHeight="1">
      <c r="A37" s="24" t="s">
        <v>1298</v>
      </c>
      <c r="B37" s="24">
        <v>25</v>
      </c>
      <c r="C37" s="24" t="s">
        <v>1323</v>
      </c>
    </row>
    <row r="38" spans="1:3" ht="32.1" customHeight="1">
      <c r="A38" s="24" t="s">
        <v>1298</v>
      </c>
      <c r="B38" s="24">
        <v>26</v>
      </c>
      <c r="C38" s="24" t="s">
        <v>1324</v>
      </c>
    </row>
    <row r="39" spans="1:3" ht="32.1" customHeight="1">
      <c r="A39" s="24" t="s">
        <v>1298</v>
      </c>
      <c r="B39" s="24">
        <v>27</v>
      </c>
      <c r="C39" s="24" t="s">
        <v>1325</v>
      </c>
    </row>
    <row r="40" spans="1:3" ht="32.1" customHeight="1">
      <c r="A40" s="24" t="s">
        <v>1298</v>
      </c>
      <c r="B40" s="24">
        <v>28</v>
      </c>
      <c r="C40" s="24" t="s">
        <v>1326</v>
      </c>
    </row>
    <row r="41" spans="1:3" ht="32.1" customHeight="1">
      <c r="A41" s="24" t="s">
        <v>1298</v>
      </c>
      <c r="B41" s="24">
        <v>29</v>
      </c>
      <c r="C41" s="24" t="s">
        <v>1327</v>
      </c>
    </row>
    <row r="42" spans="1:3" ht="32.1" customHeight="1">
      <c r="A42" s="24" t="s">
        <v>1298</v>
      </c>
      <c r="B42" s="24">
        <v>30</v>
      </c>
      <c r="C42" s="24" t="s">
        <v>1328</v>
      </c>
    </row>
    <row r="43" spans="1:3" ht="32.1" customHeight="1">
      <c r="A43" s="24" t="s">
        <v>1298</v>
      </c>
      <c r="B43" s="24">
        <v>31</v>
      </c>
      <c r="C43" s="24" t="s">
        <v>1329</v>
      </c>
    </row>
    <row r="44" spans="1:3" ht="32.1" customHeight="1">
      <c r="A44" s="24" t="s">
        <v>1298</v>
      </c>
      <c r="B44" s="24">
        <v>32</v>
      </c>
      <c r="C44" s="24" t="s">
        <v>1330</v>
      </c>
    </row>
    <row r="45" spans="1:3" ht="32.1" customHeight="1">
      <c r="A45" s="24" t="s">
        <v>1298</v>
      </c>
      <c r="B45" s="24">
        <v>33</v>
      </c>
      <c r="C45" s="24" t="s">
        <v>1331</v>
      </c>
    </row>
    <row r="46" spans="1:3" ht="32.1" customHeight="1">
      <c r="A46" s="24" t="s">
        <v>1298</v>
      </c>
      <c r="B46" s="24">
        <v>34</v>
      </c>
      <c r="C46" s="24" t="s">
        <v>1332</v>
      </c>
    </row>
    <row r="47" spans="1:3" ht="32.1" customHeight="1">
      <c r="A47" s="24" t="s">
        <v>1298</v>
      </c>
      <c r="B47" s="24">
        <v>35</v>
      </c>
      <c r="C47" s="24" t="s">
        <v>1333</v>
      </c>
    </row>
    <row r="48" spans="1:3" ht="32.1" customHeight="1">
      <c r="A48" s="24" t="s">
        <v>1334</v>
      </c>
      <c r="B48" s="24">
        <v>1</v>
      </c>
      <c r="C48" s="24" t="s">
        <v>1335</v>
      </c>
    </row>
    <row r="49" spans="1:3" ht="32.1" customHeight="1">
      <c r="A49" s="24" t="s">
        <v>1334</v>
      </c>
      <c r="B49" s="24">
        <v>2</v>
      </c>
      <c r="C49" s="24" t="s">
        <v>1336</v>
      </c>
    </row>
    <row r="50" spans="1:3" ht="32.1" customHeight="1">
      <c r="A50" s="24" t="s">
        <v>1334</v>
      </c>
      <c r="B50" s="24">
        <v>3</v>
      </c>
      <c r="C50" s="24" t="s">
        <v>1337</v>
      </c>
    </row>
    <row r="51" spans="1:3" ht="32.1" customHeight="1">
      <c r="A51" s="24" t="s">
        <v>1334</v>
      </c>
      <c r="B51" s="24">
        <v>4</v>
      </c>
      <c r="C51" s="24" t="s">
        <v>1338</v>
      </c>
    </row>
    <row r="52" spans="1:3" ht="32.1" customHeight="1">
      <c r="A52" s="24" t="s">
        <v>1334</v>
      </c>
      <c r="B52" s="24">
        <v>5</v>
      </c>
      <c r="C52" s="24" t="s">
        <v>1339</v>
      </c>
    </row>
    <row r="53" spans="1:3" ht="32.1" customHeight="1">
      <c r="A53" s="24" t="s">
        <v>1334</v>
      </c>
      <c r="B53" s="24">
        <v>6</v>
      </c>
      <c r="C53" s="24" t="s">
        <v>1340</v>
      </c>
    </row>
    <row r="54" spans="1:3" ht="32.1" customHeight="1">
      <c r="A54" s="24" t="s">
        <v>1334</v>
      </c>
      <c r="B54" s="24">
        <v>7</v>
      </c>
      <c r="C54" s="24" t="s">
        <v>1341</v>
      </c>
    </row>
    <row r="55" spans="1:3" ht="32.1" customHeight="1">
      <c r="A55" s="24" t="s">
        <v>1334</v>
      </c>
      <c r="B55" s="24">
        <v>8</v>
      </c>
      <c r="C55" s="24" t="s">
        <v>1342</v>
      </c>
    </row>
    <row r="56" spans="1:3" ht="32.1" customHeight="1">
      <c r="A56" s="24" t="s">
        <v>1334</v>
      </c>
      <c r="B56" s="24">
        <v>9</v>
      </c>
      <c r="C56" s="24" t="s">
        <v>1343</v>
      </c>
    </row>
    <row r="57" spans="1:3" ht="32.1" customHeight="1">
      <c r="A57" s="24" t="s">
        <v>1334</v>
      </c>
      <c r="B57" s="24">
        <v>10</v>
      </c>
      <c r="C57" s="24" t="s">
        <v>1344</v>
      </c>
    </row>
    <row r="58" spans="1:3" ht="32.1" customHeight="1">
      <c r="A58" s="24" t="s">
        <v>1334</v>
      </c>
      <c r="B58" s="24">
        <v>11</v>
      </c>
      <c r="C58" s="24" t="s">
        <v>1345</v>
      </c>
    </row>
    <row r="59" spans="1:3" ht="32.1" customHeight="1">
      <c r="A59" s="24" t="s">
        <v>1334</v>
      </c>
      <c r="B59" s="24">
        <v>12</v>
      </c>
      <c r="C59" s="24" t="s">
        <v>1346</v>
      </c>
    </row>
    <row r="60" spans="1:3" ht="32.1" customHeight="1">
      <c r="A60" s="24" t="s">
        <v>1334</v>
      </c>
      <c r="B60" s="24">
        <v>13</v>
      </c>
      <c r="C60" s="24" t="s">
        <v>1347</v>
      </c>
    </row>
    <row r="61" spans="1:3" ht="32.1" customHeight="1">
      <c r="A61" s="24" t="s">
        <v>1334</v>
      </c>
      <c r="B61" s="24">
        <v>14</v>
      </c>
      <c r="C61" s="24" t="s">
        <v>1348</v>
      </c>
    </row>
    <row r="62" spans="1:3" ht="32.1" customHeight="1">
      <c r="A62" s="24" t="s">
        <v>1334</v>
      </c>
      <c r="B62" s="24">
        <v>15</v>
      </c>
      <c r="C62" s="24" t="s">
        <v>1349</v>
      </c>
    </row>
    <row r="63" spans="1:3" ht="32.1" customHeight="1">
      <c r="A63" s="24" t="s">
        <v>1334</v>
      </c>
      <c r="B63" s="24">
        <v>16</v>
      </c>
      <c r="C63" s="24" t="s">
        <v>1350</v>
      </c>
    </row>
    <row r="64" spans="1:3" ht="32.1" customHeight="1">
      <c r="A64" s="24" t="s">
        <v>1334</v>
      </c>
      <c r="B64" s="24">
        <v>17</v>
      </c>
      <c r="C64" s="24" t="s">
        <v>1351</v>
      </c>
    </row>
    <row r="65" spans="1:3" ht="32.1" customHeight="1">
      <c r="A65" s="24" t="s">
        <v>1334</v>
      </c>
      <c r="B65" s="24">
        <v>18</v>
      </c>
      <c r="C65" s="24" t="s">
        <v>1352</v>
      </c>
    </row>
    <row r="66" spans="1:3" ht="32.1" customHeight="1">
      <c r="A66" s="24" t="s">
        <v>1334</v>
      </c>
      <c r="B66" s="24">
        <v>19</v>
      </c>
      <c r="C66" s="24" t="s">
        <v>1353</v>
      </c>
    </row>
    <row r="67" spans="1:3" ht="32.1" customHeight="1">
      <c r="A67" s="24" t="s">
        <v>1334</v>
      </c>
      <c r="B67" s="24">
        <v>20</v>
      </c>
      <c r="C67" s="24" t="s">
        <v>1354</v>
      </c>
    </row>
    <row r="68" spans="1:3" ht="32.1" customHeight="1">
      <c r="A68" s="24" t="s">
        <v>1334</v>
      </c>
      <c r="B68" s="24">
        <v>21</v>
      </c>
      <c r="C68" s="24" t="s">
        <v>1355</v>
      </c>
    </row>
    <row r="69" spans="1:3" ht="32.1" customHeight="1">
      <c r="A69" s="24" t="s">
        <v>1334</v>
      </c>
      <c r="B69" s="24">
        <v>22</v>
      </c>
      <c r="C69" s="24" t="s">
        <v>1356</v>
      </c>
    </row>
    <row r="70" spans="1:3" ht="32.1" customHeight="1">
      <c r="A70" s="24" t="s">
        <v>1334</v>
      </c>
      <c r="B70" s="24">
        <v>23</v>
      </c>
      <c r="C70" s="24" t="s">
        <v>1357</v>
      </c>
    </row>
    <row r="71" spans="1:3" ht="32.1" customHeight="1">
      <c r="A71" s="24" t="s">
        <v>1334</v>
      </c>
      <c r="B71" s="24">
        <v>24</v>
      </c>
      <c r="C71" s="24" t="s">
        <v>1358</v>
      </c>
    </row>
    <row r="72" spans="1:3" ht="32.1" customHeight="1">
      <c r="A72" s="24" t="s">
        <v>1334</v>
      </c>
      <c r="B72" s="24">
        <v>25</v>
      </c>
      <c r="C72" s="24" t="s">
        <v>1359</v>
      </c>
    </row>
    <row r="73" spans="1:3" ht="32.1" customHeight="1">
      <c r="A73" s="24" t="s">
        <v>1334</v>
      </c>
      <c r="B73" s="24">
        <v>26</v>
      </c>
      <c r="C73" s="24" t="s">
        <v>1360</v>
      </c>
    </row>
    <row r="74" spans="1:3" ht="32.1" customHeight="1">
      <c r="A74" s="24" t="s">
        <v>1334</v>
      </c>
      <c r="B74" s="24">
        <v>27</v>
      </c>
      <c r="C74" s="24" t="s">
        <v>1361</v>
      </c>
    </row>
    <row r="75" spans="1:3" ht="32.1" customHeight="1">
      <c r="A75" s="24" t="s">
        <v>1334</v>
      </c>
      <c r="B75" s="24">
        <v>28</v>
      </c>
      <c r="C75" s="24" t="s">
        <v>1362</v>
      </c>
    </row>
    <row r="76" spans="1:3" ht="32.1" customHeight="1">
      <c r="A76" s="24" t="s">
        <v>1334</v>
      </c>
      <c r="B76" s="24">
        <v>29</v>
      </c>
      <c r="C76" s="24" t="s">
        <v>1363</v>
      </c>
    </row>
    <row r="77" spans="1:3" ht="32.1" customHeight="1">
      <c r="A77" s="24" t="s">
        <v>1334</v>
      </c>
      <c r="B77" s="24">
        <v>30</v>
      </c>
      <c r="C77" s="24" t="s">
        <v>1364</v>
      </c>
    </row>
    <row r="78" spans="1:3" ht="32.1" customHeight="1">
      <c r="A78" s="24" t="s">
        <v>1334</v>
      </c>
      <c r="B78" s="24">
        <v>31</v>
      </c>
      <c r="C78" s="24" t="s">
        <v>1365</v>
      </c>
    </row>
    <row r="79" spans="1:3" ht="32.1" customHeight="1">
      <c r="A79" s="24" t="s">
        <v>1334</v>
      </c>
      <c r="B79" s="24">
        <v>32</v>
      </c>
      <c r="C79" s="24" t="s">
        <v>1366</v>
      </c>
    </row>
    <row r="80" spans="1:3" ht="32.1" customHeight="1">
      <c r="A80" s="24" t="s">
        <v>1334</v>
      </c>
      <c r="B80" s="24">
        <v>33</v>
      </c>
      <c r="C80" s="24" t="s">
        <v>1367</v>
      </c>
    </row>
    <row r="81" spans="1:3" ht="32.1" customHeight="1">
      <c r="A81" s="24" t="s">
        <v>1334</v>
      </c>
      <c r="B81" s="24">
        <v>34</v>
      </c>
      <c r="C81" s="24" t="s">
        <v>1368</v>
      </c>
    </row>
    <row r="82" spans="1:3" ht="32.1" customHeight="1">
      <c r="A82" s="24" t="s">
        <v>1334</v>
      </c>
      <c r="B82" s="24">
        <v>35</v>
      </c>
      <c r="C82" s="24" t="s">
        <v>1369</v>
      </c>
    </row>
    <row r="83" spans="1:3" ht="32.1" customHeight="1">
      <c r="A83" s="24" t="s">
        <v>1334</v>
      </c>
      <c r="B83" s="24">
        <v>36</v>
      </c>
      <c r="C83" s="24" t="s">
        <v>1370</v>
      </c>
    </row>
    <row r="84" spans="1:3" ht="32.1" customHeight="1">
      <c r="A84" s="24" t="s">
        <v>1334</v>
      </c>
      <c r="B84" s="24">
        <v>37</v>
      </c>
      <c r="C84" s="24" t="s">
        <v>1371</v>
      </c>
    </row>
    <row r="85" spans="1:3" ht="32.1" customHeight="1">
      <c r="A85" s="24" t="s">
        <v>1334</v>
      </c>
      <c r="B85" s="24">
        <v>38</v>
      </c>
      <c r="C85" s="24" t="s">
        <v>1372</v>
      </c>
    </row>
    <row r="86" spans="1:3" ht="32.1" customHeight="1">
      <c r="A86" s="24" t="s">
        <v>1373</v>
      </c>
      <c r="B86" s="24">
        <v>1</v>
      </c>
      <c r="C86" s="24" t="s">
        <v>1374</v>
      </c>
    </row>
    <row r="87" spans="1:3" ht="32.1" customHeight="1">
      <c r="A87" s="24" t="s">
        <v>1373</v>
      </c>
      <c r="B87" s="24">
        <v>2</v>
      </c>
      <c r="C87" s="24" t="s">
        <v>1375</v>
      </c>
    </row>
    <row r="88" spans="1:3" ht="32.1" customHeight="1">
      <c r="A88" s="24" t="s">
        <v>1373</v>
      </c>
      <c r="B88" s="24">
        <v>3</v>
      </c>
      <c r="C88" s="24" t="s">
        <v>1376</v>
      </c>
    </row>
    <row r="89" spans="1:3" ht="32.1" customHeight="1">
      <c r="A89" s="24" t="s">
        <v>1373</v>
      </c>
      <c r="B89" s="24">
        <v>4</v>
      </c>
      <c r="C89" s="24" t="s">
        <v>1377</v>
      </c>
    </row>
    <row r="90" spans="1:3" ht="32.1" customHeight="1">
      <c r="A90" s="24" t="s">
        <v>1373</v>
      </c>
      <c r="B90" s="24">
        <v>5</v>
      </c>
      <c r="C90" s="24" t="s">
        <v>1378</v>
      </c>
    </row>
    <row r="91" spans="1:3" ht="32.1" customHeight="1">
      <c r="A91" s="24" t="s">
        <v>1373</v>
      </c>
      <c r="B91" s="24">
        <v>6</v>
      </c>
      <c r="C91" s="24" t="s">
        <v>1379</v>
      </c>
    </row>
    <row r="92" spans="1:3" ht="32.1" customHeight="1">
      <c r="A92" s="24" t="s">
        <v>1373</v>
      </c>
      <c r="B92" s="24">
        <v>7</v>
      </c>
      <c r="C92" s="24" t="s">
        <v>1380</v>
      </c>
    </row>
    <row r="93" spans="1:3" ht="32.1" customHeight="1">
      <c r="A93" s="24" t="s">
        <v>1373</v>
      </c>
      <c r="B93" s="24">
        <v>8</v>
      </c>
      <c r="C93" s="24" t="s">
        <v>1381</v>
      </c>
    </row>
    <row r="94" spans="1:3" ht="32.1" customHeight="1">
      <c r="A94" s="24" t="s">
        <v>1373</v>
      </c>
      <c r="B94" s="24">
        <v>9</v>
      </c>
      <c r="C94" s="24" t="s">
        <v>1382</v>
      </c>
    </row>
    <row r="95" spans="1:3" ht="32.1" customHeight="1">
      <c r="A95" s="24" t="s">
        <v>1373</v>
      </c>
      <c r="B95" s="24">
        <v>10</v>
      </c>
      <c r="C95" s="24" t="s">
        <v>1383</v>
      </c>
    </row>
    <row r="96" spans="1:3" ht="32.1" customHeight="1">
      <c r="A96" s="24" t="s">
        <v>1373</v>
      </c>
      <c r="B96" s="24">
        <v>11</v>
      </c>
      <c r="C96" s="24" t="s">
        <v>1384</v>
      </c>
    </row>
    <row r="97" spans="1:3" ht="32.1" customHeight="1">
      <c r="A97" s="24" t="s">
        <v>1373</v>
      </c>
      <c r="B97" s="24">
        <v>12</v>
      </c>
      <c r="C97" s="24" t="s">
        <v>1385</v>
      </c>
    </row>
    <row r="98" spans="1:3" ht="32.1" customHeight="1">
      <c r="A98" s="24" t="s">
        <v>1373</v>
      </c>
      <c r="B98" s="24">
        <v>13</v>
      </c>
      <c r="C98" s="24" t="s">
        <v>1386</v>
      </c>
    </row>
    <row r="99" spans="1:3" ht="32.1" customHeight="1">
      <c r="A99" s="24" t="s">
        <v>1373</v>
      </c>
      <c r="B99" s="24">
        <v>14</v>
      </c>
      <c r="C99" s="24" t="s">
        <v>1387</v>
      </c>
    </row>
    <row r="100" spans="1:3" ht="32.1" customHeight="1">
      <c r="A100" s="24" t="s">
        <v>1373</v>
      </c>
      <c r="B100" s="24">
        <v>15</v>
      </c>
      <c r="C100" s="24" t="s">
        <v>1388</v>
      </c>
    </row>
    <row r="101" spans="1:3" ht="32.1" customHeight="1">
      <c r="A101" s="24" t="s">
        <v>1373</v>
      </c>
      <c r="B101" s="24">
        <v>16</v>
      </c>
      <c r="C101" s="24" t="s">
        <v>1389</v>
      </c>
    </row>
    <row r="102" spans="1:3" ht="32.1" customHeight="1">
      <c r="A102" s="24" t="s">
        <v>1373</v>
      </c>
      <c r="B102" s="24">
        <v>17</v>
      </c>
      <c r="C102" s="24" t="s">
        <v>1390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1"/>
  <sheetViews>
    <sheetView workbookViewId="0"/>
  </sheetViews>
  <sheetFormatPr defaultRowHeight="14.25"/>
  <cols>
    <col min="1" max="1" width="27" customWidth="1"/>
    <col min="2" max="4" width="13" customWidth="1"/>
    <col min="5" max="5" width="42" customWidth="1"/>
    <col min="7" max="15" width="12" customWidth="1"/>
  </cols>
  <sheetData>
    <row r="1" spans="1:16" ht="36" customHeight="1">
      <c r="A1" s="121" t="s">
        <v>10497</v>
      </c>
      <c r="B1" s="121"/>
      <c r="C1" s="121"/>
      <c r="D1" s="121"/>
      <c r="E1" s="122"/>
      <c r="F1" s="122"/>
      <c r="G1" s="122"/>
      <c r="H1" s="122"/>
      <c r="I1" s="122"/>
      <c r="J1" s="122"/>
      <c r="K1" s="122"/>
      <c r="L1" s="122"/>
      <c r="M1" s="122"/>
      <c r="N1" s="122"/>
      <c r="O1" s="123"/>
      <c r="P1" s="28"/>
    </row>
    <row r="2" spans="1:16" ht="32.1" customHeight="1">
      <c r="A2" s="124" t="s">
        <v>1391</v>
      </c>
      <c r="B2" s="124"/>
      <c r="C2" s="124"/>
      <c r="D2" s="124"/>
      <c r="E2" s="124"/>
      <c r="F2" s="124"/>
      <c r="G2" s="124"/>
      <c r="H2" s="124"/>
      <c r="I2" s="124"/>
      <c r="J2" s="124"/>
      <c r="K2" s="124"/>
      <c r="L2" s="124"/>
      <c r="M2" s="124"/>
      <c r="N2" s="124"/>
      <c r="O2" s="124"/>
      <c r="P2" s="29"/>
    </row>
    <row r="3" spans="1:16" ht="32.1" customHeight="1">
      <c r="A3" s="51"/>
      <c r="B3" s="51"/>
      <c r="C3" s="51"/>
      <c r="D3" s="51"/>
      <c r="E3" s="52"/>
      <c r="F3" s="52"/>
    </row>
    <row r="4" spans="1:16" ht="33.950000000000003" customHeight="1">
      <c r="A4" s="39" t="s">
        <v>792</v>
      </c>
      <c r="B4" s="39" t="s">
        <v>449</v>
      </c>
      <c r="C4" s="39" t="s">
        <v>1058</v>
      </c>
      <c r="D4" s="39" t="s">
        <v>1392</v>
      </c>
      <c r="E4" s="31" t="s">
        <v>796</v>
      </c>
      <c r="G4" t="s">
        <v>10</v>
      </c>
      <c r="H4" t="s">
        <v>449</v>
      </c>
      <c r="I4" t="s">
        <v>1058</v>
      </c>
    </row>
    <row r="5" spans="1:16" ht="38.1" customHeight="1">
      <c r="A5" s="49" t="s">
        <v>1278</v>
      </c>
      <c r="B5" s="49">
        <f>COUNTIF(Backlog!$B$2:$B$188,"M2")</f>
        <v>115</v>
      </c>
      <c r="C5" s="49">
        <f>COUNTIF(Backlog!$B$2:$B$188,"M3")</f>
        <v>72</v>
      </c>
      <c r="D5" s="49">
        <f t="shared" ref="D5:D11" si="0">B5+C5</f>
        <v>187</v>
      </c>
      <c r="E5" s="50" t="s">
        <v>1393</v>
      </c>
      <c r="G5" t="s">
        <v>249</v>
      </c>
      <c r="H5">
        <f>COUNTIFS(Backlog!$B$2:$B$188,"M2",Backlog!$K$2:$K$188,G5)</f>
        <v>68</v>
      </c>
      <c r="I5">
        <f>COUNTIFS(Backlog!$B$2:$B$188,"M3",Backlog!$K$2:$K$188,G5)</f>
        <v>0</v>
      </c>
    </row>
    <row r="6" spans="1:16" ht="38.1" customHeight="1">
      <c r="A6" s="49" t="s">
        <v>249</v>
      </c>
      <c r="B6" s="49">
        <f>COUNTIFS(Backlog!$B$2:$B$188,"M2",Backlog!$K$2:$K$188,"Done")</f>
        <v>68</v>
      </c>
      <c r="C6" s="49">
        <f>COUNTIFS(Backlog!$B$2:$B$188,"M3",Backlog!$K$2:$K$188,"Done")</f>
        <v>0</v>
      </c>
      <c r="D6" s="49">
        <f t="shared" si="0"/>
        <v>68</v>
      </c>
      <c r="E6" s="50" t="s">
        <v>1394</v>
      </c>
      <c r="G6" t="s">
        <v>615</v>
      </c>
      <c r="H6">
        <f>COUNTIFS(Backlog!$B$2:$B$188,"M2",Backlog!$K$2:$K$188,G6)</f>
        <v>4</v>
      </c>
      <c r="I6">
        <f>COUNTIFS(Backlog!$B$2:$B$188,"M3",Backlog!$K$2:$K$188,G6)</f>
        <v>0</v>
      </c>
    </row>
    <row r="7" spans="1:16" ht="38.1" customHeight="1">
      <c r="A7" s="49" t="s">
        <v>1395</v>
      </c>
      <c r="B7" s="49">
        <f>COUNTIFS(Backlog!$B$2:$B$188,"M2",Backlog!$K$2:$K$188,"In Progress")</f>
        <v>4</v>
      </c>
      <c r="C7" s="49">
        <f>COUNTIFS(Backlog!$B$2:$B$188,"M3",Backlog!$K$2:$K$188,"In Progress")</f>
        <v>0</v>
      </c>
      <c r="D7" s="49">
        <f t="shared" si="0"/>
        <v>4</v>
      </c>
      <c r="E7" s="50" t="s">
        <v>1396</v>
      </c>
      <c r="G7" t="s">
        <v>537</v>
      </c>
      <c r="H7">
        <f>COUNTIFS(Backlog!$B$2:$B$188,"M2",Backlog!$K$2:$K$188,G7)</f>
        <v>43</v>
      </c>
      <c r="I7">
        <f>COUNTIFS(Backlog!$B$2:$B$188,"M3",Backlog!$K$2:$K$188,G7)</f>
        <v>72</v>
      </c>
    </row>
    <row r="8" spans="1:16" ht="38.1" customHeight="1">
      <c r="A8" s="49" t="s">
        <v>1397</v>
      </c>
      <c r="B8" s="49">
        <f>COUNTIFS(Backlog!$B$2:$B$188,"M2",Backlog!$K$2:$K$188,"Not Started")</f>
        <v>43</v>
      </c>
      <c r="C8" s="49">
        <f>COUNTIFS(Backlog!$B$2:$B$188,"M3",Backlog!$K$2:$K$188,"Not Started")</f>
        <v>72</v>
      </c>
      <c r="D8" s="49">
        <f t="shared" si="0"/>
        <v>115</v>
      </c>
      <c r="E8" s="50" t="s">
        <v>1398</v>
      </c>
    </row>
    <row r="9" spans="1:16" ht="38.1" customHeight="1">
      <c r="A9" s="49" t="s">
        <v>1399</v>
      </c>
      <c r="B9" s="49">
        <f>SUMIF(Backlog!$B$2:$B$188,"M2",Backlog!$AS$2:$AS$188)</f>
        <v>884</v>
      </c>
      <c r="C9" s="49">
        <f>SUMIF(Backlog!$B$2:$B$188,"M3",Backlog!$AS$2:$AS$188)</f>
        <v>649</v>
      </c>
      <c r="D9" s="49">
        <f t="shared" si="0"/>
        <v>1533</v>
      </c>
      <c r="E9" s="50" t="s">
        <v>1400</v>
      </c>
    </row>
    <row r="10" spans="1:16" ht="38.1" customHeight="1">
      <c r="A10" s="49" t="s">
        <v>1401</v>
      </c>
      <c r="B10" s="49">
        <f>SUMIFS(Backlog!$AS$2:$AS$188,Backlog!$B$2:$B$188,"M2",Backlog!$K$2:$K$188,"&lt;&gt;Done")</f>
        <v>282</v>
      </c>
      <c r="C10" s="49">
        <f>SUMIFS(Backlog!$AS$2:$AS$188,Backlog!$B$2:$B$188,"M3",Backlog!$K$2:$K$188,"&lt;&gt;Done")</f>
        <v>649</v>
      </c>
      <c r="D10" s="49">
        <f t="shared" si="0"/>
        <v>931</v>
      </c>
      <c r="E10" s="50" t="s">
        <v>1402</v>
      </c>
    </row>
    <row r="11" spans="1:16" ht="38.1" customHeight="1">
      <c r="A11" s="49" t="s">
        <v>1403</v>
      </c>
      <c r="B11" s="49">
        <f>COUNTIFS(Backlog!$B$2:$B$188,"M2",Backlog!$AM$2:$AM$188,0)</f>
        <v>25</v>
      </c>
      <c r="C11" s="49">
        <f>COUNTIFS(Backlog!$B$2:$B$188,"M3",Backlog!$AM$2:$AM$188,0)</f>
        <v>13</v>
      </c>
      <c r="D11" s="49">
        <f t="shared" si="0"/>
        <v>38</v>
      </c>
      <c r="E11" s="50" t="s">
        <v>1404</v>
      </c>
    </row>
    <row r="12" spans="1:16" ht="38.1" customHeight="1">
      <c r="A12" s="49"/>
      <c r="B12" s="49"/>
      <c r="C12" s="49"/>
      <c r="D12" s="49"/>
      <c r="E12" s="50"/>
    </row>
    <row r="13" spans="1:16" ht="38.1" customHeight="1">
      <c r="A13" s="49"/>
      <c r="B13" s="49"/>
      <c r="C13" s="49"/>
      <c r="D13" s="49"/>
      <c r="E13" s="50"/>
    </row>
    <row r="14" spans="1:16" ht="38.1" customHeight="1">
      <c r="A14" s="125" t="s">
        <v>1405</v>
      </c>
      <c r="B14" s="125"/>
      <c r="C14" s="125"/>
      <c r="D14" s="125"/>
      <c r="E14" s="126"/>
    </row>
    <row r="15" spans="1:16" ht="38.1" customHeight="1">
      <c r="A15" s="119" t="s">
        <v>1406</v>
      </c>
      <c r="B15" s="119"/>
      <c r="C15" s="119"/>
      <c r="D15" s="119"/>
      <c r="E15" s="120"/>
    </row>
    <row r="16" spans="1:16" ht="38.1" customHeight="1">
      <c r="A16" s="49"/>
      <c r="B16" s="49"/>
      <c r="C16" s="49"/>
      <c r="D16" s="49"/>
      <c r="E16" s="50"/>
    </row>
    <row r="17" spans="1:5" ht="38.1" customHeight="1">
      <c r="A17" s="119" t="s">
        <v>1407</v>
      </c>
      <c r="B17" s="119"/>
      <c r="C17" s="119"/>
      <c r="D17" s="119"/>
      <c r="E17" s="120"/>
    </row>
    <row r="18" spans="1:5" ht="38.1" customHeight="1">
      <c r="A18" s="49"/>
      <c r="B18" s="49"/>
      <c r="C18" s="49"/>
      <c r="D18" s="49"/>
      <c r="E18" s="50"/>
    </row>
    <row r="19" spans="1:5" ht="38.1" customHeight="1">
      <c r="A19" s="119" t="s">
        <v>1408</v>
      </c>
      <c r="B19" s="119"/>
      <c r="C19" s="119"/>
      <c r="D19" s="119"/>
      <c r="E19" s="120"/>
    </row>
    <row r="20" spans="1:5" ht="38.1" customHeight="1">
      <c r="A20" s="49"/>
      <c r="B20" s="49"/>
      <c r="C20" s="49"/>
      <c r="D20" s="49"/>
      <c r="E20" s="50"/>
    </row>
    <row r="21" spans="1:5" ht="38.1" customHeight="1">
      <c r="A21" s="119" t="s">
        <v>1409</v>
      </c>
      <c r="B21" s="119"/>
      <c r="C21" s="119"/>
      <c r="D21" s="119"/>
      <c r="E21" s="120"/>
    </row>
  </sheetData>
  <mergeCells count="7">
    <mergeCell ref="A19:E19"/>
    <mergeCell ref="A21:E21"/>
    <mergeCell ref="A1:O1"/>
    <mergeCell ref="A2:O2"/>
    <mergeCell ref="A14:E14"/>
    <mergeCell ref="A15:E15"/>
    <mergeCell ref="A17:E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2"/>
  <sheetViews>
    <sheetView workbookViewId="0"/>
  </sheetViews>
  <sheetFormatPr defaultRowHeight="14.25"/>
  <cols>
    <col min="1" max="5" width="20" customWidth="1"/>
    <col min="6" max="7" width="40" customWidth="1"/>
  </cols>
  <sheetData>
    <row r="1" spans="1:7" ht="36" customHeight="1">
      <c r="A1" s="37" t="s">
        <v>10498</v>
      </c>
      <c r="B1" s="37" t="s">
        <v>10499</v>
      </c>
      <c r="C1" s="37" t="s">
        <v>10500</v>
      </c>
      <c r="D1" s="37" t="s">
        <v>10501</v>
      </c>
      <c r="E1" s="37" t="s">
        <v>1591</v>
      </c>
      <c r="F1" s="37" t="s">
        <v>10502</v>
      </c>
      <c r="G1" s="37" t="s">
        <v>10</v>
      </c>
    </row>
    <row r="2" spans="1:7" ht="48" customHeight="1">
      <c r="A2" s="32" t="s">
        <v>121</v>
      </c>
      <c r="B2" s="32" t="s">
        <v>184</v>
      </c>
      <c r="C2" s="32" t="s">
        <v>449</v>
      </c>
      <c r="D2" s="32" t="s">
        <v>1058</v>
      </c>
      <c r="E2" s="32" t="s">
        <v>10503</v>
      </c>
      <c r="F2" s="32" t="s">
        <v>10504</v>
      </c>
      <c r="G2" s="32" t="s">
        <v>10505</v>
      </c>
    </row>
    <row r="3" spans="1:7" ht="48" customHeight="1">
      <c r="A3" s="32" t="s">
        <v>121</v>
      </c>
      <c r="B3" s="32" t="s">
        <v>185</v>
      </c>
      <c r="C3" s="32" t="s">
        <v>449</v>
      </c>
      <c r="D3" s="32" t="s">
        <v>1058</v>
      </c>
      <c r="E3" s="32" t="s">
        <v>10503</v>
      </c>
      <c r="F3" s="32" t="s">
        <v>10504</v>
      </c>
      <c r="G3" s="32" t="s">
        <v>10505</v>
      </c>
    </row>
    <row r="4" spans="1:7" ht="48" customHeight="1">
      <c r="A4" s="32" t="s">
        <v>121</v>
      </c>
      <c r="B4" s="32" t="s">
        <v>186</v>
      </c>
      <c r="C4" s="32" t="s">
        <v>449</v>
      </c>
      <c r="D4" s="32" t="s">
        <v>1058</v>
      </c>
      <c r="E4" s="32" t="s">
        <v>10503</v>
      </c>
      <c r="F4" s="32" t="s">
        <v>10504</v>
      </c>
      <c r="G4" s="32" t="s">
        <v>10505</v>
      </c>
    </row>
    <row r="5" spans="1:7" ht="48" customHeight="1">
      <c r="A5" s="32" t="s">
        <v>121</v>
      </c>
      <c r="B5" s="32" t="s">
        <v>187</v>
      </c>
      <c r="C5" s="32" t="s">
        <v>449</v>
      </c>
      <c r="D5" s="32" t="s">
        <v>1058</v>
      </c>
      <c r="E5" s="32" t="s">
        <v>10503</v>
      </c>
      <c r="F5" s="32" t="s">
        <v>10504</v>
      </c>
      <c r="G5" s="32" t="s">
        <v>10505</v>
      </c>
    </row>
    <row r="6" spans="1:7" ht="48" customHeight="1">
      <c r="A6" s="32" t="s">
        <v>121</v>
      </c>
      <c r="B6" s="32" t="s">
        <v>188</v>
      </c>
      <c r="C6" s="32" t="s">
        <v>449</v>
      </c>
      <c r="D6" s="32" t="s">
        <v>1058</v>
      </c>
      <c r="E6" s="32" t="s">
        <v>10503</v>
      </c>
      <c r="F6" s="32" t="s">
        <v>10504</v>
      </c>
      <c r="G6" s="32" t="s">
        <v>10505</v>
      </c>
    </row>
    <row r="7" spans="1:7" ht="48" customHeight="1">
      <c r="A7" s="2" t="s">
        <v>121</v>
      </c>
      <c r="B7" s="2" t="s">
        <v>238</v>
      </c>
      <c r="C7" s="2" t="s">
        <v>449</v>
      </c>
      <c r="D7" s="2" t="s">
        <v>449</v>
      </c>
      <c r="E7" s="2" t="s">
        <v>10503</v>
      </c>
      <c r="F7" s="2" t="s">
        <v>10504</v>
      </c>
      <c r="G7" s="2" t="s">
        <v>10505</v>
      </c>
    </row>
    <row r="8" spans="1:7" ht="48" customHeight="1">
      <c r="A8" s="2" t="s">
        <v>121</v>
      </c>
      <c r="B8" s="2" t="s">
        <v>239</v>
      </c>
      <c r="C8" s="2" t="s">
        <v>449</v>
      </c>
      <c r="D8" s="2" t="s">
        <v>449</v>
      </c>
      <c r="E8" s="2" t="s">
        <v>10503</v>
      </c>
      <c r="F8" s="2" t="s">
        <v>10504</v>
      </c>
      <c r="G8" s="2" t="s">
        <v>10505</v>
      </c>
    </row>
    <row r="9" spans="1:7" ht="48" customHeight="1">
      <c r="A9" s="2" t="s">
        <v>238</v>
      </c>
      <c r="B9" s="2" t="s">
        <v>92</v>
      </c>
      <c r="C9" s="2" t="s">
        <v>449</v>
      </c>
      <c r="D9" s="2" t="s">
        <v>449</v>
      </c>
      <c r="E9" s="2" t="s">
        <v>10503</v>
      </c>
      <c r="F9" s="2" t="s">
        <v>10504</v>
      </c>
      <c r="G9" s="2" t="s">
        <v>10505</v>
      </c>
    </row>
    <row r="10" spans="1:7" ht="48" customHeight="1">
      <c r="A10" s="2" t="s">
        <v>238</v>
      </c>
      <c r="B10" s="2" t="s">
        <v>98</v>
      </c>
      <c r="C10" s="2" t="s">
        <v>449</v>
      </c>
      <c r="D10" s="2" t="s">
        <v>449</v>
      </c>
      <c r="E10" s="2" t="s">
        <v>10503</v>
      </c>
      <c r="F10" s="2" t="s">
        <v>10504</v>
      </c>
      <c r="G10" s="2" t="s">
        <v>10505</v>
      </c>
    </row>
    <row r="11" spans="1:7" ht="48" customHeight="1">
      <c r="A11" s="2" t="s">
        <v>238</v>
      </c>
      <c r="B11" s="2" t="s">
        <v>117</v>
      </c>
      <c r="C11" s="2" t="s">
        <v>449</v>
      </c>
      <c r="D11" s="2" t="s">
        <v>449</v>
      </c>
      <c r="E11" s="2" t="s">
        <v>10503</v>
      </c>
      <c r="F11" s="2" t="s">
        <v>10504</v>
      </c>
      <c r="G11" s="2" t="s">
        <v>10505</v>
      </c>
    </row>
    <row r="12" spans="1:7" ht="48" customHeight="1">
      <c r="A12" s="2" t="s">
        <v>238</v>
      </c>
      <c r="B12" s="2" t="s">
        <v>120</v>
      </c>
      <c r="C12" s="2" t="s">
        <v>449</v>
      </c>
      <c r="D12" s="2" t="s">
        <v>449</v>
      </c>
      <c r="E12" s="2" t="s">
        <v>10503</v>
      </c>
      <c r="F12" s="2" t="s">
        <v>10504</v>
      </c>
      <c r="G12" s="2" t="s">
        <v>10505</v>
      </c>
    </row>
    <row r="13" spans="1:7" ht="48" customHeight="1">
      <c r="A13" s="2" t="s">
        <v>238</v>
      </c>
      <c r="B13" s="2" t="s">
        <v>94</v>
      </c>
      <c r="C13" s="2" t="s">
        <v>449</v>
      </c>
      <c r="D13" s="2" t="s">
        <v>449</v>
      </c>
      <c r="E13" s="2" t="s">
        <v>10503</v>
      </c>
      <c r="F13" s="2" t="s">
        <v>10504</v>
      </c>
      <c r="G13" s="2" t="s">
        <v>10505</v>
      </c>
    </row>
    <row r="14" spans="1:7" ht="48" customHeight="1">
      <c r="A14" s="2" t="s">
        <v>238</v>
      </c>
      <c r="B14" s="2" t="s">
        <v>161</v>
      </c>
      <c r="C14" s="2" t="s">
        <v>449</v>
      </c>
      <c r="D14" s="2" t="s">
        <v>449</v>
      </c>
      <c r="E14" s="2" t="s">
        <v>10503</v>
      </c>
      <c r="F14" s="2" t="s">
        <v>10504</v>
      </c>
      <c r="G14" s="2" t="s">
        <v>10505</v>
      </c>
    </row>
    <row r="15" spans="1:7" ht="48" customHeight="1">
      <c r="A15" s="2" t="s">
        <v>239</v>
      </c>
      <c r="B15" s="2" t="s">
        <v>105</v>
      </c>
      <c r="C15" s="2" t="s">
        <v>449</v>
      </c>
      <c r="D15" s="2" t="s">
        <v>449</v>
      </c>
      <c r="E15" s="2" t="s">
        <v>10503</v>
      </c>
      <c r="F15" s="2" t="s">
        <v>10504</v>
      </c>
      <c r="G15" s="2" t="s">
        <v>10505</v>
      </c>
    </row>
    <row r="16" spans="1:7" ht="48" customHeight="1">
      <c r="A16" s="2" t="s">
        <v>239</v>
      </c>
      <c r="B16" s="2" t="s">
        <v>106</v>
      </c>
      <c r="C16" s="2" t="s">
        <v>449</v>
      </c>
      <c r="D16" s="2" t="s">
        <v>449</v>
      </c>
      <c r="E16" s="2" t="s">
        <v>10503</v>
      </c>
      <c r="F16" s="2" t="s">
        <v>10504</v>
      </c>
      <c r="G16" s="2" t="s">
        <v>10505</v>
      </c>
    </row>
    <row r="17" spans="1:7" ht="48" customHeight="1">
      <c r="A17" s="2" t="s">
        <v>239</v>
      </c>
      <c r="B17" s="2" t="s">
        <v>107</v>
      </c>
      <c r="C17" s="2" t="s">
        <v>449</v>
      </c>
      <c r="D17" s="2" t="s">
        <v>449</v>
      </c>
      <c r="E17" s="2" t="s">
        <v>10503</v>
      </c>
      <c r="F17" s="2" t="s">
        <v>10504</v>
      </c>
      <c r="G17" s="2" t="s">
        <v>10505</v>
      </c>
    </row>
    <row r="18" spans="1:7" ht="48" customHeight="1">
      <c r="A18" s="2" t="s">
        <v>239</v>
      </c>
      <c r="B18" s="2" t="s">
        <v>109</v>
      </c>
      <c r="C18" s="2" t="s">
        <v>449</v>
      </c>
      <c r="D18" s="2" t="s">
        <v>449</v>
      </c>
      <c r="E18" s="2" t="s">
        <v>10503</v>
      </c>
      <c r="F18" s="2" t="s">
        <v>10504</v>
      </c>
      <c r="G18" s="2" t="s">
        <v>10505</v>
      </c>
    </row>
    <row r="19" spans="1:7" ht="48" customHeight="1">
      <c r="A19" s="2" t="s">
        <v>240</v>
      </c>
      <c r="B19" s="2" t="s">
        <v>194</v>
      </c>
      <c r="C19" s="2" t="s">
        <v>1058</v>
      </c>
      <c r="D19" s="2" t="s">
        <v>1058</v>
      </c>
      <c r="E19" s="2" t="s">
        <v>10503</v>
      </c>
      <c r="F19" s="2" t="s">
        <v>10504</v>
      </c>
      <c r="G19" s="2" t="s">
        <v>10505</v>
      </c>
    </row>
    <row r="20" spans="1:7" ht="48" customHeight="1">
      <c r="A20" s="2" t="s">
        <v>240</v>
      </c>
      <c r="B20" s="2" t="s">
        <v>195</v>
      </c>
      <c r="C20" s="2" t="s">
        <v>1058</v>
      </c>
      <c r="D20" s="2" t="s">
        <v>1058</v>
      </c>
      <c r="E20" s="2" t="s">
        <v>10503</v>
      </c>
      <c r="F20" s="2" t="s">
        <v>10504</v>
      </c>
      <c r="G20" s="2" t="s">
        <v>10505</v>
      </c>
    </row>
    <row r="21" spans="1:7" ht="48" customHeight="1">
      <c r="A21" s="2" t="s">
        <v>240</v>
      </c>
      <c r="B21" s="2" t="s">
        <v>235</v>
      </c>
      <c r="C21" s="2" t="s">
        <v>1058</v>
      </c>
      <c r="D21" s="2" t="s">
        <v>1058</v>
      </c>
      <c r="E21" s="2" t="s">
        <v>10503</v>
      </c>
      <c r="F21" s="2" t="s">
        <v>10504</v>
      </c>
      <c r="G21" s="2" t="s">
        <v>10505</v>
      </c>
    </row>
    <row r="22" spans="1:7" ht="48" customHeight="1">
      <c r="A22" s="2" t="s">
        <v>240</v>
      </c>
      <c r="B22" s="2" t="s">
        <v>184</v>
      </c>
      <c r="C22" s="2" t="s">
        <v>1058</v>
      </c>
      <c r="D22" s="2" t="s">
        <v>1058</v>
      </c>
      <c r="E22" s="2" t="s">
        <v>10503</v>
      </c>
      <c r="F22" s="2" t="s">
        <v>10504</v>
      </c>
      <c r="G22" s="2" t="s">
        <v>10505</v>
      </c>
    </row>
    <row r="23" spans="1:7" ht="48" customHeight="1">
      <c r="A23" s="2" t="s">
        <v>240</v>
      </c>
      <c r="B23" s="2" t="s">
        <v>185</v>
      </c>
      <c r="C23" s="2" t="s">
        <v>1058</v>
      </c>
      <c r="D23" s="2" t="s">
        <v>1058</v>
      </c>
      <c r="E23" s="2" t="s">
        <v>10503</v>
      </c>
      <c r="F23" s="2" t="s">
        <v>10504</v>
      </c>
      <c r="G23" s="2" t="s">
        <v>10505</v>
      </c>
    </row>
    <row r="24" spans="1:7" ht="48" customHeight="1">
      <c r="A24" s="2" t="s">
        <v>240</v>
      </c>
      <c r="B24" s="2" t="s">
        <v>186</v>
      </c>
      <c r="C24" s="2" t="s">
        <v>1058</v>
      </c>
      <c r="D24" s="2" t="s">
        <v>1058</v>
      </c>
      <c r="E24" s="2" t="s">
        <v>10503</v>
      </c>
      <c r="F24" s="2" t="s">
        <v>10504</v>
      </c>
      <c r="G24" s="2" t="s">
        <v>10505</v>
      </c>
    </row>
    <row r="25" spans="1:7" ht="48" customHeight="1">
      <c r="A25" s="2" t="s">
        <v>240</v>
      </c>
      <c r="B25" s="2" t="s">
        <v>187</v>
      </c>
      <c r="C25" s="2" t="s">
        <v>1058</v>
      </c>
      <c r="D25" s="2" t="s">
        <v>1058</v>
      </c>
      <c r="E25" s="2" t="s">
        <v>10503</v>
      </c>
      <c r="F25" s="2" t="s">
        <v>10504</v>
      </c>
      <c r="G25" s="2" t="s">
        <v>10505</v>
      </c>
    </row>
    <row r="26" spans="1:7" ht="48" customHeight="1">
      <c r="A26" s="2" t="s">
        <v>240</v>
      </c>
      <c r="B26" s="2" t="s">
        <v>188</v>
      </c>
      <c r="C26" s="2" t="s">
        <v>1058</v>
      </c>
      <c r="D26" s="2" t="s">
        <v>1058</v>
      </c>
      <c r="E26" s="2" t="s">
        <v>10503</v>
      </c>
      <c r="F26" s="2" t="s">
        <v>10504</v>
      </c>
      <c r="G26" s="2" t="s">
        <v>10505</v>
      </c>
    </row>
    <row r="27" spans="1:7" ht="105" customHeight="1">
      <c r="A27" s="2" t="s">
        <v>119</v>
      </c>
      <c r="B27" s="2" t="s">
        <v>93</v>
      </c>
      <c r="C27" s="2" t="s">
        <v>449</v>
      </c>
      <c r="D27" s="2" t="s">
        <v>449</v>
      </c>
      <c r="E27" s="2" t="s">
        <v>7823</v>
      </c>
      <c r="F27" s="2" t="s">
        <v>7824</v>
      </c>
      <c r="G27" s="2" t="s">
        <v>10506</v>
      </c>
    </row>
    <row r="28" spans="1:7">
      <c r="A28" t="s">
        <v>239</v>
      </c>
      <c r="B28" t="s">
        <v>9583</v>
      </c>
      <c r="C28" t="s">
        <v>449</v>
      </c>
      <c r="D28" t="s">
        <v>449</v>
      </c>
      <c r="E28" t="s">
        <v>10507</v>
      </c>
      <c r="F28" t="s">
        <v>10508</v>
      </c>
      <c r="G28" t="s">
        <v>1956</v>
      </c>
    </row>
    <row r="29" spans="1:7">
      <c r="A29" t="s">
        <v>239</v>
      </c>
      <c r="B29" t="s">
        <v>9608</v>
      </c>
      <c r="C29" t="s">
        <v>449</v>
      </c>
      <c r="D29" t="s">
        <v>449</v>
      </c>
      <c r="E29" t="s">
        <v>10507</v>
      </c>
      <c r="F29" t="s">
        <v>10508</v>
      </c>
      <c r="G29" t="s">
        <v>1956</v>
      </c>
    </row>
    <row r="30" spans="1:7">
      <c r="A30" t="s">
        <v>239</v>
      </c>
      <c r="B30" t="s">
        <v>9616</v>
      </c>
      <c r="C30" t="s">
        <v>449</v>
      </c>
      <c r="D30" t="s">
        <v>449</v>
      </c>
      <c r="E30" t="s">
        <v>10507</v>
      </c>
      <c r="F30" t="s">
        <v>10508</v>
      </c>
      <c r="G30" t="s">
        <v>1956</v>
      </c>
    </row>
    <row r="31" spans="1:7">
      <c r="A31" t="s">
        <v>239</v>
      </c>
      <c r="B31" t="s">
        <v>9625</v>
      </c>
      <c r="C31" t="s">
        <v>449</v>
      </c>
      <c r="D31" t="s">
        <v>449</v>
      </c>
      <c r="E31" t="s">
        <v>10507</v>
      </c>
      <c r="F31" t="s">
        <v>10508</v>
      </c>
      <c r="G31" t="s">
        <v>1956</v>
      </c>
    </row>
    <row r="32" spans="1:7">
      <c r="A32" t="s">
        <v>239</v>
      </c>
      <c r="B32" t="s">
        <v>9633</v>
      </c>
      <c r="C32" t="s">
        <v>449</v>
      </c>
      <c r="D32" t="s">
        <v>449</v>
      </c>
      <c r="E32" t="s">
        <v>10507</v>
      </c>
      <c r="F32" t="s">
        <v>10508</v>
      </c>
      <c r="G32" t="s">
        <v>1956</v>
      </c>
    </row>
    <row r="33" spans="1:7">
      <c r="A33" t="s">
        <v>239</v>
      </c>
      <c r="B33" t="s">
        <v>9642</v>
      </c>
      <c r="C33" t="s">
        <v>449</v>
      </c>
      <c r="D33" t="s">
        <v>449</v>
      </c>
      <c r="E33" t="s">
        <v>10507</v>
      </c>
      <c r="F33" t="s">
        <v>10508</v>
      </c>
      <c r="G33" t="s">
        <v>1956</v>
      </c>
    </row>
    <row r="34" spans="1:7">
      <c r="A34" t="s">
        <v>239</v>
      </c>
      <c r="B34" t="s">
        <v>9661</v>
      </c>
      <c r="C34" t="s">
        <v>449</v>
      </c>
      <c r="D34" t="s">
        <v>449</v>
      </c>
      <c r="E34" t="s">
        <v>10507</v>
      </c>
      <c r="F34" t="s">
        <v>10508</v>
      </c>
      <c r="G34" t="s">
        <v>1956</v>
      </c>
    </row>
    <row r="35" spans="1:7">
      <c r="A35" t="s">
        <v>9651</v>
      </c>
      <c r="B35" t="s">
        <v>118</v>
      </c>
      <c r="C35" t="s">
        <v>449</v>
      </c>
      <c r="D35" t="s">
        <v>449</v>
      </c>
      <c r="E35" t="s">
        <v>10509</v>
      </c>
      <c r="F35" t="s">
        <v>10510</v>
      </c>
      <c r="G35" t="s">
        <v>1956</v>
      </c>
    </row>
    <row r="36" spans="1:7">
      <c r="A36" t="s">
        <v>9651</v>
      </c>
      <c r="B36" t="s">
        <v>9583</v>
      </c>
      <c r="C36" t="s">
        <v>449</v>
      </c>
      <c r="D36" t="s">
        <v>449</v>
      </c>
      <c r="E36" t="s">
        <v>10509</v>
      </c>
      <c r="F36" t="s">
        <v>10510</v>
      </c>
      <c r="G36" t="s">
        <v>1956</v>
      </c>
    </row>
    <row r="37" spans="1:7">
      <c r="A37" t="s">
        <v>9651</v>
      </c>
      <c r="B37" t="s">
        <v>9608</v>
      </c>
      <c r="C37" t="s">
        <v>449</v>
      </c>
      <c r="D37" t="s">
        <v>449</v>
      </c>
      <c r="E37" t="s">
        <v>10509</v>
      </c>
      <c r="F37" t="s">
        <v>10510</v>
      </c>
      <c r="G37" t="s">
        <v>1956</v>
      </c>
    </row>
    <row r="38" spans="1:7">
      <c r="A38" t="s">
        <v>9651</v>
      </c>
      <c r="B38" t="s">
        <v>9616</v>
      </c>
      <c r="C38" t="s">
        <v>449</v>
      </c>
      <c r="D38" t="s">
        <v>449</v>
      </c>
      <c r="E38" t="s">
        <v>10509</v>
      </c>
      <c r="F38" t="s">
        <v>10510</v>
      </c>
      <c r="G38" t="s">
        <v>1956</v>
      </c>
    </row>
    <row r="39" spans="1:7">
      <c r="A39" t="s">
        <v>9651</v>
      </c>
      <c r="B39" t="s">
        <v>9625</v>
      </c>
      <c r="C39" t="s">
        <v>449</v>
      </c>
      <c r="D39" t="s">
        <v>449</v>
      </c>
      <c r="E39" t="s">
        <v>10509</v>
      </c>
      <c r="F39" t="s">
        <v>10510</v>
      </c>
      <c r="G39" t="s">
        <v>1956</v>
      </c>
    </row>
    <row r="40" spans="1:7">
      <c r="A40" t="s">
        <v>9651</v>
      </c>
      <c r="B40" t="s">
        <v>9633</v>
      </c>
      <c r="C40" t="s">
        <v>449</v>
      </c>
      <c r="D40" t="s">
        <v>449</v>
      </c>
      <c r="E40" t="s">
        <v>10509</v>
      </c>
      <c r="F40" t="s">
        <v>10510</v>
      </c>
      <c r="G40" t="s">
        <v>1956</v>
      </c>
    </row>
    <row r="41" spans="1:7">
      <c r="A41" t="s">
        <v>9651</v>
      </c>
      <c r="B41" t="s">
        <v>9642</v>
      </c>
      <c r="C41" t="s">
        <v>449</v>
      </c>
      <c r="D41" t="s">
        <v>449</v>
      </c>
      <c r="E41" t="s">
        <v>10509</v>
      </c>
      <c r="F41" t="s">
        <v>10510</v>
      </c>
      <c r="G41" t="s">
        <v>1956</v>
      </c>
    </row>
    <row r="42" spans="1:7">
      <c r="A42" t="s">
        <v>9651</v>
      </c>
      <c r="B42" t="s">
        <v>9661</v>
      </c>
      <c r="C42" t="s">
        <v>449</v>
      </c>
      <c r="D42" t="s">
        <v>449</v>
      </c>
      <c r="E42" t="s">
        <v>10509</v>
      </c>
      <c r="F42" t="s">
        <v>10510</v>
      </c>
      <c r="G42" t="s">
        <v>1956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84"/>
  <sheetViews>
    <sheetView workbookViewId="0"/>
  </sheetViews>
  <sheetFormatPr defaultRowHeight="14.25"/>
  <cols>
    <col min="1" max="3" width="20" customWidth="1"/>
    <col min="4" max="4" width="58" customWidth="1"/>
    <col min="5" max="6" width="20" customWidth="1"/>
    <col min="7" max="7" width="34" customWidth="1"/>
  </cols>
  <sheetData>
    <row r="1" spans="1:7" ht="36" customHeight="1">
      <c r="A1" s="37" t="s">
        <v>0</v>
      </c>
      <c r="B1" s="37" t="s">
        <v>1002</v>
      </c>
      <c r="C1" s="37" t="s">
        <v>10511</v>
      </c>
      <c r="D1" s="37" t="s">
        <v>997</v>
      </c>
      <c r="E1" s="37" t="s">
        <v>56</v>
      </c>
      <c r="F1" s="37" t="s">
        <v>5983</v>
      </c>
      <c r="G1" s="37" t="s">
        <v>10512</v>
      </c>
    </row>
    <row r="2" spans="1:7" ht="26.1" customHeight="1">
      <c r="A2" s="32" t="s">
        <v>98</v>
      </c>
      <c r="B2" s="48">
        <v>16</v>
      </c>
      <c r="C2" s="48">
        <v>1.7999999999999998</v>
      </c>
      <c r="D2" s="73" t="s">
        <v>10513</v>
      </c>
      <c r="E2" s="32" t="s">
        <v>504</v>
      </c>
      <c r="F2" s="32">
        <v>12</v>
      </c>
      <c r="G2" s="32" t="s">
        <v>1472</v>
      </c>
    </row>
    <row r="3" spans="1:7" ht="26.1" customHeight="1">
      <c r="A3" s="32" t="s">
        <v>100</v>
      </c>
      <c r="B3" s="48">
        <v>8</v>
      </c>
      <c r="C3" s="48">
        <v>1.2000000000000002</v>
      </c>
      <c r="D3" s="73" t="s">
        <v>10513</v>
      </c>
      <c r="E3" s="32" t="s">
        <v>451</v>
      </c>
      <c r="F3" s="32"/>
      <c r="G3" s="32" t="s">
        <v>1472</v>
      </c>
    </row>
    <row r="4" spans="1:7" ht="26.1" customHeight="1">
      <c r="A4" s="32" t="s">
        <v>120</v>
      </c>
      <c r="B4" s="48"/>
      <c r="C4" s="48"/>
      <c r="D4" s="73" t="s">
        <v>10514</v>
      </c>
      <c r="E4" s="32" t="s">
        <v>491</v>
      </c>
      <c r="F4" s="32"/>
      <c r="G4" s="32" t="s">
        <v>635</v>
      </c>
    </row>
    <row r="5" spans="1:7" ht="26.1" customHeight="1">
      <c r="A5" s="32" t="s">
        <v>195</v>
      </c>
      <c r="B5" s="48"/>
      <c r="C5" s="48"/>
      <c r="D5" s="73" t="s">
        <v>10514</v>
      </c>
      <c r="E5" s="32" t="s">
        <v>491</v>
      </c>
      <c r="F5" s="32"/>
      <c r="G5" s="32" t="s">
        <v>1508</v>
      </c>
    </row>
    <row r="6" spans="1:7" ht="26.1" customHeight="1">
      <c r="A6" s="32" t="s">
        <v>235</v>
      </c>
      <c r="B6" s="48"/>
      <c r="C6" s="48"/>
      <c r="D6" s="73" t="s">
        <v>10514</v>
      </c>
      <c r="E6" s="32" t="s">
        <v>504</v>
      </c>
      <c r="F6" s="32"/>
      <c r="G6" s="32" t="s">
        <v>1508</v>
      </c>
    </row>
    <row r="7" spans="1:7" ht="51.95" customHeight="1">
      <c r="A7" s="2" t="s">
        <v>238</v>
      </c>
      <c r="B7" s="6">
        <v>40</v>
      </c>
      <c r="C7" s="6">
        <v>40</v>
      </c>
      <c r="D7" s="74" t="s">
        <v>10515</v>
      </c>
      <c r="E7" s="2" t="s">
        <v>491</v>
      </c>
      <c r="F7" s="2"/>
      <c r="G7" s="2" t="s">
        <v>9561</v>
      </c>
    </row>
    <row r="8" spans="1:7" ht="51.95" customHeight="1">
      <c r="A8" s="118" t="s">
        <v>239</v>
      </c>
      <c r="B8" s="127">
        <v>16</v>
      </c>
      <c r="C8" s="127">
        <v>16</v>
      </c>
      <c r="D8" s="128" t="s">
        <v>10515</v>
      </c>
      <c r="E8" s="118" t="s">
        <v>491</v>
      </c>
      <c r="F8" s="118"/>
      <c r="G8" s="118" t="s">
        <v>9571</v>
      </c>
    </row>
    <row r="9" spans="1:7" ht="51.95" customHeight="1">
      <c r="A9" s="2" t="s">
        <v>240</v>
      </c>
      <c r="B9" s="6">
        <v>32</v>
      </c>
      <c r="C9" s="6">
        <v>32</v>
      </c>
      <c r="D9" s="74" t="s">
        <v>10515</v>
      </c>
      <c r="E9" s="2" t="s">
        <v>491</v>
      </c>
      <c r="F9" s="2"/>
      <c r="G9" s="2" t="s">
        <v>9561</v>
      </c>
    </row>
    <row r="10" spans="1:7" ht="54" customHeight="1">
      <c r="A10" s="2" t="s">
        <v>94</v>
      </c>
      <c r="B10" s="6">
        <v>12</v>
      </c>
      <c r="C10" s="6">
        <v>2</v>
      </c>
      <c r="D10" s="74" t="s">
        <v>5985</v>
      </c>
      <c r="E10" s="2" t="s">
        <v>491</v>
      </c>
      <c r="F10" s="2">
        <v>12</v>
      </c>
      <c r="G10" s="2" t="s">
        <v>1472</v>
      </c>
    </row>
    <row r="11" spans="1:7" ht="54" customHeight="1">
      <c r="A11" s="2" t="s">
        <v>96</v>
      </c>
      <c r="B11" s="6">
        <v>6</v>
      </c>
      <c r="C11" s="6">
        <v>0.89999999999999991</v>
      </c>
      <c r="D11" s="74" t="s">
        <v>5985</v>
      </c>
      <c r="E11" s="2" t="s">
        <v>451</v>
      </c>
      <c r="F11" s="2">
        <v>6</v>
      </c>
      <c r="G11" s="2" t="s">
        <v>1472</v>
      </c>
    </row>
    <row r="12" spans="1:7" ht="54" customHeight="1">
      <c r="A12" s="2" t="s">
        <v>97</v>
      </c>
      <c r="B12" s="6">
        <v>14</v>
      </c>
      <c r="C12" s="6">
        <v>1.2000000000000002</v>
      </c>
      <c r="D12" s="74" t="s">
        <v>5985</v>
      </c>
      <c r="E12" s="2" t="s">
        <v>451</v>
      </c>
      <c r="F12" s="2">
        <v>14</v>
      </c>
      <c r="G12" s="2" t="s">
        <v>1472</v>
      </c>
    </row>
    <row r="13" spans="1:7" ht="54" customHeight="1">
      <c r="A13" s="2" t="s">
        <v>110</v>
      </c>
      <c r="B13" s="6">
        <v>8</v>
      </c>
      <c r="C13" s="6">
        <v>3.4</v>
      </c>
      <c r="D13" s="74" t="s">
        <v>5985</v>
      </c>
      <c r="E13" s="2" t="s">
        <v>451</v>
      </c>
      <c r="F13" s="2">
        <v>8</v>
      </c>
      <c r="G13" s="2" t="s">
        <v>1472</v>
      </c>
    </row>
    <row r="14" spans="1:7" ht="54" customHeight="1">
      <c r="A14" s="2" t="s">
        <v>113</v>
      </c>
      <c r="B14" s="6">
        <v>12</v>
      </c>
      <c r="C14" s="6">
        <v>4.8</v>
      </c>
      <c r="D14" s="74" t="s">
        <v>5985</v>
      </c>
      <c r="E14" s="2" t="s">
        <v>491</v>
      </c>
      <c r="F14" s="2">
        <v>12</v>
      </c>
      <c r="G14" s="2" t="s">
        <v>635</v>
      </c>
    </row>
    <row r="15" spans="1:7" ht="54" customHeight="1">
      <c r="A15" s="2" t="s">
        <v>118</v>
      </c>
      <c r="B15" s="6">
        <v>6</v>
      </c>
      <c r="C15" s="6">
        <v>2.5499999999999998</v>
      </c>
      <c r="D15" s="74" t="s">
        <v>5985</v>
      </c>
      <c r="E15" s="2" t="s">
        <v>491</v>
      </c>
      <c r="F15" s="2">
        <v>6</v>
      </c>
      <c r="G15" s="2" t="s">
        <v>1472</v>
      </c>
    </row>
    <row r="16" spans="1:7" ht="54" customHeight="1">
      <c r="A16" s="2" t="s">
        <v>153</v>
      </c>
      <c r="B16" s="6">
        <v>8</v>
      </c>
      <c r="C16" s="6">
        <v>1.2000000000000002</v>
      </c>
      <c r="D16" s="74" t="s">
        <v>5985</v>
      </c>
      <c r="E16" s="2" t="s">
        <v>451</v>
      </c>
      <c r="F16" s="2">
        <v>8</v>
      </c>
      <c r="G16" s="2" t="s">
        <v>1472</v>
      </c>
    </row>
    <row r="17" spans="1:8" ht="54" customHeight="1">
      <c r="A17" s="2" t="s">
        <v>158</v>
      </c>
      <c r="B17" s="6">
        <v>16</v>
      </c>
      <c r="C17" s="6">
        <v>1.7999999999999998</v>
      </c>
      <c r="D17" s="74" t="s">
        <v>5985</v>
      </c>
      <c r="E17" s="2" t="s">
        <v>451</v>
      </c>
      <c r="F17" s="2">
        <v>16</v>
      </c>
      <c r="G17" s="2" t="s">
        <v>1472</v>
      </c>
    </row>
    <row r="18" spans="1:8" ht="54" customHeight="1">
      <c r="A18" s="2" t="s">
        <v>159</v>
      </c>
      <c r="B18" s="6">
        <v>14</v>
      </c>
      <c r="C18" s="6">
        <v>3.2</v>
      </c>
      <c r="D18" s="74" t="s">
        <v>5985</v>
      </c>
      <c r="E18" s="2" t="s">
        <v>451</v>
      </c>
      <c r="F18" s="2">
        <v>14</v>
      </c>
      <c r="G18" s="2" t="s">
        <v>1472</v>
      </c>
    </row>
    <row r="19" spans="1:8" ht="54" customHeight="1">
      <c r="A19" s="2" t="s">
        <v>167</v>
      </c>
      <c r="B19" s="6">
        <v>24</v>
      </c>
      <c r="C19" s="6">
        <v>1.7999999999999998</v>
      </c>
      <c r="D19" s="74" t="s">
        <v>5985</v>
      </c>
      <c r="E19" s="2" t="s">
        <v>451</v>
      </c>
      <c r="F19" s="2">
        <v>24</v>
      </c>
      <c r="G19" s="2" t="s">
        <v>1472</v>
      </c>
    </row>
    <row r="20" spans="1:8" ht="54" customHeight="1">
      <c r="A20" s="2" t="s">
        <v>173</v>
      </c>
      <c r="B20" s="6">
        <v>12</v>
      </c>
      <c r="C20" s="6">
        <v>4.32</v>
      </c>
      <c r="D20" s="74" t="s">
        <v>5985</v>
      </c>
      <c r="E20" s="2" t="s">
        <v>504</v>
      </c>
      <c r="F20" s="2">
        <v>12</v>
      </c>
      <c r="G20" s="2" t="s">
        <v>1472</v>
      </c>
    </row>
    <row r="21" spans="1:8" ht="54" customHeight="1">
      <c r="A21" s="2" t="s">
        <v>174</v>
      </c>
      <c r="B21" s="6">
        <v>12</v>
      </c>
      <c r="C21" s="6">
        <v>4.32</v>
      </c>
      <c r="D21" s="74" t="s">
        <v>5985</v>
      </c>
      <c r="E21" s="2" t="s">
        <v>504</v>
      </c>
      <c r="F21" s="2">
        <v>12</v>
      </c>
      <c r="G21" s="2" t="s">
        <v>1472</v>
      </c>
    </row>
    <row r="22" spans="1:8" ht="54" customHeight="1">
      <c r="A22" s="2" t="s">
        <v>177</v>
      </c>
      <c r="B22" s="6">
        <v>8</v>
      </c>
      <c r="C22" s="6">
        <v>1.2000000000000002</v>
      </c>
      <c r="D22" s="74" t="s">
        <v>5985</v>
      </c>
      <c r="E22" s="2" t="s">
        <v>451</v>
      </c>
      <c r="F22" s="2">
        <v>8</v>
      </c>
      <c r="G22" s="2" t="s">
        <v>1472</v>
      </c>
    </row>
    <row r="23" spans="1:8" ht="54" customHeight="1">
      <c r="A23" s="2" t="s">
        <v>194</v>
      </c>
      <c r="B23" s="6">
        <v>30</v>
      </c>
      <c r="C23" s="6">
        <v>11.2</v>
      </c>
      <c r="D23" s="74" t="s">
        <v>5985</v>
      </c>
      <c r="E23" s="2" t="s">
        <v>491</v>
      </c>
      <c r="F23" s="2">
        <v>30</v>
      </c>
      <c r="G23" s="2" t="s">
        <v>1472</v>
      </c>
    </row>
    <row r="24" spans="1:8" ht="54" customHeight="1">
      <c r="A24" s="2" t="s">
        <v>212</v>
      </c>
      <c r="B24" s="6">
        <v>8</v>
      </c>
      <c r="C24" s="6">
        <v>1.2000000000000002</v>
      </c>
      <c r="D24" s="74" t="s">
        <v>5985</v>
      </c>
      <c r="E24" s="2" t="s">
        <v>504</v>
      </c>
      <c r="F24" s="2">
        <v>8</v>
      </c>
      <c r="G24" s="2" t="s">
        <v>1472</v>
      </c>
    </row>
    <row r="25" spans="1:8" ht="54" customHeight="1">
      <c r="A25" s="2" t="s">
        <v>213</v>
      </c>
      <c r="B25" s="6">
        <v>10</v>
      </c>
      <c r="C25" s="6">
        <v>1.5</v>
      </c>
      <c r="D25" s="74" t="s">
        <v>5985</v>
      </c>
      <c r="E25" s="2" t="s">
        <v>504</v>
      </c>
      <c r="F25" s="2">
        <v>10</v>
      </c>
      <c r="G25" s="2" t="s">
        <v>1472</v>
      </c>
    </row>
    <row r="26" spans="1:8" ht="54" customHeight="1">
      <c r="A26" s="2" t="s">
        <v>218</v>
      </c>
      <c r="B26" s="6">
        <v>12</v>
      </c>
      <c r="C26" s="6">
        <v>7.2</v>
      </c>
      <c r="D26" s="74" t="s">
        <v>5985</v>
      </c>
      <c r="E26" s="2" t="s">
        <v>451</v>
      </c>
      <c r="F26" s="2">
        <v>12</v>
      </c>
      <c r="G26" s="2" t="s">
        <v>1472</v>
      </c>
    </row>
    <row r="27" spans="1:8" ht="54" customHeight="1">
      <c r="A27" s="2" t="s">
        <v>222</v>
      </c>
      <c r="B27" s="6">
        <v>12</v>
      </c>
      <c r="C27" s="6">
        <v>1.7999999999999998</v>
      </c>
      <c r="D27" s="74" t="s">
        <v>5985</v>
      </c>
      <c r="E27" s="2" t="s">
        <v>504</v>
      </c>
      <c r="F27" s="2">
        <v>12</v>
      </c>
      <c r="G27" s="2" t="s">
        <v>1472</v>
      </c>
    </row>
    <row r="28" spans="1:8" ht="54" customHeight="1">
      <c r="A28" s="2" t="s">
        <v>226</v>
      </c>
      <c r="B28" s="6">
        <v>12</v>
      </c>
      <c r="C28" s="6">
        <v>2</v>
      </c>
      <c r="D28" s="74" t="s">
        <v>5985</v>
      </c>
      <c r="E28" s="2" t="s">
        <v>504</v>
      </c>
      <c r="F28" s="2">
        <v>12</v>
      </c>
      <c r="G28" s="2" t="s">
        <v>1472</v>
      </c>
    </row>
    <row r="29" spans="1:8">
      <c r="A29" t="s">
        <v>9583</v>
      </c>
      <c r="D29" t="s">
        <v>10516</v>
      </c>
      <c r="E29" t="s">
        <v>10517</v>
      </c>
      <c r="F29" t="s">
        <v>10518</v>
      </c>
      <c r="G29" t="s">
        <v>10519</v>
      </c>
      <c r="H29" t="s">
        <v>1956</v>
      </c>
    </row>
    <row r="30" spans="1:8">
      <c r="A30" t="s">
        <v>9608</v>
      </c>
      <c r="D30" t="s">
        <v>10516</v>
      </c>
      <c r="E30" t="s">
        <v>10517</v>
      </c>
      <c r="F30" t="s">
        <v>10518</v>
      </c>
      <c r="G30" t="s">
        <v>10519</v>
      </c>
      <c r="H30" t="s">
        <v>1956</v>
      </c>
    </row>
    <row r="31" spans="1:8">
      <c r="A31" t="s">
        <v>9616</v>
      </c>
      <c r="D31" t="s">
        <v>10516</v>
      </c>
      <c r="E31" t="s">
        <v>10517</v>
      </c>
      <c r="F31" t="s">
        <v>10518</v>
      </c>
      <c r="G31" t="s">
        <v>10519</v>
      </c>
      <c r="H31" t="s">
        <v>1956</v>
      </c>
    </row>
    <row r="32" spans="1:8" ht="32.1" customHeight="1">
      <c r="A32" s="129" t="s">
        <v>9625</v>
      </c>
      <c r="B32" s="129"/>
      <c r="C32" s="129"/>
      <c r="D32" s="129" t="s">
        <v>10516</v>
      </c>
      <c r="E32" s="129" t="s">
        <v>10517</v>
      </c>
      <c r="F32" s="129" t="s">
        <v>10518</v>
      </c>
      <c r="G32" s="129" t="s">
        <v>10519</v>
      </c>
      <c r="H32" s="129" t="s">
        <v>1956</v>
      </c>
    </row>
    <row r="33" spans="1:8" ht="32.1" customHeight="1">
      <c r="A33" s="85" t="s">
        <v>9633</v>
      </c>
      <c r="B33" s="85"/>
      <c r="C33" s="85"/>
      <c r="D33" s="85" t="s">
        <v>10516</v>
      </c>
      <c r="E33" s="85" t="s">
        <v>10517</v>
      </c>
      <c r="F33" s="85" t="s">
        <v>10518</v>
      </c>
      <c r="G33" s="85" t="s">
        <v>10519</v>
      </c>
      <c r="H33" s="85" t="s">
        <v>1956</v>
      </c>
    </row>
    <row r="34" spans="1:8" ht="99.95" customHeight="1">
      <c r="A34" s="2" t="s">
        <v>9642</v>
      </c>
      <c r="B34" s="2"/>
      <c r="C34" s="90"/>
      <c r="D34" s="90" t="s">
        <v>10516</v>
      </c>
      <c r="E34" s="90" t="s">
        <v>10517</v>
      </c>
      <c r="F34" s="2" t="s">
        <v>10518</v>
      </c>
      <c r="G34" s="2" t="s">
        <v>10519</v>
      </c>
      <c r="H34" s="2" t="s">
        <v>1956</v>
      </c>
    </row>
    <row r="35" spans="1:8" ht="99.95" customHeight="1">
      <c r="A35" s="2" t="s">
        <v>9651</v>
      </c>
      <c r="B35" s="2"/>
      <c r="C35" s="90"/>
      <c r="D35" s="90" t="s">
        <v>10516</v>
      </c>
      <c r="E35" s="90" t="s">
        <v>10517</v>
      </c>
      <c r="F35" s="2" t="s">
        <v>10518</v>
      </c>
      <c r="G35" s="2" t="s">
        <v>10519</v>
      </c>
      <c r="H35" s="2" t="s">
        <v>1956</v>
      </c>
    </row>
    <row r="36" spans="1:8" ht="99.95" customHeight="1">
      <c r="A36" s="2" t="s">
        <v>9661</v>
      </c>
      <c r="B36" s="2"/>
      <c r="C36" s="90"/>
      <c r="D36" s="90" t="s">
        <v>10516</v>
      </c>
      <c r="E36" s="90" t="s">
        <v>10517</v>
      </c>
      <c r="F36" s="2" t="s">
        <v>10518</v>
      </c>
      <c r="G36" s="2" t="s">
        <v>10519</v>
      </c>
      <c r="H36" s="2" t="s">
        <v>1956</v>
      </c>
    </row>
    <row r="37" spans="1:8" ht="99.95" customHeight="1">
      <c r="A37" s="2" t="s">
        <v>91</v>
      </c>
      <c r="B37" s="2" t="s">
        <v>7943</v>
      </c>
      <c r="C37" s="90">
        <v>6</v>
      </c>
      <c r="D37" s="90">
        <v>9</v>
      </c>
      <c r="E37" s="90">
        <v>14</v>
      </c>
      <c r="F37" s="2" t="s">
        <v>10520</v>
      </c>
      <c r="G37" s="2" t="s">
        <v>1664</v>
      </c>
      <c r="H37" s="2" t="s">
        <v>1665</v>
      </c>
    </row>
    <row r="38" spans="1:8" ht="99.95" customHeight="1">
      <c r="A38" s="2" t="s">
        <v>92</v>
      </c>
      <c r="B38" s="2" t="s">
        <v>7945</v>
      </c>
      <c r="C38" s="90">
        <v>0</v>
      </c>
      <c r="D38" s="90">
        <v>0</v>
      </c>
      <c r="E38" s="90">
        <v>0</v>
      </c>
      <c r="F38" s="2" t="s">
        <v>7946</v>
      </c>
      <c r="G38" s="2" t="s">
        <v>1668</v>
      </c>
      <c r="H38" s="2" t="s">
        <v>1670</v>
      </c>
    </row>
    <row r="39" spans="1:8" ht="99.95" customHeight="1">
      <c r="A39" s="2" t="s">
        <v>93</v>
      </c>
      <c r="B39" s="2" t="s">
        <v>7722</v>
      </c>
      <c r="C39" s="90" t="s">
        <v>1696</v>
      </c>
      <c r="D39" s="90" t="s">
        <v>1696</v>
      </c>
      <c r="E39" s="90" t="s">
        <v>1696</v>
      </c>
      <c r="F39" s="2" t="s">
        <v>7741</v>
      </c>
      <c r="G39" s="2" t="s">
        <v>1672</v>
      </c>
      <c r="H39" s="2" t="s">
        <v>7809</v>
      </c>
    </row>
    <row r="40" spans="1:8" ht="99.95" customHeight="1">
      <c r="A40" s="2" t="s">
        <v>94</v>
      </c>
      <c r="B40" s="2" t="s">
        <v>7947</v>
      </c>
      <c r="C40" s="90">
        <v>12</v>
      </c>
      <c r="D40" s="90">
        <v>18</v>
      </c>
      <c r="E40" s="90">
        <v>28</v>
      </c>
      <c r="F40" s="2" t="s">
        <v>10521</v>
      </c>
      <c r="G40" s="2" t="s">
        <v>1679</v>
      </c>
      <c r="H40" s="2" t="s">
        <v>1680</v>
      </c>
    </row>
    <row r="41" spans="1:8" ht="99.95" customHeight="1">
      <c r="A41" s="2" t="s">
        <v>95</v>
      </c>
      <c r="B41" s="2" t="s">
        <v>7949</v>
      </c>
      <c r="C41" s="90">
        <v>4</v>
      </c>
      <c r="D41" s="90">
        <v>7</v>
      </c>
      <c r="E41" s="90">
        <v>12</v>
      </c>
      <c r="F41" s="2" t="s">
        <v>10522</v>
      </c>
      <c r="G41" s="2" t="s">
        <v>1683</v>
      </c>
      <c r="H41" s="2" t="s">
        <v>1684</v>
      </c>
    </row>
    <row r="42" spans="1:8" ht="99.95" customHeight="1">
      <c r="A42" s="2" t="s">
        <v>96</v>
      </c>
      <c r="B42" s="2" t="s">
        <v>7952</v>
      </c>
      <c r="C42" s="90">
        <v>4</v>
      </c>
      <c r="D42" s="90">
        <v>6</v>
      </c>
      <c r="E42" s="90">
        <v>10</v>
      </c>
      <c r="F42" s="2" t="s">
        <v>10523</v>
      </c>
      <c r="G42" s="2" t="s">
        <v>1687</v>
      </c>
      <c r="H42" s="2" t="s">
        <v>1688</v>
      </c>
    </row>
    <row r="43" spans="1:8" ht="99.95" customHeight="1">
      <c r="A43" s="2" t="s">
        <v>97</v>
      </c>
      <c r="B43" s="2" t="s">
        <v>7955</v>
      </c>
      <c r="C43" s="90">
        <v>8</v>
      </c>
      <c r="D43" s="90">
        <v>14</v>
      </c>
      <c r="E43" s="90">
        <v>22</v>
      </c>
      <c r="F43" s="2" t="s">
        <v>10524</v>
      </c>
      <c r="G43" s="2" t="s">
        <v>1691</v>
      </c>
      <c r="H43" s="2" t="s">
        <v>1692</v>
      </c>
    </row>
    <row r="44" spans="1:8" ht="99.95" customHeight="1">
      <c r="A44" s="2" t="s">
        <v>98</v>
      </c>
      <c r="B44" s="2" t="s">
        <v>7957</v>
      </c>
      <c r="C44" s="90">
        <v>18</v>
      </c>
      <c r="D44" s="90">
        <v>28</v>
      </c>
      <c r="E44" s="90">
        <v>44</v>
      </c>
      <c r="F44" s="2" t="s">
        <v>10525</v>
      </c>
      <c r="G44" s="2" t="s">
        <v>1695</v>
      </c>
      <c r="H44" s="2" t="s">
        <v>1698</v>
      </c>
    </row>
    <row r="45" spans="1:8" ht="99.95" customHeight="1">
      <c r="A45" s="2" t="s">
        <v>99</v>
      </c>
      <c r="B45" s="2" t="s">
        <v>7960</v>
      </c>
      <c r="C45" s="90">
        <v>12</v>
      </c>
      <c r="D45" s="90">
        <v>20</v>
      </c>
      <c r="E45" s="90">
        <v>32</v>
      </c>
      <c r="F45" s="2" t="s">
        <v>10526</v>
      </c>
      <c r="G45" s="2" t="s">
        <v>1701</v>
      </c>
      <c r="H45" s="2" t="s">
        <v>1702</v>
      </c>
    </row>
    <row r="46" spans="1:8" ht="99.95" customHeight="1">
      <c r="A46" s="2" t="s">
        <v>100</v>
      </c>
      <c r="B46" s="2" t="s">
        <v>7962</v>
      </c>
      <c r="C46" s="90">
        <v>22</v>
      </c>
      <c r="D46" s="90">
        <v>34</v>
      </c>
      <c r="E46" s="90">
        <v>52</v>
      </c>
      <c r="F46" s="2" t="s">
        <v>10527</v>
      </c>
      <c r="G46" s="2" t="s">
        <v>1705</v>
      </c>
      <c r="H46" s="2" t="s">
        <v>1706</v>
      </c>
    </row>
    <row r="47" spans="1:8" ht="99.95" customHeight="1">
      <c r="A47" s="2" t="s">
        <v>101</v>
      </c>
      <c r="B47" s="2" t="s">
        <v>7965</v>
      </c>
      <c r="C47" s="90">
        <v>6</v>
      </c>
      <c r="D47" s="90">
        <v>10</v>
      </c>
      <c r="E47" s="90">
        <v>18</v>
      </c>
      <c r="F47" s="2" t="s">
        <v>10528</v>
      </c>
      <c r="G47" s="2" t="s">
        <v>1709</v>
      </c>
      <c r="H47" s="2" t="s">
        <v>1710</v>
      </c>
    </row>
    <row r="48" spans="1:8" ht="99.95" customHeight="1">
      <c r="A48" s="2" t="s">
        <v>102</v>
      </c>
      <c r="B48" s="2" t="s">
        <v>7967</v>
      </c>
      <c r="C48" s="90">
        <v>0</v>
      </c>
      <c r="D48" s="90">
        <v>0</v>
      </c>
      <c r="E48" s="90">
        <v>0</v>
      </c>
      <c r="F48" s="2" t="s">
        <v>7968</v>
      </c>
      <c r="G48" s="2" t="s">
        <v>1713</v>
      </c>
      <c r="H48" s="2" t="s">
        <v>1714</v>
      </c>
    </row>
    <row r="49" spans="1:8" ht="99.95" customHeight="1">
      <c r="A49" s="2" t="s">
        <v>103</v>
      </c>
      <c r="B49" s="2" t="s">
        <v>7969</v>
      </c>
      <c r="C49" s="90">
        <v>6</v>
      </c>
      <c r="D49" s="90">
        <v>9</v>
      </c>
      <c r="E49" s="90">
        <v>14</v>
      </c>
      <c r="F49" s="2" t="s">
        <v>10529</v>
      </c>
      <c r="G49" s="2" t="s">
        <v>1716</v>
      </c>
      <c r="H49" s="2" t="s">
        <v>1717</v>
      </c>
    </row>
    <row r="50" spans="1:8" ht="99.95" customHeight="1">
      <c r="A50" s="2" t="s">
        <v>104</v>
      </c>
      <c r="B50" s="2" t="s">
        <v>7971</v>
      </c>
      <c r="C50" s="90">
        <v>0</v>
      </c>
      <c r="D50" s="90">
        <v>0</v>
      </c>
      <c r="E50" s="90">
        <v>0</v>
      </c>
      <c r="F50" s="2" t="s">
        <v>7972</v>
      </c>
      <c r="G50" s="2" t="s">
        <v>1720</v>
      </c>
      <c r="H50" s="2" t="s">
        <v>1721</v>
      </c>
    </row>
    <row r="51" spans="1:8" ht="99.95" customHeight="1">
      <c r="A51" s="2" t="s">
        <v>105</v>
      </c>
      <c r="B51" s="2" t="s">
        <v>7973</v>
      </c>
      <c r="C51" s="90">
        <v>10</v>
      </c>
      <c r="D51" s="90">
        <v>16</v>
      </c>
      <c r="E51" s="90">
        <v>26</v>
      </c>
      <c r="F51" s="2" t="s">
        <v>10530</v>
      </c>
      <c r="G51" s="2" t="s">
        <v>1723</v>
      </c>
      <c r="H51" s="2" t="s">
        <v>1724</v>
      </c>
    </row>
    <row r="52" spans="1:8" ht="99.95" customHeight="1">
      <c r="A52" s="2" t="s">
        <v>106</v>
      </c>
      <c r="B52" s="2" t="s">
        <v>7975</v>
      </c>
      <c r="C52" s="90">
        <v>10</v>
      </c>
      <c r="D52" s="90">
        <v>16</v>
      </c>
      <c r="E52" s="90">
        <v>26</v>
      </c>
      <c r="F52" s="2" t="s">
        <v>10531</v>
      </c>
      <c r="G52" s="2" t="s">
        <v>1727</v>
      </c>
      <c r="H52" s="2" t="s">
        <v>1728</v>
      </c>
    </row>
    <row r="53" spans="1:8" ht="99.95" customHeight="1">
      <c r="A53" s="2" t="s">
        <v>107</v>
      </c>
      <c r="B53" s="2" t="s">
        <v>7977</v>
      </c>
      <c r="C53" s="90">
        <v>10</v>
      </c>
      <c r="D53" s="90">
        <v>16</v>
      </c>
      <c r="E53" s="90">
        <v>28</v>
      </c>
      <c r="F53" s="2" t="s">
        <v>10532</v>
      </c>
      <c r="G53" s="2" t="s">
        <v>1731</v>
      </c>
      <c r="H53" s="2" t="s">
        <v>1732</v>
      </c>
    </row>
    <row r="54" spans="1:8" ht="99.95" customHeight="1">
      <c r="A54" s="2" t="s">
        <v>108</v>
      </c>
      <c r="B54" s="2" t="s">
        <v>7979</v>
      </c>
      <c r="C54" s="90">
        <v>5</v>
      </c>
      <c r="D54" s="90">
        <v>8</v>
      </c>
      <c r="E54" s="90">
        <v>13</v>
      </c>
      <c r="F54" s="2" t="s">
        <v>10533</v>
      </c>
      <c r="G54" s="2" t="s">
        <v>1735</v>
      </c>
      <c r="H54" s="2" t="s">
        <v>1736</v>
      </c>
    </row>
    <row r="55" spans="1:8" ht="99.95" customHeight="1">
      <c r="A55" s="2" t="s">
        <v>109</v>
      </c>
      <c r="B55" s="2" t="s">
        <v>7981</v>
      </c>
      <c r="C55" s="90">
        <v>5</v>
      </c>
      <c r="D55" s="90">
        <v>8</v>
      </c>
      <c r="E55" s="90">
        <v>14</v>
      </c>
      <c r="F55" s="2" t="s">
        <v>10534</v>
      </c>
      <c r="G55" s="2" t="s">
        <v>1739</v>
      </c>
      <c r="H55" s="2" t="s">
        <v>1740</v>
      </c>
    </row>
    <row r="56" spans="1:8" ht="99.95" customHeight="1">
      <c r="A56" s="2" t="s">
        <v>110</v>
      </c>
      <c r="B56" s="2" t="s">
        <v>7983</v>
      </c>
      <c r="C56" s="90">
        <v>6</v>
      </c>
      <c r="D56" s="90">
        <v>11</v>
      </c>
      <c r="E56" s="90">
        <v>18</v>
      </c>
      <c r="F56" s="2" t="s">
        <v>10535</v>
      </c>
      <c r="G56" s="2" t="s">
        <v>1743</v>
      </c>
      <c r="H56" s="2" t="s">
        <v>1744</v>
      </c>
    </row>
    <row r="57" spans="1:8" ht="99.95" customHeight="1">
      <c r="A57" s="2" t="s">
        <v>111</v>
      </c>
      <c r="B57" s="2" t="s">
        <v>7985</v>
      </c>
      <c r="C57" s="90">
        <v>0</v>
      </c>
      <c r="D57" s="90">
        <v>0</v>
      </c>
      <c r="E57" s="90">
        <v>0</v>
      </c>
      <c r="F57" s="2" t="s">
        <v>7986</v>
      </c>
      <c r="G57" s="2" t="s">
        <v>1747</v>
      </c>
      <c r="H57" s="2" t="s">
        <v>1748</v>
      </c>
    </row>
    <row r="58" spans="1:8" ht="99.95" customHeight="1">
      <c r="A58" s="2" t="s">
        <v>112</v>
      </c>
      <c r="B58" s="2" t="s">
        <v>7987</v>
      </c>
      <c r="C58" s="90">
        <v>0</v>
      </c>
      <c r="D58" s="90">
        <v>0</v>
      </c>
      <c r="E58" s="90">
        <v>0</v>
      </c>
      <c r="F58" s="2" t="s">
        <v>7988</v>
      </c>
      <c r="G58" s="2" t="s">
        <v>1750</v>
      </c>
      <c r="H58" s="2" t="s">
        <v>1751</v>
      </c>
    </row>
    <row r="59" spans="1:8" ht="99.95" customHeight="1">
      <c r="A59" s="2" t="s">
        <v>113</v>
      </c>
      <c r="B59" s="2" t="s">
        <v>7989</v>
      </c>
      <c r="C59" s="90">
        <v>5</v>
      </c>
      <c r="D59" s="90">
        <v>9</v>
      </c>
      <c r="E59" s="90">
        <v>15</v>
      </c>
      <c r="F59" s="2" t="s">
        <v>10536</v>
      </c>
      <c r="G59" s="2" t="s">
        <v>1753</v>
      </c>
      <c r="H59" s="2" t="s">
        <v>1755</v>
      </c>
    </row>
    <row r="60" spans="1:8" ht="99.95" customHeight="1">
      <c r="A60" s="2" t="s">
        <v>114</v>
      </c>
      <c r="B60" s="2" t="s">
        <v>7991</v>
      </c>
      <c r="C60" s="90">
        <v>0</v>
      </c>
      <c r="D60" s="90">
        <v>0</v>
      </c>
      <c r="E60" s="90">
        <v>0</v>
      </c>
      <c r="F60" s="2" t="s">
        <v>7992</v>
      </c>
      <c r="G60" s="2" t="s">
        <v>1758</v>
      </c>
      <c r="H60" s="2" t="s">
        <v>1759</v>
      </c>
    </row>
    <row r="61" spans="1:8" ht="99.95" customHeight="1">
      <c r="A61" s="2" t="s">
        <v>115</v>
      </c>
      <c r="B61" s="2" t="s">
        <v>7993</v>
      </c>
      <c r="C61" s="90">
        <v>6</v>
      </c>
      <c r="D61" s="90">
        <v>10</v>
      </c>
      <c r="E61" s="90">
        <v>16</v>
      </c>
      <c r="F61" s="2" t="s">
        <v>10537</v>
      </c>
      <c r="G61" s="2" t="s">
        <v>1761</v>
      </c>
      <c r="H61" s="2" t="s">
        <v>1762</v>
      </c>
    </row>
    <row r="62" spans="1:8" ht="99.95" customHeight="1">
      <c r="A62" s="2" t="s">
        <v>116</v>
      </c>
      <c r="B62" s="2" t="s">
        <v>7996</v>
      </c>
      <c r="C62" s="90">
        <v>8</v>
      </c>
      <c r="D62" s="90">
        <v>14</v>
      </c>
      <c r="E62" s="90">
        <v>22</v>
      </c>
      <c r="F62" s="2" t="s">
        <v>10538</v>
      </c>
      <c r="G62" s="2" t="s">
        <v>1765</v>
      </c>
      <c r="H62" s="2" t="s">
        <v>1766</v>
      </c>
    </row>
    <row r="63" spans="1:8" ht="99.95" customHeight="1">
      <c r="A63" s="2" t="s">
        <v>117</v>
      </c>
      <c r="B63" s="2" t="s">
        <v>7998</v>
      </c>
      <c r="C63" s="90">
        <v>0</v>
      </c>
      <c r="D63" s="90">
        <v>0</v>
      </c>
      <c r="E63" s="90">
        <v>0</v>
      </c>
      <c r="F63" s="2" t="s">
        <v>7999</v>
      </c>
      <c r="G63" s="2" t="s">
        <v>1769</v>
      </c>
      <c r="H63" s="2" t="s">
        <v>1771</v>
      </c>
    </row>
    <row r="64" spans="1:8" ht="99.95" customHeight="1">
      <c r="A64" s="2" t="s">
        <v>118</v>
      </c>
      <c r="B64" s="2" t="s">
        <v>8000</v>
      </c>
      <c r="C64" s="90">
        <v>2</v>
      </c>
      <c r="D64" s="90">
        <v>4</v>
      </c>
      <c r="E64" s="90">
        <v>7</v>
      </c>
      <c r="F64" s="2" t="s">
        <v>10539</v>
      </c>
      <c r="G64" s="2" t="s">
        <v>1773</v>
      </c>
      <c r="H64" s="2" t="s">
        <v>1775</v>
      </c>
    </row>
    <row r="65" spans="1:8" ht="99.95" customHeight="1">
      <c r="A65" s="2" t="s">
        <v>119</v>
      </c>
      <c r="B65" s="2" t="s">
        <v>10540</v>
      </c>
      <c r="C65" s="90">
        <v>16</v>
      </c>
      <c r="D65" s="90">
        <v>26</v>
      </c>
      <c r="E65" s="90">
        <v>42</v>
      </c>
      <c r="F65" s="2" t="s">
        <v>10541</v>
      </c>
      <c r="G65" s="2" t="s">
        <v>1779</v>
      </c>
      <c r="H65" s="2" t="s">
        <v>1781</v>
      </c>
    </row>
    <row r="66" spans="1:8" ht="99.95" customHeight="1">
      <c r="A66" s="2" t="s">
        <v>120</v>
      </c>
      <c r="B66" s="2" t="s">
        <v>8003</v>
      </c>
      <c r="C66" s="90">
        <v>1</v>
      </c>
      <c r="D66" s="90">
        <v>3</v>
      </c>
      <c r="E66" s="90">
        <v>6</v>
      </c>
      <c r="F66" s="2" t="s">
        <v>10542</v>
      </c>
      <c r="G66" s="2" t="s">
        <v>1784</v>
      </c>
      <c r="H66" s="2" t="s">
        <v>1786</v>
      </c>
    </row>
    <row r="67" spans="1:8" ht="99.95" customHeight="1">
      <c r="A67" s="2" t="s">
        <v>153</v>
      </c>
      <c r="B67" s="2" t="s">
        <v>8006</v>
      </c>
      <c r="C67" s="90">
        <v>12</v>
      </c>
      <c r="D67" s="90">
        <v>20</v>
      </c>
      <c r="E67" s="90">
        <v>32</v>
      </c>
      <c r="F67" s="2" t="s">
        <v>10543</v>
      </c>
      <c r="G67" s="2" t="s">
        <v>8008</v>
      </c>
      <c r="H67" s="2" t="s">
        <v>8009</v>
      </c>
    </row>
    <row r="68" spans="1:8" ht="99.95" customHeight="1">
      <c r="A68" s="2" t="s">
        <v>158</v>
      </c>
      <c r="B68" s="2" t="s">
        <v>8013</v>
      </c>
      <c r="C68" s="90">
        <v>10</v>
      </c>
      <c r="D68" s="90">
        <v>18</v>
      </c>
      <c r="E68" s="90">
        <v>30</v>
      </c>
      <c r="F68" s="2" t="s">
        <v>10544</v>
      </c>
      <c r="G68" s="2" t="s">
        <v>8015</v>
      </c>
      <c r="H68" s="2" t="s">
        <v>8016</v>
      </c>
    </row>
    <row r="69" spans="1:8" ht="99.95" customHeight="1">
      <c r="A69" s="2" t="s">
        <v>159</v>
      </c>
      <c r="B69" s="2" t="s">
        <v>8020</v>
      </c>
      <c r="C69" s="90">
        <v>12</v>
      </c>
      <c r="D69" s="90">
        <v>20</v>
      </c>
      <c r="E69" s="90">
        <v>36</v>
      </c>
      <c r="F69" s="2" t="s">
        <v>10545</v>
      </c>
      <c r="G69" s="2" t="s">
        <v>8022</v>
      </c>
      <c r="H69" s="2" t="s">
        <v>8023</v>
      </c>
    </row>
    <row r="70" spans="1:8" ht="99.95" customHeight="1">
      <c r="A70" s="2" t="s">
        <v>167</v>
      </c>
      <c r="B70" s="2" t="s">
        <v>8027</v>
      </c>
      <c r="C70" s="90">
        <v>16</v>
      </c>
      <c r="D70" s="90">
        <v>28</v>
      </c>
      <c r="E70" s="90">
        <v>44</v>
      </c>
      <c r="F70" s="2" t="s">
        <v>10546</v>
      </c>
      <c r="G70" s="2" t="s">
        <v>8029</v>
      </c>
      <c r="H70" s="2" t="s">
        <v>8030</v>
      </c>
    </row>
    <row r="71" spans="1:8" ht="99.95" customHeight="1">
      <c r="A71" s="2" t="s">
        <v>173</v>
      </c>
      <c r="B71" s="2" t="s">
        <v>8034</v>
      </c>
      <c r="C71" s="90">
        <v>8</v>
      </c>
      <c r="D71" s="90">
        <v>14</v>
      </c>
      <c r="E71" s="90">
        <v>24</v>
      </c>
      <c r="F71" s="2" t="s">
        <v>10547</v>
      </c>
      <c r="G71" s="2" t="s">
        <v>8036</v>
      </c>
      <c r="H71" s="2" t="s">
        <v>8037</v>
      </c>
    </row>
    <row r="72" spans="1:8" ht="99.95" customHeight="1">
      <c r="A72" s="2" t="s">
        <v>174</v>
      </c>
      <c r="B72" s="2" t="s">
        <v>8041</v>
      </c>
      <c r="C72" s="90">
        <v>8</v>
      </c>
      <c r="D72" s="90">
        <v>16</v>
      </c>
      <c r="E72" s="90">
        <v>28</v>
      </c>
      <c r="F72" s="2" t="s">
        <v>10548</v>
      </c>
      <c r="G72" s="2" t="s">
        <v>8043</v>
      </c>
      <c r="H72" s="2" t="s">
        <v>8044</v>
      </c>
    </row>
    <row r="73" spans="1:8" ht="99.95" customHeight="1">
      <c r="A73" s="2" t="s">
        <v>177</v>
      </c>
      <c r="B73" s="2" t="s">
        <v>8048</v>
      </c>
      <c r="C73" s="90">
        <v>8</v>
      </c>
      <c r="D73" s="90">
        <v>14</v>
      </c>
      <c r="E73" s="90">
        <v>24</v>
      </c>
      <c r="F73" s="2" t="s">
        <v>10549</v>
      </c>
      <c r="G73" s="2" t="s">
        <v>8050</v>
      </c>
      <c r="H73" s="2" t="s">
        <v>8051</v>
      </c>
    </row>
    <row r="74" spans="1:8" ht="99.95" customHeight="1">
      <c r="A74" s="2" t="s">
        <v>194</v>
      </c>
      <c r="B74" s="2" t="s">
        <v>8055</v>
      </c>
      <c r="C74" s="90">
        <v>24</v>
      </c>
      <c r="D74" s="90">
        <v>40</v>
      </c>
      <c r="E74" s="90">
        <v>64</v>
      </c>
      <c r="F74" s="2" t="s">
        <v>10550</v>
      </c>
      <c r="G74" s="2" t="s">
        <v>8057</v>
      </c>
      <c r="H74" s="2" t="s">
        <v>8058</v>
      </c>
    </row>
    <row r="75" spans="1:8" ht="99.95" customHeight="1">
      <c r="A75" s="2" t="s">
        <v>195</v>
      </c>
      <c r="B75" s="2" t="s">
        <v>8062</v>
      </c>
      <c r="C75" s="90">
        <v>16</v>
      </c>
      <c r="D75" s="90">
        <v>26</v>
      </c>
      <c r="E75" s="90">
        <v>42</v>
      </c>
      <c r="F75" s="2" t="s">
        <v>10551</v>
      </c>
      <c r="G75" s="2" t="s">
        <v>8064</v>
      </c>
      <c r="H75" s="2" t="s">
        <v>8065</v>
      </c>
    </row>
    <row r="76" spans="1:8" ht="99.95" customHeight="1">
      <c r="A76" s="2" t="s">
        <v>212</v>
      </c>
      <c r="B76" s="2" t="s">
        <v>8068</v>
      </c>
      <c r="C76" s="90">
        <v>14</v>
      </c>
      <c r="D76" s="90">
        <v>24</v>
      </c>
      <c r="E76" s="90">
        <v>40</v>
      </c>
      <c r="F76" s="2" t="s">
        <v>10552</v>
      </c>
      <c r="G76" s="2" t="s">
        <v>8070</v>
      </c>
      <c r="H76" s="2" t="s">
        <v>8071</v>
      </c>
    </row>
    <row r="77" spans="1:8" ht="99.95" customHeight="1">
      <c r="A77" s="2" t="s">
        <v>213</v>
      </c>
      <c r="B77" s="2" t="s">
        <v>8075</v>
      </c>
      <c r="C77" s="90">
        <v>8</v>
      </c>
      <c r="D77" s="90">
        <v>14</v>
      </c>
      <c r="E77" s="90">
        <v>24</v>
      </c>
      <c r="F77" s="2" t="s">
        <v>10553</v>
      </c>
      <c r="G77" s="2" t="s">
        <v>8077</v>
      </c>
      <c r="H77" s="2" t="s">
        <v>8078</v>
      </c>
    </row>
    <row r="78" spans="1:8" ht="99.95" customHeight="1">
      <c r="A78" s="2" t="s">
        <v>218</v>
      </c>
      <c r="B78" s="2" t="s">
        <v>8082</v>
      </c>
      <c r="C78" s="90">
        <v>8</v>
      </c>
      <c r="D78" s="90">
        <v>14</v>
      </c>
      <c r="E78" s="90">
        <v>24</v>
      </c>
      <c r="F78" s="2" t="s">
        <v>10554</v>
      </c>
      <c r="G78" s="2" t="s">
        <v>8084</v>
      </c>
      <c r="H78" s="2" t="s">
        <v>8085</v>
      </c>
    </row>
    <row r="79" spans="1:8" ht="99.95" customHeight="1">
      <c r="A79" s="2" t="s">
        <v>222</v>
      </c>
      <c r="B79" s="2" t="s">
        <v>8089</v>
      </c>
      <c r="C79" s="90">
        <v>8</v>
      </c>
      <c r="D79" s="90">
        <v>14</v>
      </c>
      <c r="E79" s="90">
        <v>24</v>
      </c>
      <c r="F79" s="2" t="s">
        <v>10555</v>
      </c>
      <c r="G79" s="2" t="s">
        <v>8091</v>
      </c>
      <c r="H79" s="2" t="s">
        <v>8092</v>
      </c>
    </row>
    <row r="80" spans="1:8" ht="99.95" customHeight="1">
      <c r="A80" s="2" t="s">
        <v>226</v>
      </c>
      <c r="B80" s="2" t="s">
        <v>8095</v>
      </c>
      <c r="C80" s="90">
        <v>8</v>
      </c>
      <c r="D80" s="90">
        <v>14</v>
      </c>
      <c r="E80" s="90">
        <v>24</v>
      </c>
      <c r="F80" s="2" t="s">
        <v>10556</v>
      </c>
      <c r="G80" s="2" t="s">
        <v>8097</v>
      </c>
      <c r="H80" s="2" t="s">
        <v>8098</v>
      </c>
    </row>
    <row r="81" spans="1:8" ht="99.95" customHeight="1">
      <c r="A81" s="2" t="s">
        <v>235</v>
      </c>
      <c r="B81" s="2" t="s">
        <v>8101</v>
      </c>
      <c r="C81" s="90">
        <v>10</v>
      </c>
      <c r="D81" s="90">
        <v>18</v>
      </c>
      <c r="E81" s="90">
        <v>30</v>
      </c>
      <c r="F81" s="2" t="s">
        <v>10557</v>
      </c>
      <c r="G81" s="2" t="s">
        <v>8103</v>
      </c>
      <c r="H81" s="2" t="s">
        <v>8104</v>
      </c>
    </row>
    <row r="82" spans="1:8" ht="99.95" customHeight="1">
      <c r="A82" s="2" t="s">
        <v>238</v>
      </c>
      <c r="B82" s="2" t="s">
        <v>8108</v>
      </c>
      <c r="C82" s="90">
        <v>28</v>
      </c>
      <c r="D82" s="90">
        <v>44</v>
      </c>
      <c r="E82" s="90">
        <v>68</v>
      </c>
      <c r="F82" s="2" t="s">
        <v>10558</v>
      </c>
      <c r="G82" s="2" t="s">
        <v>8110</v>
      </c>
      <c r="H82" s="2" t="s">
        <v>8111</v>
      </c>
    </row>
    <row r="83" spans="1:8" ht="99.95" customHeight="1">
      <c r="A83" s="2" t="s">
        <v>239</v>
      </c>
      <c r="B83" s="2" t="s">
        <v>8115</v>
      </c>
      <c r="C83" s="90">
        <v>6</v>
      </c>
      <c r="D83" s="90">
        <v>10</v>
      </c>
      <c r="E83" s="90">
        <v>16</v>
      </c>
      <c r="F83" s="2" t="s">
        <v>10559</v>
      </c>
      <c r="G83" s="2" t="s">
        <v>1789</v>
      </c>
      <c r="H83" s="2" t="s">
        <v>1791</v>
      </c>
    </row>
    <row r="84" spans="1:8" ht="99.95" customHeight="1">
      <c r="A84" s="2" t="s">
        <v>240</v>
      </c>
      <c r="B84" s="2" t="s">
        <v>8117</v>
      </c>
      <c r="C84" s="90">
        <v>24</v>
      </c>
      <c r="D84" s="90">
        <v>40</v>
      </c>
      <c r="E84" s="90">
        <v>64</v>
      </c>
      <c r="F84" s="2" t="s">
        <v>10560</v>
      </c>
      <c r="G84" s="2" t="s">
        <v>8119</v>
      </c>
      <c r="H84" s="2" t="s">
        <v>8120</v>
      </c>
    </row>
  </sheetData>
  <mergeCells count="2">
    <mergeCell ref="A8:G8"/>
    <mergeCell ref="A32:H3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854"/>
  <sheetViews>
    <sheetView workbookViewId="0"/>
  </sheetViews>
  <sheetFormatPr defaultRowHeight="14.25"/>
  <cols>
    <col min="1" max="2" width="12" customWidth="1"/>
    <col min="3" max="6" width="40" customWidth="1"/>
  </cols>
  <sheetData>
    <row r="1" spans="1:6" ht="36" customHeight="1">
      <c r="A1" s="37" t="s">
        <v>0</v>
      </c>
      <c r="B1" s="37" t="s">
        <v>1410</v>
      </c>
      <c r="C1" s="37" t="s">
        <v>1411</v>
      </c>
      <c r="D1" s="37" t="s">
        <v>1412</v>
      </c>
      <c r="E1" s="37" t="s">
        <v>1413</v>
      </c>
      <c r="F1" s="37" t="s">
        <v>1014</v>
      </c>
    </row>
    <row r="2" spans="1:6" ht="69.95" customHeight="1">
      <c r="A2" s="32" t="s">
        <v>62</v>
      </c>
      <c r="B2" s="32" t="s">
        <v>1414</v>
      </c>
      <c r="C2" s="32" t="s">
        <v>40</v>
      </c>
      <c r="D2" s="32"/>
      <c r="E2" s="32" t="s">
        <v>1415</v>
      </c>
      <c r="F2" s="32" t="s">
        <v>1416</v>
      </c>
    </row>
    <row r="3" spans="1:6" ht="69.95" customHeight="1">
      <c r="A3" s="32" t="s">
        <v>62</v>
      </c>
      <c r="B3" s="32" t="s">
        <v>1417</v>
      </c>
      <c r="C3" s="32" t="s">
        <v>41</v>
      </c>
      <c r="D3" s="32"/>
      <c r="E3" s="32" t="s">
        <v>1418</v>
      </c>
      <c r="F3" s="32" t="s">
        <v>1416</v>
      </c>
    </row>
    <row r="4" spans="1:6" ht="69.95" customHeight="1">
      <c r="A4" s="32" t="s">
        <v>62</v>
      </c>
      <c r="B4" s="32" t="s">
        <v>1419</v>
      </c>
      <c r="C4" s="32" t="s">
        <v>43</v>
      </c>
      <c r="D4" s="32"/>
      <c r="E4" s="32" t="s">
        <v>1420</v>
      </c>
      <c r="F4" s="32" t="s">
        <v>1416</v>
      </c>
    </row>
    <row r="5" spans="1:6" ht="69.95" customHeight="1">
      <c r="A5" s="32" t="s">
        <v>63</v>
      </c>
      <c r="B5" s="32" t="s">
        <v>1414</v>
      </c>
      <c r="C5" s="32" t="s">
        <v>40</v>
      </c>
      <c r="D5" s="32"/>
      <c r="E5" s="32" t="s">
        <v>1415</v>
      </c>
      <c r="F5" s="32" t="s">
        <v>1416</v>
      </c>
    </row>
    <row r="6" spans="1:6" ht="69.95" customHeight="1">
      <c r="A6" s="32" t="s">
        <v>63</v>
      </c>
      <c r="B6" s="32" t="s">
        <v>1417</v>
      </c>
      <c r="C6" s="32" t="s">
        <v>41</v>
      </c>
      <c r="D6" s="32"/>
      <c r="E6" s="32" t="s">
        <v>1418</v>
      </c>
      <c r="F6" s="32" t="s">
        <v>1416</v>
      </c>
    </row>
    <row r="7" spans="1:6" ht="69.95" customHeight="1">
      <c r="A7" s="32" t="s">
        <v>63</v>
      </c>
      <c r="B7" s="32" t="s">
        <v>1419</v>
      </c>
      <c r="C7" s="32" t="s">
        <v>43</v>
      </c>
      <c r="D7" s="32"/>
      <c r="E7" s="32" t="s">
        <v>1420</v>
      </c>
      <c r="F7" s="32" t="s">
        <v>1416</v>
      </c>
    </row>
    <row r="8" spans="1:6" ht="69.95" customHeight="1">
      <c r="A8" s="32" t="s">
        <v>64</v>
      </c>
      <c r="B8" s="32" t="s">
        <v>1414</v>
      </c>
      <c r="C8" s="32" t="s">
        <v>40</v>
      </c>
      <c r="D8" s="32"/>
      <c r="E8" s="32" t="s">
        <v>1415</v>
      </c>
      <c r="F8" s="32" t="s">
        <v>1416</v>
      </c>
    </row>
    <row r="9" spans="1:6" ht="69.95" customHeight="1">
      <c r="A9" s="32" t="s">
        <v>64</v>
      </c>
      <c r="B9" s="32" t="s">
        <v>1417</v>
      </c>
      <c r="C9" s="32" t="s">
        <v>41</v>
      </c>
      <c r="D9" s="32"/>
      <c r="E9" s="32" t="s">
        <v>1418</v>
      </c>
      <c r="F9" s="32" t="s">
        <v>1416</v>
      </c>
    </row>
    <row r="10" spans="1:6" ht="69.95" customHeight="1">
      <c r="A10" s="32" t="s">
        <v>64</v>
      </c>
      <c r="B10" s="32" t="s">
        <v>1419</v>
      </c>
      <c r="C10" s="32" t="s">
        <v>43</v>
      </c>
      <c r="D10" s="32"/>
      <c r="E10" s="32" t="s">
        <v>1420</v>
      </c>
      <c r="F10" s="32" t="s">
        <v>1416</v>
      </c>
    </row>
    <row r="11" spans="1:6" ht="69.95" customHeight="1">
      <c r="A11" s="32" t="s">
        <v>65</v>
      </c>
      <c r="B11" s="32" t="s">
        <v>1414</v>
      </c>
      <c r="C11" s="32" t="s">
        <v>40</v>
      </c>
      <c r="D11" s="32"/>
      <c r="E11" s="32" t="s">
        <v>1415</v>
      </c>
      <c r="F11" s="32" t="s">
        <v>1416</v>
      </c>
    </row>
    <row r="12" spans="1:6" ht="69.95" customHeight="1">
      <c r="A12" s="32" t="s">
        <v>65</v>
      </c>
      <c r="B12" s="32" t="s">
        <v>1417</v>
      </c>
      <c r="C12" s="32" t="s">
        <v>41</v>
      </c>
      <c r="D12" s="32"/>
      <c r="E12" s="32" t="s">
        <v>1418</v>
      </c>
      <c r="F12" s="32" t="s">
        <v>1416</v>
      </c>
    </row>
    <row r="13" spans="1:6" ht="69.95" customHeight="1">
      <c r="A13" s="32" t="s">
        <v>65</v>
      </c>
      <c r="B13" s="32" t="s">
        <v>1419</v>
      </c>
      <c r="C13" s="32" t="s">
        <v>43</v>
      </c>
      <c r="D13" s="32"/>
      <c r="E13" s="32" t="s">
        <v>1420</v>
      </c>
      <c r="F13" s="32" t="s">
        <v>1416</v>
      </c>
    </row>
    <row r="14" spans="1:6" ht="69.95" customHeight="1">
      <c r="A14" s="32" t="s">
        <v>66</v>
      </c>
      <c r="B14" s="32" t="s">
        <v>1414</v>
      </c>
      <c r="C14" s="32" t="s">
        <v>40</v>
      </c>
      <c r="D14" s="32"/>
      <c r="E14" s="32" t="s">
        <v>1415</v>
      </c>
      <c r="F14" s="32" t="s">
        <v>1416</v>
      </c>
    </row>
    <row r="15" spans="1:6" ht="69.95" customHeight="1">
      <c r="A15" s="32" t="s">
        <v>66</v>
      </c>
      <c r="B15" s="32" t="s">
        <v>1417</v>
      </c>
      <c r="C15" s="32" t="s">
        <v>41</v>
      </c>
      <c r="D15" s="32"/>
      <c r="E15" s="32" t="s">
        <v>1418</v>
      </c>
      <c r="F15" s="32" t="s">
        <v>1416</v>
      </c>
    </row>
    <row r="16" spans="1:6" ht="69.95" customHeight="1">
      <c r="A16" s="32" t="s">
        <v>66</v>
      </c>
      <c r="B16" s="32" t="s">
        <v>1419</v>
      </c>
      <c r="C16" s="32" t="s">
        <v>43</v>
      </c>
      <c r="D16" s="32"/>
      <c r="E16" s="32" t="s">
        <v>1420</v>
      </c>
      <c r="F16" s="32" t="s">
        <v>1416</v>
      </c>
    </row>
    <row r="17" spans="1:6" ht="69.95" customHeight="1">
      <c r="A17" s="32" t="s">
        <v>67</v>
      </c>
      <c r="B17" s="32" t="s">
        <v>1414</v>
      </c>
      <c r="C17" s="32" t="s">
        <v>40</v>
      </c>
      <c r="D17" s="32"/>
      <c r="E17" s="32" t="s">
        <v>1415</v>
      </c>
      <c r="F17" s="32" t="s">
        <v>1416</v>
      </c>
    </row>
    <row r="18" spans="1:6" ht="69.95" customHeight="1">
      <c r="A18" s="32" t="s">
        <v>67</v>
      </c>
      <c r="B18" s="32" t="s">
        <v>1417</v>
      </c>
      <c r="C18" s="32" t="s">
        <v>41</v>
      </c>
      <c r="D18" s="32"/>
      <c r="E18" s="32" t="s">
        <v>1418</v>
      </c>
      <c r="F18" s="32" t="s">
        <v>1416</v>
      </c>
    </row>
    <row r="19" spans="1:6" ht="69.95" customHeight="1">
      <c r="A19" s="32" t="s">
        <v>67</v>
      </c>
      <c r="B19" s="32" t="s">
        <v>1419</v>
      </c>
      <c r="C19" s="32" t="s">
        <v>43</v>
      </c>
      <c r="D19" s="32"/>
      <c r="E19" s="32" t="s">
        <v>1420</v>
      </c>
      <c r="F19" s="32" t="s">
        <v>1416</v>
      </c>
    </row>
    <row r="20" spans="1:6" ht="69.95" customHeight="1">
      <c r="A20" s="32" t="s">
        <v>68</v>
      </c>
      <c r="B20" s="32" t="s">
        <v>1414</v>
      </c>
      <c r="C20" s="32" t="s">
        <v>40</v>
      </c>
      <c r="D20" s="32"/>
      <c r="E20" s="32" t="s">
        <v>1415</v>
      </c>
      <c r="F20" s="32" t="s">
        <v>1416</v>
      </c>
    </row>
    <row r="21" spans="1:6" ht="69.95" customHeight="1">
      <c r="A21" s="32" t="s">
        <v>68</v>
      </c>
      <c r="B21" s="32" t="s">
        <v>1417</v>
      </c>
      <c r="C21" s="32" t="s">
        <v>41</v>
      </c>
      <c r="D21" s="32"/>
      <c r="E21" s="32" t="s">
        <v>1418</v>
      </c>
      <c r="F21" s="32" t="s">
        <v>1416</v>
      </c>
    </row>
    <row r="22" spans="1:6" ht="69.95" customHeight="1">
      <c r="A22" s="32" t="s">
        <v>68</v>
      </c>
      <c r="B22" s="32" t="s">
        <v>1419</v>
      </c>
      <c r="C22" s="32" t="s">
        <v>43</v>
      </c>
      <c r="D22" s="32"/>
      <c r="E22" s="32" t="s">
        <v>1420</v>
      </c>
      <c r="F22" s="32" t="s">
        <v>1416</v>
      </c>
    </row>
    <row r="23" spans="1:6" ht="69.95" customHeight="1">
      <c r="A23" s="32" t="s">
        <v>69</v>
      </c>
      <c r="B23" s="32" t="s">
        <v>1414</v>
      </c>
      <c r="C23" s="32" t="s">
        <v>40</v>
      </c>
      <c r="D23" s="32"/>
      <c r="E23" s="32" t="s">
        <v>1415</v>
      </c>
      <c r="F23" s="32" t="s">
        <v>1416</v>
      </c>
    </row>
    <row r="24" spans="1:6" ht="69.95" customHeight="1">
      <c r="A24" s="32" t="s">
        <v>69</v>
      </c>
      <c r="B24" s="32" t="s">
        <v>1417</v>
      </c>
      <c r="C24" s="32" t="s">
        <v>41</v>
      </c>
      <c r="D24" s="32"/>
      <c r="E24" s="32" t="s">
        <v>1418</v>
      </c>
      <c r="F24" s="32" t="s">
        <v>1416</v>
      </c>
    </row>
    <row r="25" spans="1:6" ht="69.95" customHeight="1">
      <c r="A25" s="32" t="s">
        <v>69</v>
      </c>
      <c r="B25" s="32" t="s">
        <v>1419</v>
      </c>
      <c r="C25" s="32" t="s">
        <v>43</v>
      </c>
      <c r="D25" s="32"/>
      <c r="E25" s="32" t="s">
        <v>1420</v>
      </c>
      <c r="F25" s="32" t="s">
        <v>1416</v>
      </c>
    </row>
    <row r="26" spans="1:6" ht="69.95" customHeight="1">
      <c r="A26" s="32" t="s">
        <v>70</v>
      </c>
      <c r="B26" s="32" t="s">
        <v>1414</v>
      </c>
      <c r="C26" s="32" t="s">
        <v>40</v>
      </c>
      <c r="D26" s="32"/>
      <c r="E26" s="32" t="s">
        <v>1415</v>
      </c>
      <c r="F26" s="32" t="s">
        <v>1416</v>
      </c>
    </row>
    <row r="27" spans="1:6" ht="69.95" customHeight="1">
      <c r="A27" s="32" t="s">
        <v>70</v>
      </c>
      <c r="B27" s="32" t="s">
        <v>1417</v>
      </c>
      <c r="C27" s="32" t="s">
        <v>41</v>
      </c>
      <c r="D27" s="32"/>
      <c r="E27" s="32" t="s">
        <v>1418</v>
      </c>
      <c r="F27" s="32" t="s">
        <v>1416</v>
      </c>
    </row>
    <row r="28" spans="1:6" ht="69.95" customHeight="1">
      <c r="A28" s="32" t="s">
        <v>70</v>
      </c>
      <c r="B28" s="32" t="s">
        <v>1419</v>
      </c>
      <c r="C28" s="32" t="s">
        <v>43</v>
      </c>
      <c r="D28" s="32"/>
      <c r="E28" s="32" t="s">
        <v>1420</v>
      </c>
      <c r="F28" s="32" t="s">
        <v>1416</v>
      </c>
    </row>
    <row r="29" spans="1:6" ht="69.95" customHeight="1">
      <c r="A29" s="32" t="s">
        <v>71</v>
      </c>
      <c r="B29" s="32" t="s">
        <v>1414</v>
      </c>
      <c r="C29" s="32" t="s">
        <v>40</v>
      </c>
      <c r="D29" s="32"/>
      <c r="E29" s="32" t="s">
        <v>1415</v>
      </c>
      <c r="F29" s="32" t="s">
        <v>1416</v>
      </c>
    </row>
    <row r="30" spans="1:6" ht="69.95" customHeight="1">
      <c r="A30" s="32" t="s">
        <v>71</v>
      </c>
      <c r="B30" s="32" t="s">
        <v>1417</v>
      </c>
      <c r="C30" s="32" t="s">
        <v>41</v>
      </c>
      <c r="D30" s="32"/>
      <c r="E30" s="32" t="s">
        <v>1418</v>
      </c>
      <c r="F30" s="32" t="s">
        <v>1416</v>
      </c>
    </row>
    <row r="31" spans="1:6" ht="69.95" customHeight="1">
      <c r="A31" s="32" t="s">
        <v>71</v>
      </c>
      <c r="B31" s="32" t="s">
        <v>1419</v>
      </c>
      <c r="C31" s="32" t="s">
        <v>43</v>
      </c>
      <c r="D31" s="32"/>
      <c r="E31" s="32" t="s">
        <v>1420</v>
      </c>
      <c r="F31" s="32" t="s">
        <v>1416</v>
      </c>
    </row>
    <row r="32" spans="1:6" ht="69.95" customHeight="1">
      <c r="A32" s="32" t="s">
        <v>72</v>
      </c>
      <c r="B32" s="32" t="s">
        <v>1414</v>
      </c>
      <c r="C32" s="32" t="s">
        <v>40</v>
      </c>
      <c r="D32" s="32"/>
      <c r="E32" s="32" t="s">
        <v>1415</v>
      </c>
      <c r="F32" s="32" t="s">
        <v>1416</v>
      </c>
    </row>
    <row r="33" spans="1:6" ht="69.95" customHeight="1">
      <c r="A33" s="32" t="s">
        <v>72</v>
      </c>
      <c r="B33" s="32" t="s">
        <v>1417</v>
      </c>
      <c r="C33" s="32" t="s">
        <v>41</v>
      </c>
      <c r="D33" s="32"/>
      <c r="E33" s="32" t="s">
        <v>1418</v>
      </c>
      <c r="F33" s="32" t="s">
        <v>1416</v>
      </c>
    </row>
    <row r="34" spans="1:6" ht="69.95" customHeight="1">
      <c r="A34" s="32" t="s">
        <v>72</v>
      </c>
      <c r="B34" s="32" t="s">
        <v>1419</v>
      </c>
      <c r="C34" s="32" t="s">
        <v>43</v>
      </c>
      <c r="D34" s="32"/>
      <c r="E34" s="32" t="s">
        <v>1420</v>
      </c>
      <c r="F34" s="32" t="s">
        <v>1416</v>
      </c>
    </row>
    <row r="35" spans="1:6" ht="69.95" customHeight="1">
      <c r="A35" s="32" t="s">
        <v>73</v>
      </c>
      <c r="B35" s="32" t="s">
        <v>1414</v>
      </c>
      <c r="C35" s="32" t="s">
        <v>40</v>
      </c>
      <c r="D35" s="32"/>
      <c r="E35" s="32" t="s">
        <v>1415</v>
      </c>
      <c r="F35" s="32" t="s">
        <v>1416</v>
      </c>
    </row>
    <row r="36" spans="1:6" ht="69.95" customHeight="1">
      <c r="A36" s="32" t="s">
        <v>73</v>
      </c>
      <c r="B36" s="32" t="s">
        <v>1417</v>
      </c>
      <c r="C36" s="32" t="s">
        <v>41</v>
      </c>
      <c r="D36" s="32"/>
      <c r="E36" s="32" t="s">
        <v>1418</v>
      </c>
      <c r="F36" s="32" t="s">
        <v>1416</v>
      </c>
    </row>
    <row r="37" spans="1:6" ht="69.95" customHeight="1">
      <c r="A37" s="32" t="s">
        <v>73</v>
      </c>
      <c r="B37" s="32" t="s">
        <v>1419</v>
      </c>
      <c r="C37" s="32" t="s">
        <v>43</v>
      </c>
      <c r="D37" s="32"/>
      <c r="E37" s="32" t="s">
        <v>1420</v>
      </c>
      <c r="F37" s="32" t="s">
        <v>1416</v>
      </c>
    </row>
    <row r="38" spans="1:6" ht="69.95" customHeight="1">
      <c r="A38" s="32" t="s">
        <v>74</v>
      </c>
      <c r="B38" s="32" t="s">
        <v>1414</v>
      </c>
      <c r="C38" s="32" t="s">
        <v>40</v>
      </c>
      <c r="D38" s="32"/>
      <c r="E38" s="32" t="s">
        <v>1415</v>
      </c>
      <c r="F38" s="32" t="s">
        <v>1416</v>
      </c>
    </row>
    <row r="39" spans="1:6" ht="69.95" customHeight="1">
      <c r="A39" s="32" t="s">
        <v>74</v>
      </c>
      <c r="B39" s="32" t="s">
        <v>1417</v>
      </c>
      <c r="C39" s="32" t="s">
        <v>41</v>
      </c>
      <c r="D39" s="32"/>
      <c r="E39" s="32" t="s">
        <v>1418</v>
      </c>
      <c r="F39" s="32" t="s">
        <v>1416</v>
      </c>
    </row>
    <row r="40" spans="1:6" ht="69.95" customHeight="1">
      <c r="A40" s="32" t="s">
        <v>74</v>
      </c>
      <c r="B40" s="32" t="s">
        <v>1419</v>
      </c>
      <c r="C40" s="32" t="s">
        <v>43</v>
      </c>
      <c r="D40" s="32"/>
      <c r="E40" s="32" t="s">
        <v>1420</v>
      </c>
      <c r="F40" s="32" t="s">
        <v>1416</v>
      </c>
    </row>
    <row r="41" spans="1:6" ht="69.95" customHeight="1">
      <c r="A41" s="32" t="s">
        <v>75</v>
      </c>
      <c r="B41" s="32" t="s">
        <v>1414</v>
      </c>
      <c r="C41" s="32" t="s">
        <v>40</v>
      </c>
      <c r="D41" s="32"/>
      <c r="E41" s="32" t="s">
        <v>1415</v>
      </c>
      <c r="F41" s="32" t="s">
        <v>1416</v>
      </c>
    </row>
    <row r="42" spans="1:6" ht="69.95" customHeight="1">
      <c r="A42" s="32" t="s">
        <v>75</v>
      </c>
      <c r="B42" s="32" t="s">
        <v>1417</v>
      </c>
      <c r="C42" s="32" t="s">
        <v>41</v>
      </c>
      <c r="D42" s="32"/>
      <c r="E42" s="32" t="s">
        <v>1418</v>
      </c>
      <c r="F42" s="32" t="s">
        <v>1416</v>
      </c>
    </row>
    <row r="43" spans="1:6" ht="69.95" customHeight="1">
      <c r="A43" s="32" t="s">
        <v>75</v>
      </c>
      <c r="B43" s="32" t="s">
        <v>1419</v>
      </c>
      <c r="C43" s="32" t="s">
        <v>43</v>
      </c>
      <c r="D43" s="32"/>
      <c r="E43" s="32" t="s">
        <v>1420</v>
      </c>
      <c r="F43" s="32" t="s">
        <v>1416</v>
      </c>
    </row>
    <row r="44" spans="1:6" ht="69.95" customHeight="1">
      <c r="A44" s="32" t="s">
        <v>76</v>
      </c>
      <c r="B44" s="32" t="s">
        <v>1414</v>
      </c>
      <c r="C44" s="32" t="s">
        <v>40</v>
      </c>
      <c r="D44" s="32"/>
      <c r="E44" s="32" t="s">
        <v>1415</v>
      </c>
      <c r="F44" s="32" t="s">
        <v>1416</v>
      </c>
    </row>
    <row r="45" spans="1:6" ht="69.95" customHeight="1">
      <c r="A45" s="32" t="s">
        <v>76</v>
      </c>
      <c r="B45" s="32" t="s">
        <v>1417</v>
      </c>
      <c r="C45" s="32" t="s">
        <v>41</v>
      </c>
      <c r="D45" s="32"/>
      <c r="E45" s="32" t="s">
        <v>1418</v>
      </c>
      <c r="F45" s="32" t="s">
        <v>1416</v>
      </c>
    </row>
    <row r="46" spans="1:6" ht="69.95" customHeight="1">
      <c r="A46" s="32" t="s">
        <v>76</v>
      </c>
      <c r="B46" s="32" t="s">
        <v>1419</v>
      </c>
      <c r="C46" s="32" t="s">
        <v>43</v>
      </c>
      <c r="D46" s="32"/>
      <c r="E46" s="32" t="s">
        <v>1420</v>
      </c>
      <c r="F46" s="32" t="s">
        <v>1416</v>
      </c>
    </row>
    <row r="47" spans="1:6" ht="69.95" customHeight="1">
      <c r="A47" s="32" t="s">
        <v>77</v>
      </c>
      <c r="B47" s="32" t="s">
        <v>1414</v>
      </c>
      <c r="C47" s="32" t="s">
        <v>40</v>
      </c>
      <c r="D47" s="32"/>
      <c r="E47" s="32" t="s">
        <v>1415</v>
      </c>
      <c r="F47" s="32" t="s">
        <v>1416</v>
      </c>
    </row>
    <row r="48" spans="1:6" ht="69.95" customHeight="1">
      <c r="A48" s="32" t="s">
        <v>77</v>
      </c>
      <c r="B48" s="32" t="s">
        <v>1417</v>
      </c>
      <c r="C48" s="32" t="s">
        <v>41</v>
      </c>
      <c r="D48" s="32"/>
      <c r="E48" s="32" t="s">
        <v>1418</v>
      </c>
      <c r="F48" s="32" t="s">
        <v>1416</v>
      </c>
    </row>
    <row r="49" spans="1:6" ht="69.95" customHeight="1">
      <c r="A49" s="32" t="s">
        <v>77</v>
      </c>
      <c r="B49" s="32" t="s">
        <v>1419</v>
      </c>
      <c r="C49" s="32" t="s">
        <v>43</v>
      </c>
      <c r="D49" s="32"/>
      <c r="E49" s="32" t="s">
        <v>1420</v>
      </c>
      <c r="F49" s="32" t="s">
        <v>1416</v>
      </c>
    </row>
    <row r="50" spans="1:6" ht="69.95" customHeight="1">
      <c r="A50" s="32" t="s">
        <v>78</v>
      </c>
      <c r="B50" s="32" t="s">
        <v>1414</v>
      </c>
      <c r="C50" s="32" t="s">
        <v>40</v>
      </c>
      <c r="D50" s="32"/>
      <c r="E50" s="32" t="s">
        <v>1415</v>
      </c>
      <c r="F50" s="32" t="s">
        <v>1416</v>
      </c>
    </row>
    <row r="51" spans="1:6" ht="69.95" customHeight="1">
      <c r="A51" s="32" t="s">
        <v>78</v>
      </c>
      <c r="B51" s="32" t="s">
        <v>1417</v>
      </c>
      <c r="C51" s="32" t="s">
        <v>41</v>
      </c>
      <c r="D51" s="32"/>
      <c r="E51" s="32" t="s">
        <v>1418</v>
      </c>
      <c r="F51" s="32" t="s">
        <v>1416</v>
      </c>
    </row>
    <row r="52" spans="1:6" ht="69.95" customHeight="1">
      <c r="A52" s="32" t="s">
        <v>78</v>
      </c>
      <c r="B52" s="32" t="s">
        <v>1419</v>
      </c>
      <c r="C52" s="32" t="s">
        <v>43</v>
      </c>
      <c r="D52" s="32"/>
      <c r="E52" s="32" t="s">
        <v>1420</v>
      </c>
      <c r="F52" s="32" t="s">
        <v>1416</v>
      </c>
    </row>
    <row r="53" spans="1:6" ht="69.95" customHeight="1">
      <c r="A53" s="32" t="s">
        <v>79</v>
      </c>
      <c r="B53" s="32" t="s">
        <v>1414</v>
      </c>
      <c r="C53" s="32" t="s">
        <v>40</v>
      </c>
      <c r="D53" s="32"/>
      <c r="E53" s="32" t="s">
        <v>1415</v>
      </c>
      <c r="F53" s="32" t="s">
        <v>1416</v>
      </c>
    </row>
    <row r="54" spans="1:6" ht="69.95" customHeight="1">
      <c r="A54" s="32" t="s">
        <v>79</v>
      </c>
      <c r="B54" s="32" t="s">
        <v>1417</v>
      </c>
      <c r="C54" s="32" t="s">
        <v>41</v>
      </c>
      <c r="D54" s="32"/>
      <c r="E54" s="32" t="s">
        <v>1418</v>
      </c>
      <c r="F54" s="32" t="s">
        <v>1416</v>
      </c>
    </row>
    <row r="55" spans="1:6" ht="69.95" customHeight="1">
      <c r="A55" s="32" t="s">
        <v>79</v>
      </c>
      <c r="B55" s="32" t="s">
        <v>1419</v>
      </c>
      <c r="C55" s="32" t="s">
        <v>43</v>
      </c>
      <c r="D55" s="32"/>
      <c r="E55" s="32" t="s">
        <v>1420</v>
      </c>
      <c r="F55" s="32" t="s">
        <v>1416</v>
      </c>
    </row>
    <row r="56" spans="1:6" ht="69.95" customHeight="1">
      <c r="A56" s="32" t="s">
        <v>80</v>
      </c>
      <c r="B56" s="32" t="s">
        <v>1414</v>
      </c>
      <c r="C56" s="32" t="s">
        <v>40</v>
      </c>
      <c r="D56" s="32"/>
      <c r="E56" s="32" t="s">
        <v>1415</v>
      </c>
      <c r="F56" s="32" t="s">
        <v>1416</v>
      </c>
    </row>
    <row r="57" spans="1:6" ht="69.95" customHeight="1">
      <c r="A57" s="32" t="s">
        <v>80</v>
      </c>
      <c r="B57" s="32" t="s">
        <v>1417</v>
      </c>
      <c r="C57" s="32" t="s">
        <v>41</v>
      </c>
      <c r="D57" s="32"/>
      <c r="E57" s="32" t="s">
        <v>1418</v>
      </c>
      <c r="F57" s="32" t="s">
        <v>1416</v>
      </c>
    </row>
    <row r="58" spans="1:6" ht="69.95" customHeight="1">
      <c r="A58" s="32" t="s">
        <v>80</v>
      </c>
      <c r="B58" s="32" t="s">
        <v>1419</v>
      </c>
      <c r="C58" s="32" t="s">
        <v>43</v>
      </c>
      <c r="D58" s="32"/>
      <c r="E58" s="32" t="s">
        <v>1420</v>
      </c>
      <c r="F58" s="32" t="s">
        <v>1416</v>
      </c>
    </row>
    <row r="59" spans="1:6" ht="69.95" customHeight="1">
      <c r="A59" s="32" t="s">
        <v>81</v>
      </c>
      <c r="B59" s="32" t="s">
        <v>1414</v>
      </c>
      <c r="C59" s="32" t="s">
        <v>40</v>
      </c>
      <c r="D59" s="32"/>
      <c r="E59" s="32" t="s">
        <v>1415</v>
      </c>
      <c r="F59" s="32" t="s">
        <v>1416</v>
      </c>
    </row>
    <row r="60" spans="1:6" ht="69.95" customHeight="1">
      <c r="A60" s="32" t="s">
        <v>81</v>
      </c>
      <c r="B60" s="32" t="s">
        <v>1417</v>
      </c>
      <c r="C60" s="32" t="s">
        <v>41</v>
      </c>
      <c r="D60" s="32"/>
      <c r="E60" s="32" t="s">
        <v>1418</v>
      </c>
      <c r="F60" s="32" t="s">
        <v>1416</v>
      </c>
    </row>
    <row r="61" spans="1:6" ht="69.95" customHeight="1">
      <c r="A61" s="32" t="s">
        <v>81</v>
      </c>
      <c r="B61" s="32" t="s">
        <v>1419</v>
      </c>
      <c r="C61" s="32" t="s">
        <v>43</v>
      </c>
      <c r="D61" s="32"/>
      <c r="E61" s="32" t="s">
        <v>1420</v>
      </c>
      <c r="F61" s="32" t="s">
        <v>1416</v>
      </c>
    </row>
    <row r="62" spans="1:6" ht="69.95" customHeight="1">
      <c r="A62" s="32" t="s">
        <v>82</v>
      </c>
      <c r="B62" s="32" t="s">
        <v>1421</v>
      </c>
      <c r="C62" s="32" t="s">
        <v>12</v>
      </c>
      <c r="D62" s="32" t="s">
        <v>527</v>
      </c>
      <c r="E62" s="32" t="s">
        <v>75</v>
      </c>
      <c r="F62" s="32" t="s">
        <v>1422</v>
      </c>
    </row>
    <row r="63" spans="1:6" ht="69.95" customHeight="1">
      <c r="A63" s="32" t="s">
        <v>82</v>
      </c>
      <c r="B63" s="32" t="s">
        <v>1423</v>
      </c>
      <c r="C63" s="32" t="s">
        <v>13</v>
      </c>
      <c r="D63" s="32" t="s">
        <v>528</v>
      </c>
      <c r="E63" s="32" t="s">
        <v>1424</v>
      </c>
      <c r="F63" s="32" t="s">
        <v>1422</v>
      </c>
    </row>
    <row r="64" spans="1:6" ht="69.95" customHeight="1">
      <c r="A64" s="32" t="s">
        <v>82</v>
      </c>
      <c r="B64" s="32" t="s">
        <v>1414</v>
      </c>
      <c r="C64" s="32" t="s">
        <v>40</v>
      </c>
      <c r="D64" s="32"/>
      <c r="E64" s="32" t="s">
        <v>1415</v>
      </c>
      <c r="F64" s="32" t="s">
        <v>1416</v>
      </c>
    </row>
    <row r="65" spans="1:6" ht="69.95" customHeight="1">
      <c r="A65" s="32" t="s">
        <v>82</v>
      </c>
      <c r="B65" s="32" t="s">
        <v>1417</v>
      </c>
      <c r="C65" s="32" t="s">
        <v>41</v>
      </c>
      <c r="D65" s="32"/>
      <c r="E65" s="32" t="s">
        <v>1418</v>
      </c>
      <c r="F65" s="32" t="s">
        <v>1416</v>
      </c>
    </row>
    <row r="66" spans="1:6" ht="69.95" customHeight="1">
      <c r="A66" s="32" t="s">
        <v>82</v>
      </c>
      <c r="B66" s="32" t="s">
        <v>1419</v>
      </c>
      <c r="C66" s="32" t="s">
        <v>43</v>
      </c>
      <c r="D66" s="32"/>
      <c r="E66" s="32" t="s">
        <v>1420</v>
      </c>
      <c r="F66" s="32" t="s">
        <v>1416</v>
      </c>
    </row>
    <row r="67" spans="1:6" ht="69.95" customHeight="1">
      <c r="A67" s="32" t="s">
        <v>83</v>
      </c>
      <c r="B67" s="32" t="s">
        <v>1421</v>
      </c>
      <c r="C67" s="32" t="s">
        <v>12</v>
      </c>
      <c r="D67" s="32" t="s">
        <v>88</v>
      </c>
      <c r="E67" s="32" t="s">
        <v>1425</v>
      </c>
      <c r="F67" s="32" t="s">
        <v>1422</v>
      </c>
    </row>
    <row r="68" spans="1:6" ht="69.95" customHeight="1">
      <c r="A68" s="32" t="s">
        <v>83</v>
      </c>
      <c r="B68" s="32" t="s">
        <v>1423</v>
      </c>
      <c r="C68" s="32" t="s">
        <v>13</v>
      </c>
      <c r="D68" s="32" t="s">
        <v>532</v>
      </c>
      <c r="E68" s="32" t="s">
        <v>1426</v>
      </c>
      <c r="F68" s="32" t="s">
        <v>1422</v>
      </c>
    </row>
    <row r="69" spans="1:6" ht="69.95" customHeight="1">
      <c r="A69" s="32" t="s">
        <v>83</v>
      </c>
      <c r="B69" s="32" t="s">
        <v>1414</v>
      </c>
      <c r="C69" s="32" t="s">
        <v>40</v>
      </c>
      <c r="D69" s="32"/>
      <c r="E69" s="32" t="s">
        <v>1415</v>
      </c>
      <c r="F69" s="32" t="s">
        <v>1416</v>
      </c>
    </row>
    <row r="70" spans="1:6" ht="69.95" customHeight="1">
      <c r="A70" s="32" t="s">
        <v>83</v>
      </c>
      <c r="B70" s="32" t="s">
        <v>1417</v>
      </c>
      <c r="C70" s="32" t="s">
        <v>41</v>
      </c>
      <c r="D70" s="32"/>
      <c r="E70" s="32" t="s">
        <v>1418</v>
      </c>
      <c r="F70" s="32" t="s">
        <v>1416</v>
      </c>
    </row>
    <row r="71" spans="1:6" ht="69.95" customHeight="1">
      <c r="A71" s="32" t="s">
        <v>83</v>
      </c>
      <c r="B71" s="32" t="s">
        <v>1419</v>
      </c>
      <c r="C71" s="32" t="s">
        <v>43</v>
      </c>
      <c r="D71" s="32"/>
      <c r="E71" s="32" t="s">
        <v>1420</v>
      </c>
      <c r="F71" s="32" t="s">
        <v>1416</v>
      </c>
    </row>
    <row r="72" spans="1:6" ht="69.95" customHeight="1">
      <c r="A72" s="32" t="s">
        <v>84</v>
      </c>
      <c r="B72" s="32" t="s">
        <v>1421</v>
      </c>
      <c r="C72" s="32" t="s">
        <v>12</v>
      </c>
      <c r="D72" s="32" t="s">
        <v>89</v>
      </c>
      <c r="E72" s="32" t="s">
        <v>736</v>
      </c>
      <c r="F72" s="32" t="s">
        <v>1422</v>
      </c>
    </row>
    <row r="73" spans="1:6" ht="69.95" customHeight="1">
      <c r="A73" s="32" t="s">
        <v>84</v>
      </c>
      <c r="B73" s="32" t="s">
        <v>1423</v>
      </c>
      <c r="C73" s="32" t="s">
        <v>13</v>
      </c>
      <c r="D73" s="32" t="s">
        <v>535</v>
      </c>
      <c r="E73" s="32" t="s">
        <v>1272</v>
      </c>
      <c r="F73" s="32" t="s">
        <v>1422</v>
      </c>
    </row>
    <row r="74" spans="1:6" ht="69.95" customHeight="1">
      <c r="A74" s="32" t="s">
        <v>84</v>
      </c>
      <c r="B74" s="32" t="s">
        <v>1414</v>
      </c>
      <c r="C74" s="32" t="s">
        <v>40</v>
      </c>
      <c r="D74" s="32"/>
      <c r="E74" s="32" t="s">
        <v>1415</v>
      </c>
      <c r="F74" s="32" t="s">
        <v>1416</v>
      </c>
    </row>
    <row r="75" spans="1:6" ht="69.95" customHeight="1">
      <c r="A75" s="32" t="s">
        <v>84</v>
      </c>
      <c r="B75" s="32" t="s">
        <v>1417</v>
      </c>
      <c r="C75" s="32" t="s">
        <v>41</v>
      </c>
      <c r="D75" s="32"/>
      <c r="E75" s="32" t="s">
        <v>1418</v>
      </c>
      <c r="F75" s="32" t="s">
        <v>1416</v>
      </c>
    </row>
    <row r="76" spans="1:6" ht="69.95" customHeight="1">
      <c r="A76" s="32" t="s">
        <v>84</v>
      </c>
      <c r="B76" s="32" t="s">
        <v>1419</v>
      </c>
      <c r="C76" s="32" t="s">
        <v>43</v>
      </c>
      <c r="D76" s="32"/>
      <c r="E76" s="32" t="s">
        <v>1420</v>
      </c>
      <c r="F76" s="32" t="s">
        <v>1416</v>
      </c>
    </row>
    <row r="77" spans="1:6" ht="69.95" customHeight="1">
      <c r="A77" s="32" t="s">
        <v>85</v>
      </c>
      <c r="B77" s="32" t="s">
        <v>1421</v>
      </c>
      <c r="C77" s="32" t="s">
        <v>12</v>
      </c>
      <c r="D77" s="32" t="s">
        <v>538</v>
      </c>
      <c r="E77" s="32" t="s">
        <v>740</v>
      </c>
      <c r="F77" s="32" t="s">
        <v>1422</v>
      </c>
    </row>
    <row r="78" spans="1:6" ht="69.95" customHeight="1">
      <c r="A78" s="32" t="s">
        <v>85</v>
      </c>
      <c r="B78" s="32" t="s">
        <v>1423</v>
      </c>
      <c r="C78" s="32" t="s">
        <v>13</v>
      </c>
      <c r="D78" s="32" t="s">
        <v>539</v>
      </c>
      <c r="E78" s="32" t="s">
        <v>1427</v>
      </c>
      <c r="F78" s="32" t="s">
        <v>1422</v>
      </c>
    </row>
    <row r="79" spans="1:6" ht="69.95" customHeight="1">
      <c r="A79" s="32" t="s">
        <v>85</v>
      </c>
      <c r="B79" s="32" t="s">
        <v>1414</v>
      </c>
      <c r="C79" s="32" t="s">
        <v>40</v>
      </c>
      <c r="D79" s="32"/>
      <c r="E79" s="32" t="s">
        <v>1415</v>
      </c>
      <c r="F79" s="32" t="s">
        <v>1416</v>
      </c>
    </row>
    <row r="80" spans="1:6" ht="69.95" customHeight="1">
      <c r="A80" s="32" t="s">
        <v>85</v>
      </c>
      <c r="B80" s="32" t="s">
        <v>1417</v>
      </c>
      <c r="C80" s="32" t="s">
        <v>41</v>
      </c>
      <c r="D80" s="32"/>
      <c r="E80" s="32" t="s">
        <v>1418</v>
      </c>
      <c r="F80" s="32" t="s">
        <v>1416</v>
      </c>
    </row>
    <row r="81" spans="1:6" ht="69.95" customHeight="1">
      <c r="A81" s="32" t="s">
        <v>85</v>
      </c>
      <c r="B81" s="32" t="s">
        <v>1419</v>
      </c>
      <c r="C81" s="32" t="s">
        <v>43</v>
      </c>
      <c r="D81" s="32"/>
      <c r="E81" s="32" t="s">
        <v>1420</v>
      </c>
      <c r="F81" s="32" t="s">
        <v>1416</v>
      </c>
    </row>
    <row r="82" spans="1:6" ht="69.95" customHeight="1">
      <c r="A82" s="32" t="s">
        <v>86</v>
      </c>
      <c r="B82" s="32" t="s">
        <v>1421</v>
      </c>
      <c r="C82" s="32" t="s">
        <v>12</v>
      </c>
      <c r="D82" s="32" t="s">
        <v>541</v>
      </c>
      <c r="E82" s="32" t="s">
        <v>83</v>
      </c>
      <c r="F82" s="32" t="s">
        <v>1422</v>
      </c>
    </row>
    <row r="83" spans="1:6" ht="69.95" customHeight="1">
      <c r="A83" s="32" t="s">
        <v>86</v>
      </c>
      <c r="B83" s="32" t="s">
        <v>1423</v>
      </c>
      <c r="C83" s="32" t="s">
        <v>13</v>
      </c>
      <c r="D83" s="32" t="s">
        <v>1219</v>
      </c>
      <c r="E83" s="32" t="s">
        <v>1271</v>
      </c>
      <c r="F83" s="32" t="s">
        <v>1422</v>
      </c>
    </row>
    <row r="84" spans="1:6" ht="69.95" customHeight="1">
      <c r="A84" s="32" t="s">
        <v>86</v>
      </c>
      <c r="B84" s="32" t="s">
        <v>1414</v>
      </c>
      <c r="C84" s="32" t="s">
        <v>40</v>
      </c>
      <c r="D84" s="32"/>
      <c r="E84" s="32" t="s">
        <v>1415</v>
      </c>
      <c r="F84" s="32" t="s">
        <v>1416</v>
      </c>
    </row>
    <row r="85" spans="1:6" ht="69.95" customHeight="1">
      <c r="A85" s="32" t="s">
        <v>86</v>
      </c>
      <c r="B85" s="32" t="s">
        <v>1417</v>
      </c>
      <c r="C85" s="32" t="s">
        <v>41</v>
      </c>
      <c r="D85" s="32"/>
      <c r="E85" s="32" t="s">
        <v>1418</v>
      </c>
      <c r="F85" s="32" t="s">
        <v>1416</v>
      </c>
    </row>
    <row r="86" spans="1:6" ht="69.95" customHeight="1">
      <c r="A86" s="32" t="s">
        <v>86</v>
      </c>
      <c r="B86" s="32" t="s">
        <v>1419</v>
      </c>
      <c r="C86" s="32" t="s">
        <v>43</v>
      </c>
      <c r="D86" s="32"/>
      <c r="E86" s="32" t="s">
        <v>1420</v>
      </c>
      <c r="F86" s="32" t="s">
        <v>1416</v>
      </c>
    </row>
    <row r="87" spans="1:6" ht="69.95" customHeight="1">
      <c r="A87" s="32" t="s">
        <v>87</v>
      </c>
      <c r="B87" s="32" t="s">
        <v>1421</v>
      </c>
      <c r="C87" s="32" t="s">
        <v>12</v>
      </c>
      <c r="D87" s="32" t="s">
        <v>92</v>
      </c>
      <c r="E87" s="32" t="s">
        <v>64</v>
      </c>
      <c r="F87" s="32" t="s">
        <v>1422</v>
      </c>
    </row>
    <row r="88" spans="1:6" ht="69.95" customHeight="1">
      <c r="A88" s="32" t="s">
        <v>87</v>
      </c>
      <c r="B88" s="32" t="s">
        <v>1423</v>
      </c>
      <c r="C88" s="32" t="s">
        <v>13</v>
      </c>
      <c r="D88" s="32" t="s">
        <v>544</v>
      </c>
      <c r="E88" s="32" t="s">
        <v>83</v>
      </c>
      <c r="F88" s="32" t="s">
        <v>1422</v>
      </c>
    </row>
    <row r="89" spans="1:6" ht="69.95" customHeight="1">
      <c r="A89" s="32" t="s">
        <v>87</v>
      </c>
      <c r="B89" s="32" t="s">
        <v>1414</v>
      </c>
      <c r="C89" s="32" t="s">
        <v>40</v>
      </c>
      <c r="D89" s="32"/>
      <c r="E89" s="32" t="s">
        <v>1415</v>
      </c>
      <c r="F89" s="32" t="s">
        <v>1416</v>
      </c>
    </row>
    <row r="90" spans="1:6" ht="69.95" customHeight="1">
      <c r="A90" s="32" t="s">
        <v>87</v>
      </c>
      <c r="B90" s="32" t="s">
        <v>1417</v>
      </c>
      <c r="C90" s="32" t="s">
        <v>41</v>
      </c>
      <c r="D90" s="32"/>
      <c r="E90" s="32" t="s">
        <v>1418</v>
      </c>
      <c r="F90" s="32" t="s">
        <v>1416</v>
      </c>
    </row>
    <row r="91" spans="1:6" ht="69.95" customHeight="1">
      <c r="A91" s="32" t="s">
        <v>87</v>
      </c>
      <c r="B91" s="32" t="s">
        <v>1419</v>
      </c>
      <c r="C91" s="32" t="s">
        <v>43</v>
      </c>
      <c r="D91" s="32"/>
      <c r="E91" s="32" t="s">
        <v>1420</v>
      </c>
      <c r="F91" s="32" t="s">
        <v>1416</v>
      </c>
    </row>
    <row r="92" spans="1:6" ht="69.95" customHeight="1">
      <c r="A92" s="32" t="s">
        <v>88</v>
      </c>
      <c r="B92" s="32" t="s">
        <v>1421</v>
      </c>
      <c r="C92" s="32" t="s">
        <v>12</v>
      </c>
      <c r="D92" s="32" t="s">
        <v>546</v>
      </c>
      <c r="E92" s="32" t="s">
        <v>527</v>
      </c>
      <c r="F92" s="32" t="s">
        <v>1422</v>
      </c>
    </row>
    <row r="93" spans="1:6" ht="69.95" customHeight="1">
      <c r="A93" s="32" t="s">
        <v>88</v>
      </c>
      <c r="B93" s="32" t="s">
        <v>1423</v>
      </c>
      <c r="C93" s="32" t="s">
        <v>13</v>
      </c>
      <c r="D93" s="32" t="s">
        <v>539</v>
      </c>
      <c r="E93" s="32" t="s">
        <v>528</v>
      </c>
      <c r="F93" s="32" t="s">
        <v>1422</v>
      </c>
    </row>
    <row r="94" spans="1:6" ht="69.95" customHeight="1">
      <c r="A94" s="32" t="s">
        <v>88</v>
      </c>
      <c r="B94" s="32" t="s">
        <v>1414</v>
      </c>
      <c r="C94" s="32" t="s">
        <v>40</v>
      </c>
      <c r="D94" s="32"/>
      <c r="E94" s="32" t="s">
        <v>1415</v>
      </c>
      <c r="F94" s="32" t="s">
        <v>1416</v>
      </c>
    </row>
    <row r="95" spans="1:6" ht="69.95" customHeight="1">
      <c r="A95" s="32" t="s">
        <v>88</v>
      </c>
      <c r="B95" s="32" t="s">
        <v>1417</v>
      </c>
      <c r="C95" s="32" t="s">
        <v>41</v>
      </c>
      <c r="D95" s="32"/>
      <c r="E95" s="32" t="s">
        <v>1418</v>
      </c>
      <c r="F95" s="32" t="s">
        <v>1416</v>
      </c>
    </row>
    <row r="96" spans="1:6" ht="69.95" customHeight="1">
      <c r="A96" s="32" t="s">
        <v>88</v>
      </c>
      <c r="B96" s="32" t="s">
        <v>1419</v>
      </c>
      <c r="C96" s="32" t="s">
        <v>43</v>
      </c>
      <c r="D96" s="32"/>
      <c r="E96" s="32" t="s">
        <v>1420</v>
      </c>
      <c r="F96" s="32" t="s">
        <v>1416</v>
      </c>
    </row>
    <row r="97" spans="1:6" ht="69.95" customHeight="1">
      <c r="A97" s="32" t="s">
        <v>89</v>
      </c>
      <c r="B97" s="32" t="s">
        <v>1421</v>
      </c>
      <c r="C97" s="32" t="s">
        <v>12</v>
      </c>
      <c r="D97" s="32" t="s">
        <v>548</v>
      </c>
      <c r="E97" s="32" t="s">
        <v>88</v>
      </c>
      <c r="F97" s="32" t="s">
        <v>1422</v>
      </c>
    </row>
    <row r="98" spans="1:6" ht="69.95" customHeight="1">
      <c r="A98" s="32" t="s">
        <v>89</v>
      </c>
      <c r="B98" s="32" t="s">
        <v>1423</v>
      </c>
      <c r="C98" s="32" t="s">
        <v>13</v>
      </c>
      <c r="D98" s="32" t="s">
        <v>549</v>
      </c>
      <c r="E98" s="32" t="s">
        <v>532</v>
      </c>
      <c r="F98" s="32" t="s">
        <v>1422</v>
      </c>
    </row>
    <row r="99" spans="1:6" ht="69.95" customHeight="1">
      <c r="A99" s="32" t="s">
        <v>89</v>
      </c>
      <c r="B99" s="32" t="s">
        <v>1414</v>
      </c>
      <c r="C99" s="32" t="s">
        <v>40</v>
      </c>
      <c r="D99" s="32"/>
      <c r="E99" s="32" t="s">
        <v>1415</v>
      </c>
      <c r="F99" s="32" t="s">
        <v>1416</v>
      </c>
    </row>
    <row r="100" spans="1:6" ht="69.95" customHeight="1">
      <c r="A100" s="32" t="s">
        <v>89</v>
      </c>
      <c r="B100" s="32" t="s">
        <v>1417</v>
      </c>
      <c r="C100" s="32" t="s">
        <v>41</v>
      </c>
      <c r="D100" s="32"/>
      <c r="E100" s="32" t="s">
        <v>1418</v>
      </c>
      <c r="F100" s="32" t="s">
        <v>1416</v>
      </c>
    </row>
    <row r="101" spans="1:6" ht="69.95" customHeight="1">
      <c r="A101" s="32" t="s">
        <v>89</v>
      </c>
      <c r="B101" s="32" t="s">
        <v>1419</v>
      </c>
      <c r="C101" s="32" t="s">
        <v>43</v>
      </c>
      <c r="D101" s="32"/>
      <c r="E101" s="32" t="s">
        <v>1420</v>
      </c>
      <c r="F101" s="32" t="s">
        <v>1416</v>
      </c>
    </row>
    <row r="102" spans="1:6" ht="69.95" customHeight="1">
      <c r="A102" s="32" t="s">
        <v>90</v>
      </c>
      <c r="B102" s="32" t="s">
        <v>1421</v>
      </c>
      <c r="C102" s="32" t="s">
        <v>12</v>
      </c>
      <c r="D102" s="32" t="s">
        <v>551</v>
      </c>
      <c r="E102" s="32" t="s">
        <v>89</v>
      </c>
      <c r="F102" s="32" t="s">
        <v>1422</v>
      </c>
    </row>
    <row r="103" spans="1:6" ht="69.95" customHeight="1">
      <c r="A103" s="32" t="s">
        <v>90</v>
      </c>
      <c r="B103" s="32" t="s">
        <v>1423</v>
      </c>
      <c r="C103" s="32" t="s">
        <v>13</v>
      </c>
      <c r="D103" s="32" t="s">
        <v>539</v>
      </c>
      <c r="E103" s="32" t="s">
        <v>535</v>
      </c>
      <c r="F103" s="32" t="s">
        <v>1422</v>
      </c>
    </row>
    <row r="104" spans="1:6" ht="69.95" customHeight="1">
      <c r="A104" s="32" t="s">
        <v>90</v>
      </c>
      <c r="B104" s="32" t="s">
        <v>1414</v>
      </c>
      <c r="C104" s="32" t="s">
        <v>40</v>
      </c>
      <c r="D104" s="32"/>
      <c r="E104" s="32" t="s">
        <v>1415</v>
      </c>
      <c r="F104" s="32" t="s">
        <v>1416</v>
      </c>
    </row>
    <row r="105" spans="1:6" ht="69.95" customHeight="1">
      <c r="A105" s="32" t="s">
        <v>90</v>
      </c>
      <c r="B105" s="32" t="s">
        <v>1417</v>
      </c>
      <c r="C105" s="32" t="s">
        <v>41</v>
      </c>
      <c r="D105" s="32"/>
      <c r="E105" s="32" t="s">
        <v>1418</v>
      </c>
      <c r="F105" s="32" t="s">
        <v>1416</v>
      </c>
    </row>
    <row r="106" spans="1:6" ht="69.95" customHeight="1">
      <c r="A106" s="32" t="s">
        <v>90</v>
      </c>
      <c r="B106" s="32" t="s">
        <v>1419</v>
      </c>
      <c r="C106" s="32" t="s">
        <v>43</v>
      </c>
      <c r="D106" s="32"/>
      <c r="E106" s="32" t="s">
        <v>1420</v>
      </c>
      <c r="F106" s="32" t="s">
        <v>1416</v>
      </c>
    </row>
    <row r="107" spans="1:6" ht="69.95" customHeight="1">
      <c r="A107" s="32" t="s">
        <v>91</v>
      </c>
      <c r="B107" s="32" t="s">
        <v>1421</v>
      </c>
      <c r="C107" s="32" t="s">
        <v>12</v>
      </c>
      <c r="D107" s="32" t="s">
        <v>1148</v>
      </c>
      <c r="E107" s="32" t="s">
        <v>538</v>
      </c>
      <c r="F107" s="32" t="s">
        <v>1422</v>
      </c>
    </row>
    <row r="108" spans="1:6" ht="69.95" customHeight="1">
      <c r="A108" s="32" t="s">
        <v>91</v>
      </c>
      <c r="B108" s="32" t="s">
        <v>1423</v>
      </c>
      <c r="C108" s="32" t="s">
        <v>13</v>
      </c>
      <c r="D108" s="32" t="s">
        <v>1428</v>
      </c>
      <c r="E108" s="32" t="s">
        <v>539</v>
      </c>
      <c r="F108" s="32" t="s">
        <v>1422</v>
      </c>
    </row>
    <row r="109" spans="1:6" ht="69.95" customHeight="1">
      <c r="A109" s="32" t="s">
        <v>91</v>
      </c>
      <c r="B109" s="32" t="s">
        <v>1414</v>
      </c>
      <c r="C109" s="32" t="s">
        <v>40</v>
      </c>
      <c r="D109" s="32"/>
      <c r="E109" s="32" t="s">
        <v>1429</v>
      </c>
      <c r="F109" s="32" t="s">
        <v>1416</v>
      </c>
    </row>
    <row r="110" spans="1:6" ht="69.95" customHeight="1">
      <c r="A110" s="32" t="s">
        <v>91</v>
      </c>
      <c r="B110" s="32" t="s">
        <v>1417</v>
      </c>
      <c r="C110" s="32" t="s">
        <v>41</v>
      </c>
      <c r="D110" s="32"/>
      <c r="E110" s="32" t="s">
        <v>1418</v>
      </c>
      <c r="F110" s="32" t="s">
        <v>1416</v>
      </c>
    </row>
    <row r="111" spans="1:6" ht="69.95" customHeight="1">
      <c r="A111" s="32" t="s">
        <v>91</v>
      </c>
      <c r="B111" s="32" t="s">
        <v>1419</v>
      </c>
      <c r="C111" s="32" t="s">
        <v>43</v>
      </c>
      <c r="D111" s="32"/>
      <c r="E111" s="32" t="s">
        <v>1420</v>
      </c>
      <c r="F111" s="32" t="s">
        <v>1416</v>
      </c>
    </row>
    <row r="112" spans="1:6" ht="69.95" customHeight="1">
      <c r="A112" s="32" t="s">
        <v>92</v>
      </c>
      <c r="B112" s="32" t="s">
        <v>1430</v>
      </c>
      <c r="C112" s="32" t="s">
        <v>10</v>
      </c>
      <c r="D112" s="32" t="s">
        <v>615</v>
      </c>
      <c r="E112" s="32" t="s">
        <v>249</v>
      </c>
      <c r="F112" s="32" t="s">
        <v>1431</v>
      </c>
    </row>
    <row r="113" spans="1:6" ht="69.95" customHeight="1">
      <c r="A113" s="32" t="s">
        <v>92</v>
      </c>
      <c r="B113" s="32" t="s">
        <v>1421</v>
      </c>
      <c r="C113" s="32" t="s">
        <v>12</v>
      </c>
      <c r="D113" s="32" t="s">
        <v>1036</v>
      </c>
      <c r="E113" s="32" t="s">
        <v>541</v>
      </c>
      <c r="F113" s="32" t="s">
        <v>1422</v>
      </c>
    </row>
    <row r="114" spans="1:6" ht="69.95" customHeight="1">
      <c r="A114" s="32" t="s">
        <v>92</v>
      </c>
      <c r="B114" s="32" t="s">
        <v>1423</v>
      </c>
      <c r="C114" s="32" t="s">
        <v>13</v>
      </c>
      <c r="D114" s="32" t="s">
        <v>1432</v>
      </c>
      <c r="E114" s="32" t="s">
        <v>1219</v>
      </c>
      <c r="F114" s="32" t="s">
        <v>1422</v>
      </c>
    </row>
    <row r="115" spans="1:6" ht="69.95" customHeight="1">
      <c r="A115" s="32" t="s">
        <v>92</v>
      </c>
      <c r="B115" s="32" t="s">
        <v>1433</v>
      </c>
      <c r="C115" s="32" t="s">
        <v>23</v>
      </c>
      <c r="D115" s="32" t="s">
        <v>529</v>
      </c>
      <c r="E115" s="32" t="s">
        <v>1434</v>
      </c>
      <c r="F115" s="32" t="s">
        <v>1435</v>
      </c>
    </row>
    <row r="116" spans="1:6" ht="69.95" customHeight="1">
      <c r="A116" s="32" t="s">
        <v>92</v>
      </c>
      <c r="B116" s="32" t="s">
        <v>1436</v>
      </c>
      <c r="C116" s="32" t="s">
        <v>24</v>
      </c>
      <c r="D116" s="32"/>
      <c r="E116" s="32" t="s">
        <v>1437</v>
      </c>
      <c r="F116" s="32" t="s">
        <v>1438</v>
      </c>
    </row>
    <row r="117" spans="1:6" ht="69.95" customHeight="1">
      <c r="A117" s="32" t="s">
        <v>92</v>
      </c>
      <c r="B117" s="32" t="s">
        <v>1439</v>
      </c>
      <c r="C117" s="32" t="s">
        <v>34</v>
      </c>
      <c r="D117" s="32"/>
      <c r="E117" s="32" t="s">
        <v>1440</v>
      </c>
      <c r="F117" s="32" t="s">
        <v>1441</v>
      </c>
    </row>
    <row r="118" spans="1:6" ht="69.95" customHeight="1">
      <c r="A118" s="32" t="s">
        <v>92</v>
      </c>
      <c r="B118" s="32" t="s">
        <v>1414</v>
      </c>
      <c r="C118" s="32" t="s">
        <v>40</v>
      </c>
      <c r="D118" s="32"/>
      <c r="E118" s="32" t="s">
        <v>1442</v>
      </c>
      <c r="F118" s="32" t="s">
        <v>1443</v>
      </c>
    </row>
    <row r="119" spans="1:6" ht="69.95" customHeight="1">
      <c r="A119" s="32" t="s">
        <v>92</v>
      </c>
      <c r="B119" s="32" t="s">
        <v>1417</v>
      </c>
      <c r="C119" s="32" t="s">
        <v>41</v>
      </c>
      <c r="D119" s="32"/>
      <c r="E119" s="32" t="s">
        <v>1440</v>
      </c>
      <c r="F119" s="32" t="s">
        <v>1444</v>
      </c>
    </row>
    <row r="120" spans="1:6" ht="69.95" customHeight="1">
      <c r="A120" s="32" t="s">
        <v>92</v>
      </c>
      <c r="B120" s="32" t="s">
        <v>1445</v>
      </c>
      <c r="C120" s="32" t="s">
        <v>42</v>
      </c>
      <c r="D120" s="32"/>
      <c r="E120" s="32" t="s">
        <v>1446</v>
      </c>
      <c r="F120" s="32" t="s">
        <v>1447</v>
      </c>
    </row>
    <row r="121" spans="1:6" ht="69.95" customHeight="1">
      <c r="A121" s="32" t="s">
        <v>92</v>
      </c>
      <c r="B121" s="32" t="s">
        <v>1419</v>
      </c>
      <c r="C121" s="32" t="s">
        <v>43</v>
      </c>
      <c r="D121" s="32"/>
      <c r="E121" s="32" t="s">
        <v>1420</v>
      </c>
      <c r="F121" s="32" t="s">
        <v>1416</v>
      </c>
    </row>
    <row r="122" spans="1:6" ht="69.95" customHeight="1">
      <c r="A122" s="32" t="s">
        <v>93</v>
      </c>
      <c r="B122" s="32" t="s">
        <v>1421</v>
      </c>
      <c r="C122" s="32" t="s">
        <v>12</v>
      </c>
      <c r="D122" s="32" t="s">
        <v>1150</v>
      </c>
      <c r="E122" s="32" t="s">
        <v>92</v>
      </c>
      <c r="F122" s="32" t="s">
        <v>1422</v>
      </c>
    </row>
    <row r="123" spans="1:6" ht="69.95" customHeight="1">
      <c r="A123" s="32" t="s">
        <v>93</v>
      </c>
      <c r="B123" s="32" t="s">
        <v>1423</v>
      </c>
      <c r="C123" s="32" t="s">
        <v>13</v>
      </c>
      <c r="D123" s="32" t="s">
        <v>1448</v>
      </c>
      <c r="E123" s="32" t="s">
        <v>544</v>
      </c>
      <c r="F123" s="32" t="s">
        <v>1422</v>
      </c>
    </row>
    <row r="124" spans="1:6" ht="69.95" customHeight="1">
      <c r="A124" s="32" t="s">
        <v>93</v>
      </c>
      <c r="B124" s="32" t="s">
        <v>1414</v>
      </c>
      <c r="C124" s="32" t="s">
        <v>40</v>
      </c>
      <c r="D124" s="32"/>
      <c r="E124" s="32" t="s">
        <v>1429</v>
      </c>
      <c r="F124" s="32" t="s">
        <v>1416</v>
      </c>
    </row>
    <row r="125" spans="1:6" ht="69.95" customHeight="1">
      <c r="A125" s="32" t="s">
        <v>93</v>
      </c>
      <c r="B125" s="32" t="s">
        <v>1417</v>
      </c>
      <c r="C125" s="32" t="s">
        <v>41</v>
      </c>
      <c r="D125" s="32"/>
      <c r="E125" s="32" t="s">
        <v>1418</v>
      </c>
      <c r="F125" s="32" t="s">
        <v>1416</v>
      </c>
    </row>
    <row r="126" spans="1:6" ht="69.95" customHeight="1">
      <c r="A126" s="32" t="s">
        <v>93</v>
      </c>
      <c r="B126" s="32" t="s">
        <v>1419</v>
      </c>
      <c r="C126" s="32" t="s">
        <v>43</v>
      </c>
      <c r="D126" s="32"/>
      <c r="E126" s="32" t="s">
        <v>1420</v>
      </c>
      <c r="F126" s="32" t="s">
        <v>1416</v>
      </c>
    </row>
    <row r="127" spans="1:6" ht="69.95" customHeight="1">
      <c r="A127" s="32" t="s">
        <v>94</v>
      </c>
      <c r="B127" s="32" t="s">
        <v>1449</v>
      </c>
      <c r="C127" s="32" t="s">
        <v>7</v>
      </c>
      <c r="D127" s="32" t="s">
        <v>1068</v>
      </c>
      <c r="E127" s="32" t="s">
        <v>1450</v>
      </c>
      <c r="F127" s="32" t="s">
        <v>1451</v>
      </c>
    </row>
    <row r="128" spans="1:6" ht="69.95" customHeight="1">
      <c r="A128" s="32" t="s">
        <v>94</v>
      </c>
      <c r="B128" s="32" t="s">
        <v>1452</v>
      </c>
      <c r="C128" s="32" t="s">
        <v>8</v>
      </c>
      <c r="D128" s="32" t="s">
        <v>1071</v>
      </c>
      <c r="E128" s="32" t="s">
        <v>1453</v>
      </c>
      <c r="F128" s="32" t="s">
        <v>1454</v>
      </c>
    </row>
    <row r="129" spans="1:6" ht="69.95" customHeight="1">
      <c r="A129" s="32" t="s">
        <v>94</v>
      </c>
      <c r="B129" s="32" t="s">
        <v>1421</v>
      </c>
      <c r="C129" s="32" t="s">
        <v>12</v>
      </c>
      <c r="D129" s="32" t="s">
        <v>1047</v>
      </c>
      <c r="E129" s="32" t="s">
        <v>546</v>
      </c>
      <c r="F129" s="32" t="s">
        <v>1422</v>
      </c>
    </row>
    <row r="130" spans="1:6" ht="69.95" customHeight="1">
      <c r="A130" s="32" t="s">
        <v>94</v>
      </c>
      <c r="B130" s="32" t="s">
        <v>1423</v>
      </c>
      <c r="C130" s="32" t="s">
        <v>13</v>
      </c>
      <c r="D130" s="32" t="s">
        <v>1224</v>
      </c>
      <c r="E130" s="32" t="s">
        <v>539</v>
      </c>
      <c r="F130" s="32" t="s">
        <v>1422</v>
      </c>
    </row>
    <row r="131" spans="1:6" ht="69.95" customHeight="1">
      <c r="A131" s="32" t="s">
        <v>94</v>
      </c>
      <c r="B131" s="32" t="s">
        <v>1455</v>
      </c>
      <c r="C131" s="32" t="s">
        <v>28</v>
      </c>
      <c r="D131" s="32" t="s">
        <v>1137</v>
      </c>
      <c r="E131" s="32" t="s">
        <v>1456</v>
      </c>
      <c r="F131" s="32" t="s">
        <v>1457</v>
      </c>
    </row>
    <row r="132" spans="1:6" ht="69.95" customHeight="1">
      <c r="A132" s="32" t="s">
        <v>94</v>
      </c>
      <c r="B132" s="32" t="s">
        <v>1458</v>
      </c>
      <c r="C132" s="32" t="s">
        <v>35</v>
      </c>
      <c r="D132" s="32" t="s">
        <v>1459</v>
      </c>
      <c r="E132" s="32" t="s">
        <v>1460</v>
      </c>
      <c r="F132" s="32" t="s">
        <v>1416</v>
      </c>
    </row>
    <row r="133" spans="1:6" ht="69.95" customHeight="1">
      <c r="A133" s="32" t="s">
        <v>94</v>
      </c>
      <c r="B133" s="32" t="s">
        <v>1414</v>
      </c>
      <c r="C133" s="32" t="s">
        <v>40</v>
      </c>
      <c r="D133" s="32"/>
      <c r="E133" s="32" t="s">
        <v>1429</v>
      </c>
      <c r="F133" s="32" t="s">
        <v>1416</v>
      </c>
    </row>
    <row r="134" spans="1:6" ht="69.95" customHeight="1">
      <c r="A134" s="32" t="s">
        <v>94</v>
      </c>
      <c r="B134" s="32" t="s">
        <v>1417</v>
      </c>
      <c r="C134" s="32" t="s">
        <v>41</v>
      </c>
      <c r="D134" s="32"/>
      <c r="E134" s="32" t="s">
        <v>1418</v>
      </c>
      <c r="F134" s="32" t="s">
        <v>1416</v>
      </c>
    </row>
    <row r="135" spans="1:6" ht="69.95" customHeight="1">
      <c r="A135" s="32" t="s">
        <v>94</v>
      </c>
      <c r="B135" s="32" t="s">
        <v>1419</v>
      </c>
      <c r="C135" s="32" t="s">
        <v>43</v>
      </c>
      <c r="D135" s="32"/>
      <c r="E135" s="32" t="s">
        <v>1420</v>
      </c>
      <c r="F135" s="32" t="s">
        <v>1416</v>
      </c>
    </row>
    <row r="136" spans="1:6" ht="69.95" customHeight="1">
      <c r="A136" s="32" t="s">
        <v>95</v>
      </c>
      <c r="B136" s="32" t="s">
        <v>1421</v>
      </c>
      <c r="C136" s="32" t="s">
        <v>12</v>
      </c>
      <c r="D136" s="32" t="s">
        <v>1151</v>
      </c>
      <c r="E136" s="32" t="s">
        <v>548</v>
      </c>
      <c r="F136" s="32" t="s">
        <v>1422</v>
      </c>
    </row>
    <row r="137" spans="1:6" ht="69.95" customHeight="1">
      <c r="A137" s="32" t="s">
        <v>95</v>
      </c>
      <c r="B137" s="32" t="s">
        <v>1423</v>
      </c>
      <c r="C137" s="32" t="s">
        <v>13</v>
      </c>
      <c r="D137" s="32" t="s">
        <v>1225</v>
      </c>
      <c r="E137" s="32" t="s">
        <v>549</v>
      </c>
      <c r="F137" s="32" t="s">
        <v>1422</v>
      </c>
    </row>
    <row r="138" spans="1:6" ht="69.95" customHeight="1">
      <c r="A138" s="32" t="s">
        <v>95</v>
      </c>
      <c r="B138" s="32" t="s">
        <v>1414</v>
      </c>
      <c r="C138" s="32" t="s">
        <v>40</v>
      </c>
      <c r="D138" s="32"/>
      <c r="E138" s="32" t="s">
        <v>1429</v>
      </c>
      <c r="F138" s="32" t="s">
        <v>1416</v>
      </c>
    </row>
    <row r="139" spans="1:6" ht="69.95" customHeight="1">
      <c r="A139" s="32" t="s">
        <v>95</v>
      </c>
      <c r="B139" s="32" t="s">
        <v>1417</v>
      </c>
      <c r="C139" s="32" t="s">
        <v>41</v>
      </c>
      <c r="D139" s="32"/>
      <c r="E139" s="32" t="s">
        <v>1418</v>
      </c>
      <c r="F139" s="32" t="s">
        <v>1416</v>
      </c>
    </row>
    <row r="140" spans="1:6" ht="69.95" customHeight="1">
      <c r="A140" s="32" t="s">
        <v>95</v>
      </c>
      <c r="B140" s="32" t="s">
        <v>1419</v>
      </c>
      <c r="C140" s="32" t="s">
        <v>43</v>
      </c>
      <c r="D140" s="32"/>
      <c r="E140" s="32" t="s">
        <v>1420</v>
      </c>
      <c r="F140" s="32" t="s">
        <v>1416</v>
      </c>
    </row>
    <row r="141" spans="1:6" ht="69.95" customHeight="1">
      <c r="A141" s="32" t="s">
        <v>96</v>
      </c>
      <c r="B141" s="32" t="s">
        <v>1421</v>
      </c>
      <c r="C141" s="32" t="s">
        <v>12</v>
      </c>
      <c r="D141" s="32" t="s">
        <v>1057</v>
      </c>
      <c r="E141" s="32" t="s">
        <v>551</v>
      </c>
      <c r="F141" s="32" t="s">
        <v>1422</v>
      </c>
    </row>
    <row r="142" spans="1:6" ht="69.95" customHeight="1">
      <c r="A142" s="32" t="s">
        <v>96</v>
      </c>
      <c r="B142" s="32" t="s">
        <v>1423</v>
      </c>
      <c r="C142" s="32" t="s">
        <v>13</v>
      </c>
      <c r="D142" s="32" t="s">
        <v>237</v>
      </c>
      <c r="E142" s="32" t="s">
        <v>539</v>
      </c>
      <c r="F142" s="32" t="s">
        <v>1422</v>
      </c>
    </row>
    <row r="143" spans="1:6" ht="69.95" customHeight="1">
      <c r="A143" s="32" t="s">
        <v>96</v>
      </c>
      <c r="B143" s="32" t="s">
        <v>1414</v>
      </c>
      <c r="C143" s="32" t="s">
        <v>40</v>
      </c>
      <c r="D143" s="32"/>
      <c r="E143" s="32" t="s">
        <v>1429</v>
      </c>
      <c r="F143" s="32" t="s">
        <v>1416</v>
      </c>
    </row>
    <row r="144" spans="1:6" ht="69.95" customHeight="1">
      <c r="A144" s="32" t="s">
        <v>96</v>
      </c>
      <c r="B144" s="32" t="s">
        <v>1417</v>
      </c>
      <c r="C144" s="32" t="s">
        <v>41</v>
      </c>
      <c r="D144" s="32"/>
      <c r="E144" s="32" t="s">
        <v>1418</v>
      </c>
      <c r="F144" s="32" t="s">
        <v>1416</v>
      </c>
    </row>
    <row r="145" spans="1:6" ht="69.95" customHeight="1">
      <c r="A145" s="32" t="s">
        <v>96</v>
      </c>
      <c r="B145" s="32" t="s">
        <v>1419</v>
      </c>
      <c r="C145" s="32" t="s">
        <v>43</v>
      </c>
      <c r="D145" s="32"/>
      <c r="E145" s="32" t="s">
        <v>1420</v>
      </c>
      <c r="F145" s="32" t="s">
        <v>1416</v>
      </c>
    </row>
    <row r="146" spans="1:6" ht="69.95" customHeight="1">
      <c r="A146" s="32" t="s">
        <v>97</v>
      </c>
      <c r="B146" s="32" t="s">
        <v>1421</v>
      </c>
      <c r="C146" s="32" t="s">
        <v>12</v>
      </c>
      <c r="D146" s="32" t="s">
        <v>71</v>
      </c>
      <c r="E146" s="32" t="s">
        <v>1148</v>
      </c>
      <c r="F146" s="32" t="s">
        <v>1422</v>
      </c>
    </row>
    <row r="147" spans="1:6" ht="69.95" customHeight="1">
      <c r="A147" s="32" t="s">
        <v>97</v>
      </c>
      <c r="B147" s="32" t="s">
        <v>1423</v>
      </c>
      <c r="C147" s="32" t="s">
        <v>13</v>
      </c>
      <c r="D147" s="32" t="s">
        <v>1461</v>
      </c>
      <c r="E147" s="32" t="s">
        <v>1428</v>
      </c>
      <c r="F147" s="32" t="s">
        <v>1422</v>
      </c>
    </row>
    <row r="148" spans="1:6" ht="69.95" customHeight="1">
      <c r="A148" s="32" t="s">
        <v>97</v>
      </c>
      <c r="B148" s="32" t="s">
        <v>1414</v>
      </c>
      <c r="C148" s="32" t="s">
        <v>40</v>
      </c>
      <c r="D148" s="32"/>
      <c r="E148" s="32" t="s">
        <v>1429</v>
      </c>
      <c r="F148" s="32" t="s">
        <v>1416</v>
      </c>
    </row>
    <row r="149" spans="1:6" ht="69.95" customHeight="1">
      <c r="A149" s="32" t="s">
        <v>97</v>
      </c>
      <c r="B149" s="32" t="s">
        <v>1417</v>
      </c>
      <c r="C149" s="32" t="s">
        <v>41</v>
      </c>
      <c r="D149" s="32"/>
      <c r="E149" s="32" t="s">
        <v>1418</v>
      </c>
      <c r="F149" s="32" t="s">
        <v>1416</v>
      </c>
    </row>
    <row r="150" spans="1:6" ht="69.95" customHeight="1">
      <c r="A150" s="32" t="s">
        <v>97</v>
      </c>
      <c r="B150" s="32" t="s">
        <v>1419</v>
      </c>
      <c r="C150" s="32" t="s">
        <v>43</v>
      </c>
      <c r="D150" s="32"/>
      <c r="E150" s="32" t="s">
        <v>1420</v>
      </c>
      <c r="F150" s="32" t="s">
        <v>1416</v>
      </c>
    </row>
    <row r="151" spans="1:6" ht="69.95" customHeight="1">
      <c r="A151" s="32" t="s">
        <v>98</v>
      </c>
      <c r="B151" s="32" t="s">
        <v>1462</v>
      </c>
      <c r="C151" s="32" t="s">
        <v>9</v>
      </c>
      <c r="D151" s="32">
        <v>16</v>
      </c>
      <c r="E151" s="32"/>
      <c r="F151" s="32" t="s">
        <v>1463</v>
      </c>
    </row>
    <row r="152" spans="1:6" ht="69.95" customHeight="1">
      <c r="A152" s="32" t="s">
        <v>98</v>
      </c>
      <c r="B152" s="32" t="s">
        <v>1421</v>
      </c>
      <c r="C152" s="32" t="s">
        <v>12</v>
      </c>
      <c r="D152" s="32" t="s">
        <v>573</v>
      </c>
      <c r="E152" s="32" t="s">
        <v>1036</v>
      </c>
      <c r="F152" s="32" t="s">
        <v>1422</v>
      </c>
    </row>
    <row r="153" spans="1:6" ht="69.95" customHeight="1">
      <c r="A153" s="32" t="s">
        <v>98</v>
      </c>
      <c r="B153" s="32" t="s">
        <v>1423</v>
      </c>
      <c r="C153" s="32" t="s">
        <v>13</v>
      </c>
      <c r="D153" s="32" t="s">
        <v>1464</v>
      </c>
      <c r="E153" s="32" t="s">
        <v>1432</v>
      </c>
      <c r="F153" s="32" t="s">
        <v>1422</v>
      </c>
    </row>
    <row r="154" spans="1:6" ht="69.95" customHeight="1">
      <c r="A154" s="32" t="s">
        <v>98</v>
      </c>
      <c r="B154" s="32" t="s">
        <v>1465</v>
      </c>
      <c r="C154" s="32" t="s">
        <v>17</v>
      </c>
      <c r="D154" s="32">
        <v>1.7999999999999998</v>
      </c>
      <c r="E154" s="32"/>
      <c r="F154" s="32" t="s">
        <v>1466</v>
      </c>
    </row>
    <row r="155" spans="1:6" ht="69.95" customHeight="1">
      <c r="A155" s="32" t="s">
        <v>98</v>
      </c>
      <c r="B155" s="32" t="s">
        <v>1458</v>
      </c>
      <c r="C155" s="32" t="s">
        <v>35</v>
      </c>
      <c r="D155" s="32" t="s">
        <v>1459</v>
      </c>
      <c r="E155" s="32" t="s">
        <v>1467</v>
      </c>
      <c r="F155" s="32" t="s">
        <v>1468</v>
      </c>
    </row>
    <row r="156" spans="1:6" ht="69.95" customHeight="1">
      <c r="A156" s="32" t="s">
        <v>98</v>
      </c>
      <c r="B156" s="32" t="s">
        <v>1469</v>
      </c>
      <c r="C156" s="32" t="s">
        <v>1470</v>
      </c>
      <c r="D156" s="32">
        <v>1</v>
      </c>
      <c r="E156" s="32">
        <v>0</v>
      </c>
      <c r="F156" s="32" t="s">
        <v>1416</v>
      </c>
    </row>
    <row r="157" spans="1:6" ht="69.95" customHeight="1">
      <c r="A157" s="32" t="s">
        <v>98</v>
      </c>
      <c r="B157" s="32" t="s">
        <v>1414</v>
      </c>
      <c r="C157" s="32" t="s">
        <v>40</v>
      </c>
      <c r="D157" s="32"/>
      <c r="E157" s="32" t="s">
        <v>1471</v>
      </c>
      <c r="F157" s="32" t="s">
        <v>1416</v>
      </c>
    </row>
    <row r="158" spans="1:6" ht="69.95" customHeight="1">
      <c r="A158" s="32" t="s">
        <v>98</v>
      </c>
      <c r="B158" s="32" t="s">
        <v>1417</v>
      </c>
      <c r="C158" s="32" t="s">
        <v>41</v>
      </c>
      <c r="D158" s="32"/>
      <c r="E158" s="32" t="s">
        <v>1418</v>
      </c>
      <c r="F158" s="32" t="s">
        <v>1416</v>
      </c>
    </row>
    <row r="159" spans="1:6" ht="69.95" customHeight="1">
      <c r="A159" s="32" t="s">
        <v>98</v>
      </c>
      <c r="B159" s="32" t="s">
        <v>1419</v>
      </c>
      <c r="C159" s="32" t="s">
        <v>43</v>
      </c>
      <c r="D159" s="32"/>
      <c r="E159" s="32" t="s">
        <v>1472</v>
      </c>
      <c r="F159" s="32" t="s">
        <v>1416</v>
      </c>
    </row>
    <row r="160" spans="1:6" ht="69.95" customHeight="1">
      <c r="A160" s="32" t="s">
        <v>99</v>
      </c>
      <c r="B160" s="32" t="s">
        <v>1421</v>
      </c>
      <c r="C160" s="32" t="s">
        <v>12</v>
      </c>
      <c r="D160" s="32" t="s">
        <v>576</v>
      </c>
      <c r="E160" s="32" t="s">
        <v>1150</v>
      </c>
      <c r="F160" s="32" t="s">
        <v>1422</v>
      </c>
    </row>
    <row r="161" spans="1:6" ht="69.95" customHeight="1">
      <c r="A161" s="32" t="s">
        <v>99</v>
      </c>
      <c r="B161" s="32" t="s">
        <v>1423</v>
      </c>
      <c r="C161" s="32" t="s">
        <v>13</v>
      </c>
      <c r="D161" s="32" t="s">
        <v>577</v>
      </c>
      <c r="E161" s="32" t="s">
        <v>1448</v>
      </c>
      <c r="F161" s="32" t="s">
        <v>1422</v>
      </c>
    </row>
    <row r="162" spans="1:6" ht="69.95" customHeight="1">
      <c r="A162" s="32" t="s">
        <v>99</v>
      </c>
      <c r="B162" s="32" t="s">
        <v>1414</v>
      </c>
      <c r="C162" s="32" t="s">
        <v>40</v>
      </c>
      <c r="D162" s="32"/>
      <c r="E162" s="32" t="s">
        <v>1429</v>
      </c>
      <c r="F162" s="32" t="s">
        <v>1416</v>
      </c>
    </row>
    <row r="163" spans="1:6" ht="69.95" customHeight="1">
      <c r="A163" s="32" t="s">
        <v>99</v>
      </c>
      <c r="B163" s="32" t="s">
        <v>1417</v>
      </c>
      <c r="C163" s="32" t="s">
        <v>41</v>
      </c>
      <c r="D163" s="32"/>
      <c r="E163" s="32" t="s">
        <v>1418</v>
      </c>
      <c r="F163" s="32" t="s">
        <v>1416</v>
      </c>
    </row>
    <row r="164" spans="1:6" ht="69.95" customHeight="1">
      <c r="A164" s="32" t="s">
        <v>99</v>
      </c>
      <c r="B164" s="32" t="s">
        <v>1419</v>
      </c>
      <c r="C164" s="32" t="s">
        <v>43</v>
      </c>
      <c r="D164" s="32"/>
      <c r="E164" s="32" t="s">
        <v>1420</v>
      </c>
      <c r="F164" s="32" t="s">
        <v>1416</v>
      </c>
    </row>
    <row r="165" spans="1:6" ht="69.95" customHeight="1">
      <c r="A165" s="32" t="s">
        <v>100</v>
      </c>
      <c r="B165" s="32" t="s">
        <v>1462</v>
      </c>
      <c r="C165" s="32" t="s">
        <v>9</v>
      </c>
      <c r="D165" s="32">
        <v>8</v>
      </c>
      <c r="E165" s="32"/>
      <c r="F165" s="32" t="s">
        <v>1463</v>
      </c>
    </row>
    <row r="166" spans="1:6" ht="69.95" customHeight="1">
      <c r="A166" s="32" t="s">
        <v>100</v>
      </c>
      <c r="B166" s="32" t="s">
        <v>1421</v>
      </c>
      <c r="C166" s="32" t="s">
        <v>12</v>
      </c>
      <c r="D166" s="32" t="s">
        <v>102</v>
      </c>
      <c r="E166" s="32" t="s">
        <v>1047</v>
      </c>
      <c r="F166" s="32" t="s">
        <v>1422</v>
      </c>
    </row>
    <row r="167" spans="1:6" ht="69.95" customHeight="1">
      <c r="A167" s="32" t="s">
        <v>100</v>
      </c>
      <c r="B167" s="32" t="s">
        <v>1423</v>
      </c>
      <c r="C167" s="32" t="s">
        <v>13</v>
      </c>
      <c r="D167" s="32" t="s">
        <v>579</v>
      </c>
      <c r="E167" s="32" t="s">
        <v>1224</v>
      </c>
      <c r="F167" s="32" t="s">
        <v>1422</v>
      </c>
    </row>
    <row r="168" spans="1:6" ht="69.95" customHeight="1">
      <c r="A168" s="32" t="s">
        <v>100</v>
      </c>
      <c r="B168" s="32" t="s">
        <v>1465</v>
      </c>
      <c r="C168" s="32" t="s">
        <v>17</v>
      </c>
      <c r="D168" s="32">
        <v>1.2000000000000002</v>
      </c>
      <c r="E168" s="32"/>
      <c r="F168" s="32" t="s">
        <v>1466</v>
      </c>
    </row>
    <row r="169" spans="1:6" ht="69.95" customHeight="1">
      <c r="A169" s="32" t="s">
        <v>100</v>
      </c>
      <c r="B169" s="32" t="s">
        <v>1458</v>
      </c>
      <c r="C169" s="32" t="s">
        <v>35</v>
      </c>
      <c r="D169" s="32" t="s">
        <v>1459</v>
      </c>
      <c r="E169" s="32" t="s">
        <v>1467</v>
      </c>
      <c r="F169" s="32" t="s">
        <v>1468</v>
      </c>
    </row>
    <row r="170" spans="1:6" ht="69.95" customHeight="1">
      <c r="A170" s="32" t="s">
        <v>100</v>
      </c>
      <c r="B170" s="32" t="s">
        <v>1469</v>
      </c>
      <c r="C170" s="32" t="s">
        <v>1470</v>
      </c>
      <c r="D170" s="32">
        <v>1</v>
      </c>
      <c r="E170" s="32">
        <v>0</v>
      </c>
      <c r="F170" s="32" t="s">
        <v>1416</v>
      </c>
    </row>
    <row r="171" spans="1:6" ht="69.95" customHeight="1">
      <c r="A171" s="32" t="s">
        <v>100</v>
      </c>
      <c r="B171" s="32" t="s">
        <v>1414</v>
      </c>
      <c r="C171" s="32" t="s">
        <v>40</v>
      </c>
      <c r="D171" s="32"/>
      <c r="E171" s="32" t="s">
        <v>1429</v>
      </c>
      <c r="F171" s="32" t="s">
        <v>1416</v>
      </c>
    </row>
    <row r="172" spans="1:6" ht="69.95" customHeight="1">
      <c r="A172" s="32" t="s">
        <v>100</v>
      </c>
      <c r="B172" s="32" t="s">
        <v>1417</v>
      </c>
      <c r="C172" s="32" t="s">
        <v>41</v>
      </c>
      <c r="D172" s="32"/>
      <c r="E172" s="32" t="s">
        <v>1418</v>
      </c>
      <c r="F172" s="32" t="s">
        <v>1416</v>
      </c>
    </row>
    <row r="173" spans="1:6" ht="69.95" customHeight="1">
      <c r="A173" s="32" t="s">
        <v>100</v>
      </c>
      <c r="B173" s="32" t="s">
        <v>1419</v>
      </c>
      <c r="C173" s="32" t="s">
        <v>43</v>
      </c>
      <c r="D173" s="32"/>
      <c r="E173" s="32" t="s">
        <v>1472</v>
      </c>
      <c r="F173" s="32" t="s">
        <v>1416</v>
      </c>
    </row>
    <row r="174" spans="1:6" ht="69.95" customHeight="1">
      <c r="A174" s="32" t="s">
        <v>101</v>
      </c>
      <c r="B174" s="32" t="s">
        <v>1421</v>
      </c>
      <c r="C174" s="32" t="s">
        <v>12</v>
      </c>
      <c r="D174" s="32" t="s">
        <v>105</v>
      </c>
      <c r="E174" s="32" t="s">
        <v>1151</v>
      </c>
      <c r="F174" s="32" t="s">
        <v>1422</v>
      </c>
    </row>
    <row r="175" spans="1:6" ht="69.95" customHeight="1">
      <c r="A175" s="32" t="s">
        <v>101</v>
      </c>
      <c r="B175" s="32" t="s">
        <v>1423</v>
      </c>
      <c r="C175" s="32" t="s">
        <v>13</v>
      </c>
      <c r="D175" s="32" t="s">
        <v>582</v>
      </c>
      <c r="E175" s="32" t="s">
        <v>1225</v>
      </c>
      <c r="F175" s="32" t="s">
        <v>1422</v>
      </c>
    </row>
    <row r="176" spans="1:6" ht="69.95" customHeight="1">
      <c r="A176" s="32" t="s">
        <v>101</v>
      </c>
      <c r="B176" s="32" t="s">
        <v>1414</v>
      </c>
      <c r="C176" s="32" t="s">
        <v>40</v>
      </c>
      <c r="D176" s="32"/>
      <c r="E176" s="32" t="s">
        <v>1429</v>
      </c>
      <c r="F176" s="32" t="s">
        <v>1416</v>
      </c>
    </row>
    <row r="177" spans="1:6" ht="69.95" customHeight="1">
      <c r="A177" s="32" t="s">
        <v>101</v>
      </c>
      <c r="B177" s="32" t="s">
        <v>1417</v>
      </c>
      <c r="C177" s="32" t="s">
        <v>41</v>
      </c>
      <c r="D177" s="32"/>
      <c r="E177" s="32" t="s">
        <v>1418</v>
      </c>
      <c r="F177" s="32" t="s">
        <v>1416</v>
      </c>
    </row>
    <row r="178" spans="1:6" ht="69.95" customHeight="1">
      <c r="A178" s="32" t="s">
        <v>101</v>
      </c>
      <c r="B178" s="32" t="s">
        <v>1419</v>
      </c>
      <c r="C178" s="32" t="s">
        <v>43</v>
      </c>
      <c r="D178" s="32"/>
      <c r="E178" s="32" t="s">
        <v>1420</v>
      </c>
      <c r="F178" s="32" t="s">
        <v>1416</v>
      </c>
    </row>
    <row r="179" spans="1:6" ht="69.95" customHeight="1">
      <c r="A179" s="32" t="s">
        <v>102</v>
      </c>
      <c r="B179" s="32" t="s">
        <v>1421</v>
      </c>
      <c r="C179" s="32" t="s">
        <v>12</v>
      </c>
      <c r="D179" s="32" t="s">
        <v>584</v>
      </c>
      <c r="E179" s="32" t="s">
        <v>71</v>
      </c>
      <c r="F179" s="32" t="s">
        <v>1422</v>
      </c>
    </row>
    <row r="180" spans="1:6" ht="69.95" customHeight="1">
      <c r="A180" s="32" t="s">
        <v>102</v>
      </c>
      <c r="B180" s="32" t="s">
        <v>1423</v>
      </c>
      <c r="C180" s="32" t="s">
        <v>13</v>
      </c>
      <c r="D180" s="32" t="s">
        <v>1230</v>
      </c>
      <c r="E180" s="32" t="s">
        <v>1461</v>
      </c>
      <c r="F180" s="32" t="s">
        <v>1422</v>
      </c>
    </row>
    <row r="181" spans="1:6" ht="69.95" customHeight="1">
      <c r="A181" s="32" t="s">
        <v>102</v>
      </c>
      <c r="B181" s="32" t="s">
        <v>1414</v>
      </c>
      <c r="C181" s="32" t="s">
        <v>40</v>
      </c>
      <c r="D181" s="32"/>
      <c r="E181" s="32" t="s">
        <v>1415</v>
      </c>
      <c r="F181" s="32" t="s">
        <v>1416</v>
      </c>
    </row>
    <row r="182" spans="1:6" ht="69.95" customHeight="1">
      <c r="A182" s="32" t="s">
        <v>102</v>
      </c>
      <c r="B182" s="32" t="s">
        <v>1417</v>
      </c>
      <c r="C182" s="32" t="s">
        <v>41</v>
      </c>
      <c r="D182" s="32"/>
      <c r="E182" s="32" t="s">
        <v>1418</v>
      </c>
      <c r="F182" s="32" t="s">
        <v>1416</v>
      </c>
    </row>
    <row r="183" spans="1:6" ht="69.95" customHeight="1">
      <c r="A183" s="32" t="s">
        <v>102</v>
      </c>
      <c r="B183" s="32" t="s">
        <v>1419</v>
      </c>
      <c r="C183" s="32" t="s">
        <v>43</v>
      </c>
      <c r="D183" s="32"/>
      <c r="E183" s="32" t="s">
        <v>1420</v>
      </c>
      <c r="F183" s="32" t="s">
        <v>1416</v>
      </c>
    </row>
    <row r="184" spans="1:6" ht="69.95" customHeight="1">
      <c r="A184" s="32" t="s">
        <v>103</v>
      </c>
      <c r="B184" s="32" t="s">
        <v>1421</v>
      </c>
      <c r="C184" s="32" t="s">
        <v>12</v>
      </c>
      <c r="D184" s="32" t="s">
        <v>586</v>
      </c>
      <c r="E184" s="32" t="s">
        <v>573</v>
      </c>
      <c r="F184" s="32" t="s">
        <v>1422</v>
      </c>
    </row>
    <row r="185" spans="1:6" ht="69.95" customHeight="1">
      <c r="A185" s="32" t="s">
        <v>103</v>
      </c>
      <c r="B185" s="32" t="s">
        <v>1423</v>
      </c>
      <c r="C185" s="32" t="s">
        <v>13</v>
      </c>
      <c r="D185" s="32" t="s">
        <v>122</v>
      </c>
      <c r="E185" s="32" t="s">
        <v>1464</v>
      </c>
      <c r="F185" s="32" t="s">
        <v>1422</v>
      </c>
    </row>
    <row r="186" spans="1:6" ht="69.95" customHeight="1">
      <c r="A186" s="32" t="s">
        <v>103</v>
      </c>
      <c r="B186" s="32" t="s">
        <v>1414</v>
      </c>
      <c r="C186" s="32" t="s">
        <v>40</v>
      </c>
      <c r="D186" s="32"/>
      <c r="E186" s="32" t="s">
        <v>1429</v>
      </c>
      <c r="F186" s="32" t="s">
        <v>1416</v>
      </c>
    </row>
    <row r="187" spans="1:6" ht="69.95" customHeight="1">
      <c r="A187" s="32" t="s">
        <v>103</v>
      </c>
      <c r="B187" s="32" t="s">
        <v>1417</v>
      </c>
      <c r="C187" s="32" t="s">
        <v>41</v>
      </c>
      <c r="D187" s="32"/>
      <c r="E187" s="32" t="s">
        <v>1418</v>
      </c>
      <c r="F187" s="32" t="s">
        <v>1416</v>
      </c>
    </row>
    <row r="188" spans="1:6" ht="69.95" customHeight="1">
      <c r="A188" s="32" t="s">
        <v>103</v>
      </c>
      <c r="B188" s="32" t="s">
        <v>1419</v>
      </c>
      <c r="C188" s="32" t="s">
        <v>43</v>
      </c>
      <c r="D188" s="32"/>
      <c r="E188" s="32" t="s">
        <v>1420</v>
      </c>
      <c r="F188" s="32" t="s">
        <v>1416</v>
      </c>
    </row>
    <row r="189" spans="1:6" ht="69.95" customHeight="1">
      <c r="A189" s="32" t="s">
        <v>104</v>
      </c>
      <c r="B189" s="32" t="s">
        <v>1421</v>
      </c>
      <c r="C189" s="32" t="s">
        <v>12</v>
      </c>
      <c r="D189" s="32" t="s">
        <v>588</v>
      </c>
      <c r="E189" s="32" t="s">
        <v>576</v>
      </c>
      <c r="F189" s="32" t="s">
        <v>1422</v>
      </c>
    </row>
    <row r="190" spans="1:6" ht="69.95" customHeight="1">
      <c r="A190" s="32" t="s">
        <v>104</v>
      </c>
      <c r="B190" s="32" t="s">
        <v>1423</v>
      </c>
      <c r="C190" s="32" t="s">
        <v>13</v>
      </c>
      <c r="D190" s="32" t="s">
        <v>589</v>
      </c>
      <c r="E190" s="32" t="s">
        <v>577</v>
      </c>
      <c r="F190" s="32" t="s">
        <v>1422</v>
      </c>
    </row>
    <row r="191" spans="1:6" ht="69.95" customHeight="1">
      <c r="A191" s="32" t="s">
        <v>104</v>
      </c>
      <c r="B191" s="32" t="s">
        <v>1414</v>
      </c>
      <c r="C191" s="32" t="s">
        <v>40</v>
      </c>
      <c r="D191" s="32"/>
      <c r="E191" s="32" t="s">
        <v>1415</v>
      </c>
      <c r="F191" s="32" t="s">
        <v>1416</v>
      </c>
    </row>
    <row r="192" spans="1:6" ht="69.95" customHeight="1">
      <c r="A192" s="32" t="s">
        <v>104</v>
      </c>
      <c r="B192" s="32" t="s">
        <v>1417</v>
      </c>
      <c r="C192" s="32" t="s">
        <v>41</v>
      </c>
      <c r="D192" s="32"/>
      <c r="E192" s="32" t="s">
        <v>1418</v>
      </c>
      <c r="F192" s="32" t="s">
        <v>1416</v>
      </c>
    </row>
    <row r="193" spans="1:6" ht="69.95" customHeight="1">
      <c r="A193" s="32" t="s">
        <v>104</v>
      </c>
      <c r="B193" s="32" t="s">
        <v>1419</v>
      </c>
      <c r="C193" s="32" t="s">
        <v>43</v>
      </c>
      <c r="D193" s="32"/>
      <c r="E193" s="32" t="s">
        <v>1420</v>
      </c>
      <c r="F193" s="32" t="s">
        <v>1416</v>
      </c>
    </row>
    <row r="194" spans="1:6" ht="69.95" customHeight="1">
      <c r="A194" s="32" t="s">
        <v>105</v>
      </c>
      <c r="B194" s="32" t="s">
        <v>1421</v>
      </c>
      <c r="C194" s="32" t="s">
        <v>12</v>
      </c>
      <c r="D194" s="32" t="s">
        <v>591</v>
      </c>
      <c r="E194" s="32" t="s">
        <v>102</v>
      </c>
      <c r="F194" s="32" t="s">
        <v>1422</v>
      </c>
    </row>
    <row r="195" spans="1:6" ht="69.95" customHeight="1">
      <c r="A195" s="32" t="s">
        <v>105</v>
      </c>
      <c r="B195" s="32" t="s">
        <v>1423</v>
      </c>
      <c r="C195" s="32" t="s">
        <v>13</v>
      </c>
      <c r="D195" s="32" t="s">
        <v>1473</v>
      </c>
      <c r="E195" s="32" t="s">
        <v>579</v>
      </c>
      <c r="F195" s="32" t="s">
        <v>1422</v>
      </c>
    </row>
    <row r="196" spans="1:6" ht="69.95" customHeight="1">
      <c r="A196" s="32" t="s">
        <v>105</v>
      </c>
      <c r="B196" s="32" t="s">
        <v>1414</v>
      </c>
      <c r="C196" s="32" t="s">
        <v>40</v>
      </c>
      <c r="D196" s="32"/>
      <c r="E196" s="32" t="s">
        <v>1429</v>
      </c>
      <c r="F196" s="32" t="s">
        <v>1416</v>
      </c>
    </row>
    <row r="197" spans="1:6" ht="69.95" customHeight="1">
      <c r="A197" s="32" t="s">
        <v>105</v>
      </c>
      <c r="B197" s="32" t="s">
        <v>1417</v>
      </c>
      <c r="C197" s="32" t="s">
        <v>41</v>
      </c>
      <c r="D197" s="32"/>
      <c r="E197" s="32" t="s">
        <v>1418</v>
      </c>
      <c r="F197" s="32" t="s">
        <v>1416</v>
      </c>
    </row>
    <row r="198" spans="1:6" ht="69.95" customHeight="1">
      <c r="A198" s="32" t="s">
        <v>105</v>
      </c>
      <c r="B198" s="32" t="s">
        <v>1419</v>
      </c>
      <c r="C198" s="32" t="s">
        <v>43</v>
      </c>
      <c r="D198" s="32"/>
      <c r="E198" s="32" t="s">
        <v>1420</v>
      </c>
      <c r="F198" s="32" t="s">
        <v>1416</v>
      </c>
    </row>
    <row r="199" spans="1:6" ht="69.95" customHeight="1">
      <c r="A199" s="32" t="s">
        <v>106</v>
      </c>
      <c r="B199" s="32" t="s">
        <v>1421</v>
      </c>
      <c r="C199" s="32" t="s">
        <v>12</v>
      </c>
      <c r="D199" s="32" t="s">
        <v>595</v>
      </c>
      <c r="E199" s="32" t="s">
        <v>105</v>
      </c>
      <c r="F199" s="32" t="s">
        <v>1422</v>
      </c>
    </row>
    <row r="200" spans="1:6" ht="69.95" customHeight="1">
      <c r="A200" s="32" t="s">
        <v>106</v>
      </c>
      <c r="B200" s="32" t="s">
        <v>1423</v>
      </c>
      <c r="C200" s="32" t="s">
        <v>13</v>
      </c>
      <c r="D200" s="32" t="s">
        <v>1474</v>
      </c>
      <c r="E200" s="32" t="s">
        <v>582</v>
      </c>
      <c r="F200" s="32" t="s">
        <v>1422</v>
      </c>
    </row>
    <row r="201" spans="1:6" ht="69.95" customHeight="1">
      <c r="A201" s="32" t="s">
        <v>106</v>
      </c>
      <c r="B201" s="32" t="s">
        <v>1414</v>
      </c>
      <c r="C201" s="32" t="s">
        <v>40</v>
      </c>
      <c r="D201" s="32"/>
      <c r="E201" s="32" t="s">
        <v>1429</v>
      </c>
      <c r="F201" s="32" t="s">
        <v>1416</v>
      </c>
    </row>
    <row r="202" spans="1:6" ht="69.95" customHeight="1">
      <c r="A202" s="32" t="s">
        <v>106</v>
      </c>
      <c r="B202" s="32" t="s">
        <v>1417</v>
      </c>
      <c r="C202" s="32" t="s">
        <v>41</v>
      </c>
      <c r="D202" s="32"/>
      <c r="E202" s="32" t="s">
        <v>1418</v>
      </c>
      <c r="F202" s="32" t="s">
        <v>1416</v>
      </c>
    </row>
    <row r="203" spans="1:6" ht="69.95" customHeight="1">
      <c r="A203" s="32" t="s">
        <v>106</v>
      </c>
      <c r="B203" s="32" t="s">
        <v>1419</v>
      </c>
      <c r="C203" s="32" t="s">
        <v>43</v>
      </c>
      <c r="D203" s="32"/>
      <c r="E203" s="32" t="s">
        <v>1420</v>
      </c>
      <c r="F203" s="32" t="s">
        <v>1416</v>
      </c>
    </row>
    <row r="204" spans="1:6" ht="69.95" customHeight="1">
      <c r="A204" s="32" t="s">
        <v>107</v>
      </c>
      <c r="B204" s="32" t="s">
        <v>1421</v>
      </c>
      <c r="C204" s="32" t="s">
        <v>12</v>
      </c>
      <c r="D204" s="32" t="s">
        <v>599</v>
      </c>
      <c r="E204" s="32" t="s">
        <v>584</v>
      </c>
      <c r="F204" s="32" t="s">
        <v>1422</v>
      </c>
    </row>
    <row r="205" spans="1:6" ht="69.95" customHeight="1">
      <c r="A205" s="32" t="s">
        <v>107</v>
      </c>
      <c r="B205" s="32" t="s">
        <v>1423</v>
      </c>
      <c r="C205" s="32" t="s">
        <v>13</v>
      </c>
      <c r="D205" s="32" t="s">
        <v>1236</v>
      </c>
      <c r="E205" s="32" t="s">
        <v>1230</v>
      </c>
      <c r="F205" s="32" t="s">
        <v>1422</v>
      </c>
    </row>
    <row r="206" spans="1:6" ht="69.95" customHeight="1">
      <c r="A206" s="32" t="s">
        <v>107</v>
      </c>
      <c r="B206" s="32" t="s">
        <v>1414</v>
      </c>
      <c r="C206" s="32" t="s">
        <v>40</v>
      </c>
      <c r="D206" s="32"/>
      <c r="E206" s="32" t="s">
        <v>1429</v>
      </c>
      <c r="F206" s="32" t="s">
        <v>1416</v>
      </c>
    </row>
    <row r="207" spans="1:6" ht="69.95" customHeight="1">
      <c r="A207" s="32" t="s">
        <v>107</v>
      </c>
      <c r="B207" s="32" t="s">
        <v>1417</v>
      </c>
      <c r="C207" s="32" t="s">
        <v>41</v>
      </c>
      <c r="D207" s="32"/>
      <c r="E207" s="32" t="s">
        <v>1418</v>
      </c>
      <c r="F207" s="32" t="s">
        <v>1416</v>
      </c>
    </row>
    <row r="208" spans="1:6" ht="69.95" customHeight="1">
      <c r="A208" s="32" t="s">
        <v>107</v>
      </c>
      <c r="B208" s="32" t="s">
        <v>1419</v>
      </c>
      <c r="C208" s="32" t="s">
        <v>43</v>
      </c>
      <c r="D208" s="32"/>
      <c r="E208" s="32" t="s">
        <v>1420</v>
      </c>
      <c r="F208" s="32" t="s">
        <v>1416</v>
      </c>
    </row>
    <row r="209" spans="1:6" ht="69.95" customHeight="1">
      <c r="A209" s="32" t="s">
        <v>108</v>
      </c>
      <c r="B209" s="32" t="s">
        <v>1421</v>
      </c>
      <c r="C209" s="32" t="s">
        <v>12</v>
      </c>
      <c r="D209" s="32" t="s">
        <v>602</v>
      </c>
      <c r="E209" s="32" t="s">
        <v>586</v>
      </c>
      <c r="F209" s="32" t="s">
        <v>1422</v>
      </c>
    </row>
    <row r="210" spans="1:6" ht="69.95" customHeight="1">
      <c r="A210" s="32" t="s">
        <v>108</v>
      </c>
      <c r="B210" s="32" t="s">
        <v>1423</v>
      </c>
      <c r="C210" s="32" t="s">
        <v>13</v>
      </c>
      <c r="D210" s="32" t="s">
        <v>1238</v>
      </c>
      <c r="E210" s="32" t="s">
        <v>122</v>
      </c>
      <c r="F210" s="32" t="s">
        <v>1422</v>
      </c>
    </row>
    <row r="211" spans="1:6" ht="69.95" customHeight="1">
      <c r="A211" s="32" t="s">
        <v>108</v>
      </c>
      <c r="B211" s="32" t="s">
        <v>1414</v>
      </c>
      <c r="C211" s="32" t="s">
        <v>40</v>
      </c>
      <c r="D211" s="32"/>
      <c r="E211" s="32" t="s">
        <v>1429</v>
      </c>
      <c r="F211" s="32" t="s">
        <v>1416</v>
      </c>
    </row>
    <row r="212" spans="1:6" ht="69.95" customHeight="1">
      <c r="A212" s="32" t="s">
        <v>108</v>
      </c>
      <c r="B212" s="32" t="s">
        <v>1417</v>
      </c>
      <c r="C212" s="32" t="s">
        <v>41</v>
      </c>
      <c r="D212" s="32"/>
      <c r="E212" s="32" t="s">
        <v>1418</v>
      </c>
      <c r="F212" s="32" t="s">
        <v>1416</v>
      </c>
    </row>
    <row r="213" spans="1:6" ht="69.95" customHeight="1">
      <c r="A213" s="32" t="s">
        <v>108</v>
      </c>
      <c r="B213" s="32" t="s">
        <v>1419</v>
      </c>
      <c r="C213" s="32" t="s">
        <v>43</v>
      </c>
      <c r="D213" s="32"/>
      <c r="E213" s="32" t="s">
        <v>1420</v>
      </c>
      <c r="F213" s="32" t="s">
        <v>1416</v>
      </c>
    </row>
    <row r="214" spans="1:6" ht="69.95" customHeight="1">
      <c r="A214" s="32" t="s">
        <v>109</v>
      </c>
      <c r="B214" s="32" t="s">
        <v>1421</v>
      </c>
      <c r="C214" s="32" t="s">
        <v>12</v>
      </c>
      <c r="D214" s="32" t="s">
        <v>607</v>
      </c>
      <c r="E214" s="32" t="s">
        <v>588</v>
      </c>
      <c r="F214" s="32" t="s">
        <v>1422</v>
      </c>
    </row>
    <row r="215" spans="1:6" ht="69.95" customHeight="1">
      <c r="A215" s="32" t="s">
        <v>109</v>
      </c>
      <c r="B215" s="32" t="s">
        <v>1423</v>
      </c>
      <c r="C215" s="32" t="s">
        <v>13</v>
      </c>
      <c r="D215" s="32" t="s">
        <v>1475</v>
      </c>
      <c r="E215" s="32" t="s">
        <v>589</v>
      </c>
      <c r="F215" s="32" t="s">
        <v>1422</v>
      </c>
    </row>
    <row r="216" spans="1:6" ht="69.95" customHeight="1">
      <c r="A216" s="32" t="s">
        <v>109</v>
      </c>
      <c r="B216" s="32" t="s">
        <v>1414</v>
      </c>
      <c r="C216" s="32" t="s">
        <v>40</v>
      </c>
      <c r="D216" s="32"/>
      <c r="E216" s="32" t="s">
        <v>1429</v>
      </c>
      <c r="F216" s="32" t="s">
        <v>1416</v>
      </c>
    </row>
    <row r="217" spans="1:6" ht="69.95" customHeight="1">
      <c r="A217" s="32" t="s">
        <v>109</v>
      </c>
      <c r="B217" s="32" t="s">
        <v>1417</v>
      </c>
      <c r="C217" s="32" t="s">
        <v>41</v>
      </c>
      <c r="D217" s="32"/>
      <c r="E217" s="32" t="s">
        <v>1418</v>
      </c>
      <c r="F217" s="32" t="s">
        <v>1416</v>
      </c>
    </row>
    <row r="218" spans="1:6" ht="69.95" customHeight="1">
      <c r="A218" s="32" t="s">
        <v>109</v>
      </c>
      <c r="B218" s="32" t="s">
        <v>1419</v>
      </c>
      <c r="C218" s="32" t="s">
        <v>43</v>
      </c>
      <c r="D218" s="32"/>
      <c r="E218" s="32" t="s">
        <v>1420</v>
      </c>
      <c r="F218" s="32" t="s">
        <v>1416</v>
      </c>
    </row>
    <row r="219" spans="1:6" ht="69.95" customHeight="1">
      <c r="A219" s="32" t="s">
        <v>110</v>
      </c>
      <c r="B219" s="32" t="s">
        <v>1421</v>
      </c>
      <c r="C219" s="32" t="s">
        <v>12</v>
      </c>
      <c r="D219" s="32" t="s">
        <v>1476</v>
      </c>
      <c r="E219" s="32" t="s">
        <v>591</v>
      </c>
      <c r="F219" s="32" t="s">
        <v>1422</v>
      </c>
    </row>
    <row r="220" spans="1:6" ht="69.95" customHeight="1">
      <c r="A220" s="32" t="s">
        <v>110</v>
      </c>
      <c r="B220" s="32" t="s">
        <v>1423</v>
      </c>
      <c r="C220" s="32" t="s">
        <v>13</v>
      </c>
      <c r="D220" s="32" t="s">
        <v>1240</v>
      </c>
      <c r="E220" s="32" t="s">
        <v>1473</v>
      </c>
      <c r="F220" s="32" t="s">
        <v>1422</v>
      </c>
    </row>
    <row r="221" spans="1:6" ht="69.95" customHeight="1">
      <c r="A221" s="32" t="s">
        <v>110</v>
      </c>
      <c r="B221" s="32" t="s">
        <v>1414</v>
      </c>
      <c r="C221" s="32" t="s">
        <v>40</v>
      </c>
      <c r="D221" s="32"/>
      <c r="E221" s="32" t="s">
        <v>1429</v>
      </c>
      <c r="F221" s="32" t="s">
        <v>1416</v>
      </c>
    </row>
    <row r="222" spans="1:6" ht="69.95" customHeight="1">
      <c r="A222" s="32" t="s">
        <v>110</v>
      </c>
      <c r="B222" s="32" t="s">
        <v>1417</v>
      </c>
      <c r="C222" s="32" t="s">
        <v>41</v>
      </c>
      <c r="D222" s="32"/>
      <c r="E222" s="32" t="s">
        <v>1418</v>
      </c>
      <c r="F222" s="32" t="s">
        <v>1416</v>
      </c>
    </row>
    <row r="223" spans="1:6" ht="69.95" customHeight="1">
      <c r="A223" s="32" t="s">
        <v>110</v>
      </c>
      <c r="B223" s="32" t="s">
        <v>1419</v>
      </c>
      <c r="C223" s="32" t="s">
        <v>43</v>
      </c>
      <c r="D223" s="32"/>
      <c r="E223" s="32" t="s">
        <v>1420</v>
      </c>
      <c r="F223" s="32" t="s">
        <v>1416</v>
      </c>
    </row>
    <row r="224" spans="1:6" ht="69.95" customHeight="1">
      <c r="A224" s="32" t="s">
        <v>111</v>
      </c>
      <c r="B224" s="32" t="s">
        <v>1421</v>
      </c>
      <c r="C224" s="32" t="s">
        <v>12</v>
      </c>
      <c r="D224" s="32" t="s">
        <v>1063</v>
      </c>
      <c r="E224" s="32" t="s">
        <v>595</v>
      </c>
      <c r="F224" s="32" t="s">
        <v>1422</v>
      </c>
    </row>
    <row r="225" spans="1:6" ht="69.95" customHeight="1">
      <c r="A225" s="32" t="s">
        <v>111</v>
      </c>
      <c r="B225" s="32" t="s">
        <v>1423</v>
      </c>
      <c r="C225" s="32" t="s">
        <v>13</v>
      </c>
      <c r="D225" s="32" t="s">
        <v>237</v>
      </c>
      <c r="E225" s="32" t="s">
        <v>1474</v>
      </c>
      <c r="F225" s="32" t="s">
        <v>1422</v>
      </c>
    </row>
    <row r="226" spans="1:6" ht="69.95" customHeight="1">
      <c r="A226" s="32" t="s">
        <v>111</v>
      </c>
      <c r="B226" s="32" t="s">
        <v>1414</v>
      </c>
      <c r="C226" s="32" t="s">
        <v>40</v>
      </c>
      <c r="D226" s="32"/>
      <c r="E226" s="32" t="s">
        <v>1415</v>
      </c>
      <c r="F226" s="32" t="s">
        <v>1416</v>
      </c>
    </row>
    <row r="227" spans="1:6" ht="69.95" customHeight="1">
      <c r="A227" s="32" t="s">
        <v>111</v>
      </c>
      <c r="B227" s="32" t="s">
        <v>1417</v>
      </c>
      <c r="C227" s="32" t="s">
        <v>41</v>
      </c>
      <c r="D227" s="32"/>
      <c r="E227" s="32" t="s">
        <v>1418</v>
      </c>
      <c r="F227" s="32" t="s">
        <v>1416</v>
      </c>
    </row>
    <row r="228" spans="1:6" ht="69.95" customHeight="1">
      <c r="A228" s="32" t="s">
        <v>111</v>
      </c>
      <c r="B228" s="32" t="s">
        <v>1419</v>
      </c>
      <c r="C228" s="32" t="s">
        <v>43</v>
      </c>
      <c r="D228" s="32"/>
      <c r="E228" s="32" t="s">
        <v>1420</v>
      </c>
      <c r="F228" s="32" t="s">
        <v>1416</v>
      </c>
    </row>
    <row r="229" spans="1:6" ht="69.95" customHeight="1">
      <c r="A229" s="32" t="s">
        <v>112</v>
      </c>
      <c r="B229" s="32" t="s">
        <v>1421</v>
      </c>
      <c r="C229" s="32" t="s">
        <v>12</v>
      </c>
      <c r="D229" s="32" t="s">
        <v>1163</v>
      </c>
      <c r="E229" s="32" t="s">
        <v>599</v>
      </c>
      <c r="F229" s="32" t="s">
        <v>1422</v>
      </c>
    </row>
    <row r="230" spans="1:6" ht="69.95" customHeight="1">
      <c r="A230" s="32" t="s">
        <v>112</v>
      </c>
      <c r="B230" s="32" t="s">
        <v>1423</v>
      </c>
      <c r="C230" s="32" t="s">
        <v>13</v>
      </c>
      <c r="D230" s="32" t="s">
        <v>163</v>
      </c>
      <c r="E230" s="32" t="s">
        <v>1236</v>
      </c>
      <c r="F230" s="32" t="s">
        <v>1422</v>
      </c>
    </row>
    <row r="231" spans="1:6" ht="69.95" customHeight="1">
      <c r="A231" s="32" t="s">
        <v>112</v>
      </c>
      <c r="B231" s="32" t="s">
        <v>1414</v>
      </c>
      <c r="C231" s="32" t="s">
        <v>40</v>
      </c>
      <c r="D231" s="32"/>
      <c r="E231" s="32" t="s">
        <v>1415</v>
      </c>
      <c r="F231" s="32" t="s">
        <v>1416</v>
      </c>
    </row>
    <row r="232" spans="1:6" ht="69.95" customHeight="1">
      <c r="A232" s="32" t="s">
        <v>112</v>
      </c>
      <c r="B232" s="32" t="s">
        <v>1417</v>
      </c>
      <c r="C232" s="32" t="s">
        <v>41</v>
      </c>
      <c r="D232" s="32"/>
      <c r="E232" s="32" t="s">
        <v>1418</v>
      </c>
      <c r="F232" s="32" t="s">
        <v>1416</v>
      </c>
    </row>
    <row r="233" spans="1:6" ht="69.95" customHeight="1">
      <c r="A233" s="32" t="s">
        <v>112</v>
      </c>
      <c r="B233" s="32" t="s">
        <v>1419</v>
      </c>
      <c r="C233" s="32" t="s">
        <v>43</v>
      </c>
      <c r="D233" s="32"/>
      <c r="E233" s="32" t="s">
        <v>1420</v>
      </c>
      <c r="F233" s="32" t="s">
        <v>1416</v>
      </c>
    </row>
    <row r="234" spans="1:6" ht="69.95" customHeight="1">
      <c r="A234" s="32" t="s">
        <v>113</v>
      </c>
      <c r="B234" s="32" t="s">
        <v>1421</v>
      </c>
      <c r="C234" s="32" t="s">
        <v>12</v>
      </c>
      <c r="D234" s="32" t="s">
        <v>616</v>
      </c>
      <c r="E234" s="32" t="s">
        <v>602</v>
      </c>
      <c r="F234" s="32" t="s">
        <v>1422</v>
      </c>
    </row>
    <row r="235" spans="1:6" ht="69.95" customHeight="1">
      <c r="A235" s="32" t="s">
        <v>113</v>
      </c>
      <c r="B235" s="32" t="s">
        <v>1423</v>
      </c>
      <c r="C235" s="32" t="s">
        <v>13</v>
      </c>
      <c r="D235" s="32" t="s">
        <v>1477</v>
      </c>
      <c r="E235" s="32" t="s">
        <v>1238</v>
      </c>
      <c r="F235" s="32" t="s">
        <v>1422</v>
      </c>
    </row>
    <row r="236" spans="1:6" ht="69.95" customHeight="1">
      <c r="A236" s="32" t="s">
        <v>113</v>
      </c>
      <c r="B236" s="32" t="s">
        <v>1414</v>
      </c>
      <c r="C236" s="32" t="s">
        <v>40</v>
      </c>
      <c r="D236" s="32"/>
      <c r="E236" s="32" t="s">
        <v>1471</v>
      </c>
      <c r="F236" s="32" t="s">
        <v>1416</v>
      </c>
    </row>
    <row r="237" spans="1:6" ht="69.95" customHeight="1">
      <c r="A237" s="32" t="s">
        <v>113</v>
      </c>
      <c r="B237" s="32" t="s">
        <v>1417</v>
      </c>
      <c r="C237" s="32" t="s">
        <v>41</v>
      </c>
      <c r="D237" s="32"/>
      <c r="E237" s="32" t="s">
        <v>1418</v>
      </c>
      <c r="F237" s="32" t="s">
        <v>1416</v>
      </c>
    </row>
    <row r="238" spans="1:6" ht="69.95" customHeight="1">
      <c r="A238" s="32" t="s">
        <v>113</v>
      </c>
      <c r="B238" s="32" t="s">
        <v>1419</v>
      </c>
      <c r="C238" s="32" t="s">
        <v>43</v>
      </c>
      <c r="D238" s="32"/>
      <c r="E238" s="32" t="s">
        <v>1420</v>
      </c>
      <c r="F238" s="32" t="s">
        <v>1416</v>
      </c>
    </row>
    <row r="239" spans="1:6" ht="69.95" customHeight="1">
      <c r="A239" s="32" t="s">
        <v>114</v>
      </c>
      <c r="B239" s="32" t="s">
        <v>1421</v>
      </c>
      <c r="C239" s="32" t="s">
        <v>12</v>
      </c>
      <c r="D239" s="32" t="s">
        <v>102</v>
      </c>
      <c r="E239" s="32" t="s">
        <v>607</v>
      </c>
      <c r="F239" s="32" t="s">
        <v>1422</v>
      </c>
    </row>
    <row r="240" spans="1:6" ht="69.95" customHeight="1">
      <c r="A240" s="32" t="s">
        <v>114</v>
      </c>
      <c r="B240" s="32" t="s">
        <v>1423</v>
      </c>
      <c r="C240" s="32" t="s">
        <v>13</v>
      </c>
      <c r="D240" s="32" t="s">
        <v>1478</v>
      </c>
      <c r="E240" s="32" t="s">
        <v>1475</v>
      </c>
      <c r="F240" s="32" t="s">
        <v>1422</v>
      </c>
    </row>
    <row r="241" spans="1:6" ht="69.95" customHeight="1">
      <c r="A241" s="32" t="s">
        <v>114</v>
      </c>
      <c r="B241" s="32" t="s">
        <v>1414</v>
      </c>
      <c r="C241" s="32" t="s">
        <v>40</v>
      </c>
      <c r="D241" s="32"/>
      <c r="E241" s="32" t="s">
        <v>1415</v>
      </c>
      <c r="F241" s="32" t="s">
        <v>1416</v>
      </c>
    </row>
    <row r="242" spans="1:6" ht="69.95" customHeight="1">
      <c r="A242" s="32" t="s">
        <v>114</v>
      </c>
      <c r="B242" s="32" t="s">
        <v>1417</v>
      </c>
      <c r="C242" s="32" t="s">
        <v>41</v>
      </c>
      <c r="D242" s="32"/>
      <c r="E242" s="32" t="s">
        <v>1418</v>
      </c>
      <c r="F242" s="32" t="s">
        <v>1416</v>
      </c>
    </row>
    <row r="243" spans="1:6" ht="69.95" customHeight="1">
      <c r="A243" s="32" t="s">
        <v>114</v>
      </c>
      <c r="B243" s="32" t="s">
        <v>1419</v>
      </c>
      <c r="C243" s="32" t="s">
        <v>43</v>
      </c>
      <c r="D243" s="32"/>
      <c r="E243" s="32" t="s">
        <v>1420</v>
      </c>
      <c r="F243" s="32" t="s">
        <v>1416</v>
      </c>
    </row>
    <row r="244" spans="1:6" ht="69.95" customHeight="1">
      <c r="A244" s="32" t="s">
        <v>115</v>
      </c>
      <c r="B244" s="32" t="s">
        <v>1421</v>
      </c>
      <c r="C244" s="32" t="s">
        <v>12</v>
      </c>
      <c r="D244" s="32" t="s">
        <v>624</v>
      </c>
      <c r="E244" s="32" t="s">
        <v>1479</v>
      </c>
      <c r="F244" s="32" t="s">
        <v>1480</v>
      </c>
    </row>
    <row r="245" spans="1:6" ht="69.95" customHeight="1">
      <c r="A245" s="32" t="s">
        <v>115</v>
      </c>
      <c r="B245" s="32" t="s">
        <v>1423</v>
      </c>
      <c r="C245" s="32" t="s">
        <v>13</v>
      </c>
      <c r="D245" s="32" t="s">
        <v>1464</v>
      </c>
      <c r="E245" s="32" t="s">
        <v>1240</v>
      </c>
      <c r="F245" s="32" t="s">
        <v>1422</v>
      </c>
    </row>
    <row r="246" spans="1:6" ht="69.95" customHeight="1">
      <c r="A246" s="32" t="s">
        <v>115</v>
      </c>
      <c r="B246" s="32" t="s">
        <v>1481</v>
      </c>
      <c r="C246" s="32" t="s">
        <v>19</v>
      </c>
      <c r="D246" s="32" t="s">
        <v>1184</v>
      </c>
      <c r="E246" s="32" t="s">
        <v>1482</v>
      </c>
      <c r="F246" s="32" t="s">
        <v>1483</v>
      </c>
    </row>
    <row r="247" spans="1:6" ht="69.95" customHeight="1">
      <c r="A247" s="32" t="s">
        <v>115</v>
      </c>
      <c r="B247" s="32" t="s">
        <v>1414</v>
      </c>
      <c r="C247" s="32" t="s">
        <v>40</v>
      </c>
      <c r="D247" s="32"/>
      <c r="E247" s="32" t="s">
        <v>1429</v>
      </c>
      <c r="F247" s="32" t="s">
        <v>1416</v>
      </c>
    </row>
    <row r="248" spans="1:6" ht="69.95" customHeight="1">
      <c r="A248" s="32" t="s">
        <v>115</v>
      </c>
      <c r="B248" s="32" t="s">
        <v>1417</v>
      </c>
      <c r="C248" s="32" t="s">
        <v>41</v>
      </c>
      <c r="D248" s="32"/>
      <c r="E248" s="32" t="s">
        <v>1418</v>
      </c>
      <c r="F248" s="32" t="s">
        <v>1416</v>
      </c>
    </row>
    <row r="249" spans="1:6" ht="69.95" customHeight="1">
      <c r="A249" s="32" t="s">
        <v>115</v>
      </c>
      <c r="B249" s="32" t="s">
        <v>1419</v>
      </c>
      <c r="C249" s="32" t="s">
        <v>43</v>
      </c>
      <c r="D249" s="32"/>
      <c r="E249" s="32" t="s">
        <v>1420</v>
      </c>
      <c r="F249" s="32" t="s">
        <v>1416</v>
      </c>
    </row>
    <row r="250" spans="1:6" ht="69.95" customHeight="1">
      <c r="A250" s="32" t="s">
        <v>116</v>
      </c>
      <c r="B250" s="32" t="s">
        <v>1452</v>
      </c>
      <c r="C250" s="32" t="s">
        <v>8</v>
      </c>
      <c r="D250" s="32" t="s">
        <v>1484</v>
      </c>
      <c r="E250" s="32" t="s">
        <v>1485</v>
      </c>
      <c r="F250" s="32" t="s">
        <v>1422</v>
      </c>
    </row>
    <row r="251" spans="1:6" ht="69.95" customHeight="1">
      <c r="A251" s="32" t="s">
        <v>116</v>
      </c>
      <c r="B251" s="32" t="s">
        <v>1421</v>
      </c>
      <c r="C251" s="32" t="s">
        <v>12</v>
      </c>
      <c r="D251" s="32"/>
      <c r="E251" s="32" t="s">
        <v>1486</v>
      </c>
      <c r="F251" s="32" t="s">
        <v>1487</v>
      </c>
    </row>
    <row r="252" spans="1:6" ht="69.95" customHeight="1">
      <c r="A252" s="32" t="s">
        <v>116</v>
      </c>
      <c r="B252" s="32" t="s">
        <v>1423</v>
      </c>
      <c r="C252" s="32" t="s">
        <v>13</v>
      </c>
      <c r="D252" s="32" t="s">
        <v>194</v>
      </c>
      <c r="E252" s="32" t="s">
        <v>163</v>
      </c>
      <c r="F252" s="32" t="s">
        <v>1422</v>
      </c>
    </row>
    <row r="253" spans="1:6" ht="69.95" customHeight="1">
      <c r="A253" s="32" t="s">
        <v>116</v>
      </c>
      <c r="B253" s="32" t="s">
        <v>1481</v>
      </c>
      <c r="C253" s="32" t="s">
        <v>19</v>
      </c>
      <c r="D253" s="32" t="s">
        <v>1488</v>
      </c>
      <c r="E253" s="32" t="s">
        <v>1489</v>
      </c>
      <c r="F253" s="32" t="s">
        <v>1483</v>
      </c>
    </row>
    <row r="254" spans="1:6" ht="69.95" customHeight="1">
      <c r="A254" s="32" t="s">
        <v>116</v>
      </c>
      <c r="B254" s="32" t="s">
        <v>1490</v>
      </c>
      <c r="C254" s="32" t="s">
        <v>21</v>
      </c>
      <c r="D254" s="32" t="s">
        <v>1491</v>
      </c>
      <c r="E254" s="32" t="s">
        <v>1492</v>
      </c>
      <c r="F254" s="32" t="s">
        <v>1422</v>
      </c>
    </row>
    <row r="255" spans="1:6" ht="69.95" customHeight="1">
      <c r="A255" s="32" t="s">
        <v>116</v>
      </c>
      <c r="B255" s="32" t="s">
        <v>1493</v>
      </c>
      <c r="C255" s="32" t="s">
        <v>39</v>
      </c>
      <c r="D255" s="32" t="s">
        <v>628</v>
      </c>
      <c r="E255" s="32"/>
      <c r="F255" s="32" t="s">
        <v>1422</v>
      </c>
    </row>
    <row r="256" spans="1:6" ht="69.95" customHeight="1">
      <c r="A256" s="32" t="s">
        <v>116</v>
      </c>
      <c r="B256" s="32" t="s">
        <v>1414</v>
      </c>
      <c r="C256" s="32" t="s">
        <v>40</v>
      </c>
      <c r="D256" s="32"/>
      <c r="E256" s="32" t="s">
        <v>1429</v>
      </c>
      <c r="F256" s="32" t="s">
        <v>1416</v>
      </c>
    </row>
    <row r="257" spans="1:6" ht="69.95" customHeight="1">
      <c r="A257" s="32" t="s">
        <v>116</v>
      </c>
      <c r="B257" s="32" t="s">
        <v>1417</v>
      </c>
      <c r="C257" s="32" t="s">
        <v>41</v>
      </c>
      <c r="D257" s="32"/>
      <c r="E257" s="32" t="s">
        <v>1418</v>
      </c>
      <c r="F257" s="32" t="s">
        <v>1416</v>
      </c>
    </row>
    <row r="258" spans="1:6" ht="69.95" customHeight="1">
      <c r="A258" s="32" t="s">
        <v>116</v>
      </c>
      <c r="B258" s="32" t="s">
        <v>1419</v>
      </c>
      <c r="C258" s="32" t="s">
        <v>43</v>
      </c>
      <c r="D258" s="32"/>
      <c r="E258" s="32" t="s">
        <v>1420</v>
      </c>
      <c r="F258" s="32" t="s">
        <v>1416</v>
      </c>
    </row>
    <row r="259" spans="1:6" ht="69.95" customHeight="1">
      <c r="A259" s="32" t="s">
        <v>117</v>
      </c>
      <c r="B259" s="32" t="s">
        <v>1421</v>
      </c>
      <c r="C259" s="32" t="s">
        <v>12</v>
      </c>
      <c r="D259" s="32" t="s">
        <v>631</v>
      </c>
      <c r="E259" s="32" t="s">
        <v>616</v>
      </c>
      <c r="F259" s="32" t="s">
        <v>1422</v>
      </c>
    </row>
    <row r="260" spans="1:6" ht="69.95" customHeight="1">
      <c r="A260" s="32" t="s">
        <v>117</v>
      </c>
      <c r="B260" s="32" t="s">
        <v>1423</v>
      </c>
      <c r="C260" s="32" t="s">
        <v>13</v>
      </c>
      <c r="D260" s="32" t="s">
        <v>497</v>
      </c>
      <c r="E260" s="32" t="s">
        <v>1477</v>
      </c>
      <c r="F260" s="32" t="s">
        <v>1422</v>
      </c>
    </row>
    <row r="261" spans="1:6" ht="69.95" customHeight="1">
      <c r="A261" s="32" t="s">
        <v>117</v>
      </c>
      <c r="B261" s="32" t="s">
        <v>1414</v>
      </c>
      <c r="C261" s="32" t="s">
        <v>40</v>
      </c>
      <c r="D261" s="32"/>
      <c r="E261" s="32" t="s">
        <v>1415</v>
      </c>
      <c r="F261" s="32" t="s">
        <v>1416</v>
      </c>
    </row>
    <row r="262" spans="1:6" ht="69.95" customHeight="1">
      <c r="A262" s="32" t="s">
        <v>117</v>
      </c>
      <c r="B262" s="32" t="s">
        <v>1417</v>
      </c>
      <c r="C262" s="32" t="s">
        <v>41</v>
      </c>
      <c r="D262" s="32"/>
      <c r="E262" s="32" t="s">
        <v>1418</v>
      </c>
      <c r="F262" s="32" t="s">
        <v>1416</v>
      </c>
    </row>
    <row r="263" spans="1:6" ht="69.95" customHeight="1">
      <c r="A263" s="32" t="s">
        <v>117</v>
      </c>
      <c r="B263" s="32" t="s">
        <v>1419</v>
      </c>
      <c r="C263" s="32" t="s">
        <v>43</v>
      </c>
      <c r="D263" s="32"/>
      <c r="E263" s="32" t="s">
        <v>1420</v>
      </c>
      <c r="F263" s="32" t="s">
        <v>1416</v>
      </c>
    </row>
    <row r="264" spans="1:6" ht="69.95" customHeight="1">
      <c r="A264" s="32" t="s">
        <v>118</v>
      </c>
      <c r="B264" s="32" t="s">
        <v>1421</v>
      </c>
      <c r="C264" s="32" t="s">
        <v>12</v>
      </c>
      <c r="D264" s="32" t="s">
        <v>633</v>
      </c>
      <c r="E264" s="32" t="s">
        <v>102</v>
      </c>
      <c r="F264" s="32" t="s">
        <v>1422</v>
      </c>
    </row>
    <row r="265" spans="1:6" ht="69.95" customHeight="1">
      <c r="A265" s="32" t="s">
        <v>118</v>
      </c>
      <c r="B265" s="32" t="s">
        <v>1423</v>
      </c>
      <c r="C265" s="32" t="s">
        <v>13</v>
      </c>
      <c r="D265" s="32" t="s">
        <v>163</v>
      </c>
      <c r="E265" s="32" t="s">
        <v>1478</v>
      </c>
      <c r="F265" s="32" t="s">
        <v>1422</v>
      </c>
    </row>
    <row r="266" spans="1:6" ht="69.95" customHeight="1">
      <c r="A266" s="32" t="s">
        <v>118</v>
      </c>
      <c r="B266" s="32" t="s">
        <v>1414</v>
      </c>
      <c r="C266" s="32" t="s">
        <v>40</v>
      </c>
      <c r="D266" s="32"/>
      <c r="E266" s="32" t="s">
        <v>1429</v>
      </c>
      <c r="F266" s="32" t="s">
        <v>1416</v>
      </c>
    </row>
    <row r="267" spans="1:6" ht="69.95" customHeight="1">
      <c r="A267" s="32" t="s">
        <v>118</v>
      </c>
      <c r="B267" s="32" t="s">
        <v>1417</v>
      </c>
      <c r="C267" s="32" t="s">
        <v>41</v>
      </c>
      <c r="D267" s="32"/>
      <c r="E267" s="32" t="s">
        <v>1418</v>
      </c>
      <c r="F267" s="32" t="s">
        <v>1416</v>
      </c>
    </row>
    <row r="268" spans="1:6" ht="69.95" customHeight="1">
      <c r="A268" s="32" t="s">
        <v>118</v>
      </c>
      <c r="B268" s="32" t="s">
        <v>1419</v>
      </c>
      <c r="C268" s="32" t="s">
        <v>43</v>
      </c>
      <c r="D268" s="32"/>
      <c r="E268" s="32" t="s">
        <v>1420</v>
      </c>
      <c r="F268" s="32" t="s">
        <v>1416</v>
      </c>
    </row>
    <row r="269" spans="1:6" ht="69.95" customHeight="1">
      <c r="A269" s="32" t="s">
        <v>119</v>
      </c>
      <c r="B269" s="32" t="s">
        <v>1421</v>
      </c>
      <c r="C269" s="32" t="s">
        <v>12</v>
      </c>
      <c r="D269" s="32"/>
      <c r="E269" s="32" t="s">
        <v>1147</v>
      </c>
      <c r="F269" s="32" t="s">
        <v>1422</v>
      </c>
    </row>
    <row r="270" spans="1:6" ht="69.95" customHeight="1">
      <c r="A270" s="32" t="s">
        <v>119</v>
      </c>
      <c r="B270" s="32" t="s">
        <v>1423</v>
      </c>
      <c r="C270" s="32" t="s">
        <v>13</v>
      </c>
      <c r="D270" s="32" t="s">
        <v>637</v>
      </c>
      <c r="E270" s="32" t="s">
        <v>1274</v>
      </c>
      <c r="F270" s="32" t="s">
        <v>1422</v>
      </c>
    </row>
    <row r="271" spans="1:6" ht="69.95" customHeight="1">
      <c r="A271" s="32" t="s">
        <v>119</v>
      </c>
      <c r="B271" s="32" t="s">
        <v>1481</v>
      </c>
      <c r="C271" s="32" t="s">
        <v>19</v>
      </c>
      <c r="D271" s="32" t="s">
        <v>1193</v>
      </c>
      <c r="E271" s="32" t="s">
        <v>1494</v>
      </c>
      <c r="F271" s="32" t="s">
        <v>1483</v>
      </c>
    </row>
    <row r="272" spans="1:6" ht="69.95" customHeight="1">
      <c r="A272" s="32" t="s">
        <v>119</v>
      </c>
      <c r="B272" s="32" t="s">
        <v>1414</v>
      </c>
      <c r="C272" s="32" t="s">
        <v>40</v>
      </c>
      <c r="D272" s="32"/>
      <c r="E272" s="32" t="s">
        <v>1471</v>
      </c>
      <c r="F272" s="32" t="s">
        <v>1416</v>
      </c>
    </row>
    <row r="273" spans="1:6" ht="69.95" customHeight="1">
      <c r="A273" s="32" t="s">
        <v>119</v>
      </c>
      <c r="B273" s="32" t="s">
        <v>1417</v>
      </c>
      <c r="C273" s="32" t="s">
        <v>41</v>
      </c>
      <c r="D273" s="32"/>
      <c r="E273" s="32" t="s">
        <v>1418</v>
      </c>
      <c r="F273" s="32" t="s">
        <v>1416</v>
      </c>
    </row>
    <row r="274" spans="1:6" ht="69.95" customHeight="1">
      <c r="A274" s="32" t="s">
        <v>119</v>
      </c>
      <c r="B274" s="32" t="s">
        <v>1419</v>
      </c>
      <c r="C274" s="32" t="s">
        <v>43</v>
      </c>
      <c r="D274" s="32"/>
      <c r="E274" s="32" t="s">
        <v>1420</v>
      </c>
      <c r="F274" s="32" t="s">
        <v>1416</v>
      </c>
    </row>
    <row r="275" spans="1:6" ht="69.95" customHeight="1">
      <c r="A275" s="32" t="s">
        <v>120</v>
      </c>
      <c r="B275" s="32" t="s">
        <v>1421</v>
      </c>
      <c r="C275" s="32" t="s">
        <v>12</v>
      </c>
      <c r="D275" s="32"/>
      <c r="E275" s="32" t="s">
        <v>1495</v>
      </c>
      <c r="F275" s="32" t="s">
        <v>1422</v>
      </c>
    </row>
    <row r="276" spans="1:6" ht="69.95" customHeight="1">
      <c r="A276" s="32" t="s">
        <v>120</v>
      </c>
      <c r="B276" s="32" t="s">
        <v>1423</v>
      </c>
      <c r="C276" s="32" t="s">
        <v>13</v>
      </c>
      <c r="D276" s="32" t="s">
        <v>641</v>
      </c>
      <c r="E276" s="32" t="s">
        <v>1496</v>
      </c>
      <c r="F276" s="32" t="s">
        <v>1422</v>
      </c>
    </row>
    <row r="277" spans="1:6" ht="69.95" customHeight="1">
      <c r="A277" s="32" t="s">
        <v>120</v>
      </c>
      <c r="B277" s="32" t="s">
        <v>1481</v>
      </c>
      <c r="C277" s="32" t="s">
        <v>19</v>
      </c>
      <c r="D277" s="32" t="s">
        <v>1196</v>
      </c>
      <c r="E277" s="32" t="s">
        <v>1497</v>
      </c>
      <c r="F277" s="32" t="s">
        <v>1483</v>
      </c>
    </row>
    <row r="278" spans="1:6" ht="69.95" customHeight="1">
      <c r="A278" s="32" t="s">
        <v>120</v>
      </c>
      <c r="B278" s="32" t="s">
        <v>1439</v>
      </c>
      <c r="C278" s="32" t="s">
        <v>34</v>
      </c>
      <c r="D278" s="32" t="s">
        <v>1498</v>
      </c>
      <c r="E278" s="32" t="s">
        <v>1499</v>
      </c>
      <c r="F278" s="32" t="s">
        <v>1500</v>
      </c>
    </row>
    <row r="279" spans="1:6" ht="69.95" customHeight="1">
      <c r="A279" s="32" t="s">
        <v>120</v>
      </c>
      <c r="B279" s="32" t="s">
        <v>1458</v>
      </c>
      <c r="C279" s="32" t="s">
        <v>35</v>
      </c>
      <c r="D279" s="32" t="s">
        <v>1501</v>
      </c>
      <c r="E279" s="32" t="s">
        <v>1502</v>
      </c>
      <c r="F279" s="32" t="s">
        <v>1503</v>
      </c>
    </row>
    <row r="280" spans="1:6" ht="69.95" customHeight="1">
      <c r="A280" s="32" t="s">
        <v>120</v>
      </c>
      <c r="B280" s="32" t="s">
        <v>1414</v>
      </c>
      <c r="C280" s="32" t="s">
        <v>40</v>
      </c>
      <c r="D280" s="32"/>
      <c r="E280" s="32" t="s">
        <v>1504</v>
      </c>
      <c r="F280" s="32" t="s">
        <v>1505</v>
      </c>
    </row>
    <row r="281" spans="1:6" ht="69.95" customHeight="1">
      <c r="A281" s="32" t="s">
        <v>120</v>
      </c>
      <c r="B281" s="32" t="s">
        <v>1417</v>
      </c>
      <c r="C281" s="32" t="s">
        <v>41</v>
      </c>
      <c r="D281" s="32"/>
      <c r="E281" s="32" t="s">
        <v>1506</v>
      </c>
      <c r="F281" s="32" t="s">
        <v>1507</v>
      </c>
    </row>
    <row r="282" spans="1:6" ht="69.95" customHeight="1">
      <c r="A282" s="32" t="s">
        <v>120</v>
      </c>
      <c r="B282" s="32" t="s">
        <v>1419</v>
      </c>
      <c r="C282" s="32" t="s">
        <v>43</v>
      </c>
      <c r="D282" s="32"/>
      <c r="E282" s="32" t="s">
        <v>1508</v>
      </c>
      <c r="F282" s="32" t="s">
        <v>1416</v>
      </c>
    </row>
    <row r="283" spans="1:6" ht="69.95" customHeight="1">
      <c r="A283" s="32" t="s">
        <v>121</v>
      </c>
      <c r="B283" s="32" t="s">
        <v>1452</v>
      </c>
      <c r="C283" s="32" t="s">
        <v>8</v>
      </c>
      <c r="D283" s="32" t="s">
        <v>1509</v>
      </c>
      <c r="E283" s="32" t="s">
        <v>1510</v>
      </c>
      <c r="F283" s="32" t="s">
        <v>1511</v>
      </c>
    </row>
    <row r="284" spans="1:6" ht="69.95" customHeight="1">
      <c r="A284" s="32" t="s">
        <v>121</v>
      </c>
      <c r="B284" s="32" t="s">
        <v>1423</v>
      </c>
      <c r="C284" s="32" t="s">
        <v>13</v>
      </c>
      <c r="D284" s="32" t="s">
        <v>644</v>
      </c>
      <c r="E284" s="32" t="s">
        <v>194</v>
      </c>
      <c r="F284" s="32" t="s">
        <v>1422</v>
      </c>
    </row>
    <row r="285" spans="1:6" ht="69.95" customHeight="1">
      <c r="A285" s="32" t="s">
        <v>121</v>
      </c>
      <c r="B285" s="32" t="s">
        <v>1481</v>
      </c>
      <c r="C285" s="32" t="s">
        <v>19</v>
      </c>
      <c r="D285" s="32" t="s">
        <v>1512</v>
      </c>
      <c r="E285" s="32" t="s">
        <v>1488</v>
      </c>
      <c r="F285" s="32" t="s">
        <v>1422</v>
      </c>
    </row>
    <row r="286" spans="1:6" ht="69.95" customHeight="1">
      <c r="A286" s="32" t="s">
        <v>121</v>
      </c>
      <c r="B286" s="32" t="s">
        <v>1490</v>
      </c>
      <c r="C286" s="32" t="s">
        <v>21</v>
      </c>
      <c r="D286" s="32" t="s">
        <v>1513</v>
      </c>
      <c r="E286" s="32" t="s">
        <v>1491</v>
      </c>
      <c r="F286" s="32" t="s">
        <v>1422</v>
      </c>
    </row>
    <row r="287" spans="1:6" ht="69.95" customHeight="1">
      <c r="A287" s="32" t="s">
        <v>121</v>
      </c>
      <c r="B287" s="32" t="s">
        <v>1493</v>
      </c>
      <c r="C287" s="32" t="s">
        <v>39</v>
      </c>
      <c r="D287" s="32"/>
      <c r="E287" s="32" t="s">
        <v>628</v>
      </c>
      <c r="F287" s="32" t="s">
        <v>1422</v>
      </c>
    </row>
    <row r="288" spans="1:6" ht="69.95" customHeight="1">
      <c r="A288" s="32" t="s">
        <v>121</v>
      </c>
      <c r="B288" s="32" t="s">
        <v>1414</v>
      </c>
      <c r="C288" s="32" t="s">
        <v>40</v>
      </c>
      <c r="D288" s="32"/>
      <c r="E288" s="32" t="s">
        <v>1429</v>
      </c>
      <c r="F288" s="32" t="s">
        <v>1416</v>
      </c>
    </row>
    <row r="289" spans="1:6" ht="69.95" customHeight="1">
      <c r="A289" s="32" t="s">
        <v>121</v>
      </c>
      <c r="B289" s="32" t="s">
        <v>1417</v>
      </c>
      <c r="C289" s="32" t="s">
        <v>41</v>
      </c>
      <c r="D289" s="32"/>
      <c r="E289" s="32" t="s">
        <v>1418</v>
      </c>
      <c r="F289" s="32" t="s">
        <v>1416</v>
      </c>
    </row>
    <row r="290" spans="1:6" ht="69.95" customHeight="1">
      <c r="A290" s="32" t="s">
        <v>121</v>
      </c>
      <c r="B290" s="32" t="s">
        <v>1419</v>
      </c>
      <c r="C290" s="32" t="s">
        <v>43</v>
      </c>
      <c r="D290" s="32"/>
      <c r="E290" s="32" t="s">
        <v>1420</v>
      </c>
      <c r="F290" s="32" t="s">
        <v>1416</v>
      </c>
    </row>
    <row r="291" spans="1:6" ht="69.95" customHeight="1">
      <c r="A291" s="32" t="s">
        <v>122</v>
      </c>
      <c r="B291" s="32" t="s">
        <v>1421</v>
      </c>
      <c r="C291" s="32" t="s">
        <v>12</v>
      </c>
      <c r="D291" s="32"/>
      <c r="E291" s="32" t="s">
        <v>631</v>
      </c>
      <c r="F291" s="32" t="s">
        <v>1422</v>
      </c>
    </row>
    <row r="292" spans="1:6" ht="69.95" customHeight="1">
      <c r="A292" s="32" t="s">
        <v>122</v>
      </c>
      <c r="B292" s="32" t="s">
        <v>1423</v>
      </c>
      <c r="C292" s="32" t="s">
        <v>13</v>
      </c>
      <c r="D292" s="32" t="s">
        <v>647</v>
      </c>
      <c r="E292" s="32" t="s">
        <v>497</v>
      </c>
      <c r="F292" s="32" t="s">
        <v>1422</v>
      </c>
    </row>
    <row r="293" spans="1:6" ht="69.95" customHeight="1">
      <c r="A293" s="32" t="s">
        <v>122</v>
      </c>
      <c r="B293" s="32" t="s">
        <v>1414</v>
      </c>
      <c r="C293" s="32" t="s">
        <v>40</v>
      </c>
      <c r="D293" s="32"/>
      <c r="E293" s="32" t="s">
        <v>1429</v>
      </c>
      <c r="F293" s="32" t="s">
        <v>1416</v>
      </c>
    </row>
    <row r="294" spans="1:6" ht="69.95" customHeight="1">
      <c r="A294" s="32" t="s">
        <v>122</v>
      </c>
      <c r="B294" s="32" t="s">
        <v>1417</v>
      </c>
      <c r="C294" s="32" t="s">
        <v>41</v>
      </c>
      <c r="D294" s="32"/>
      <c r="E294" s="32" t="s">
        <v>1418</v>
      </c>
      <c r="F294" s="32" t="s">
        <v>1416</v>
      </c>
    </row>
    <row r="295" spans="1:6" ht="69.95" customHeight="1">
      <c r="A295" s="32" t="s">
        <v>122</v>
      </c>
      <c r="B295" s="32" t="s">
        <v>1419</v>
      </c>
      <c r="C295" s="32" t="s">
        <v>43</v>
      </c>
      <c r="D295" s="32"/>
      <c r="E295" s="32" t="s">
        <v>1420</v>
      </c>
      <c r="F295" s="32" t="s">
        <v>1416</v>
      </c>
    </row>
    <row r="296" spans="1:6" ht="69.95" customHeight="1">
      <c r="A296" s="32" t="s">
        <v>123</v>
      </c>
      <c r="B296" s="32" t="s">
        <v>1421</v>
      </c>
      <c r="C296" s="32" t="s">
        <v>12</v>
      </c>
      <c r="D296" s="32"/>
      <c r="E296" s="32" t="s">
        <v>633</v>
      </c>
      <c r="F296" s="32" t="s">
        <v>1422</v>
      </c>
    </row>
    <row r="297" spans="1:6" ht="69.95" customHeight="1">
      <c r="A297" s="32" t="s">
        <v>123</v>
      </c>
      <c r="B297" s="32" t="s">
        <v>1423</v>
      </c>
      <c r="C297" s="32" t="s">
        <v>13</v>
      </c>
      <c r="D297" s="32" t="s">
        <v>650</v>
      </c>
      <c r="E297" s="32" t="s">
        <v>163</v>
      </c>
      <c r="F297" s="32" t="s">
        <v>1422</v>
      </c>
    </row>
    <row r="298" spans="1:6" ht="69.95" customHeight="1">
      <c r="A298" s="32" t="s">
        <v>123</v>
      </c>
      <c r="B298" s="32" t="s">
        <v>1414</v>
      </c>
      <c r="C298" s="32" t="s">
        <v>40</v>
      </c>
      <c r="D298" s="32"/>
      <c r="E298" s="32" t="s">
        <v>1429</v>
      </c>
      <c r="F298" s="32" t="s">
        <v>1416</v>
      </c>
    </row>
    <row r="299" spans="1:6" ht="69.95" customHeight="1">
      <c r="A299" s="32" t="s">
        <v>123</v>
      </c>
      <c r="B299" s="32" t="s">
        <v>1417</v>
      </c>
      <c r="C299" s="32" t="s">
        <v>41</v>
      </c>
      <c r="D299" s="32"/>
      <c r="E299" s="32" t="s">
        <v>1418</v>
      </c>
      <c r="F299" s="32" t="s">
        <v>1416</v>
      </c>
    </row>
    <row r="300" spans="1:6" ht="69.95" customHeight="1">
      <c r="A300" s="32" t="s">
        <v>123</v>
      </c>
      <c r="B300" s="32" t="s">
        <v>1419</v>
      </c>
      <c r="C300" s="32" t="s">
        <v>43</v>
      </c>
      <c r="D300" s="32"/>
      <c r="E300" s="32" t="s">
        <v>1420</v>
      </c>
      <c r="F300" s="32" t="s">
        <v>1416</v>
      </c>
    </row>
    <row r="301" spans="1:6" ht="69.95" customHeight="1">
      <c r="A301" s="32" t="s">
        <v>124</v>
      </c>
      <c r="B301" s="32" t="s">
        <v>1421</v>
      </c>
      <c r="C301" s="32" t="s">
        <v>12</v>
      </c>
      <c r="D301" s="32"/>
      <c r="E301" s="32" t="s">
        <v>624</v>
      </c>
      <c r="F301" s="32" t="s">
        <v>1422</v>
      </c>
    </row>
    <row r="302" spans="1:6" ht="69.95" customHeight="1">
      <c r="A302" s="32" t="s">
        <v>124</v>
      </c>
      <c r="B302" s="32" t="s">
        <v>1423</v>
      </c>
      <c r="C302" s="32" t="s">
        <v>13</v>
      </c>
      <c r="D302" s="32" t="s">
        <v>223</v>
      </c>
      <c r="E302" s="32" t="s">
        <v>1464</v>
      </c>
      <c r="F302" s="32" t="s">
        <v>1422</v>
      </c>
    </row>
    <row r="303" spans="1:6" ht="69.95" customHeight="1">
      <c r="A303" s="32" t="s">
        <v>124</v>
      </c>
      <c r="B303" s="32" t="s">
        <v>1414</v>
      </c>
      <c r="C303" s="32" t="s">
        <v>40</v>
      </c>
      <c r="D303" s="32"/>
      <c r="E303" s="32" t="s">
        <v>1429</v>
      </c>
      <c r="F303" s="32" t="s">
        <v>1416</v>
      </c>
    </row>
    <row r="304" spans="1:6" ht="69.95" customHeight="1">
      <c r="A304" s="32" t="s">
        <v>124</v>
      </c>
      <c r="B304" s="32" t="s">
        <v>1417</v>
      </c>
      <c r="C304" s="32" t="s">
        <v>41</v>
      </c>
      <c r="D304" s="32"/>
      <c r="E304" s="32" t="s">
        <v>1418</v>
      </c>
      <c r="F304" s="32" t="s">
        <v>1416</v>
      </c>
    </row>
    <row r="305" spans="1:6" ht="69.95" customHeight="1">
      <c r="A305" s="32" t="s">
        <v>124</v>
      </c>
      <c r="B305" s="32" t="s">
        <v>1419</v>
      </c>
      <c r="C305" s="32" t="s">
        <v>43</v>
      </c>
      <c r="D305" s="32"/>
      <c r="E305" s="32" t="s">
        <v>1420</v>
      </c>
      <c r="F305" s="32" t="s">
        <v>1416</v>
      </c>
    </row>
    <row r="306" spans="1:6" ht="69.95" customHeight="1">
      <c r="A306" s="32" t="s">
        <v>125</v>
      </c>
      <c r="B306" s="32" t="s">
        <v>1423</v>
      </c>
      <c r="C306" s="32" t="s">
        <v>13</v>
      </c>
      <c r="D306" s="32" t="s">
        <v>655</v>
      </c>
      <c r="E306" s="32" t="s">
        <v>637</v>
      </c>
      <c r="F306" s="32" t="s">
        <v>1422</v>
      </c>
    </row>
    <row r="307" spans="1:6" ht="69.95" customHeight="1">
      <c r="A307" s="32" t="s">
        <v>125</v>
      </c>
      <c r="B307" s="32" t="s">
        <v>1414</v>
      </c>
      <c r="C307" s="32" t="s">
        <v>40</v>
      </c>
      <c r="D307" s="32"/>
      <c r="E307" s="32" t="s">
        <v>1415</v>
      </c>
      <c r="F307" s="32" t="s">
        <v>1416</v>
      </c>
    </row>
    <row r="308" spans="1:6" ht="69.95" customHeight="1">
      <c r="A308" s="32" t="s">
        <v>125</v>
      </c>
      <c r="B308" s="32" t="s">
        <v>1417</v>
      </c>
      <c r="C308" s="32" t="s">
        <v>41</v>
      </c>
      <c r="D308" s="32"/>
      <c r="E308" s="32" t="s">
        <v>1418</v>
      </c>
      <c r="F308" s="32" t="s">
        <v>1416</v>
      </c>
    </row>
    <row r="309" spans="1:6" ht="69.95" customHeight="1">
      <c r="A309" s="32" t="s">
        <v>125</v>
      </c>
      <c r="B309" s="32" t="s">
        <v>1419</v>
      </c>
      <c r="C309" s="32" t="s">
        <v>43</v>
      </c>
      <c r="D309" s="32"/>
      <c r="E309" s="32" t="s">
        <v>1420</v>
      </c>
      <c r="F309" s="32" t="s">
        <v>1416</v>
      </c>
    </row>
    <row r="310" spans="1:6" ht="69.95" customHeight="1">
      <c r="A310" s="32" t="s">
        <v>126</v>
      </c>
      <c r="B310" s="32" t="s">
        <v>1423</v>
      </c>
      <c r="C310" s="32" t="s">
        <v>13</v>
      </c>
      <c r="D310" s="32" t="s">
        <v>223</v>
      </c>
      <c r="E310" s="32" t="s">
        <v>641</v>
      </c>
      <c r="F310" s="32" t="s">
        <v>1422</v>
      </c>
    </row>
    <row r="311" spans="1:6" ht="69.95" customHeight="1">
      <c r="A311" s="32" t="s">
        <v>126</v>
      </c>
      <c r="B311" s="32" t="s">
        <v>1414</v>
      </c>
      <c r="C311" s="32" t="s">
        <v>40</v>
      </c>
      <c r="D311" s="32"/>
      <c r="E311" s="32" t="s">
        <v>1415</v>
      </c>
      <c r="F311" s="32" t="s">
        <v>1416</v>
      </c>
    </row>
    <row r="312" spans="1:6" ht="69.95" customHeight="1">
      <c r="A312" s="32" t="s">
        <v>126</v>
      </c>
      <c r="B312" s="32" t="s">
        <v>1417</v>
      </c>
      <c r="C312" s="32" t="s">
        <v>41</v>
      </c>
      <c r="D312" s="32"/>
      <c r="E312" s="32" t="s">
        <v>1418</v>
      </c>
      <c r="F312" s="32" t="s">
        <v>1416</v>
      </c>
    </row>
    <row r="313" spans="1:6" ht="69.95" customHeight="1">
      <c r="A313" s="32" t="s">
        <v>126</v>
      </c>
      <c r="B313" s="32" t="s">
        <v>1419</v>
      </c>
      <c r="C313" s="32" t="s">
        <v>43</v>
      </c>
      <c r="D313" s="32"/>
      <c r="E313" s="32" t="s">
        <v>1420</v>
      </c>
      <c r="F313" s="32" t="s">
        <v>1416</v>
      </c>
    </row>
    <row r="314" spans="1:6" ht="69.95" customHeight="1">
      <c r="A314" s="32" t="s">
        <v>127</v>
      </c>
      <c r="B314" s="32" t="s">
        <v>1421</v>
      </c>
      <c r="C314" s="32" t="s">
        <v>12</v>
      </c>
      <c r="D314" s="32" t="s">
        <v>660</v>
      </c>
      <c r="E314" s="32"/>
      <c r="F314" s="32" t="s">
        <v>1422</v>
      </c>
    </row>
    <row r="315" spans="1:6" ht="69.95" customHeight="1">
      <c r="A315" s="32" t="s">
        <v>127</v>
      </c>
      <c r="B315" s="32" t="s">
        <v>1423</v>
      </c>
      <c r="C315" s="32" t="s">
        <v>13</v>
      </c>
      <c r="D315" s="32" t="s">
        <v>223</v>
      </c>
      <c r="E315" s="32" t="s">
        <v>644</v>
      </c>
      <c r="F315" s="32" t="s">
        <v>1422</v>
      </c>
    </row>
    <row r="316" spans="1:6" ht="69.95" customHeight="1">
      <c r="A316" s="32" t="s">
        <v>127</v>
      </c>
      <c r="B316" s="32" t="s">
        <v>1414</v>
      </c>
      <c r="C316" s="32" t="s">
        <v>40</v>
      </c>
      <c r="D316" s="32"/>
      <c r="E316" s="32" t="s">
        <v>1415</v>
      </c>
      <c r="F316" s="32" t="s">
        <v>1416</v>
      </c>
    </row>
    <row r="317" spans="1:6" ht="69.95" customHeight="1">
      <c r="A317" s="32" t="s">
        <v>127</v>
      </c>
      <c r="B317" s="32" t="s">
        <v>1417</v>
      </c>
      <c r="C317" s="32" t="s">
        <v>41</v>
      </c>
      <c r="D317" s="32"/>
      <c r="E317" s="32" t="s">
        <v>1418</v>
      </c>
      <c r="F317" s="32" t="s">
        <v>1416</v>
      </c>
    </row>
    <row r="318" spans="1:6" ht="69.95" customHeight="1">
      <c r="A318" s="32" t="s">
        <v>127</v>
      </c>
      <c r="B318" s="32" t="s">
        <v>1419</v>
      </c>
      <c r="C318" s="32" t="s">
        <v>43</v>
      </c>
      <c r="D318" s="32"/>
      <c r="E318" s="32" t="s">
        <v>1420</v>
      </c>
      <c r="F318" s="32" t="s">
        <v>1416</v>
      </c>
    </row>
    <row r="319" spans="1:6" ht="69.95" customHeight="1">
      <c r="A319" s="32" t="s">
        <v>128</v>
      </c>
      <c r="B319" s="32" t="s">
        <v>1423</v>
      </c>
      <c r="C319" s="32" t="s">
        <v>13</v>
      </c>
      <c r="D319" s="32" t="s">
        <v>663</v>
      </c>
      <c r="E319" s="32" t="s">
        <v>647</v>
      </c>
      <c r="F319" s="32" t="s">
        <v>1422</v>
      </c>
    </row>
    <row r="320" spans="1:6" ht="69.95" customHeight="1">
      <c r="A320" s="32" t="s">
        <v>128</v>
      </c>
      <c r="B320" s="32" t="s">
        <v>1414</v>
      </c>
      <c r="C320" s="32" t="s">
        <v>40</v>
      </c>
      <c r="D320" s="32"/>
      <c r="E320" s="32" t="s">
        <v>1415</v>
      </c>
      <c r="F320" s="32" t="s">
        <v>1416</v>
      </c>
    </row>
    <row r="321" spans="1:6" ht="69.95" customHeight="1">
      <c r="A321" s="32" t="s">
        <v>128</v>
      </c>
      <c r="B321" s="32" t="s">
        <v>1417</v>
      </c>
      <c r="C321" s="32" t="s">
        <v>41</v>
      </c>
      <c r="D321" s="32"/>
      <c r="E321" s="32" t="s">
        <v>1418</v>
      </c>
      <c r="F321" s="32" t="s">
        <v>1416</v>
      </c>
    </row>
    <row r="322" spans="1:6" ht="69.95" customHeight="1">
      <c r="A322" s="32" t="s">
        <v>128</v>
      </c>
      <c r="B322" s="32" t="s">
        <v>1419</v>
      </c>
      <c r="C322" s="32" t="s">
        <v>43</v>
      </c>
      <c r="D322" s="32"/>
      <c r="E322" s="32" t="s">
        <v>1420</v>
      </c>
      <c r="F322" s="32" t="s">
        <v>1416</v>
      </c>
    </row>
    <row r="323" spans="1:6" ht="69.95" customHeight="1">
      <c r="A323" s="32" t="s">
        <v>129</v>
      </c>
      <c r="B323" s="32" t="s">
        <v>1423</v>
      </c>
      <c r="C323" s="32" t="s">
        <v>13</v>
      </c>
      <c r="D323" s="32" t="s">
        <v>666</v>
      </c>
      <c r="E323" s="32" t="s">
        <v>650</v>
      </c>
      <c r="F323" s="32" t="s">
        <v>1422</v>
      </c>
    </row>
    <row r="324" spans="1:6" ht="69.95" customHeight="1">
      <c r="A324" s="32" t="s">
        <v>129</v>
      </c>
      <c r="B324" s="32" t="s">
        <v>1414</v>
      </c>
      <c r="C324" s="32" t="s">
        <v>40</v>
      </c>
      <c r="D324" s="32"/>
      <c r="E324" s="32" t="s">
        <v>1415</v>
      </c>
      <c r="F324" s="32" t="s">
        <v>1416</v>
      </c>
    </row>
    <row r="325" spans="1:6" ht="69.95" customHeight="1">
      <c r="A325" s="32" t="s">
        <v>129</v>
      </c>
      <c r="B325" s="32" t="s">
        <v>1417</v>
      </c>
      <c r="C325" s="32" t="s">
        <v>41</v>
      </c>
      <c r="D325" s="32"/>
      <c r="E325" s="32" t="s">
        <v>1418</v>
      </c>
      <c r="F325" s="32" t="s">
        <v>1416</v>
      </c>
    </row>
    <row r="326" spans="1:6" ht="69.95" customHeight="1">
      <c r="A326" s="32" t="s">
        <v>129</v>
      </c>
      <c r="B326" s="32" t="s">
        <v>1419</v>
      </c>
      <c r="C326" s="32" t="s">
        <v>43</v>
      </c>
      <c r="D326" s="32"/>
      <c r="E326" s="32" t="s">
        <v>1420</v>
      </c>
      <c r="F326" s="32" t="s">
        <v>1416</v>
      </c>
    </row>
    <row r="327" spans="1:6" ht="69.95" customHeight="1">
      <c r="A327" s="32" t="s">
        <v>130</v>
      </c>
      <c r="B327" s="32" t="s">
        <v>1423</v>
      </c>
      <c r="C327" s="32" t="s">
        <v>13</v>
      </c>
      <c r="D327" s="32" t="s">
        <v>210</v>
      </c>
      <c r="E327" s="32" t="s">
        <v>223</v>
      </c>
      <c r="F327" s="32" t="s">
        <v>1422</v>
      </c>
    </row>
    <row r="328" spans="1:6" ht="69.95" customHeight="1">
      <c r="A328" s="32" t="s">
        <v>130</v>
      </c>
      <c r="B328" s="32" t="s">
        <v>1414</v>
      </c>
      <c r="C328" s="32" t="s">
        <v>40</v>
      </c>
      <c r="D328" s="32"/>
      <c r="E328" s="32" t="s">
        <v>1415</v>
      </c>
      <c r="F328" s="32" t="s">
        <v>1416</v>
      </c>
    </row>
    <row r="329" spans="1:6" ht="69.95" customHeight="1">
      <c r="A329" s="32" t="s">
        <v>130</v>
      </c>
      <c r="B329" s="32" t="s">
        <v>1417</v>
      </c>
      <c r="C329" s="32" t="s">
        <v>41</v>
      </c>
      <c r="D329" s="32"/>
      <c r="E329" s="32" t="s">
        <v>1418</v>
      </c>
      <c r="F329" s="32" t="s">
        <v>1416</v>
      </c>
    </row>
    <row r="330" spans="1:6" ht="69.95" customHeight="1">
      <c r="A330" s="32" t="s">
        <v>130</v>
      </c>
      <c r="B330" s="32" t="s">
        <v>1419</v>
      </c>
      <c r="C330" s="32" t="s">
        <v>43</v>
      </c>
      <c r="D330" s="32"/>
      <c r="E330" s="32" t="s">
        <v>1420</v>
      </c>
      <c r="F330" s="32" t="s">
        <v>1416</v>
      </c>
    </row>
    <row r="331" spans="1:6" ht="69.95" customHeight="1">
      <c r="A331" s="32" t="s">
        <v>131</v>
      </c>
      <c r="B331" s="32" t="s">
        <v>1423</v>
      </c>
      <c r="C331" s="32" t="s">
        <v>13</v>
      </c>
      <c r="D331" s="32" t="s">
        <v>671</v>
      </c>
      <c r="E331" s="32" t="s">
        <v>655</v>
      </c>
      <c r="F331" s="32" t="s">
        <v>1422</v>
      </c>
    </row>
    <row r="332" spans="1:6" ht="69.95" customHeight="1">
      <c r="A332" s="32" t="s">
        <v>131</v>
      </c>
      <c r="B332" s="32" t="s">
        <v>1414</v>
      </c>
      <c r="C332" s="32" t="s">
        <v>40</v>
      </c>
      <c r="D332" s="32"/>
      <c r="E332" s="32" t="s">
        <v>1415</v>
      </c>
      <c r="F332" s="32" t="s">
        <v>1416</v>
      </c>
    </row>
    <row r="333" spans="1:6" ht="69.95" customHeight="1">
      <c r="A333" s="32" t="s">
        <v>131</v>
      </c>
      <c r="B333" s="32" t="s">
        <v>1417</v>
      </c>
      <c r="C333" s="32" t="s">
        <v>41</v>
      </c>
      <c r="D333" s="32"/>
      <c r="E333" s="32" t="s">
        <v>1418</v>
      </c>
      <c r="F333" s="32" t="s">
        <v>1416</v>
      </c>
    </row>
    <row r="334" spans="1:6" ht="69.95" customHeight="1">
      <c r="A334" s="32" t="s">
        <v>131</v>
      </c>
      <c r="B334" s="32" t="s">
        <v>1419</v>
      </c>
      <c r="C334" s="32" t="s">
        <v>43</v>
      </c>
      <c r="D334" s="32"/>
      <c r="E334" s="32" t="s">
        <v>1420</v>
      </c>
      <c r="F334" s="32" t="s">
        <v>1416</v>
      </c>
    </row>
    <row r="335" spans="1:6" ht="69.95" customHeight="1">
      <c r="A335" s="32" t="s">
        <v>132</v>
      </c>
      <c r="B335" s="32" t="s">
        <v>1423</v>
      </c>
      <c r="C335" s="32" t="s">
        <v>13</v>
      </c>
      <c r="D335" s="32" t="s">
        <v>671</v>
      </c>
      <c r="E335" s="32" t="s">
        <v>223</v>
      </c>
      <c r="F335" s="32" t="s">
        <v>1422</v>
      </c>
    </row>
    <row r="336" spans="1:6" ht="69.95" customHeight="1">
      <c r="A336" s="32" t="s">
        <v>132</v>
      </c>
      <c r="B336" s="32" t="s">
        <v>1414</v>
      </c>
      <c r="C336" s="32" t="s">
        <v>40</v>
      </c>
      <c r="D336" s="32"/>
      <c r="E336" s="32" t="s">
        <v>1415</v>
      </c>
      <c r="F336" s="32" t="s">
        <v>1416</v>
      </c>
    </row>
    <row r="337" spans="1:6" ht="69.95" customHeight="1">
      <c r="A337" s="32" t="s">
        <v>132</v>
      </c>
      <c r="B337" s="32" t="s">
        <v>1417</v>
      </c>
      <c r="C337" s="32" t="s">
        <v>41</v>
      </c>
      <c r="D337" s="32"/>
      <c r="E337" s="32" t="s">
        <v>1418</v>
      </c>
      <c r="F337" s="32" t="s">
        <v>1416</v>
      </c>
    </row>
    <row r="338" spans="1:6" ht="69.95" customHeight="1">
      <c r="A338" s="32" t="s">
        <v>132</v>
      </c>
      <c r="B338" s="32" t="s">
        <v>1419</v>
      </c>
      <c r="C338" s="32" t="s">
        <v>43</v>
      </c>
      <c r="D338" s="32"/>
      <c r="E338" s="32" t="s">
        <v>1420</v>
      </c>
      <c r="F338" s="32" t="s">
        <v>1416</v>
      </c>
    </row>
    <row r="339" spans="1:6" ht="69.95" customHeight="1">
      <c r="A339" s="32" t="s">
        <v>133</v>
      </c>
      <c r="B339" s="32" t="s">
        <v>1421</v>
      </c>
      <c r="C339" s="32" t="s">
        <v>12</v>
      </c>
      <c r="D339" s="32"/>
      <c r="E339" s="32" t="s">
        <v>660</v>
      </c>
      <c r="F339" s="32" t="s">
        <v>1422</v>
      </c>
    </row>
    <row r="340" spans="1:6" ht="69.95" customHeight="1">
      <c r="A340" s="32" t="s">
        <v>133</v>
      </c>
      <c r="B340" s="32" t="s">
        <v>1423</v>
      </c>
      <c r="C340" s="32" t="s">
        <v>13</v>
      </c>
      <c r="D340" s="32" t="s">
        <v>671</v>
      </c>
      <c r="E340" s="32" t="s">
        <v>223</v>
      </c>
      <c r="F340" s="32" t="s">
        <v>1422</v>
      </c>
    </row>
    <row r="341" spans="1:6" ht="69.95" customHeight="1">
      <c r="A341" s="32" t="s">
        <v>133</v>
      </c>
      <c r="B341" s="32" t="s">
        <v>1414</v>
      </c>
      <c r="C341" s="32" t="s">
        <v>40</v>
      </c>
      <c r="D341" s="32"/>
      <c r="E341" s="32" t="s">
        <v>1415</v>
      </c>
      <c r="F341" s="32" t="s">
        <v>1416</v>
      </c>
    </row>
    <row r="342" spans="1:6" ht="69.95" customHeight="1">
      <c r="A342" s="32" t="s">
        <v>133</v>
      </c>
      <c r="B342" s="32" t="s">
        <v>1417</v>
      </c>
      <c r="C342" s="32" t="s">
        <v>41</v>
      </c>
      <c r="D342" s="32"/>
      <c r="E342" s="32" t="s">
        <v>1418</v>
      </c>
      <c r="F342" s="32" t="s">
        <v>1416</v>
      </c>
    </row>
    <row r="343" spans="1:6" ht="69.95" customHeight="1">
      <c r="A343" s="32" t="s">
        <v>133</v>
      </c>
      <c r="B343" s="32" t="s">
        <v>1419</v>
      </c>
      <c r="C343" s="32" t="s">
        <v>43</v>
      </c>
      <c r="D343" s="32"/>
      <c r="E343" s="32" t="s">
        <v>1420</v>
      </c>
      <c r="F343" s="32" t="s">
        <v>1416</v>
      </c>
    </row>
    <row r="344" spans="1:6" ht="69.95" customHeight="1">
      <c r="A344" s="32" t="s">
        <v>134</v>
      </c>
      <c r="B344" s="32" t="s">
        <v>1423</v>
      </c>
      <c r="C344" s="32" t="s">
        <v>13</v>
      </c>
      <c r="D344" s="32"/>
      <c r="E344" s="32" t="s">
        <v>663</v>
      </c>
      <c r="F344" s="32" t="s">
        <v>1422</v>
      </c>
    </row>
    <row r="345" spans="1:6" ht="69.95" customHeight="1">
      <c r="A345" s="32" t="s">
        <v>134</v>
      </c>
      <c r="B345" s="32" t="s">
        <v>1414</v>
      </c>
      <c r="C345" s="32" t="s">
        <v>40</v>
      </c>
      <c r="D345" s="32"/>
      <c r="E345" s="32" t="s">
        <v>1415</v>
      </c>
      <c r="F345" s="32" t="s">
        <v>1416</v>
      </c>
    </row>
    <row r="346" spans="1:6" ht="69.95" customHeight="1">
      <c r="A346" s="32" t="s">
        <v>134</v>
      </c>
      <c r="B346" s="32" t="s">
        <v>1417</v>
      </c>
      <c r="C346" s="32" t="s">
        <v>41</v>
      </c>
      <c r="D346" s="32"/>
      <c r="E346" s="32" t="s">
        <v>1418</v>
      </c>
      <c r="F346" s="32" t="s">
        <v>1416</v>
      </c>
    </row>
    <row r="347" spans="1:6" ht="69.95" customHeight="1">
      <c r="A347" s="32" t="s">
        <v>134</v>
      </c>
      <c r="B347" s="32" t="s">
        <v>1419</v>
      </c>
      <c r="C347" s="32" t="s">
        <v>43</v>
      </c>
      <c r="D347" s="32"/>
      <c r="E347" s="32" t="s">
        <v>1420</v>
      </c>
      <c r="F347" s="32" t="s">
        <v>1416</v>
      </c>
    </row>
    <row r="348" spans="1:6" ht="69.95" customHeight="1">
      <c r="A348" s="32" t="s">
        <v>135</v>
      </c>
      <c r="B348" s="32" t="s">
        <v>1421</v>
      </c>
      <c r="C348" s="32" t="s">
        <v>12</v>
      </c>
      <c r="D348" s="32" t="s">
        <v>678</v>
      </c>
      <c r="E348" s="32"/>
      <c r="F348" s="32" t="s">
        <v>1422</v>
      </c>
    </row>
    <row r="349" spans="1:6" ht="69.95" customHeight="1">
      <c r="A349" s="32" t="s">
        <v>135</v>
      </c>
      <c r="B349" s="32" t="s">
        <v>1423</v>
      </c>
      <c r="C349" s="32" t="s">
        <v>13</v>
      </c>
      <c r="D349" s="32" t="s">
        <v>1246</v>
      </c>
      <c r="E349" s="32" t="s">
        <v>666</v>
      </c>
      <c r="F349" s="32" t="s">
        <v>1422</v>
      </c>
    </row>
    <row r="350" spans="1:6" ht="69.95" customHeight="1">
      <c r="A350" s="32" t="s">
        <v>135</v>
      </c>
      <c r="B350" s="32" t="s">
        <v>1414</v>
      </c>
      <c r="C350" s="32" t="s">
        <v>40</v>
      </c>
      <c r="D350" s="32"/>
      <c r="E350" s="32" t="s">
        <v>1415</v>
      </c>
      <c r="F350" s="32" t="s">
        <v>1416</v>
      </c>
    </row>
    <row r="351" spans="1:6" ht="69.95" customHeight="1">
      <c r="A351" s="32" t="s">
        <v>135</v>
      </c>
      <c r="B351" s="32" t="s">
        <v>1417</v>
      </c>
      <c r="C351" s="32" t="s">
        <v>41</v>
      </c>
      <c r="D351" s="32"/>
      <c r="E351" s="32" t="s">
        <v>1418</v>
      </c>
      <c r="F351" s="32" t="s">
        <v>1416</v>
      </c>
    </row>
    <row r="352" spans="1:6" ht="69.95" customHeight="1">
      <c r="A352" s="32" t="s">
        <v>135</v>
      </c>
      <c r="B352" s="32" t="s">
        <v>1419</v>
      </c>
      <c r="C352" s="32" t="s">
        <v>43</v>
      </c>
      <c r="D352" s="32"/>
      <c r="E352" s="32" t="s">
        <v>1420</v>
      </c>
      <c r="F352" s="32" t="s">
        <v>1416</v>
      </c>
    </row>
    <row r="353" spans="1:6" ht="69.95" customHeight="1">
      <c r="A353" s="32" t="s">
        <v>136</v>
      </c>
      <c r="B353" s="32" t="s">
        <v>1421</v>
      </c>
      <c r="C353" s="32" t="s">
        <v>12</v>
      </c>
      <c r="D353" s="32" t="s">
        <v>78</v>
      </c>
      <c r="E353" s="32"/>
      <c r="F353" s="32" t="s">
        <v>1422</v>
      </c>
    </row>
    <row r="354" spans="1:6" ht="69.95" customHeight="1">
      <c r="A354" s="32" t="s">
        <v>136</v>
      </c>
      <c r="B354" s="32" t="s">
        <v>1423</v>
      </c>
      <c r="C354" s="32" t="s">
        <v>13</v>
      </c>
      <c r="D354" s="32" t="s">
        <v>1514</v>
      </c>
      <c r="E354" s="32" t="s">
        <v>210</v>
      </c>
      <c r="F354" s="32" t="s">
        <v>1422</v>
      </c>
    </row>
    <row r="355" spans="1:6" ht="69.95" customHeight="1">
      <c r="A355" s="32" t="s">
        <v>136</v>
      </c>
      <c r="B355" s="32" t="s">
        <v>1414</v>
      </c>
      <c r="C355" s="32" t="s">
        <v>40</v>
      </c>
      <c r="D355" s="32"/>
      <c r="E355" s="32" t="s">
        <v>1415</v>
      </c>
      <c r="F355" s="32" t="s">
        <v>1416</v>
      </c>
    </row>
    <row r="356" spans="1:6" ht="69.95" customHeight="1">
      <c r="A356" s="32" t="s">
        <v>136</v>
      </c>
      <c r="B356" s="32" t="s">
        <v>1417</v>
      </c>
      <c r="C356" s="32" t="s">
        <v>41</v>
      </c>
      <c r="D356" s="32"/>
      <c r="E356" s="32" t="s">
        <v>1418</v>
      </c>
      <c r="F356" s="32" t="s">
        <v>1416</v>
      </c>
    </row>
    <row r="357" spans="1:6" ht="69.95" customHeight="1">
      <c r="A357" s="32" t="s">
        <v>136</v>
      </c>
      <c r="B357" s="32" t="s">
        <v>1419</v>
      </c>
      <c r="C357" s="32" t="s">
        <v>43</v>
      </c>
      <c r="D357" s="32"/>
      <c r="E357" s="32" t="s">
        <v>1420</v>
      </c>
      <c r="F357" s="32" t="s">
        <v>1416</v>
      </c>
    </row>
    <row r="358" spans="1:6" ht="69.95" customHeight="1">
      <c r="A358" s="32" t="s">
        <v>137</v>
      </c>
      <c r="B358" s="32" t="s">
        <v>1421</v>
      </c>
      <c r="C358" s="32" t="s">
        <v>12</v>
      </c>
      <c r="D358" s="32" t="s">
        <v>682</v>
      </c>
      <c r="E358" s="32"/>
      <c r="F358" s="32" t="s">
        <v>1422</v>
      </c>
    </row>
    <row r="359" spans="1:6" ht="69.95" customHeight="1">
      <c r="A359" s="32" t="s">
        <v>137</v>
      </c>
      <c r="B359" s="32" t="s">
        <v>1423</v>
      </c>
      <c r="C359" s="32" t="s">
        <v>13</v>
      </c>
      <c r="D359" s="32" t="s">
        <v>683</v>
      </c>
      <c r="E359" s="32" t="s">
        <v>671</v>
      </c>
      <c r="F359" s="32" t="s">
        <v>1422</v>
      </c>
    </row>
    <row r="360" spans="1:6" ht="69.95" customHeight="1">
      <c r="A360" s="32" t="s">
        <v>137</v>
      </c>
      <c r="B360" s="32" t="s">
        <v>1414</v>
      </c>
      <c r="C360" s="32" t="s">
        <v>40</v>
      </c>
      <c r="D360" s="32"/>
      <c r="E360" s="32" t="s">
        <v>1415</v>
      </c>
      <c r="F360" s="32" t="s">
        <v>1416</v>
      </c>
    </row>
    <row r="361" spans="1:6" ht="69.95" customHeight="1">
      <c r="A361" s="32" t="s">
        <v>137</v>
      </c>
      <c r="B361" s="32" t="s">
        <v>1417</v>
      </c>
      <c r="C361" s="32" t="s">
        <v>41</v>
      </c>
      <c r="D361" s="32"/>
      <c r="E361" s="32" t="s">
        <v>1418</v>
      </c>
      <c r="F361" s="32" t="s">
        <v>1416</v>
      </c>
    </row>
    <row r="362" spans="1:6" ht="69.95" customHeight="1">
      <c r="A362" s="32" t="s">
        <v>137</v>
      </c>
      <c r="B362" s="32" t="s">
        <v>1419</v>
      </c>
      <c r="C362" s="32" t="s">
        <v>43</v>
      </c>
      <c r="D362" s="32"/>
      <c r="E362" s="32" t="s">
        <v>1420</v>
      </c>
      <c r="F362" s="32" t="s">
        <v>1416</v>
      </c>
    </row>
    <row r="363" spans="1:6" ht="69.95" customHeight="1">
      <c r="A363" s="32" t="s">
        <v>138</v>
      </c>
      <c r="B363" s="32" t="s">
        <v>1421</v>
      </c>
      <c r="C363" s="32" t="s">
        <v>12</v>
      </c>
      <c r="D363" s="32" t="s">
        <v>77</v>
      </c>
      <c r="E363" s="32"/>
      <c r="F363" s="32" t="s">
        <v>1422</v>
      </c>
    </row>
    <row r="364" spans="1:6" ht="69.95" customHeight="1">
      <c r="A364" s="32" t="s">
        <v>138</v>
      </c>
      <c r="B364" s="32" t="s">
        <v>1423</v>
      </c>
      <c r="C364" s="32" t="s">
        <v>13</v>
      </c>
      <c r="D364" s="32" t="s">
        <v>145</v>
      </c>
      <c r="E364" s="32" t="s">
        <v>671</v>
      </c>
      <c r="F364" s="32" t="s">
        <v>1422</v>
      </c>
    </row>
    <row r="365" spans="1:6" ht="69.95" customHeight="1">
      <c r="A365" s="32" t="s">
        <v>138</v>
      </c>
      <c r="B365" s="32" t="s">
        <v>1414</v>
      </c>
      <c r="C365" s="32" t="s">
        <v>40</v>
      </c>
      <c r="D365" s="32"/>
      <c r="E365" s="32" t="s">
        <v>1415</v>
      </c>
      <c r="F365" s="32" t="s">
        <v>1416</v>
      </c>
    </row>
    <row r="366" spans="1:6" ht="69.95" customHeight="1">
      <c r="A366" s="32" t="s">
        <v>138</v>
      </c>
      <c r="B366" s="32" t="s">
        <v>1417</v>
      </c>
      <c r="C366" s="32" t="s">
        <v>41</v>
      </c>
      <c r="D366" s="32"/>
      <c r="E366" s="32" t="s">
        <v>1418</v>
      </c>
      <c r="F366" s="32" t="s">
        <v>1416</v>
      </c>
    </row>
    <row r="367" spans="1:6" ht="69.95" customHeight="1">
      <c r="A367" s="32" t="s">
        <v>138</v>
      </c>
      <c r="B367" s="32" t="s">
        <v>1419</v>
      </c>
      <c r="C367" s="32" t="s">
        <v>43</v>
      </c>
      <c r="D367" s="32"/>
      <c r="E367" s="32" t="s">
        <v>1420</v>
      </c>
      <c r="F367" s="32" t="s">
        <v>1416</v>
      </c>
    </row>
    <row r="368" spans="1:6" ht="69.95" customHeight="1">
      <c r="A368" s="32" t="s">
        <v>139</v>
      </c>
      <c r="B368" s="32" t="s">
        <v>1421</v>
      </c>
      <c r="C368" s="32" t="s">
        <v>12</v>
      </c>
      <c r="D368" s="32" t="s">
        <v>686</v>
      </c>
      <c r="E368" s="32"/>
      <c r="F368" s="32" t="s">
        <v>1422</v>
      </c>
    </row>
    <row r="369" spans="1:6" ht="69.95" customHeight="1">
      <c r="A369" s="32" t="s">
        <v>139</v>
      </c>
      <c r="B369" s="32" t="s">
        <v>1423</v>
      </c>
      <c r="C369" s="32" t="s">
        <v>13</v>
      </c>
      <c r="D369" s="32" t="s">
        <v>687</v>
      </c>
      <c r="E369" s="32" t="s">
        <v>671</v>
      </c>
      <c r="F369" s="32" t="s">
        <v>1422</v>
      </c>
    </row>
    <row r="370" spans="1:6" ht="69.95" customHeight="1">
      <c r="A370" s="32" t="s">
        <v>139</v>
      </c>
      <c r="B370" s="32" t="s">
        <v>1414</v>
      </c>
      <c r="C370" s="32" t="s">
        <v>40</v>
      </c>
      <c r="D370" s="32"/>
      <c r="E370" s="32" t="s">
        <v>1415</v>
      </c>
      <c r="F370" s="32" t="s">
        <v>1416</v>
      </c>
    </row>
    <row r="371" spans="1:6" ht="69.95" customHeight="1">
      <c r="A371" s="32" t="s">
        <v>139</v>
      </c>
      <c r="B371" s="32" t="s">
        <v>1417</v>
      </c>
      <c r="C371" s="32" t="s">
        <v>41</v>
      </c>
      <c r="D371" s="32"/>
      <c r="E371" s="32" t="s">
        <v>1418</v>
      </c>
      <c r="F371" s="32" t="s">
        <v>1416</v>
      </c>
    </row>
    <row r="372" spans="1:6" ht="69.95" customHeight="1">
      <c r="A372" s="32" t="s">
        <v>139</v>
      </c>
      <c r="B372" s="32" t="s">
        <v>1419</v>
      </c>
      <c r="C372" s="32" t="s">
        <v>43</v>
      </c>
      <c r="D372" s="32"/>
      <c r="E372" s="32" t="s">
        <v>1420</v>
      </c>
      <c r="F372" s="32" t="s">
        <v>1416</v>
      </c>
    </row>
    <row r="373" spans="1:6" ht="69.95" customHeight="1">
      <c r="A373" s="32" t="s">
        <v>140</v>
      </c>
      <c r="B373" s="32" t="s">
        <v>1421</v>
      </c>
      <c r="C373" s="32" t="s">
        <v>12</v>
      </c>
      <c r="D373" s="32" t="s">
        <v>145</v>
      </c>
      <c r="E373" s="32"/>
      <c r="F373" s="32" t="s">
        <v>1422</v>
      </c>
    </row>
    <row r="374" spans="1:6" ht="69.95" customHeight="1">
      <c r="A374" s="32" t="s">
        <v>140</v>
      </c>
      <c r="B374" s="32" t="s">
        <v>1423</v>
      </c>
      <c r="C374" s="32" t="s">
        <v>13</v>
      </c>
      <c r="D374" s="32" t="s">
        <v>689</v>
      </c>
      <c r="E374" s="32"/>
      <c r="F374" s="32" t="s">
        <v>1422</v>
      </c>
    </row>
    <row r="375" spans="1:6" ht="69.95" customHeight="1">
      <c r="A375" s="32" t="s">
        <v>140</v>
      </c>
      <c r="B375" s="32" t="s">
        <v>1414</v>
      </c>
      <c r="C375" s="32" t="s">
        <v>40</v>
      </c>
      <c r="D375" s="32"/>
      <c r="E375" s="32" t="s">
        <v>1415</v>
      </c>
      <c r="F375" s="32" t="s">
        <v>1416</v>
      </c>
    </row>
    <row r="376" spans="1:6" ht="69.95" customHeight="1">
      <c r="A376" s="32" t="s">
        <v>140</v>
      </c>
      <c r="B376" s="32" t="s">
        <v>1417</v>
      </c>
      <c r="C376" s="32" t="s">
        <v>41</v>
      </c>
      <c r="D376" s="32"/>
      <c r="E376" s="32" t="s">
        <v>1418</v>
      </c>
      <c r="F376" s="32" t="s">
        <v>1416</v>
      </c>
    </row>
    <row r="377" spans="1:6" ht="69.95" customHeight="1">
      <c r="A377" s="32" t="s">
        <v>140</v>
      </c>
      <c r="B377" s="32" t="s">
        <v>1419</v>
      </c>
      <c r="C377" s="32" t="s">
        <v>43</v>
      </c>
      <c r="D377" s="32"/>
      <c r="E377" s="32" t="s">
        <v>1420</v>
      </c>
      <c r="F377" s="32" t="s">
        <v>1416</v>
      </c>
    </row>
    <row r="378" spans="1:6" ht="69.95" customHeight="1">
      <c r="A378" s="32" t="s">
        <v>141</v>
      </c>
      <c r="B378" s="32" t="s">
        <v>1421</v>
      </c>
      <c r="C378" s="32" t="s">
        <v>12</v>
      </c>
      <c r="D378" s="32" t="s">
        <v>691</v>
      </c>
      <c r="E378" s="32" t="s">
        <v>678</v>
      </c>
      <c r="F378" s="32" t="s">
        <v>1422</v>
      </c>
    </row>
    <row r="379" spans="1:6" ht="69.95" customHeight="1">
      <c r="A379" s="32" t="s">
        <v>141</v>
      </c>
      <c r="B379" s="32" t="s">
        <v>1423</v>
      </c>
      <c r="C379" s="32" t="s">
        <v>13</v>
      </c>
      <c r="D379" s="32"/>
      <c r="E379" s="32" t="s">
        <v>1246</v>
      </c>
      <c r="F379" s="32" t="s">
        <v>1422</v>
      </c>
    </row>
    <row r="380" spans="1:6" ht="69.95" customHeight="1">
      <c r="A380" s="32" t="s">
        <v>141</v>
      </c>
      <c r="B380" s="32" t="s">
        <v>1414</v>
      </c>
      <c r="C380" s="32" t="s">
        <v>40</v>
      </c>
      <c r="D380" s="32"/>
      <c r="E380" s="32" t="s">
        <v>1429</v>
      </c>
      <c r="F380" s="32" t="s">
        <v>1416</v>
      </c>
    </row>
    <row r="381" spans="1:6" ht="69.95" customHeight="1">
      <c r="A381" s="32" t="s">
        <v>141</v>
      </c>
      <c r="B381" s="32" t="s">
        <v>1417</v>
      </c>
      <c r="C381" s="32" t="s">
        <v>41</v>
      </c>
      <c r="D381" s="32"/>
      <c r="E381" s="32" t="s">
        <v>1418</v>
      </c>
      <c r="F381" s="32" t="s">
        <v>1416</v>
      </c>
    </row>
    <row r="382" spans="1:6" ht="69.95" customHeight="1">
      <c r="A382" s="32" t="s">
        <v>141</v>
      </c>
      <c r="B382" s="32" t="s">
        <v>1419</v>
      </c>
      <c r="C382" s="32" t="s">
        <v>43</v>
      </c>
      <c r="D382" s="32"/>
      <c r="E382" s="32" t="s">
        <v>1420</v>
      </c>
      <c r="F382" s="32" t="s">
        <v>1416</v>
      </c>
    </row>
    <row r="383" spans="1:6" ht="69.95" customHeight="1">
      <c r="A383" s="32" t="s">
        <v>142</v>
      </c>
      <c r="B383" s="32" t="s">
        <v>1421</v>
      </c>
      <c r="C383" s="32" t="s">
        <v>12</v>
      </c>
      <c r="D383" s="32" t="s">
        <v>693</v>
      </c>
      <c r="E383" s="32" t="s">
        <v>78</v>
      </c>
      <c r="F383" s="32" t="s">
        <v>1422</v>
      </c>
    </row>
    <row r="384" spans="1:6" ht="69.95" customHeight="1">
      <c r="A384" s="32" t="s">
        <v>142</v>
      </c>
      <c r="B384" s="32" t="s">
        <v>1423</v>
      </c>
      <c r="C384" s="32" t="s">
        <v>13</v>
      </c>
      <c r="D384" s="32" t="s">
        <v>163</v>
      </c>
      <c r="E384" s="32" t="s">
        <v>1514</v>
      </c>
      <c r="F384" s="32" t="s">
        <v>1422</v>
      </c>
    </row>
    <row r="385" spans="1:6" ht="69.95" customHeight="1">
      <c r="A385" s="32" t="s">
        <v>142</v>
      </c>
      <c r="B385" s="32" t="s">
        <v>1414</v>
      </c>
      <c r="C385" s="32" t="s">
        <v>40</v>
      </c>
      <c r="D385" s="32"/>
      <c r="E385" s="32" t="s">
        <v>1429</v>
      </c>
      <c r="F385" s="32" t="s">
        <v>1416</v>
      </c>
    </row>
    <row r="386" spans="1:6" ht="69.95" customHeight="1">
      <c r="A386" s="32" t="s">
        <v>142</v>
      </c>
      <c r="B386" s="32" t="s">
        <v>1417</v>
      </c>
      <c r="C386" s="32" t="s">
        <v>41</v>
      </c>
      <c r="D386" s="32"/>
      <c r="E386" s="32" t="s">
        <v>1418</v>
      </c>
      <c r="F386" s="32" t="s">
        <v>1416</v>
      </c>
    </row>
    <row r="387" spans="1:6" ht="69.95" customHeight="1">
      <c r="A387" s="32" t="s">
        <v>142</v>
      </c>
      <c r="B387" s="32" t="s">
        <v>1419</v>
      </c>
      <c r="C387" s="32" t="s">
        <v>43</v>
      </c>
      <c r="D387" s="32"/>
      <c r="E387" s="32" t="s">
        <v>1420</v>
      </c>
      <c r="F387" s="32" t="s">
        <v>1416</v>
      </c>
    </row>
    <row r="388" spans="1:6" ht="69.95" customHeight="1">
      <c r="A388" s="32" t="s">
        <v>143</v>
      </c>
      <c r="B388" s="32" t="s">
        <v>1421</v>
      </c>
      <c r="C388" s="32" t="s">
        <v>12</v>
      </c>
      <c r="D388" s="32" t="s">
        <v>695</v>
      </c>
      <c r="E388" s="32" t="s">
        <v>682</v>
      </c>
      <c r="F388" s="32" t="s">
        <v>1422</v>
      </c>
    </row>
    <row r="389" spans="1:6" ht="69.95" customHeight="1">
      <c r="A389" s="32" t="s">
        <v>143</v>
      </c>
      <c r="B389" s="32" t="s">
        <v>1423</v>
      </c>
      <c r="C389" s="32" t="s">
        <v>13</v>
      </c>
      <c r="D389" s="32" t="s">
        <v>696</v>
      </c>
      <c r="E389" s="32" t="s">
        <v>683</v>
      </c>
      <c r="F389" s="32" t="s">
        <v>1422</v>
      </c>
    </row>
    <row r="390" spans="1:6" ht="69.95" customHeight="1">
      <c r="A390" s="32" t="s">
        <v>143</v>
      </c>
      <c r="B390" s="32" t="s">
        <v>1414</v>
      </c>
      <c r="C390" s="32" t="s">
        <v>40</v>
      </c>
      <c r="D390" s="32"/>
      <c r="E390" s="32" t="s">
        <v>1415</v>
      </c>
      <c r="F390" s="32" t="s">
        <v>1416</v>
      </c>
    </row>
    <row r="391" spans="1:6" ht="69.95" customHeight="1">
      <c r="A391" s="32" t="s">
        <v>143</v>
      </c>
      <c r="B391" s="32" t="s">
        <v>1417</v>
      </c>
      <c r="C391" s="32" t="s">
        <v>41</v>
      </c>
      <c r="D391" s="32"/>
      <c r="E391" s="32" t="s">
        <v>1418</v>
      </c>
      <c r="F391" s="32" t="s">
        <v>1416</v>
      </c>
    </row>
    <row r="392" spans="1:6" ht="69.95" customHeight="1">
      <c r="A392" s="32" t="s">
        <v>143</v>
      </c>
      <c r="B392" s="32" t="s">
        <v>1419</v>
      </c>
      <c r="C392" s="32" t="s">
        <v>43</v>
      </c>
      <c r="D392" s="32"/>
      <c r="E392" s="32" t="s">
        <v>1420</v>
      </c>
      <c r="F392" s="32" t="s">
        <v>1416</v>
      </c>
    </row>
    <row r="393" spans="1:6" ht="69.95" customHeight="1">
      <c r="A393" s="32" t="s">
        <v>144</v>
      </c>
      <c r="B393" s="32" t="s">
        <v>1421</v>
      </c>
      <c r="C393" s="32" t="s">
        <v>12</v>
      </c>
      <c r="D393" s="32" t="s">
        <v>698</v>
      </c>
      <c r="E393" s="32" t="s">
        <v>77</v>
      </c>
      <c r="F393" s="32" t="s">
        <v>1422</v>
      </c>
    </row>
    <row r="394" spans="1:6" ht="69.95" customHeight="1">
      <c r="A394" s="32" t="s">
        <v>144</v>
      </c>
      <c r="B394" s="32" t="s">
        <v>1423</v>
      </c>
      <c r="C394" s="32" t="s">
        <v>13</v>
      </c>
      <c r="D394" s="32" t="s">
        <v>699</v>
      </c>
      <c r="E394" s="32" t="s">
        <v>145</v>
      </c>
      <c r="F394" s="32" t="s">
        <v>1422</v>
      </c>
    </row>
    <row r="395" spans="1:6" ht="69.95" customHeight="1">
      <c r="A395" s="32" t="s">
        <v>144</v>
      </c>
      <c r="B395" s="32" t="s">
        <v>1414</v>
      </c>
      <c r="C395" s="32" t="s">
        <v>40</v>
      </c>
      <c r="D395" s="32"/>
      <c r="E395" s="32" t="s">
        <v>1415</v>
      </c>
      <c r="F395" s="32" t="s">
        <v>1416</v>
      </c>
    </row>
    <row r="396" spans="1:6" ht="69.95" customHeight="1">
      <c r="A396" s="32" t="s">
        <v>144</v>
      </c>
      <c r="B396" s="32" t="s">
        <v>1417</v>
      </c>
      <c r="C396" s="32" t="s">
        <v>41</v>
      </c>
      <c r="D396" s="32"/>
      <c r="E396" s="32" t="s">
        <v>1418</v>
      </c>
      <c r="F396" s="32" t="s">
        <v>1416</v>
      </c>
    </row>
    <row r="397" spans="1:6" ht="69.95" customHeight="1">
      <c r="A397" s="32" t="s">
        <v>144</v>
      </c>
      <c r="B397" s="32" t="s">
        <v>1419</v>
      </c>
      <c r="C397" s="32" t="s">
        <v>43</v>
      </c>
      <c r="D397" s="32"/>
      <c r="E397" s="32" t="s">
        <v>1420</v>
      </c>
      <c r="F397" s="32" t="s">
        <v>1416</v>
      </c>
    </row>
    <row r="398" spans="1:6" ht="69.95" customHeight="1">
      <c r="A398" s="32" t="s">
        <v>145</v>
      </c>
      <c r="B398" s="32" t="s">
        <v>1421</v>
      </c>
      <c r="C398" s="32" t="s">
        <v>12</v>
      </c>
      <c r="D398" s="32" t="s">
        <v>701</v>
      </c>
      <c r="E398" s="32" t="s">
        <v>686</v>
      </c>
      <c r="F398" s="32" t="s">
        <v>1422</v>
      </c>
    </row>
    <row r="399" spans="1:6" ht="69.95" customHeight="1">
      <c r="A399" s="32" t="s">
        <v>145</v>
      </c>
      <c r="B399" s="32" t="s">
        <v>1423</v>
      </c>
      <c r="C399" s="32" t="s">
        <v>13</v>
      </c>
      <c r="D399" s="32" t="s">
        <v>217</v>
      </c>
      <c r="E399" s="32" t="s">
        <v>687</v>
      </c>
      <c r="F399" s="32" t="s">
        <v>1422</v>
      </c>
    </row>
    <row r="400" spans="1:6" ht="69.95" customHeight="1">
      <c r="A400" s="32" t="s">
        <v>145</v>
      </c>
      <c r="B400" s="32" t="s">
        <v>1414</v>
      </c>
      <c r="C400" s="32" t="s">
        <v>40</v>
      </c>
      <c r="D400" s="32"/>
      <c r="E400" s="32" t="s">
        <v>1415</v>
      </c>
      <c r="F400" s="32" t="s">
        <v>1416</v>
      </c>
    </row>
    <row r="401" spans="1:6" ht="69.95" customHeight="1">
      <c r="A401" s="32" t="s">
        <v>145</v>
      </c>
      <c r="B401" s="32" t="s">
        <v>1417</v>
      </c>
      <c r="C401" s="32" t="s">
        <v>41</v>
      </c>
      <c r="D401" s="32"/>
      <c r="E401" s="32" t="s">
        <v>1418</v>
      </c>
      <c r="F401" s="32" t="s">
        <v>1416</v>
      </c>
    </row>
    <row r="402" spans="1:6" ht="69.95" customHeight="1">
      <c r="A402" s="32" t="s">
        <v>145</v>
      </c>
      <c r="B402" s="32" t="s">
        <v>1419</v>
      </c>
      <c r="C402" s="32" t="s">
        <v>43</v>
      </c>
      <c r="D402" s="32"/>
      <c r="E402" s="32" t="s">
        <v>1420</v>
      </c>
      <c r="F402" s="32" t="s">
        <v>1416</v>
      </c>
    </row>
    <row r="403" spans="1:6" ht="69.95" customHeight="1">
      <c r="A403" s="32" t="s">
        <v>146</v>
      </c>
      <c r="B403" s="32" t="s">
        <v>1421</v>
      </c>
      <c r="C403" s="32" t="s">
        <v>12</v>
      </c>
      <c r="D403" s="32" t="s">
        <v>704</v>
      </c>
      <c r="E403" s="32" t="s">
        <v>145</v>
      </c>
      <c r="F403" s="32" t="s">
        <v>1422</v>
      </c>
    </row>
    <row r="404" spans="1:6" ht="69.95" customHeight="1">
      <c r="A404" s="32" t="s">
        <v>146</v>
      </c>
      <c r="B404" s="32" t="s">
        <v>1423</v>
      </c>
      <c r="C404" s="32" t="s">
        <v>13</v>
      </c>
      <c r="D404" s="32" t="s">
        <v>705</v>
      </c>
      <c r="E404" s="32" t="s">
        <v>689</v>
      </c>
      <c r="F404" s="32" t="s">
        <v>1422</v>
      </c>
    </row>
    <row r="405" spans="1:6" ht="69.95" customHeight="1">
      <c r="A405" s="32" t="s">
        <v>146</v>
      </c>
      <c r="B405" s="32" t="s">
        <v>1414</v>
      </c>
      <c r="C405" s="32" t="s">
        <v>40</v>
      </c>
      <c r="D405" s="32"/>
      <c r="E405" s="32" t="s">
        <v>1415</v>
      </c>
      <c r="F405" s="32" t="s">
        <v>1416</v>
      </c>
    </row>
    <row r="406" spans="1:6" ht="69.95" customHeight="1">
      <c r="A406" s="32" t="s">
        <v>146</v>
      </c>
      <c r="B406" s="32" t="s">
        <v>1417</v>
      </c>
      <c r="C406" s="32" t="s">
        <v>41</v>
      </c>
      <c r="D406" s="32"/>
      <c r="E406" s="32" t="s">
        <v>1418</v>
      </c>
      <c r="F406" s="32" t="s">
        <v>1416</v>
      </c>
    </row>
    <row r="407" spans="1:6" ht="69.95" customHeight="1">
      <c r="A407" s="32" t="s">
        <v>146</v>
      </c>
      <c r="B407" s="32" t="s">
        <v>1419</v>
      </c>
      <c r="C407" s="32" t="s">
        <v>43</v>
      </c>
      <c r="D407" s="32"/>
      <c r="E407" s="32" t="s">
        <v>1420</v>
      </c>
      <c r="F407" s="32" t="s">
        <v>1416</v>
      </c>
    </row>
    <row r="408" spans="1:6" ht="69.95" customHeight="1">
      <c r="A408" s="32" t="s">
        <v>147</v>
      </c>
      <c r="B408" s="32" t="s">
        <v>1421</v>
      </c>
      <c r="C408" s="32" t="s">
        <v>12</v>
      </c>
      <c r="D408" s="32"/>
      <c r="E408" s="32" t="s">
        <v>691</v>
      </c>
      <c r="F408" s="32" t="s">
        <v>1422</v>
      </c>
    </row>
    <row r="409" spans="1:6" ht="69.95" customHeight="1">
      <c r="A409" s="32" t="s">
        <v>147</v>
      </c>
      <c r="B409" s="32" t="s">
        <v>1423</v>
      </c>
      <c r="C409" s="32" t="s">
        <v>13</v>
      </c>
      <c r="D409" s="32" t="s">
        <v>708</v>
      </c>
      <c r="E409" s="32"/>
      <c r="F409" s="32" t="s">
        <v>1422</v>
      </c>
    </row>
    <row r="410" spans="1:6" ht="69.95" customHeight="1">
      <c r="A410" s="32" t="s">
        <v>147</v>
      </c>
      <c r="B410" s="32" t="s">
        <v>1414</v>
      </c>
      <c r="C410" s="32" t="s">
        <v>40</v>
      </c>
      <c r="D410" s="32"/>
      <c r="E410" s="32" t="s">
        <v>1429</v>
      </c>
      <c r="F410" s="32" t="s">
        <v>1416</v>
      </c>
    </row>
    <row r="411" spans="1:6" ht="69.95" customHeight="1">
      <c r="A411" s="32" t="s">
        <v>147</v>
      </c>
      <c r="B411" s="32" t="s">
        <v>1417</v>
      </c>
      <c r="C411" s="32" t="s">
        <v>41</v>
      </c>
      <c r="D411" s="32"/>
      <c r="E411" s="32" t="s">
        <v>1418</v>
      </c>
      <c r="F411" s="32" t="s">
        <v>1416</v>
      </c>
    </row>
    <row r="412" spans="1:6" ht="69.95" customHeight="1">
      <c r="A412" s="32" t="s">
        <v>147</v>
      </c>
      <c r="B412" s="32" t="s">
        <v>1419</v>
      </c>
      <c r="C412" s="32" t="s">
        <v>43</v>
      </c>
      <c r="D412" s="32"/>
      <c r="E412" s="32" t="s">
        <v>1420</v>
      </c>
      <c r="F412" s="32" t="s">
        <v>1416</v>
      </c>
    </row>
    <row r="413" spans="1:6" ht="69.95" customHeight="1">
      <c r="A413" s="32" t="s">
        <v>148</v>
      </c>
      <c r="B413" s="32" t="s">
        <v>1421</v>
      </c>
      <c r="C413" s="32" t="s">
        <v>12</v>
      </c>
      <c r="D413" s="32" t="s">
        <v>710</v>
      </c>
      <c r="E413" s="32" t="s">
        <v>693</v>
      </c>
      <c r="F413" s="32" t="s">
        <v>1422</v>
      </c>
    </row>
    <row r="414" spans="1:6" ht="69.95" customHeight="1">
      <c r="A414" s="32" t="s">
        <v>148</v>
      </c>
      <c r="B414" s="32" t="s">
        <v>1423</v>
      </c>
      <c r="C414" s="32" t="s">
        <v>13</v>
      </c>
      <c r="D414" s="32" t="s">
        <v>705</v>
      </c>
      <c r="E414" s="32" t="s">
        <v>163</v>
      </c>
      <c r="F414" s="32" t="s">
        <v>1422</v>
      </c>
    </row>
    <row r="415" spans="1:6" ht="69.95" customHeight="1">
      <c r="A415" s="32" t="s">
        <v>148</v>
      </c>
      <c r="B415" s="32" t="s">
        <v>1414</v>
      </c>
      <c r="C415" s="32" t="s">
        <v>40</v>
      </c>
      <c r="D415" s="32"/>
      <c r="E415" s="32" t="s">
        <v>1429</v>
      </c>
      <c r="F415" s="32" t="s">
        <v>1416</v>
      </c>
    </row>
    <row r="416" spans="1:6" ht="69.95" customHeight="1">
      <c r="A416" s="32" t="s">
        <v>148</v>
      </c>
      <c r="B416" s="32" t="s">
        <v>1417</v>
      </c>
      <c r="C416" s="32" t="s">
        <v>41</v>
      </c>
      <c r="D416" s="32"/>
      <c r="E416" s="32" t="s">
        <v>1418</v>
      </c>
      <c r="F416" s="32" t="s">
        <v>1416</v>
      </c>
    </row>
    <row r="417" spans="1:6" ht="69.95" customHeight="1">
      <c r="A417" s="32" t="s">
        <v>148</v>
      </c>
      <c r="B417" s="32" t="s">
        <v>1419</v>
      </c>
      <c r="C417" s="32" t="s">
        <v>43</v>
      </c>
      <c r="D417" s="32"/>
      <c r="E417" s="32" t="s">
        <v>1420</v>
      </c>
      <c r="F417" s="32" t="s">
        <v>1416</v>
      </c>
    </row>
    <row r="418" spans="1:6" ht="69.95" customHeight="1">
      <c r="A418" s="32" t="s">
        <v>149</v>
      </c>
      <c r="B418" s="32" t="s">
        <v>1421</v>
      </c>
      <c r="C418" s="32" t="s">
        <v>12</v>
      </c>
      <c r="D418" s="32"/>
      <c r="E418" s="32" t="s">
        <v>695</v>
      </c>
      <c r="F418" s="32" t="s">
        <v>1422</v>
      </c>
    </row>
    <row r="419" spans="1:6" ht="69.95" customHeight="1">
      <c r="A419" s="32" t="s">
        <v>149</v>
      </c>
      <c r="B419" s="32" t="s">
        <v>1423</v>
      </c>
      <c r="C419" s="32" t="s">
        <v>13</v>
      </c>
      <c r="D419" s="32" t="s">
        <v>163</v>
      </c>
      <c r="E419" s="32" t="s">
        <v>696</v>
      </c>
      <c r="F419" s="32" t="s">
        <v>1422</v>
      </c>
    </row>
    <row r="420" spans="1:6" ht="69.95" customHeight="1">
      <c r="A420" s="32" t="s">
        <v>149</v>
      </c>
      <c r="B420" s="32" t="s">
        <v>1414</v>
      </c>
      <c r="C420" s="32" t="s">
        <v>40</v>
      </c>
      <c r="D420" s="32"/>
      <c r="E420" s="32" t="s">
        <v>1415</v>
      </c>
      <c r="F420" s="32" t="s">
        <v>1416</v>
      </c>
    </row>
    <row r="421" spans="1:6" ht="69.95" customHeight="1">
      <c r="A421" s="32" t="s">
        <v>149</v>
      </c>
      <c r="B421" s="32" t="s">
        <v>1417</v>
      </c>
      <c r="C421" s="32" t="s">
        <v>41</v>
      </c>
      <c r="D421" s="32"/>
      <c r="E421" s="32" t="s">
        <v>1418</v>
      </c>
      <c r="F421" s="32" t="s">
        <v>1416</v>
      </c>
    </row>
    <row r="422" spans="1:6" ht="69.95" customHeight="1">
      <c r="A422" s="32" t="s">
        <v>149</v>
      </c>
      <c r="B422" s="32" t="s">
        <v>1419</v>
      </c>
      <c r="C422" s="32" t="s">
        <v>43</v>
      </c>
      <c r="D422" s="32"/>
      <c r="E422" s="32" t="s">
        <v>1420</v>
      </c>
      <c r="F422" s="32" t="s">
        <v>1416</v>
      </c>
    </row>
    <row r="423" spans="1:6" ht="69.95" customHeight="1">
      <c r="A423" s="32" t="s">
        <v>150</v>
      </c>
      <c r="B423" s="32" t="s">
        <v>1421</v>
      </c>
      <c r="C423" s="32" t="s">
        <v>12</v>
      </c>
      <c r="D423" s="32"/>
      <c r="E423" s="32" t="s">
        <v>698</v>
      </c>
      <c r="F423" s="32" t="s">
        <v>1422</v>
      </c>
    </row>
    <row r="424" spans="1:6" ht="69.95" customHeight="1">
      <c r="A424" s="32" t="s">
        <v>150</v>
      </c>
      <c r="B424" s="32" t="s">
        <v>1423</v>
      </c>
      <c r="C424" s="32" t="s">
        <v>13</v>
      </c>
      <c r="D424" s="32" t="s">
        <v>713</v>
      </c>
      <c r="E424" s="32" t="s">
        <v>699</v>
      </c>
      <c r="F424" s="32" t="s">
        <v>1422</v>
      </c>
    </row>
    <row r="425" spans="1:6" ht="69.95" customHeight="1">
      <c r="A425" s="32" t="s">
        <v>150</v>
      </c>
      <c r="B425" s="32" t="s">
        <v>1414</v>
      </c>
      <c r="C425" s="32" t="s">
        <v>40</v>
      </c>
      <c r="D425" s="32"/>
      <c r="E425" s="32" t="s">
        <v>1415</v>
      </c>
      <c r="F425" s="32" t="s">
        <v>1416</v>
      </c>
    </row>
    <row r="426" spans="1:6" ht="69.95" customHeight="1">
      <c r="A426" s="32" t="s">
        <v>150</v>
      </c>
      <c r="B426" s="32" t="s">
        <v>1417</v>
      </c>
      <c r="C426" s="32" t="s">
        <v>41</v>
      </c>
      <c r="D426" s="32"/>
      <c r="E426" s="32" t="s">
        <v>1418</v>
      </c>
      <c r="F426" s="32" t="s">
        <v>1416</v>
      </c>
    </row>
    <row r="427" spans="1:6" ht="69.95" customHeight="1">
      <c r="A427" s="32" t="s">
        <v>150</v>
      </c>
      <c r="B427" s="32" t="s">
        <v>1419</v>
      </c>
      <c r="C427" s="32" t="s">
        <v>43</v>
      </c>
      <c r="D427" s="32"/>
      <c r="E427" s="32" t="s">
        <v>1420</v>
      </c>
      <c r="F427" s="32" t="s">
        <v>1416</v>
      </c>
    </row>
    <row r="428" spans="1:6" ht="69.95" customHeight="1">
      <c r="A428" s="32" t="s">
        <v>151</v>
      </c>
      <c r="B428" s="32" t="s">
        <v>1421</v>
      </c>
      <c r="C428" s="32" t="s">
        <v>12</v>
      </c>
      <c r="D428" s="32"/>
      <c r="E428" s="32" t="s">
        <v>701</v>
      </c>
      <c r="F428" s="32" t="s">
        <v>1422</v>
      </c>
    </row>
    <row r="429" spans="1:6" ht="69.95" customHeight="1">
      <c r="A429" s="32" t="s">
        <v>151</v>
      </c>
      <c r="B429" s="32" t="s">
        <v>1423</v>
      </c>
      <c r="C429" s="32" t="s">
        <v>13</v>
      </c>
      <c r="D429" s="32"/>
      <c r="E429" s="32" t="s">
        <v>217</v>
      </c>
      <c r="F429" s="32" t="s">
        <v>1422</v>
      </c>
    </row>
    <row r="430" spans="1:6" ht="69.95" customHeight="1">
      <c r="A430" s="32" t="s">
        <v>151</v>
      </c>
      <c r="B430" s="32" t="s">
        <v>1414</v>
      </c>
      <c r="C430" s="32" t="s">
        <v>40</v>
      </c>
      <c r="D430" s="32"/>
      <c r="E430" s="32" t="s">
        <v>1429</v>
      </c>
      <c r="F430" s="32" t="s">
        <v>1416</v>
      </c>
    </row>
    <row r="431" spans="1:6" ht="69.95" customHeight="1">
      <c r="A431" s="32" t="s">
        <v>151</v>
      </c>
      <c r="B431" s="32" t="s">
        <v>1417</v>
      </c>
      <c r="C431" s="32" t="s">
        <v>41</v>
      </c>
      <c r="D431" s="32"/>
      <c r="E431" s="32" t="s">
        <v>1418</v>
      </c>
      <c r="F431" s="32" t="s">
        <v>1416</v>
      </c>
    </row>
    <row r="432" spans="1:6" ht="69.95" customHeight="1">
      <c r="A432" s="32" t="s">
        <v>151</v>
      </c>
      <c r="B432" s="32" t="s">
        <v>1419</v>
      </c>
      <c r="C432" s="32" t="s">
        <v>43</v>
      </c>
      <c r="D432" s="32"/>
      <c r="E432" s="32" t="s">
        <v>1420</v>
      </c>
      <c r="F432" s="32" t="s">
        <v>1416</v>
      </c>
    </row>
    <row r="433" spans="1:6" ht="69.95" customHeight="1">
      <c r="A433" s="32" t="s">
        <v>152</v>
      </c>
      <c r="B433" s="32" t="s">
        <v>1421</v>
      </c>
      <c r="C433" s="32" t="s">
        <v>12</v>
      </c>
      <c r="D433" s="32" t="s">
        <v>156</v>
      </c>
      <c r="E433" s="32" t="s">
        <v>704</v>
      </c>
      <c r="F433" s="32" t="s">
        <v>1422</v>
      </c>
    </row>
    <row r="434" spans="1:6" ht="69.95" customHeight="1">
      <c r="A434" s="32" t="s">
        <v>152</v>
      </c>
      <c r="B434" s="32" t="s">
        <v>1423</v>
      </c>
      <c r="C434" s="32" t="s">
        <v>13</v>
      </c>
      <c r="D434" s="32" t="s">
        <v>179</v>
      </c>
      <c r="E434" s="32" t="s">
        <v>705</v>
      </c>
      <c r="F434" s="32" t="s">
        <v>1422</v>
      </c>
    </row>
    <row r="435" spans="1:6" ht="69.95" customHeight="1">
      <c r="A435" s="32" t="s">
        <v>152</v>
      </c>
      <c r="B435" s="32" t="s">
        <v>1414</v>
      </c>
      <c r="C435" s="32" t="s">
        <v>40</v>
      </c>
      <c r="D435" s="32"/>
      <c r="E435" s="32" t="s">
        <v>1429</v>
      </c>
      <c r="F435" s="32" t="s">
        <v>1416</v>
      </c>
    </row>
    <row r="436" spans="1:6" ht="69.95" customHeight="1">
      <c r="A436" s="32" t="s">
        <v>152</v>
      </c>
      <c r="B436" s="32" t="s">
        <v>1417</v>
      </c>
      <c r="C436" s="32" t="s">
        <v>41</v>
      </c>
      <c r="D436" s="32"/>
      <c r="E436" s="32" t="s">
        <v>1418</v>
      </c>
      <c r="F436" s="32" t="s">
        <v>1416</v>
      </c>
    </row>
    <row r="437" spans="1:6" ht="69.95" customHeight="1">
      <c r="A437" s="32" t="s">
        <v>152</v>
      </c>
      <c r="B437" s="32" t="s">
        <v>1419</v>
      </c>
      <c r="C437" s="32" t="s">
        <v>43</v>
      </c>
      <c r="D437" s="32"/>
      <c r="E437" s="32" t="s">
        <v>1420</v>
      </c>
      <c r="F437" s="32" t="s">
        <v>1416</v>
      </c>
    </row>
    <row r="438" spans="1:6" ht="69.95" customHeight="1">
      <c r="A438" s="32" t="s">
        <v>153</v>
      </c>
      <c r="B438" s="32" t="s">
        <v>1423</v>
      </c>
      <c r="C438" s="32" t="s">
        <v>13</v>
      </c>
      <c r="D438" s="32" t="s">
        <v>1515</v>
      </c>
      <c r="E438" s="32" t="s">
        <v>708</v>
      </c>
      <c r="F438" s="32" t="s">
        <v>1422</v>
      </c>
    </row>
    <row r="439" spans="1:6" ht="69.95" customHeight="1">
      <c r="A439" s="32" t="s">
        <v>153</v>
      </c>
      <c r="B439" s="32" t="s">
        <v>1414</v>
      </c>
      <c r="C439" s="32" t="s">
        <v>40</v>
      </c>
      <c r="D439" s="32"/>
      <c r="E439" s="32" t="s">
        <v>1429</v>
      </c>
      <c r="F439" s="32" t="s">
        <v>1416</v>
      </c>
    </row>
    <row r="440" spans="1:6" ht="69.95" customHeight="1">
      <c r="A440" s="32" t="s">
        <v>153</v>
      </c>
      <c r="B440" s="32" t="s">
        <v>1417</v>
      </c>
      <c r="C440" s="32" t="s">
        <v>41</v>
      </c>
      <c r="D440" s="32"/>
      <c r="E440" s="32" t="s">
        <v>1418</v>
      </c>
      <c r="F440" s="32" t="s">
        <v>1416</v>
      </c>
    </row>
    <row r="441" spans="1:6" ht="69.95" customHeight="1">
      <c r="A441" s="32" t="s">
        <v>153</v>
      </c>
      <c r="B441" s="32" t="s">
        <v>1419</v>
      </c>
      <c r="C441" s="32" t="s">
        <v>43</v>
      </c>
      <c r="D441" s="32"/>
      <c r="E441" s="32" t="s">
        <v>1420</v>
      </c>
      <c r="F441" s="32" t="s">
        <v>1416</v>
      </c>
    </row>
    <row r="442" spans="1:6" ht="69.95" customHeight="1">
      <c r="A442" s="32" t="s">
        <v>154</v>
      </c>
      <c r="B442" s="32" t="s">
        <v>1421</v>
      </c>
      <c r="C442" s="32" t="s">
        <v>12</v>
      </c>
      <c r="D442" s="32"/>
      <c r="E442" s="32" t="s">
        <v>710</v>
      </c>
      <c r="F442" s="32" t="s">
        <v>1422</v>
      </c>
    </row>
    <row r="443" spans="1:6" ht="69.95" customHeight="1">
      <c r="A443" s="32" t="s">
        <v>154</v>
      </c>
      <c r="B443" s="32" t="s">
        <v>1423</v>
      </c>
      <c r="C443" s="32" t="s">
        <v>13</v>
      </c>
      <c r="D443" s="32" t="s">
        <v>1252</v>
      </c>
      <c r="E443" s="32" t="s">
        <v>705</v>
      </c>
      <c r="F443" s="32" t="s">
        <v>1422</v>
      </c>
    </row>
    <row r="444" spans="1:6" ht="69.95" customHeight="1">
      <c r="A444" s="32" t="s">
        <v>154</v>
      </c>
      <c r="B444" s="32" t="s">
        <v>1414</v>
      </c>
      <c r="C444" s="32" t="s">
        <v>40</v>
      </c>
      <c r="D444" s="32"/>
      <c r="E444" s="32" t="s">
        <v>1429</v>
      </c>
      <c r="F444" s="32" t="s">
        <v>1416</v>
      </c>
    </row>
    <row r="445" spans="1:6" ht="69.95" customHeight="1">
      <c r="A445" s="32" t="s">
        <v>154</v>
      </c>
      <c r="B445" s="32" t="s">
        <v>1417</v>
      </c>
      <c r="C445" s="32" t="s">
        <v>41</v>
      </c>
      <c r="D445" s="32"/>
      <c r="E445" s="32" t="s">
        <v>1418</v>
      </c>
      <c r="F445" s="32" t="s">
        <v>1416</v>
      </c>
    </row>
    <row r="446" spans="1:6" ht="69.95" customHeight="1">
      <c r="A446" s="32" t="s">
        <v>154</v>
      </c>
      <c r="B446" s="32" t="s">
        <v>1419</v>
      </c>
      <c r="C446" s="32" t="s">
        <v>43</v>
      </c>
      <c r="D446" s="32"/>
      <c r="E446" s="32" t="s">
        <v>1420</v>
      </c>
      <c r="F446" s="32" t="s">
        <v>1416</v>
      </c>
    </row>
    <row r="447" spans="1:6" ht="69.95" customHeight="1">
      <c r="A447" s="32" t="s">
        <v>155</v>
      </c>
      <c r="B447" s="32" t="s">
        <v>1449</v>
      </c>
      <c r="C447" s="32" t="s">
        <v>7</v>
      </c>
      <c r="D447" s="32" t="s">
        <v>1516</v>
      </c>
      <c r="E447" s="32" t="s">
        <v>1517</v>
      </c>
      <c r="F447" s="32" t="s">
        <v>1518</v>
      </c>
    </row>
    <row r="448" spans="1:6" ht="69.95" customHeight="1">
      <c r="A448" s="32" t="s">
        <v>155</v>
      </c>
      <c r="B448" s="32" t="s">
        <v>1452</v>
      </c>
      <c r="C448" s="32" t="s">
        <v>8</v>
      </c>
      <c r="D448" s="32" t="s">
        <v>1519</v>
      </c>
      <c r="E448" s="32" t="s">
        <v>1520</v>
      </c>
      <c r="F448" s="32" t="s">
        <v>1521</v>
      </c>
    </row>
    <row r="449" spans="1:6" ht="69.95" customHeight="1">
      <c r="A449" s="32" t="s">
        <v>155</v>
      </c>
      <c r="B449" s="32" t="s">
        <v>1421</v>
      </c>
      <c r="C449" s="32" t="s">
        <v>12</v>
      </c>
      <c r="D449" s="32" t="s">
        <v>719</v>
      </c>
      <c r="E449" s="32"/>
      <c r="F449" s="32" t="s">
        <v>1422</v>
      </c>
    </row>
    <row r="450" spans="1:6" ht="69.95" customHeight="1">
      <c r="A450" s="32" t="s">
        <v>155</v>
      </c>
      <c r="B450" s="32" t="s">
        <v>1458</v>
      </c>
      <c r="C450" s="32" t="s">
        <v>35</v>
      </c>
      <c r="D450" s="32" t="s">
        <v>1522</v>
      </c>
      <c r="E450" s="32" t="s">
        <v>1523</v>
      </c>
      <c r="F450" s="32" t="s">
        <v>1416</v>
      </c>
    </row>
    <row r="451" spans="1:6" ht="69.95" customHeight="1">
      <c r="A451" s="32" t="s">
        <v>155</v>
      </c>
      <c r="B451" s="32" t="s">
        <v>1414</v>
      </c>
      <c r="C451" s="32" t="s">
        <v>40</v>
      </c>
      <c r="D451" s="32"/>
      <c r="E451" s="32" t="s">
        <v>1429</v>
      </c>
      <c r="F451" s="32" t="s">
        <v>1416</v>
      </c>
    </row>
    <row r="452" spans="1:6" ht="69.95" customHeight="1">
      <c r="A452" s="32" t="s">
        <v>155</v>
      </c>
      <c r="B452" s="32" t="s">
        <v>1417</v>
      </c>
      <c r="C452" s="32" t="s">
        <v>41</v>
      </c>
      <c r="D452" s="32"/>
      <c r="E452" s="32" t="s">
        <v>1418</v>
      </c>
      <c r="F452" s="32" t="s">
        <v>1416</v>
      </c>
    </row>
    <row r="453" spans="1:6" ht="69.95" customHeight="1">
      <c r="A453" s="32" t="s">
        <v>155</v>
      </c>
      <c r="B453" s="32" t="s">
        <v>1419</v>
      </c>
      <c r="C453" s="32" t="s">
        <v>43</v>
      </c>
      <c r="D453" s="32"/>
      <c r="E453" s="32" t="s">
        <v>1420</v>
      </c>
      <c r="F453" s="32" t="s">
        <v>1416</v>
      </c>
    </row>
    <row r="454" spans="1:6" ht="69.95" customHeight="1">
      <c r="A454" s="32" t="s">
        <v>156</v>
      </c>
      <c r="B454" s="32" t="s">
        <v>1423</v>
      </c>
      <c r="C454" s="32" t="s">
        <v>13</v>
      </c>
      <c r="D454" s="32" t="s">
        <v>163</v>
      </c>
      <c r="E454" s="32" t="s">
        <v>713</v>
      </c>
      <c r="F454" s="32" t="s">
        <v>1422</v>
      </c>
    </row>
    <row r="455" spans="1:6" ht="69.95" customHeight="1">
      <c r="A455" s="32" t="s">
        <v>156</v>
      </c>
      <c r="B455" s="32" t="s">
        <v>1414</v>
      </c>
      <c r="C455" s="32" t="s">
        <v>40</v>
      </c>
      <c r="D455" s="32"/>
      <c r="E455" s="32" t="s">
        <v>1429</v>
      </c>
      <c r="F455" s="32" t="s">
        <v>1416</v>
      </c>
    </row>
    <row r="456" spans="1:6" ht="69.95" customHeight="1">
      <c r="A456" s="32" t="s">
        <v>156</v>
      </c>
      <c r="B456" s="32" t="s">
        <v>1417</v>
      </c>
      <c r="C456" s="32" t="s">
        <v>41</v>
      </c>
      <c r="D456" s="32"/>
      <c r="E456" s="32" t="s">
        <v>1418</v>
      </c>
      <c r="F456" s="32" t="s">
        <v>1416</v>
      </c>
    </row>
    <row r="457" spans="1:6" ht="69.95" customHeight="1">
      <c r="A457" s="32" t="s">
        <v>156</v>
      </c>
      <c r="B457" s="32" t="s">
        <v>1419</v>
      </c>
      <c r="C457" s="32" t="s">
        <v>43</v>
      </c>
      <c r="D457" s="32"/>
      <c r="E457" s="32" t="s">
        <v>1420</v>
      </c>
      <c r="F457" s="32" t="s">
        <v>1416</v>
      </c>
    </row>
    <row r="458" spans="1:6" ht="69.95" customHeight="1">
      <c r="A458" s="32" t="s">
        <v>157</v>
      </c>
      <c r="B458" s="32" t="s">
        <v>1421</v>
      </c>
      <c r="C458" s="32" t="s">
        <v>12</v>
      </c>
      <c r="D458" s="32" t="s">
        <v>722</v>
      </c>
      <c r="E458" s="32"/>
      <c r="F458" s="32" t="s">
        <v>1422</v>
      </c>
    </row>
    <row r="459" spans="1:6" ht="69.95" customHeight="1">
      <c r="A459" s="32" t="s">
        <v>157</v>
      </c>
      <c r="B459" s="32" t="s">
        <v>1414</v>
      </c>
      <c r="C459" s="32" t="s">
        <v>40</v>
      </c>
      <c r="D459" s="32"/>
      <c r="E459" s="32" t="s">
        <v>1429</v>
      </c>
      <c r="F459" s="32" t="s">
        <v>1416</v>
      </c>
    </row>
    <row r="460" spans="1:6" ht="69.95" customHeight="1">
      <c r="A460" s="32" t="s">
        <v>157</v>
      </c>
      <c r="B460" s="32" t="s">
        <v>1417</v>
      </c>
      <c r="C460" s="32" t="s">
        <v>41</v>
      </c>
      <c r="D460" s="32"/>
      <c r="E460" s="32" t="s">
        <v>1418</v>
      </c>
      <c r="F460" s="32" t="s">
        <v>1416</v>
      </c>
    </row>
    <row r="461" spans="1:6" ht="69.95" customHeight="1">
      <c r="A461" s="32" t="s">
        <v>157</v>
      </c>
      <c r="B461" s="32" t="s">
        <v>1419</v>
      </c>
      <c r="C461" s="32" t="s">
        <v>43</v>
      </c>
      <c r="D461" s="32"/>
      <c r="E461" s="32" t="s">
        <v>1420</v>
      </c>
      <c r="F461" s="32" t="s">
        <v>1416</v>
      </c>
    </row>
    <row r="462" spans="1:6" ht="69.95" customHeight="1">
      <c r="A462" s="32" t="s">
        <v>158</v>
      </c>
      <c r="B462" s="32" t="s">
        <v>1421</v>
      </c>
      <c r="C462" s="32" t="s">
        <v>12</v>
      </c>
      <c r="D462" s="32" t="s">
        <v>725</v>
      </c>
      <c r="E462" s="32" t="s">
        <v>156</v>
      </c>
      <c r="F462" s="32" t="s">
        <v>1422</v>
      </c>
    </row>
    <row r="463" spans="1:6" ht="69.95" customHeight="1">
      <c r="A463" s="32" t="s">
        <v>158</v>
      </c>
      <c r="B463" s="32" t="s">
        <v>1423</v>
      </c>
      <c r="C463" s="32" t="s">
        <v>13</v>
      </c>
      <c r="D463" s="32" t="s">
        <v>163</v>
      </c>
      <c r="E463" s="32" t="s">
        <v>179</v>
      </c>
      <c r="F463" s="32" t="s">
        <v>1422</v>
      </c>
    </row>
    <row r="464" spans="1:6" ht="69.95" customHeight="1">
      <c r="A464" s="32" t="s">
        <v>158</v>
      </c>
      <c r="B464" s="32" t="s">
        <v>1414</v>
      </c>
      <c r="C464" s="32" t="s">
        <v>40</v>
      </c>
      <c r="D464" s="32"/>
      <c r="E464" s="32" t="s">
        <v>1429</v>
      </c>
      <c r="F464" s="32" t="s">
        <v>1416</v>
      </c>
    </row>
    <row r="465" spans="1:6" ht="69.95" customHeight="1">
      <c r="A465" s="32" t="s">
        <v>158</v>
      </c>
      <c r="B465" s="32" t="s">
        <v>1417</v>
      </c>
      <c r="C465" s="32" t="s">
        <v>41</v>
      </c>
      <c r="D465" s="32"/>
      <c r="E465" s="32" t="s">
        <v>1418</v>
      </c>
      <c r="F465" s="32" t="s">
        <v>1416</v>
      </c>
    </row>
    <row r="466" spans="1:6" ht="69.95" customHeight="1">
      <c r="A466" s="32" t="s">
        <v>158</v>
      </c>
      <c r="B466" s="32" t="s">
        <v>1419</v>
      </c>
      <c r="C466" s="32" t="s">
        <v>43</v>
      </c>
      <c r="D466" s="32"/>
      <c r="E466" s="32" t="s">
        <v>1420</v>
      </c>
      <c r="F466" s="32" t="s">
        <v>1416</v>
      </c>
    </row>
    <row r="467" spans="1:6" ht="69.95" customHeight="1">
      <c r="A467" s="32" t="s">
        <v>159</v>
      </c>
      <c r="B467" s="32" t="s">
        <v>1421</v>
      </c>
      <c r="C467" s="32" t="s">
        <v>12</v>
      </c>
      <c r="D467" s="32" t="s">
        <v>1524</v>
      </c>
      <c r="E467" s="32"/>
      <c r="F467" s="32" t="s">
        <v>1422</v>
      </c>
    </row>
    <row r="468" spans="1:6" ht="69.95" customHeight="1">
      <c r="A468" s="32" t="s">
        <v>159</v>
      </c>
      <c r="B468" s="32" t="s">
        <v>1423</v>
      </c>
      <c r="C468" s="32" t="s">
        <v>13</v>
      </c>
      <c r="D468" s="32" t="s">
        <v>1525</v>
      </c>
      <c r="E468" s="32" t="s">
        <v>1515</v>
      </c>
      <c r="F468" s="32" t="s">
        <v>1422</v>
      </c>
    </row>
    <row r="469" spans="1:6" ht="69.95" customHeight="1">
      <c r="A469" s="32" t="s">
        <v>159</v>
      </c>
      <c r="B469" s="32" t="s">
        <v>1414</v>
      </c>
      <c r="C469" s="32" t="s">
        <v>40</v>
      </c>
      <c r="D469" s="32"/>
      <c r="E469" s="32" t="s">
        <v>1429</v>
      </c>
      <c r="F469" s="32" t="s">
        <v>1416</v>
      </c>
    </row>
    <row r="470" spans="1:6" ht="69.95" customHeight="1">
      <c r="A470" s="32" t="s">
        <v>159</v>
      </c>
      <c r="B470" s="32" t="s">
        <v>1417</v>
      </c>
      <c r="C470" s="32" t="s">
        <v>41</v>
      </c>
      <c r="D470" s="32"/>
      <c r="E470" s="32" t="s">
        <v>1418</v>
      </c>
      <c r="F470" s="32" t="s">
        <v>1416</v>
      </c>
    </row>
    <row r="471" spans="1:6" ht="69.95" customHeight="1">
      <c r="A471" s="32" t="s">
        <v>159</v>
      </c>
      <c r="B471" s="32" t="s">
        <v>1419</v>
      </c>
      <c r="C471" s="32" t="s">
        <v>43</v>
      </c>
      <c r="D471" s="32"/>
      <c r="E471" s="32" t="s">
        <v>1420</v>
      </c>
      <c r="F471" s="32" t="s">
        <v>1416</v>
      </c>
    </row>
    <row r="472" spans="1:6" ht="69.95" customHeight="1">
      <c r="A472" s="32" t="s">
        <v>160</v>
      </c>
      <c r="B472" s="32" t="s">
        <v>1423</v>
      </c>
      <c r="C472" s="32" t="s">
        <v>13</v>
      </c>
      <c r="D472" s="32"/>
      <c r="E472" s="32" t="s">
        <v>1252</v>
      </c>
      <c r="F472" s="32" t="s">
        <v>1422</v>
      </c>
    </row>
    <row r="473" spans="1:6" ht="69.95" customHeight="1">
      <c r="A473" s="32" t="s">
        <v>160</v>
      </c>
      <c r="B473" s="32" t="s">
        <v>1414</v>
      </c>
      <c r="C473" s="32" t="s">
        <v>40</v>
      </c>
      <c r="D473" s="32"/>
      <c r="E473" s="32" t="s">
        <v>1429</v>
      </c>
      <c r="F473" s="32" t="s">
        <v>1416</v>
      </c>
    </row>
    <row r="474" spans="1:6" ht="69.95" customHeight="1">
      <c r="A474" s="32" t="s">
        <v>160</v>
      </c>
      <c r="B474" s="32" t="s">
        <v>1417</v>
      </c>
      <c r="C474" s="32" t="s">
        <v>41</v>
      </c>
      <c r="D474" s="32"/>
      <c r="E474" s="32" t="s">
        <v>1418</v>
      </c>
      <c r="F474" s="32" t="s">
        <v>1416</v>
      </c>
    </row>
    <row r="475" spans="1:6" ht="69.95" customHeight="1">
      <c r="A475" s="32" t="s">
        <v>160</v>
      </c>
      <c r="B475" s="32" t="s">
        <v>1419</v>
      </c>
      <c r="C475" s="32" t="s">
        <v>43</v>
      </c>
      <c r="D475" s="32"/>
      <c r="E475" s="32" t="s">
        <v>1420</v>
      </c>
      <c r="F475" s="32" t="s">
        <v>1416</v>
      </c>
    </row>
    <row r="476" spans="1:6" ht="69.95" customHeight="1">
      <c r="A476" s="32" t="s">
        <v>161</v>
      </c>
      <c r="B476" s="32" t="s">
        <v>1452</v>
      </c>
      <c r="C476" s="32" t="s">
        <v>8</v>
      </c>
      <c r="D476" s="32" t="s">
        <v>1526</v>
      </c>
      <c r="E476" s="32" t="s">
        <v>1527</v>
      </c>
      <c r="F476" s="32" t="s">
        <v>1528</v>
      </c>
    </row>
    <row r="477" spans="1:6" ht="69.95" customHeight="1">
      <c r="A477" s="32" t="s">
        <v>161</v>
      </c>
      <c r="B477" s="32" t="s">
        <v>1421</v>
      </c>
      <c r="C477" s="32" t="s">
        <v>12</v>
      </c>
      <c r="D477" s="32"/>
      <c r="E477" s="32" t="s">
        <v>719</v>
      </c>
      <c r="F477" s="32" t="s">
        <v>1422</v>
      </c>
    </row>
    <row r="478" spans="1:6" ht="69.95" customHeight="1">
      <c r="A478" s="32" t="s">
        <v>161</v>
      </c>
      <c r="B478" s="32" t="s">
        <v>1423</v>
      </c>
      <c r="C478" s="32" t="s">
        <v>13</v>
      </c>
      <c r="D478" s="32"/>
      <c r="E478" s="32" t="s">
        <v>1464</v>
      </c>
      <c r="F478" s="32" t="s">
        <v>1422</v>
      </c>
    </row>
    <row r="479" spans="1:6" ht="69.95" customHeight="1">
      <c r="A479" s="32" t="s">
        <v>161</v>
      </c>
      <c r="B479" s="32" t="s">
        <v>1455</v>
      </c>
      <c r="C479" s="32" t="s">
        <v>28</v>
      </c>
      <c r="D479" s="32"/>
      <c r="E479" s="32" t="s">
        <v>842</v>
      </c>
      <c r="F479" s="32" t="s">
        <v>1457</v>
      </c>
    </row>
    <row r="480" spans="1:6" ht="69.95" customHeight="1">
      <c r="A480" s="32" t="s">
        <v>161</v>
      </c>
      <c r="B480" s="32" t="s">
        <v>1458</v>
      </c>
      <c r="C480" s="32" t="s">
        <v>35</v>
      </c>
      <c r="D480" s="32" t="s">
        <v>1522</v>
      </c>
      <c r="E480" s="32" t="s">
        <v>1523</v>
      </c>
      <c r="F480" s="32" t="s">
        <v>1416</v>
      </c>
    </row>
    <row r="481" spans="1:6" ht="69.95" customHeight="1">
      <c r="A481" s="32" t="s">
        <v>161</v>
      </c>
      <c r="B481" s="32" t="s">
        <v>1414</v>
      </c>
      <c r="C481" s="32" t="s">
        <v>40</v>
      </c>
      <c r="D481" s="32"/>
      <c r="E481" s="32" t="s">
        <v>1429</v>
      </c>
      <c r="F481" s="32" t="s">
        <v>1416</v>
      </c>
    </row>
    <row r="482" spans="1:6" ht="69.95" customHeight="1">
      <c r="A482" s="32" t="s">
        <v>161</v>
      </c>
      <c r="B482" s="32" t="s">
        <v>1417</v>
      </c>
      <c r="C482" s="32" t="s">
        <v>41</v>
      </c>
      <c r="D482" s="32"/>
      <c r="E482" s="32" t="s">
        <v>1418</v>
      </c>
      <c r="F482" s="32" t="s">
        <v>1416</v>
      </c>
    </row>
    <row r="483" spans="1:6" ht="69.95" customHeight="1">
      <c r="A483" s="32" t="s">
        <v>161</v>
      </c>
      <c r="B483" s="32" t="s">
        <v>1419</v>
      </c>
      <c r="C483" s="32" t="s">
        <v>43</v>
      </c>
      <c r="D483" s="32"/>
      <c r="E483" s="32" t="s">
        <v>1420</v>
      </c>
      <c r="F483" s="32" t="s">
        <v>1416</v>
      </c>
    </row>
    <row r="484" spans="1:6" ht="69.95" customHeight="1">
      <c r="A484" s="32" t="s">
        <v>162</v>
      </c>
      <c r="B484" s="32" t="s">
        <v>1421</v>
      </c>
      <c r="C484" s="32" t="s">
        <v>12</v>
      </c>
      <c r="D484" s="32" t="s">
        <v>1529</v>
      </c>
      <c r="E484" s="32"/>
      <c r="F484" s="32" t="s">
        <v>1422</v>
      </c>
    </row>
    <row r="485" spans="1:6" ht="69.95" customHeight="1">
      <c r="A485" s="32" t="s">
        <v>162</v>
      </c>
      <c r="B485" s="32" t="s">
        <v>1423</v>
      </c>
      <c r="C485" s="32" t="s">
        <v>13</v>
      </c>
      <c r="D485" s="32" t="s">
        <v>237</v>
      </c>
      <c r="E485" s="32" t="s">
        <v>163</v>
      </c>
      <c r="F485" s="32" t="s">
        <v>1422</v>
      </c>
    </row>
    <row r="486" spans="1:6" ht="69.95" customHeight="1">
      <c r="A486" s="32" t="s">
        <v>162</v>
      </c>
      <c r="B486" s="32" t="s">
        <v>1414</v>
      </c>
      <c r="C486" s="32" t="s">
        <v>40</v>
      </c>
      <c r="D486" s="32"/>
      <c r="E486" s="32" t="s">
        <v>1429</v>
      </c>
      <c r="F486" s="32" t="s">
        <v>1416</v>
      </c>
    </row>
    <row r="487" spans="1:6" ht="69.95" customHeight="1">
      <c r="A487" s="32" t="s">
        <v>162</v>
      </c>
      <c r="B487" s="32" t="s">
        <v>1417</v>
      </c>
      <c r="C487" s="32" t="s">
        <v>41</v>
      </c>
      <c r="D487" s="32"/>
      <c r="E487" s="32" t="s">
        <v>1418</v>
      </c>
      <c r="F487" s="32" t="s">
        <v>1416</v>
      </c>
    </row>
    <row r="488" spans="1:6" ht="69.95" customHeight="1">
      <c r="A488" s="32" t="s">
        <v>162</v>
      </c>
      <c r="B488" s="32" t="s">
        <v>1419</v>
      </c>
      <c r="C488" s="32" t="s">
        <v>43</v>
      </c>
      <c r="D488" s="32"/>
      <c r="E488" s="32" t="s">
        <v>1420</v>
      </c>
      <c r="F488" s="32" t="s">
        <v>1416</v>
      </c>
    </row>
    <row r="489" spans="1:6" ht="69.95" customHeight="1">
      <c r="A489" s="32" t="s">
        <v>163</v>
      </c>
      <c r="B489" s="32" t="s">
        <v>1421</v>
      </c>
      <c r="C489" s="32" t="s">
        <v>12</v>
      </c>
      <c r="D489" s="32"/>
      <c r="E489" s="32" t="s">
        <v>722</v>
      </c>
      <c r="F489" s="32" t="s">
        <v>1422</v>
      </c>
    </row>
    <row r="490" spans="1:6" ht="69.95" customHeight="1">
      <c r="A490" s="32" t="s">
        <v>163</v>
      </c>
      <c r="B490" s="32" t="s">
        <v>1414</v>
      </c>
      <c r="C490" s="32" t="s">
        <v>40</v>
      </c>
      <c r="D490" s="32"/>
      <c r="E490" s="32" t="s">
        <v>1429</v>
      </c>
      <c r="F490" s="32" t="s">
        <v>1416</v>
      </c>
    </row>
    <row r="491" spans="1:6" ht="69.95" customHeight="1">
      <c r="A491" s="32" t="s">
        <v>163</v>
      </c>
      <c r="B491" s="32" t="s">
        <v>1417</v>
      </c>
      <c r="C491" s="32" t="s">
        <v>41</v>
      </c>
      <c r="D491" s="32"/>
      <c r="E491" s="32" t="s">
        <v>1418</v>
      </c>
      <c r="F491" s="32" t="s">
        <v>1416</v>
      </c>
    </row>
    <row r="492" spans="1:6" ht="69.95" customHeight="1">
      <c r="A492" s="32" t="s">
        <v>163</v>
      </c>
      <c r="B492" s="32" t="s">
        <v>1419</v>
      </c>
      <c r="C492" s="32" t="s">
        <v>43</v>
      </c>
      <c r="D492" s="32"/>
      <c r="E492" s="32" t="s">
        <v>1420</v>
      </c>
      <c r="F492" s="32" t="s">
        <v>1416</v>
      </c>
    </row>
    <row r="493" spans="1:6" ht="69.95" customHeight="1">
      <c r="A493" s="32" t="s">
        <v>164</v>
      </c>
      <c r="B493" s="32" t="s">
        <v>1421</v>
      </c>
      <c r="C493" s="32" t="s">
        <v>12</v>
      </c>
      <c r="D493" s="32"/>
      <c r="E493" s="32" t="s">
        <v>725</v>
      </c>
      <c r="F493" s="32" t="s">
        <v>1422</v>
      </c>
    </row>
    <row r="494" spans="1:6" ht="69.95" customHeight="1">
      <c r="A494" s="32" t="s">
        <v>164</v>
      </c>
      <c r="B494" s="32" t="s">
        <v>1423</v>
      </c>
      <c r="C494" s="32" t="s">
        <v>13</v>
      </c>
      <c r="D494" s="32"/>
      <c r="E494" s="32" t="s">
        <v>163</v>
      </c>
      <c r="F494" s="32" t="s">
        <v>1422</v>
      </c>
    </row>
    <row r="495" spans="1:6" ht="69.95" customHeight="1">
      <c r="A495" s="32" t="s">
        <v>164</v>
      </c>
      <c r="B495" s="32" t="s">
        <v>1414</v>
      </c>
      <c r="C495" s="32" t="s">
        <v>40</v>
      </c>
      <c r="D495" s="32"/>
      <c r="E495" s="32" t="s">
        <v>1429</v>
      </c>
      <c r="F495" s="32" t="s">
        <v>1416</v>
      </c>
    </row>
    <row r="496" spans="1:6" ht="69.95" customHeight="1">
      <c r="A496" s="32" t="s">
        <v>164</v>
      </c>
      <c r="B496" s="32" t="s">
        <v>1417</v>
      </c>
      <c r="C496" s="32" t="s">
        <v>41</v>
      </c>
      <c r="D496" s="32"/>
      <c r="E496" s="32" t="s">
        <v>1418</v>
      </c>
      <c r="F496" s="32" t="s">
        <v>1416</v>
      </c>
    </row>
    <row r="497" spans="1:6" ht="69.95" customHeight="1">
      <c r="A497" s="32" t="s">
        <v>164</v>
      </c>
      <c r="B497" s="32" t="s">
        <v>1419</v>
      </c>
      <c r="C497" s="32" t="s">
        <v>43</v>
      </c>
      <c r="D497" s="32"/>
      <c r="E497" s="32" t="s">
        <v>1420</v>
      </c>
      <c r="F497" s="32" t="s">
        <v>1416</v>
      </c>
    </row>
    <row r="498" spans="1:6" ht="69.95" customHeight="1">
      <c r="A498" s="32" t="s">
        <v>165</v>
      </c>
      <c r="B498" s="32" t="s">
        <v>1421</v>
      </c>
      <c r="C498" s="32" t="s">
        <v>12</v>
      </c>
      <c r="D498" s="32"/>
      <c r="E498" s="32" t="s">
        <v>744</v>
      </c>
      <c r="F498" s="32" t="s">
        <v>1422</v>
      </c>
    </row>
    <row r="499" spans="1:6" ht="69.95" customHeight="1">
      <c r="A499" s="32" t="s">
        <v>165</v>
      </c>
      <c r="B499" s="32" t="s">
        <v>1423</v>
      </c>
      <c r="C499" s="32" t="s">
        <v>13</v>
      </c>
      <c r="D499" s="32" t="s">
        <v>237</v>
      </c>
      <c r="E499" s="32" t="s">
        <v>163</v>
      </c>
      <c r="F499" s="32" t="s">
        <v>1422</v>
      </c>
    </row>
    <row r="500" spans="1:6" ht="69.95" customHeight="1">
      <c r="A500" s="32" t="s">
        <v>165</v>
      </c>
      <c r="B500" s="32" t="s">
        <v>1414</v>
      </c>
      <c r="C500" s="32" t="s">
        <v>40</v>
      </c>
      <c r="D500" s="32"/>
      <c r="E500" s="32" t="s">
        <v>1429</v>
      </c>
      <c r="F500" s="32" t="s">
        <v>1416</v>
      </c>
    </row>
    <row r="501" spans="1:6" ht="69.95" customHeight="1">
      <c r="A501" s="32" t="s">
        <v>165</v>
      </c>
      <c r="B501" s="32" t="s">
        <v>1417</v>
      </c>
      <c r="C501" s="32" t="s">
        <v>41</v>
      </c>
      <c r="D501" s="32"/>
      <c r="E501" s="32" t="s">
        <v>1418</v>
      </c>
      <c r="F501" s="32" t="s">
        <v>1416</v>
      </c>
    </row>
    <row r="502" spans="1:6" ht="69.95" customHeight="1">
      <c r="A502" s="32" t="s">
        <v>165</v>
      </c>
      <c r="B502" s="32" t="s">
        <v>1419</v>
      </c>
      <c r="C502" s="32" t="s">
        <v>43</v>
      </c>
      <c r="D502" s="32"/>
      <c r="E502" s="32" t="s">
        <v>1420</v>
      </c>
      <c r="F502" s="32" t="s">
        <v>1416</v>
      </c>
    </row>
    <row r="503" spans="1:6" ht="69.95" customHeight="1">
      <c r="A503" s="32" t="s">
        <v>166</v>
      </c>
      <c r="B503" s="32" t="s">
        <v>1421</v>
      </c>
      <c r="C503" s="32" t="s">
        <v>12</v>
      </c>
      <c r="D503" s="32"/>
      <c r="E503" s="32" t="s">
        <v>748</v>
      </c>
      <c r="F503" s="32" t="s">
        <v>1422</v>
      </c>
    </row>
    <row r="504" spans="1:6" ht="69.95" customHeight="1">
      <c r="A504" s="32" t="s">
        <v>166</v>
      </c>
      <c r="B504" s="32" t="s">
        <v>1423</v>
      </c>
      <c r="C504" s="32" t="s">
        <v>13</v>
      </c>
      <c r="D504" s="32" t="s">
        <v>237</v>
      </c>
      <c r="E504" s="32" t="s">
        <v>749</v>
      </c>
      <c r="F504" s="32" t="s">
        <v>1422</v>
      </c>
    </row>
    <row r="505" spans="1:6" ht="69.95" customHeight="1">
      <c r="A505" s="32" t="s">
        <v>166</v>
      </c>
      <c r="B505" s="32" t="s">
        <v>1414</v>
      </c>
      <c r="C505" s="32" t="s">
        <v>40</v>
      </c>
      <c r="D505" s="32"/>
      <c r="E505" s="32" t="s">
        <v>1429</v>
      </c>
      <c r="F505" s="32" t="s">
        <v>1416</v>
      </c>
    </row>
    <row r="506" spans="1:6" ht="69.95" customHeight="1">
      <c r="A506" s="32" t="s">
        <v>166</v>
      </c>
      <c r="B506" s="32" t="s">
        <v>1417</v>
      </c>
      <c r="C506" s="32" t="s">
        <v>41</v>
      </c>
      <c r="D506" s="32"/>
      <c r="E506" s="32" t="s">
        <v>1418</v>
      </c>
      <c r="F506" s="32" t="s">
        <v>1416</v>
      </c>
    </row>
    <row r="507" spans="1:6" ht="69.95" customHeight="1">
      <c r="A507" s="32" t="s">
        <v>166</v>
      </c>
      <c r="B507" s="32" t="s">
        <v>1419</v>
      </c>
      <c r="C507" s="32" t="s">
        <v>43</v>
      </c>
      <c r="D507" s="32"/>
      <c r="E507" s="32" t="s">
        <v>1420</v>
      </c>
      <c r="F507" s="32" t="s">
        <v>1416</v>
      </c>
    </row>
    <row r="508" spans="1:6" ht="69.95" customHeight="1">
      <c r="A508" s="32" t="s">
        <v>167</v>
      </c>
      <c r="B508" s="32" t="s">
        <v>1421</v>
      </c>
      <c r="C508" s="32" t="s">
        <v>12</v>
      </c>
      <c r="D508" s="32"/>
      <c r="E508" s="32" t="s">
        <v>1057</v>
      </c>
      <c r="F508" s="32" t="s">
        <v>1422</v>
      </c>
    </row>
    <row r="509" spans="1:6" ht="69.95" customHeight="1">
      <c r="A509" s="32" t="s">
        <v>167</v>
      </c>
      <c r="B509" s="32" t="s">
        <v>1414</v>
      </c>
      <c r="C509" s="32" t="s">
        <v>40</v>
      </c>
      <c r="D509" s="32"/>
      <c r="E509" s="32" t="s">
        <v>1429</v>
      </c>
      <c r="F509" s="32" t="s">
        <v>1416</v>
      </c>
    </row>
    <row r="510" spans="1:6" ht="69.95" customHeight="1">
      <c r="A510" s="32" t="s">
        <v>167</v>
      </c>
      <c r="B510" s="32" t="s">
        <v>1417</v>
      </c>
      <c r="C510" s="32" t="s">
        <v>41</v>
      </c>
      <c r="D510" s="32"/>
      <c r="E510" s="32" t="s">
        <v>1418</v>
      </c>
      <c r="F510" s="32" t="s">
        <v>1416</v>
      </c>
    </row>
    <row r="511" spans="1:6" ht="69.95" customHeight="1">
      <c r="A511" s="32" t="s">
        <v>167</v>
      </c>
      <c r="B511" s="32" t="s">
        <v>1419</v>
      </c>
      <c r="C511" s="32" t="s">
        <v>43</v>
      </c>
      <c r="D511" s="32"/>
      <c r="E511" s="32" t="s">
        <v>1420</v>
      </c>
      <c r="F511" s="32" t="s">
        <v>1416</v>
      </c>
    </row>
    <row r="512" spans="1:6" ht="69.95" customHeight="1">
      <c r="A512" s="32" t="s">
        <v>168</v>
      </c>
      <c r="B512" s="32" t="s">
        <v>1421</v>
      </c>
      <c r="C512" s="32" t="s">
        <v>12</v>
      </c>
      <c r="D512" s="32" t="s">
        <v>85</v>
      </c>
      <c r="E512" s="32" t="s">
        <v>1524</v>
      </c>
      <c r="F512" s="32" t="s">
        <v>1422</v>
      </c>
    </row>
    <row r="513" spans="1:6" ht="69.95" customHeight="1">
      <c r="A513" s="32" t="s">
        <v>168</v>
      </c>
      <c r="B513" s="32" t="s">
        <v>1423</v>
      </c>
      <c r="C513" s="32" t="s">
        <v>13</v>
      </c>
      <c r="D513" s="32"/>
      <c r="E513" s="32" t="s">
        <v>1525</v>
      </c>
      <c r="F513" s="32" t="s">
        <v>1422</v>
      </c>
    </row>
    <row r="514" spans="1:6" ht="69.95" customHeight="1">
      <c r="A514" s="32" t="s">
        <v>168</v>
      </c>
      <c r="B514" s="32" t="s">
        <v>1414</v>
      </c>
      <c r="C514" s="32" t="s">
        <v>40</v>
      </c>
      <c r="D514" s="32"/>
      <c r="E514" s="32" t="s">
        <v>1429</v>
      </c>
      <c r="F514" s="32" t="s">
        <v>1416</v>
      </c>
    </row>
    <row r="515" spans="1:6" ht="69.95" customHeight="1">
      <c r="A515" s="32" t="s">
        <v>168</v>
      </c>
      <c r="B515" s="32" t="s">
        <v>1417</v>
      </c>
      <c r="C515" s="32" t="s">
        <v>41</v>
      </c>
      <c r="D515" s="32"/>
      <c r="E515" s="32" t="s">
        <v>1418</v>
      </c>
      <c r="F515" s="32" t="s">
        <v>1416</v>
      </c>
    </row>
    <row r="516" spans="1:6" ht="69.95" customHeight="1">
      <c r="A516" s="32" t="s">
        <v>168</v>
      </c>
      <c r="B516" s="32" t="s">
        <v>1419</v>
      </c>
      <c r="C516" s="32" t="s">
        <v>43</v>
      </c>
      <c r="D516" s="32"/>
      <c r="E516" s="32" t="s">
        <v>1420</v>
      </c>
      <c r="F516" s="32" t="s">
        <v>1416</v>
      </c>
    </row>
    <row r="517" spans="1:6" ht="69.95" customHeight="1">
      <c r="A517" s="32" t="s">
        <v>169</v>
      </c>
      <c r="B517" s="32" t="s">
        <v>1423</v>
      </c>
      <c r="C517" s="32" t="s">
        <v>13</v>
      </c>
      <c r="D517" s="32" t="s">
        <v>1530</v>
      </c>
      <c r="E517" s="32"/>
      <c r="F517" s="32" t="s">
        <v>1422</v>
      </c>
    </row>
    <row r="518" spans="1:6" ht="69.95" customHeight="1">
      <c r="A518" s="32" t="s">
        <v>169</v>
      </c>
      <c r="B518" s="32" t="s">
        <v>1414</v>
      </c>
      <c r="C518" s="32" t="s">
        <v>40</v>
      </c>
      <c r="D518" s="32"/>
      <c r="E518" s="32" t="s">
        <v>1429</v>
      </c>
      <c r="F518" s="32" t="s">
        <v>1416</v>
      </c>
    </row>
    <row r="519" spans="1:6" ht="69.95" customHeight="1">
      <c r="A519" s="32" t="s">
        <v>169</v>
      </c>
      <c r="B519" s="32" t="s">
        <v>1417</v>
      </c>
      <c r="C519" s="32" t="s">
        <v>41</v>
      </c>
      <c r="D519" s="32"/>
      <c r="E519" s="32" t="s">
        <v>1418</v>
      </c>
      <c r="F519" s="32" t="s">
        <v>1416</v>
      </c>
    </row>
    <row r="520" spans="1:6" ht="69.95" customHeight="1">
      <c r="A520" s="32" t="s">
        <v>169</v>
      </c>
      <c r="B520" s="32" t="s">
        <v>1419</v>
      </c>
      <c r="C520" s="32" t="s">
        <v>43</v>
      </c>
      <c r="D520" s="32"/>
      <c r="E520" s="32" t="s">
        <v>1420</v>
      </c>
      <c r="F520" s="32" t="s">
        <v>1416</v>
      </c>
    </row>
    <row r="521" spans="1:6" ht="69.95" customHeight="1">
      <c r="A521" s="32" t="s">
        <v>170</v>
      </c>
      <c r="B521" s="32" t="s">
        <v>1421</v>
      </c>
      <c r="C521" s="32" t="s">
        <v>12</v>
      </c>
      <c r="D521" s="32" t="s">
        <v>1531</v>
      </c>
      <c r="E521" s="32"/>
      <c r="F521" s="32" t="s">
        <v>1422</v>
      </c>
    </row>
    <row r="522" spans="1:6" ht="69.95" customHeight="1">
      <c r="A522" s="32" t="s">
        <v>170</v>
      </c>
      <c r="B522" s="32" t="s">
        <v>1423</v>
      </c>
      <c r="C522" s="32" t="s">
        <v>13</v>
      </c>
      <c r="D522" s="32" t="s">
        <v>183</v>
      </c>
      <c r="E522" s="32"/>
      <c r="F522" s="32" t="s">
        <v>1422</v>
      </c>
    </row>
    <row r="523" spans="1:6" ht="69.95" customHeight="1">
      <c r="A523" s="32" t="s">
        <v>170</v>
      </c>
      <c r="B523" s="32" t="s">
        <v>1414</v>
      </c>
      <c r="C523" s="32" t="s">
        <v>40</v>
      </c>
      <c r="D523" s="32"/>
      <c r="E523" s="32" t="s">
        <v>1429</v>
      </c>
      <c r="F523" s="32" t="s">
        <v>1416</v>
      </c>
    </row>
    <row r="524" spans="1:6" ht="69.95" customHeight="1">
      <c r="A524" s="32" t="s">
        <v>170</v>
      </c>
      <c r="B524" s="32" t="s">
        <v>1417</v>
      </c>
      <c r="C524" s="32" t="s">
        <v>41</v>
      </c>
      <c r="D524" s="32"/>
      <c r="E524" s="32" t="s">
        <v>1418</v>
      </c>
      <c r="F524" s="32" t="s">
        <v>1416</v>
      </c>
    </row>
    <row r="525" spans="1:6" ht="69.95" customHeight="1">
      <c r="A525" s="32" t="s">
        <v>170</v>
      </c>
      <c r="B525" s="32" t="s">
        <v>1419</v>
      </c>
      <c r="C525" s="32" t="s">
        <v>43</v>
      </c>
      <c r="D525" s="32"/>
      <c r="E525" s="32" t="s">
        <v>1420</v>
      </c>
      <c r="F525" s="32" t="s">
        <v>1416</v>
      </c>
    </row>
    <row r="526" spans="1:6" ht="69.95" customHeight="1">
      <c r="A526" s="32" t="s">
        <v>171</v>
      </c>
      <c r="B526" s="32" t="s">
        <v>1421</v>
      </c>
      <c r="C526" s="32" t="s">
        <v>12</v>
      </c>
      <c r="D526" s="32"/>
      <c r="E526" s="32" t="s">
        <v>1529</v>
      </c>
      <c r="F526" s="32" t="s">
        <v>1422</v>
      </c>
    </row>
    <row r="527" spans="1:6" ht="69.95" customHeight="1">
      <c r="A527" s="32" t="s">
        <v>171</v>
      </c>
      <c r="B527" s="32" t="s">
        <v>1423</v>
      </c>
      <c r="C527" s="32" t="s">
        <v>13</v>
      </c>
      <c r="D527" s="32"/>
      <c r="E527" s="32" t="s">
        <v>237</v>
      </c>
      <c r="F527" s="32" t="s">
        <v>1422</v>
      </c>
    </row>
    <row r="528" spans="1:6" ht="69.95" customHeight="1">
      <c r="A528" s="32" t="s">
        <v>171</v>
      </c>
      <c r="B528" s="32" t="s">
        <v>1414</v>
      </c>
      <c r="C528" s="32" t="s">
        <v>40</v>
      </c>
      <c r="D528" s="32"/>
      <c r="E528" s="32" t="s">
        <v>1429</v>
      </c>
      <c r="F528" s="32" t="s">
        <v>1416</v>
      </c>
    </row>
    <row r="529" spans="1:6" ht="69.95" customHeight="1">
      <c r="A529" s="32" t="s">
        <v>171</v>
      </c>
      <c r="B529" s="32" t="s">
        <v>1417</v>
      </c>
      <c r="C529" s="32" t="s">
        <v>41</v>
      </c>
      <c r="D529" s="32"/>
      <c r="E529" s="32" t="s">
        <v>1418</v>
      </c>
      <c r="F529" s="32" t="s">
        <v>1416</v>
      </c>
    </row>
    <row r="530" spans="1:6" ht="69.95" customHeight="1">
      <c r="A530" s="32" t="s">
        <v>171</v>
      </c>
      <c r="B530" s="32" t="s">
        <v>1419</v>
      </c>
      <c r="C530" s="32" t="s">
        <v>43</v>
      </c>
      <c r="D530" s="32"/>
      <c r="E530" s="32" t="s">
        <v>1420</v>
      </c>
      <c r="F530" s="32" t="s">
        <v>1416</v>
      </c>
    </row>
    <row r="531" spans="1:6" ht="69.95" customHeight="1">
      <c r="A531" s="32" t="s">
        <v>172</v>
      </c>
      <c r="B531" s="32" t="s">
        <v>1423</v>
      </c>
      <c r="C531" s="32" t="s">
        <v>13</v>
      </c>
      <c r="D531" s="32" t="s">
        <v>237</v>
      </c>
      <c r="E531" s="32"/>
      <c r="F531" s="32" t="s">
        <v>1422</v>
      </c>
    </row>
    <row r="532" spans="1:6" ht="69.95" customHeight="1">
      <c r="A532" s="32" t="s">
        <v>172</v>
      </c>
      <c r="B532" s="32" t="s">
        <v>1414</v>
      </c>
      <c r="C532" s="32" t="s">
        <v>40</v>
      </c>
      <c r="D532" s="32"/>
      <c r="E532" s="32" t="s">
        <v>1429</v>
      </c>
      <c r="F532" s="32" t="s">
        <v>1416</v>
      </c>
    </row>
    <row r="533" spans="1:6" ht="69.95" customHeight="1">
      <c r="A533" s="32" t="s">
        <v>172</v>
      </c>
      <c r="B533" s="32" t="s">
        <v>1417</v>
      </c>
      <c r="C533" s="32" t="s">
        <v>41</v>
      </c>
      <c r="D533" s="32"/>
      <c r="E533" s="32" t="s">
        <v>1418</v>
      </c>
      <c r="F533" s="32" t="s">
        <v>1416</v>
      </c>
    </row>
    <row r="534" spans="1:6" ht="69.95" customHeight="1">
      <c r="A534" s="32" t="s">
        <v>172</v>
      </c>
      <c r="B534" s="32" t="s">
        <v>1419</v>
      </c>
      <c r="C534" s="32" t="s">
        <v>43</v>
      </c>
      <c r="D534" s="32"/>
      <c r="E534" s="32" t="s">
        <v>1420</v>
      </c>
      <c r="F534" s="32" t="s">
        <v>1416</v>
      </c>
    </row>
    <row r="535" spans="1:6" ht="69.95" customHeight="1">
      <c r="A535" s="32" t="s">
        <v>173</v>
      </c>
      <c r="B535" s="32" t="s">
        <v>1423</v>
      </c>
      <c r="C535" s="32" t="s">
        <v>13</v>
      </c>
      <c r="D535" s="32" t="s">
        <v>237</v>
      </c>
      <c r="E535" s="32"/>
      <c r="F535" s="32" t="s">
        <v>1422</v>
      </c>
    </row>
    <row r="536" spans="1:6" ht="69.95" customHeight="1">
      <c r="A536" s="32" t="s">
        <v>173</v>
      </c>
      <c r="B536" s="32" t="s">
        <v>1414</v>
      </c>
      <c r="C536" s="32" t="s">
        <v>40</v>
      </c>
      <c r="D536" s="32"/>
      <c r="E536" s="32" t="s">
        <v>1429</v>
      </c>
      <c r="F536" s="32" t="s">
        <v>1416</v>
      </c>
    </row>
    <row r="537" spans="1:6" ht="69.95" customHeight="1">
      <c r="A537" s="32" t="s">
        <v>173</v>
      </c>
      <c r="B537" s="32" t="s">
        <v>1417</v>
      </c>
      <c r="C537" s="32" t="s">
        <v>41</v>
      </c>
      <c r="D537" s="32"/>
      <c r="E537" s="32" t="s">
        <v>1418</v>
      </c>
      <c r="F537" s="32" t="s">
        <v>1416</v>
      </c>
    </row>
    <row r="538" spans="1:6" ht="69.95" customHeight="1">
      <c r="A538" s="32" t="s">
        <v>173</v>
      </c>
      <c r="B538" s="32" t="s">
        <v>1419</v>
      </c>
      <c r="C538" s="32" t="s">
        <v>43</v>
      </c>
      <c r="D538" s="32"/>
      <c r="E538" s="32" t="s">
        <v>1420</v>
      </c>
      <c r="F538" s="32" t="s">
        <v>1416</v>
      </c>
    </row>
    <row r="539" spans="1:6" ht="69.95" customHeight="1">
      <c r="A539" s="32" t="s">
        <v>174</v>
      </c>
      <c r="B539" s="32" t="s">
        <v>1421</v>
      </c>
      <c r="C539" s="32" t="s">
        <v>12</v>
      </c>
      <c r="D539" s="32" t="s">
        <v>1532</v>
      </c>
      <c r="E539" s="32"/>
      <c r="F539" s="32" t="s">
        <v>1422</v>
      </c>
    </row>
    <row r="540" spans="1:6" ht="69.95" customHeight="1">
      <c r="A540" s="32" t="s">
        <v>174</v>
      </c>
      <c r="B540" s="32" t="s">
        <v>1423</v>
      </c>
      <c r="C540" s="32" t="s">
        <v>13</v>
      </c>
      <c r="D540" s="32"/>
      <c r="E540" s="32" t="s">
        <v>237</v>
      </c>
      <c r="F540" s="32" t="s">
        <v>1422</v>
      </c>
    </row>
    <row r="541" spans="1:6" ht="69.95" customHeight="1">
      <c r="A541" s="32" t="s">
        <v>174</v>
      </c>
      <c r="B541" s="32" t="s">
        <v>1414</v>
      </c>
      <c r="C541" s="32" t="s">
        <v>40</v>
      </c>
      <c r="D541" s="32"/>
      <c r="E541" s="32" t="s">
        <v>1429</v>
      </c>
      <c r="F541" s="32" t="s">
        <v>1416</v>
      </c>
    </row>
    <row r="542" spans="1:6" ht="69.95" customHeight="1">
      <c r="A542" s="32" t="s">
        <v>174</v>
      </c>
      <c r="B542" s="32" t="s">
        <v>1417</v>
      </c>
      <c r="C542" s="32" t="s">
        <v>41</v>
      </c>
      <c r="D542" s="32"/>
      <c r="E542" s="32" t="s">
        <v>1418</v>
      </c>
      <c r="F542" s="32" t="s">
        <v>1416</v>
      </c>
    </row>
    <row r="543" spans="1:6" ht="69.95" customHeight="1">
      <c r="A543" s="32" t="s">
        <v>174</v>
      </c>
      <c r="B543" s="32" t="s">
        <v>1419</v>
      </c>
      <c r="C543" s="32" t="s">
        <v>43</v>
      </c>
      <c r="D543" s="32"/>
      <c r="E543" s="32" t="s">
        <v>1420</v>
      </c>
      <c r="F543" s="32" t="s">
        <v>1416</v>
      </c>
    </row>
    <row r="544" spans="1:6" ht="69.95" customHeight="1">
      <c r="A544" s="32" t="s">
        <v>175</v>
      </c>
      <c r="B544" s="32" t="s">
        <v>1421</v>
      </c>
      <c r="C544" s="32" t="s">
        <v>12</v>
      </c>
      <c r="D544" s="32" t="s">
        <v>1533</v>
      </c>
      <c r="E544" s="32"/>
      <c r="F544" s="32" t="s">
        <v>1422</v>
      </c>
    </row>
    <row r="545" spans="1:6" ht="69.95" customHeight="1">
      <c r="A545" s="32" t="s">
        <v>175</v>
      </c>
      <c r="B545" s="32" t="s">
        <v>1423</v>
      </c>
      <c r="C545" s="32" t="s">
        <v>13</v>
      </c>
      <c r="D545" s="32" t="s">
        <v>179</v>
      </c>
      <c r="E545" s="32" t="s">
        <v>237</v>
      </c>
      <c r="F545" s="32" t="s">
        <v>1422</v>
      </c>
    </row>
    <row r="546" spans="1:6" ht="69.95" customHeight="1">
      <c r="A546" s="32" t="s">
        <v>175</v>
      </c>
      <c r="B546" s="32" t="s">
        <v>1414</v>
      </c>
      <c r="C546" s="32" t="s">
        <v>40</v>
      </c>
      <c r="D546" s="32"/>
      <c r="E546" s="32" t="s">
        <v>1429</v>
      </c>
      <c r="F546" s="32" t="s">
        <v>1416</v>
      </c>
    </row>
    <row r="547" spans="1:6" ht="69.95" customHeight="1">
      <c r="A547" s="32" t="s">
        <v>175</v>
      </c>
      <c r="B547" s="32" t="s">
        <v>1417</v>
      </c>
      <c r="C547" s="32" t="s">
        <v>41</v>
      </c>
      <c r="D547" s="32"/>
      <c r="E547" s="32" t="s">
        <v>1418</v>
      </c>
      <c r="F547" s="32" t="s">
        <v>1416</v>
      </c>
    </row>
    <row r="548" spans="1:6" ht="69.95" customHeight="1">
      <c r="A548" s="32" t="s">
        <v>175</v>
      </c>
      <c r="B548" s="32" t="s">
        <v>1419</v>
      </c>
      <c r="C548" s="32" t="s">
        <v>43</v>
      </c>
      <c r="D548" s="32"/>
      <c r="E548" s="32" t="s">
        <v>1420</v>
      </c>
      <c r="F548" s="32" t="s">
        <v>1416</v>
      </c>
    </row>
    <row r="549" spans="1:6" ht="69.95" customHeight="1">
      <c r="A549" s="32" t="s">
        <v>176</v>
      </c>
      <c r="B549" s="32" t="s">
        <v>1421</v>
      </c>
      <c r="C549" s="32" t="s">
        <v>12</v>
      </c>
      <c r="D549" s="32" t="s">
        <v>1534</v>
      </c>
      <c r="E549" s="32"/>
      <c r="F549" s="32" t="s">
        <v>1422</v>
      </c>
    </row>
    <row r="550" spans="1:6" ht="69.95" customHeight="1">
      <c r="A550" s="32" t="s">
        <v>176</v>
      </c>
      <c r="B550" s="32" t="s">
        <v>1423</v>
      </c>
      <c r="C550" s="32" t="s">
        <v>13</v>
      </c>
      <c r="D550" s="32" t="s">
        <v>179</v>
      </c>
      <c r="E550" s="32" t="s">
        <v>237</v>
      </c>
      <c r="F550" s="32" t="s">
        <v>1422</v>
      </c>
    </row>
    <row r="551" spans="1:6" ht="69.95" customHeight="1">
      <c r="A551" s="32" t="s">
        <v>176</v>
      </c>
      <c r="B551" s="32" t="s">
        <v>1414</v>
      </c>
      <c r="C551" s="32" t="s">
        <v>40</v>
      </c>
      <c r="D551" s="32"/>
      <c r="E551" s="32" t="s">
        <v>1429</v>
      </c>
      <c r="F551" s="32" t="s">
        <v>1416</v>
      </c>
    </row>
    <row r="552" spans="1:6" ht="69.95" customHeight="1">
      <c r="A552" s="32" t="s">
        <v>176</v>
      </c>
      <c r="B552" s="32" t="s">
        <v>1417</v>
      </c>
      <c r="C552" s="32" t="s">
        <v>41</v>
      </c>
      <c r="D552" s="32"/>
      <c r="E552" s="32" t="s">
        <v>1418</v>
      </c>
      <c r="F552" s="32" t="s">
        <v>1416</v>
      </c>
    </row>
    <row r="553" spans="1:6" ht="69.95" customHeight="1">
      <c r="A553" s="32" t="s">
        <v>176</v>
      </c>
      <c r="B553" s="32" t="s">
        <v>1419</v>
      </c>
      <c r="C553" s="32" t="s">
        <v>43</v>
      </c>
      <c r="D553" s="32"/>
      <c r="E553" s="32" t="s">
        <v>1420</v>
      </c>
      <c r="F553" s="32" t="s">
        <v>1416</v>
      </c>
    </row>
    <row r="554" spans="1:6" ht="69.95" customHeight="1">
      <c r="A554" s="32" t="s">
        <v>177</v>
      </c>
      <c r="B554" s="32" t="s">
        <v>1421</v>
      </c>
      <c r="C554" s="32" t="s">
        <v>12</v>
      </c>
      <c r="D554" s="32" t="s">
        <v>1535</v>
      </c>
      <c r="E554" s="32" t="s">
        <v>85</v>
      </c>
      <c r="F554" s="32" t="s">
        <v>1422</v>
      </c>
    </row>
    <row r="555" spans="1:6" ht="69.95" customHeight="1">
      <c r="A555" s="32" t="s">
        <v>177</v>
      </c>
      <c r="B555" s="32" t="s">
        <v>1423</v>
      </c>
      <c r="C555" s="32" t="s">
        <v>13</v>
      </c>
      <c r="D555" s="32" t="s">
        <v>1536</v>
      </c>
      <c r="E555" s="32"/>
      <c r="F555" s="32" t="s">
        <v>1422</v>
      </c>
    </row>
    <row r="556" spans="1:6" ht="69.95" customHeight="1">
      <c r="A556" s="32" t="s">
        <v>177</v>
      </c>
      <c r="B556" s="32" t="s">
        <v>1414</v>
      </c>
      <c r="C556" s="32" t="s">
        <v>40</v>
      </c>
      <c r="D556" s="32"/>
      <c r="E556" s="32" t="s">
        <v>1429</v>
      </c>
      <c r="F556" s="32" t="s">
        <v>1416</v>
      </c>
    </row>
    <row r="557" spans="1:6" ht="69.95" customHeight="1">
      <c r="A557" s="32" t="s">
        <v>177</v>
      </c>
      <c r="B557" s="32" t="s">
        <v>1417</v>
      </c>
      <c r="C557" s="32" t="s">
        <v>41</v>
      </c>
      <c r="D557" s="32"/>
      <c r="E557" s="32" t="s">
        <v>1418</v>
      </c>
      <c r="F557" s="32" t="s">
        <v>1416</v>
      </c>
    </row>
    <row r="558" spans="1:6" ht="69.95" customHeight="1">
      <c r="A558" s="32" t="s">
        <v>177</v>
      </c>
      <c r="B558" s="32" t="s">
        <v>1419</v>
      </c>
      <c r="C558" s="32" t="s">
        <v>43</v>
      </c>
      <c r="D558" s="32"/>
      <c r="E558" s="32" t="s">
        <v>1420</v>
      </c>
      <c r="F558" s="32" t="s">
        <v>1416</v>
      </c>
    </row>
    <row r="559" spans="1:6" ht="69.95" customHeight="1">
      <c r="A559" s="32" t="s">
        <v>178</v>
      </c>
      <c r="B559" s="32" t="s">
        <v>1421</v>
      </c>
      <c r="C559" s="32" t="s">
        <v>12</v>
      </c>
      <c r="D559" s="32" t="s">
        <v>1537</v>
      </c>
      <c r="E559" s="32"/>
      <c r="F559" s="32" t="s">
        <v>1422</v>
      </c>
    </row>
    <row r="560" spans="1:6" ht="69.95" customHeight="1">
      <c r="A560" s="32" t="s">
        <v>178</v>
      </c>
      <c r="B560" s="32" t="s">
        <v>1423</v>
      </c>
      <c r="C560" s="32" t="s">
        <v>13</v>
      </c>
      <c r="D560" s="32" t="s">
        <v>179</v>
      </c>
      <c r="E560" s="32" t="s">
        <v>1530</v>
      </c>
      <c r="F560" s="32" t="s">
        <v>1422</v>
      </c>
    </row>
    <row r="561" spans="1:6" ht="69.95" customHeight="1">
      <c r="A561" s="32" t="s">
        <v>178</v>
      </c>
      <c r="B561" s="32" t="s">
        <v>1414</v>
      </c>
      <c r="C561" s="32" t="s">
        <v>40</v>
      </c>
      <c r="D561" s="32"/>
      <c r="E561" s="32" t="s">
        <v>1429</v>
      </c>
      <c r="F561" s="32" t="s">
        <v>1416</v>
      </c>
    </row>
    <row r="562" spans="1:6" ht="69.95" customHeight="1">
      <c r="A562" s="32" t="s">
        <v>178</v>
      </c>
      <c r="B562" s="32" t="s">
        <v>1417</v>
      </c>
      <c r="C562" s="32" t="s">
        <v>41</v>
      </c>
      <c r="D562" s="32"/>
      <c r="E562" s="32" t="s">
        <v>1418</v>
      </c>
      <c r="F562" s="32" t="s">
        <v>1416</v>
      </c>
    </row>
    <row r="563" spans="1:6" ht="69.95" customHeight="1">
      <c r="A563" s="32" t="s">
        <v>178</v>
      </c>
      <c r="B563" s="32" t="s">
        <v>1419</v>
      </c>
      <c r="C563" s="32" t="s">
        <v>43</v>
      </c>
      <c r="D563" s="32"/>
      <c r="E563" s="32" t="s">
        <v>1420</v>
      </c>
      <c r="F563" s="32" t="s">
        <v>1416</v>
      </c>
    </row>
    <row r="564" spans="1:6" ht="69.95" customHeight="1">
      <c r="A564" s="32" t="s">
        <v>179</v>
      </c>
      <c r="B564" s="32" t="s">
        <v>1421</v>
      </c>
      <c r="C564" s="32" t="s">
        <v>12</v>
      </c>
      <c r="D564" s="32" t="s">
        <v>1538</v>
      </c>
      <c r="E564" s="32" t="s">
        <v>1531</v>
      </c>
      <c r="F564" s="32" t="s">
        <v>1422</v>
      </c>
    </row>
    <row r="565" spans="1:6" ht="69.95" customHeight="1">
      <c r="A565" s="32" t="s">
        <v>179</v>
      </c>
      <c r="B565" s="32" t="s">
        <v>1423</v>
      </c>
      <c r="C565" s="32" t="s">
        <v>13</v>
      </c>
      <c r="D565" s="32" t="s">
        <v>179</v>
      </c>
      <c r="E565" s="32" t="s">
        <v>183</v>
      </c>
      <c r="F565" s="32" t="s">
        <v>1422</v>
      </c>
    </row>
    <row r="566" spans="1:6" ht="69.95" customHeight="1">
      <c r="A566" s="32" t="s">
        <v>179</v>
      </c>
      <c r="B566" s="32" t="s">
        <v>1414</v>
      </c>
      <c r="C566" s="32" t="s">
        <v>40</v>
      </c>
      <c r="D566" s="32"/>
      <c r="E566" s="32" t="s">
        <v>1429</v>
      </c>
      <c r="F566" s="32" t="s">
        <v>1416</v>
      </c>
    </row>
    <row r="567" spans="1:6" ht="69.95" customHeight="1">
      <c r="A567" s="32" t="s">
        <v>179</v>
      </c>
      <c r="B567" s="32" t="s">
        <v>1417</v>
      </c>
      <c r="C567" s="32" t="s">
        <v>41</v>
      </c>
      <c r="D567" s="32"/>
      <c r="E567" s="32" t="s">
        <v>1418</v>
      </c>
      <c r="F567" s="32" t="s">
        <v>1416</v>
      </c>
    </row>
    <row r="568" spans="1:6" ht="69.95" customHeight="1">
      <c r="A568" s="32" t="s">
        <v>179</v>
      </c>
      <c r="B568" s="32" t="s">
        <v>1419</v>
      </c>
      <c r="C568" s="32" t="s">
        <v>43</v>
      </c>
      <c r="D568" s="32"/>
      <c r="E568" s="32" t="s">
        <v>1420</v>
      </c>
      <c r="F568" s="32" t="s">
        <v>1416</v>
      </c>
    </row>
    <row r="569" spans="1:6" ht="69.95" customHeight="1">
      <c r="A569" s="32" t="s">
        <v>180</v>
      </c>
      <c r="B569" s="32" t="s">
        <v>1414</v>
      </c>
      <c r="C569" s="32" t="s">
        <v>40</v>
      </c>
      <c r="D569" s="32"/>
      <c r="E569" s="32" t="s">
        <v>1429</v>
      </c>
      <c r="F569" s="32" t="s">
        <v>1416</v>
      </c>
    </row>
    <row r="570" spans="1:6" ht="69.95" customHeight="1">
      <c r="A570" s="32" t="s">
        <v>180</v>
      </c>
      <c r="B570" s="32" t="s">
        <v>1417</v>
      </c>
      <c r="C570" s="32" t="s">
        <v>41</v>
      </c>
      <c r="D570" s="32"/>
      <c r="E570" s="32" t="s">
        <v>1418</v>
      </c>
      <c r="F570" s="32" t="s">
        <v>1416</v>
      </c>
    </row>
    <row r="571" spans="1:6" ht="69.95" customHeight="1">
      <c r="A571" s="32" t="s">
        <v>180</v>
      </c>
      <c r="B571" s="32" t="s">
        <v>1419</v>
      </c>
      <c r="C571" s="32" t="s">
        <v>43</v>
      </c>
      <c r="D571" s="32"/>
      <c r="E571" s="32" t="s">
        <v>1420</v>
      </c>
      <c r="F571" s="32" t="s">
        <v>1416</v>
      </c>
    </row>
    <row r="572" spans="1:6" ht="69.95" customHeight="1">
      <c r="A572" s="32" t="s">
        <v>181</v>
      </c>
      <c r="B572" s="32" t="s">
        <v>1423</v>
      </c>
      <c r="C572" s="32" t="s">
        <v>13</v>
      </c>
      <c r="D572" s="32"/>
      <c r="E572" s="32" t="s">
        <v>237</v>
      </c>
      <c r="F572" s="32" t="s">
        <v>1422</v>
      </c>
    </row>
    <row r="573" spans="1:6" ht="69.95" customHeight="1">
      <c r="A573" s="32" t="s">
        <v>181</v>
      </c>
      <c r="B573" s="32" t="s">
        <v>1414</v>
      </c>
      <c r="C573" s="32" t="s">
        <v>40</v>
      </c>
      <c r="D573" s="32"/>
      <c r="E573" s="32" t="s">
        <v>1429</v>
      </c>
      <c r="F573" s="32" t="s">
        <v>1416</v>
      </c>
    </row>
    <row r="574" spans="1:6" ht="69.95" customHeight="1">
      <c r="A574" s="32" t="s">
        <v>181</v>
      </c>
      <c r="B574" s="32" t="s">
        <v>1417</v>
      </c>
      <c r="C574" s="32" t="s">
        <v>41</v>
      </c>
      <c r="D574" s="32"/>
      <c r="E574" s="32" t="s">
        <v>1418</v>
      </c>
      <c r="F574" s="32" t="s">
        <v>1416</v>
      </c>
    </row>
    <row r="575" spans="1:6" ht="69.95" customHeight="1">
      <c r="A575" s="32" t="s">
        <v>181</v>
      </c>
      <c r="B575" s="32" t="s">
        <v>1419</v>
      </c>
      <c r="C575" s="32" t="s">
        <v>43</v>
      </c>
      <c r="D575" s="32"/>
      <c r="E575" s="32" t="s">
        <v>1420</v>
      </c>
      <c r="F575" s="32" t="s">
        <v>1416</v>
      </c>
    </row>
    <row r="576" spans="1:6" ht="69.95" customHeight="1">
      <c r="A576" s="32" t="s">
        <v>182</v>
      </c>
      <c r="B576" s="32" t="s">
        <v>1421</v>
      </c>
      <c r="C576" s="32" t="s">
        <v>12</v>
      </c>
      <c r="D576" s="32" t="s">
        <v>1539</v>
      </c>
      <c r="E576" s="32"/>
      <c r="F576" s="32" t="s">
        <v>1422</v>
      </c>
    </row>
    <row r="577" spans="1:6" ht="69.95" customHeight="1">
      <c r="A577" s="32" t="s">
        <v>182</v>
      </c>
      <c r="B577" s="32" t="s">
        <v>1423</v>
      </c>
      <c r="C577" s="32" t="s">
        <v>13</v>
      </c>
      <c r="D577" s="32" t="s">
        <v>1257</v>
      </c>
      <c r="E577" s="32" t="s">
        <v>237</v>
      </c>
      <c r="F577" s="32" t="s">
        <v>1422</v>
      </c>
    </row>
    <row r="578" spans="1:6" ht="69.95" customHeight="1">
      <c r="A578" s="32" t="s">
        <v>182</v>
      </c>
      <c r="B578" s="32" t="s">
        <v>1414</v>
      </c>
      <c r="C578" s="32" t="s">
        <v>40</v>
      </c>
      <c r="D578" s="32"/>
      <c r="E578" s="32" t="s">
        <v>1429</v>
      </c>
      <c r="F578" s="32" t="s">
        <v>1416</v>
      </c>
    </row>
    <row r="579" spans="1:6" ht="69.95" customHeight="1">
      <c r="A579" s="32" t="s">
        <v>182</v>
      </c>
      <c r="B579" s="32" t="s">
        <v>1417</v>
      </c>
      <c r="C579" s="32" t="s">
        <v>41</v>
      </c>
      <c r="D579" s="32"/>
      <c r="E579" s="32" t="s">
        <v>1418</v>
      </c>
      <c r="F579" s="32" t="s">
        <v>1416</v>
      </c>
    </row>
    <row r="580" spans="1:6" ht="69.95" customHeight="1">
      <c r="A580" s="32" t="s">
        <v>182</v>
      </c>
      <c r="B580" s="32" t="s">
        <v>1419</v>
      </c>
      <c r="C580" s="32" t="s">
        <v>43</v>
      </c>
      <c r="D580" s="32"/>
      <c r="E580" s="32" t="s">
        <v>1420</v>
      </c>
      <c r="F580" s="32" t="s">
        <v>1416</v>
      </c>
    </row>
    <row r="581" spans="1:6" ht="69.95" customHeight="1">
      <c r="A581" s="32" t="s">
        <v>183</v>
      </c>
      <c r="B581" s="32" t="s">
        <v>1421</v>
      </c>
      <c r="C581" s="32" t="s">
        <v>12</v>
      </c>
      <c r="D581" s="32" t="s">
        <v>1540</v>
      </c>
      <c r="E581" s="32" t="s">
        <v>1532</v>
      </c>
      <c r="F581" s="32" t="s">
        <v>1422</v>
      </c>
    </row>
    <row r="582" spans="1:6" ht="69.95" customHeight="1">
      <c r="A582" s="32" t="s">
        <v>183</v>
      </c>
      <c r="B582" s="32" t="s">
        <v>1423</v>
      </c>
      <c r="C582" s="32" t="s">
        <v>13</v>
      </c>
      <c r="D582" s="32" t="s">
        <v>193</v>
      </c>
      <c r="E582" s="32"/>
      <c r="F582" s="32" t="s">
        <v>1422</v>
      </c>
    </row>
    <row r="583" spans="1:6" ht="69.95" customHeight="1">
      <c r="A583" s="32" t="s">
        <v>183</v>
      </c>
      <c r="B583" s="32" t="s">
        <v>1414</v>
      </c>
      <c r="C583" s="32" t="s">
        <v>40</v>
      </c>
      <c r="D583" s="32"/>
      <c r="E583" s="32" t="s">
        <v>1429</v>
      </c>
      <c r="F583" s="32" t="s">
        <v>1416</v>
      </c>
    </row>
    <row r="584" spans="1:6" ht="69.95" customHeight="1">
      <c r="A584" s="32" t="s">
        <v>183</v>
      </c>
      <c r="B584" s="32" t="s">
        <v>1417</v>
      </c>
      <c r="C584" s="32" t="s">
        <v>41</v>
      </c>
      <c r="D584" s="32"/>
      <c r="E584" s="32" t="s">
        <v>1418</v>
      </c>
      <c r="F584" s="32" t="s">
        <v>1416</v>
      </c>
    </row>
    <row r="585" spans="1:6" ht="69.95" customHeight="1">
      <c r="A585" s="32" t="s">
        <v>183</v>
      </c>
      <c r="B585" s="32" t="s">
        <v>1419</v>
      </c>
      <c r="C585" s="32" t="s">
        <v>43</v>
      </c>
      <c r="D585" s="32"/>
      <c r="E585" s="32" t="s">
        <v>1420</v>
      </c>
      <c r="F585" s="32" t="s">
        <v>1416</v>
      </c>
    </row>
    <row r="586" spans="1:6" ht="69.95" customHeight="1">
      <c r="A586" s="32" t="s">
        <v>184</v>
      </c>
      <c r="B586" s="32" t="s">
        <v>1421</v>
      </c>
      <c r="C586" s="32" t="s">
        <v>12</v>
      </c>
      <c r="D586" s="32" t="s">
        <v>1541</v>
      </c>
      <c r="E586" s="32" t="s">
        <v>1533</v>
      </c>
      <c r="F586" s="32" t="s">
        <v>1422</v>
      </c>
    </row>
    <row r="587" spans="1:6" ht="69.95" customHeight="1">
      <c r="A587" s="32" t="s">
        <v>184</v>
      </c>
      <c r="B587" s="32" t="s">
        <v>1423</v>
      </c>
      <c r="C587" s="32" t="s">
        <v>13</v>
      </c>
      <c r="D587" s="32" t="s">
        <v>237</v>
      </c>
      <c r="E587" s="32" t="s">
        <v>179</v>
      </c>
      <c r="F587" s="32" t="s">
        <v>1422</v>
      </c>
    </row>
    <row r="588" spans="1:6" ht="69.95" customHeight="1">
      <c r="A588" s="32" t="s">
        <v>184</v>
      </c>
      <c r="B588" s="32" t="s">
        <v>1414</v>
      </c>
      <c r="C588" s="32" t="s">
        <v>40</v>
      </c>
      <c r="D588" s="32"/>
      <c r="E588" s="32" t="s">
        <v>1429</v>
      </c>
      <c r="F588" s="32" t="s">
        <v>1416</v>
      </c>
    </row>
    <row r="589" spans="1:6" ht="69.95" customHeight="1">
      <c r="A589" s="32" t="s">
        <v>184</v>
      </c>
      <c r="B589" s="32" t="s">
        <v>1417</v>
      </c>
      <c r="C589" s="32" t="s">
        <v>41</v>
      </c>
      <c r="D589" s="32"/>
      <c r="E589" s="32" t="s">
        <v>1418</v>
      </c>
      <c r="F589" s="32" t="s">
        <v>1416</v>
      </c>
    </row>
    <row r="590" spans="1:6" ht="69.95" customHeight="1">
      <c r="A590" s="32" t="s">
        <v>184</v>
      </c>
      <c r="B590" s="32" t="s">
        <v>1419</v>
      </c>
      <c r="C590" s="32" t="s">
        <v>43</v>
      </c>
      <c r="D590" s="32"/>
      <c r="E590" s="32" t="s">
        <v>1420</v>
      </c>
      <c r="F590" s="32" t="s">
        <v>1416</v>
      </c>
    </row>
    <row r="591" spans="1:6" ht="69.95" customHeight="1">
      <c r="A591" s="32" t="s">
        <v>185</v>
      </c>
      <c r="B591" s="32" t="s">
        <v>1421</v>
      </c>
      <c r="C591" s="32" t="s">
        <v>12</v>
      </c>
      <c r="D591" s="32" t="s">
        <v>1065</v>
      </c>
      <c r="E591" s="32" t="s">
        <v>1534</v>
      </c>
      <c r="F591" s="32" t="s">
        <v>1422</v>
      </c>
    </row>
    <row r="592" spans="1:6" ht="69.95" customHeight="1">
      <c r="A592" s="32" t="s">
        <v>185</v>
      </c>
      <c r="B592" s="32" t="s">
        <v>1423</v>
      </c>
      <c r="C592" s="32" t="s">
        <v>13</v>
      </c>
      <c r="D592" s="32" t="s">
        <v>1258</v>
      </c>
      <c r="E592" s="32" t="s">
        <v>179</v>
      </c>
      <c r="F592" s="32" t="s">
        <v>1422</v>
      </c>
    </row>
    <row r="593" spans="1:6" ht="69.95" customHeight="1">
      <c r="A593" s="32" t="s">
        <v>185</v>
      </c>
      <c r="B593" s="32" t="s">
        <v>1414</v>
      </c>
      <c r="C593" s="32" t="s">
        <v>40</v>
      </c>
      <c r="D593" s="32"/>
      <c r="E593" s="32" t="s">
        <v>1429</v>
      </c>
      <c r="F593" s="32" t="s">
        <v>1416</v>
      </c>
    </row>
    <row r="594" spans="1:6" ht="69.95" customHeight="1">
      <c r="A594" s="32" t="s">
        <v>185</v>
      </c>
      <c r="B594" s="32" t="s">
        <v>1417</v>
      </c>
      <c r="C594" s="32" t="s">
        <v>41</v>
      </c>
      <c r="D594" s="32"/>
      <c r="E594" s="32" t="s">
        <v>1418</v>
      </c>
      <c r="F594" s="32" t="s">
        <v>1416</v>
      </c>
    </row>
    <row r="595" spans="1:6" ht="69.95" customHeight="1">
      <c r="A595" s="32" t="s">
        <v>185</v>
      </c>
      <c r="B595" s="32" t="s">
        <v>1419</v>
      </c>
      <c r="C595" s="32" t="s">
        <v>43</v>
      </c>
      <c r="D595" s="32"/>
      <c r="E595" s="32" t="s">
        <v>1420</v>
      </c>
      <c r="F595" s="32" t="s">
        <v>1416</v>
      </c>
    </row>
    <row r="596" spans="1:6" ht="69.95" customHeight="1">
      <c r="A596" s="32" t="s">
        <v>186</v>
      </c>
      <c r="B596" s="32" t="s">
        <v>1421</v>
      </c>
      <c r="C596" s="32" t="s">
        <v>12</v>
      </c>
      <c r="D596" s="32" t="s">
        <v>1153</v>
      </c>
      <c r="E596" s="32" t="s">
        <v>1535</v>
      </c>
      <c r="F596" s="32" t="s">
        <v>1422</v>
      </c>
    </row>
    <row r="597" spans="1:6" ht="69.95" customHeight="1">
      <c r="A597" s="32" t="s">
        <v>186</v>
      </c>
      <c r="B597" s="32" t="s">
        <v>1423</v>
      </c>
      <c r="C597" s="32" t="s">
        <v>13</v>
      </c>
      <c r="D597" s="32" t="s">
        <v>1542</v>
      </c>
      <c r="E597" s="32" t="s">
        <v>1536</v>
      </c>
      <c r="F597" s="32" t="s">
        <v>1422</v>
      </c>
    </row>
    <row r="598" spans="1:6" ht="69.95" customHeight="1">
      <c r="A598" s="32" t="s">
        <v>186</v>
      </c>
      <c r="B598" s="32" t="s">
        <v>1414</v>
      </c>
      <c r="C598" s="32" t="s">
        <v>40</v>
      </c>
      <c r="D598" s="32"/>
      <c r="E598" s="32" t="s">
        <v>1429</v>
      </c>
      <c r="F598" s="32" t="s">
        <v>1416</v>
      </c>
    </row>
    <row r="599" spans="1:6" ht="69.95" customHeight="1">
      <c r="A599" s="32" t="s">
        <v>186</v>
      </c>
      <c r="B599" s="32" t="s">
        <v>1417</v>
      </c>
      <c r="C599" s="32" t="s">
        <v>41</v>
      </c>
      <c r="D599" s="32"/>
      <c r="E599" s="32" t="s">
        <v>1418</v>
      </c>
      <c r="F599" s="32" t="s">
        <v>1416</v>
      </c>
    </row>
    <row r="600" spans="1:6" ht="69.95" customHeight="1">
      <c r="A600" s="32" t="s">
        <v>186</v>
      </c>
      <c r="B600" s="32" t="s">
        <v>1419</v>
      </c>
      <c r="C600" s="32" t="s">
        <v>43</v>
      </c>
      <c r="D600" s="32"/>
      <c r="E600" s="32" t="s">
        <v>1420</v>
      </c>
      <c r="F600" s="32" t="s">
        <v>1416</v>
      </c>
    </row>
    <row r="601" spans="1:6" ht="69.95" customHeight="1">
      <c r="A601" s="32" t="s">
        <v>187</v>
      </c>
      <c r="B601" s="32" t="s">
        <v>1421</v>
      </c>
      <c r="C601" s="32" t="s">
        <v>12</v>
      </c>
      <c r="D601" s="32" t="s">
        <v>1543</v>
      </c>
      <c r="E601" s="32" t="s">
        <v>1537</v>
      </c>
      <c r="F601" s="32" t="s">
        <v>1422</v>
      </c>
    </row>
    <row r="602" spans="1:6" ht="69.95" customHeight="1">
      <c r="A602" s="32" t="s">
        <v>187</v>
      </c>
      <c r="B602" s="32" t="s">
        <v>1423</v>
      </c>
      <c r="C602" s="32" t="s">
        <v>13</v>
      </c>
      <c r="D602" s="32" t="s">
        <v>1544</v>
      </c>
      <c r="E602" s="32" t="s">
        <v>179</v>
      </c>
      <c r="F602" s="32" t="s">
        <v>1422</v>
      </c>
    </row>
    <row r="603" spans="1:6" ht="69.95" customHeight="1">
      <c r="A603" s="32" t="s">
        <v>187</v>
      </c>
      <c r="B603" s="32" t="s">
        <v>1414</v>
      </c>
      <c r="C603" s="32" t="s">
        <v>40</v>
      </c>
      <c r="D603" s="32"/>
      <c r="E603" s="32" t="s">
        <v>1429</v>
      </c>
      <c r="F603" s="32" t="s">
        <v>1416</v>
      </c>
    </row>
    <row r="604" spans="1:6" ht="69.95" customHeight="1">
      <c r="A604" s="32" t="s">
        <v>187</v>
      </c>
      <c r="B604" s="32" t="s">
        <v>1417</v>
      </c>
      <c r="C604" s="32" t="s">
        <v>41</v>
      </c>
      <c r="D604" s="32"/>
      <c r="E604" s="32" t="s">
        <v>1418</v>
      </c>
      <c r="F604" s="32" t="s">
        <v>1416</v>
      </c>
    </row>
    <row r="605" spans="1:6" ht="69.95" customHeight="1">
      <c r="A605" s="32" t="s">
        <v>187</v>
      </c>
      <c r="B605" s="32" t="s">
        <v>1419</v>
      </c>
      <c r="C605" s="32" t="s">
        <v>43</v>
      </c>
      <c r="D605" s="32"/>
      <c r="E605" s="32" t="s">
        <v>1420</v>
      </c>
      <c r="F605" s="32" t="s">
        <v>1416</v>
      </c>
    </row>
    <row r="606" spans="1:6" ht="69.95" customHeight="1">
      <c r="A606" s="32" t="s">
        <v>188</v>
      </c>
      <c r="B606" s="32" t="s">
        <v>1421</v>
      </c>
      <c r="C606" s="32" t="s">
        <v>12</v>
      </c>
      <c r="D606" s="32" t="s">
        <v>1543</v>
      </c>
      <c r="E606" s="32" t="s">
        <v>1538</v>
      </c>
      <c r="F606" s="32" t="s">
        <v>1422</v>
      </c>
    </row>
    <row r="607" spans="1:6" ht="69.95" customHeight="1">
      <c r="A607" s="32" t="s">
        <v>188</v>
      </c>
      <c r="B607" s="32" t="s">
        <v>1423</v>
      </c>
      <c r="C607" s="32" t="s">
        <v>13</v>
      </c>
      <c r="D607" s="32" t="s">
        <v>1259</v>
      </c>
      <c r="E607" s="32" t="s">
        <v>179</v>
      </c>
      <c r="F607" s="32" t="s">
        <v>1422</v>
      </c>
    </row>
    <row r="608" spans="1:6" ht="69.95" customHeight="1">
      <c r="A608" s="32" t="s">
        <v>188</v>
      </c>
      <c r="B608" s="32" t="s">
        <v>1414</v>
      </c>
      <c r="C608" s="32" t="s">
        <v>40</v>
      </c>
      <c r="D608" s="32"/>
      <c r="E608" s="32" t="s">
        <v>1429</v>
      </c>
      <c r="F608" s="32" t="s">
        <v>1416</v>
      </c>
    </row>
    <row r="609" spans="1:6" ht="69.95" customHeight="1">
      <c r="A609" s="32" t="s">
        <v>188</v>
      </c>
      <c r="B609" s="32" t="s">
        <v>1417</v>
      </c>
      <c r="C609" s="32" t="s">
        <v>41</v>
      </c>
      <c r="D609" s="32"/>
      <c r="E609" s="32" t="s">
        <v>1418</v>
      </c>
      <c r="F609" s="32" t="s">
        <v>1416</v>
      </c>
    </row>
    <row r="610" spans="1:6" ht="69.95" customHeight="1">
      <c r="A610" s="32" t="s">
        <v>188</v>
      </c>
      <c r="B610" s="32" t="s">
        <v>1419</v>
      </c>
      <c r="C610" s="32" t="s">
        <v>43</v>
      </c>
      <c r="D610" s="32"/>
      <c r="E610" s="32" t="s">
        <v>1420</v>
      </c>
      <c r="F610" s="32" t="s">
        <v>1416</v>
      </c>
    </row>
    <row r="611" spans="1:6" ht="69.95" customHeight="1">
      <c r="A611" s="32" t="s">
        <v>189</v>
      </c>
      <c r="B611" s="32" t="s">
        <v>1421</v>
      </c>
      <c r="C611" s="32" t="s">
        <v>12</v>
      </c>
      <c r="D611" s="32" t="s">
        <v>1545</v>
      </c>
      <c r="E611" s="32"/>
      <c r="F611" s="32" t="s">
        <v>1422</v>
      </c>
    </row>
    <row r="612" spans="1:6" ht="69.95" customHeight="1">
      <c r="A612" s="32" t="s">
        <v>189</v>
      </c>
      <c r="B612" s="32" t="s">
        <v>1423</v>
      </c>
      <c r="C612" s="32" t="s">
        <v>13</v>
      </c>
      <c r="D612" s="32" t="s">
        <v>1546</v>
      </c>
      <c r="E612" s="32"/>
      <c r="F612" s="32" t="s">
        <v>1422</v>
      </c>
    </row>
    <row r="613" spans="1:6" ht="69.95" customHeight="1">
      <c r="A613" s="32" t="s">
        <v>189</v>
      </c>
      <c r="B613" s="32" t="s">
        <v>1414</v>
      </c>
      <c r="C613" s="32" t="s">
        <v>40</v>
      </c>
      <c r="D613" s="32"/>
      <c r="E613" s="32" t="s">
        <v>1429</v>
      </c>
      <c r="F613" s="32" t="s">
        <v>1416</v>
      </c>
    </row>
    <row r="614" spans="1:6" ht="69.95" customHeight="1">
      <c r="A614" s="32" t="s">
        <v>189</v>
      </c>
      <c r="B614" s="32" t="s">
        <v>1417</v>
      </c>
      <c r="C614" s="32" t="s">
        <v>41</v>
      </c>
      <c r="D614" s="32"/>
      <c r="E614" s="32" t="s">
        <v>1418</v>
      </c>
      <c r="F614" s="32" t="s">
        <v>1416</v>
      </c>
    </row>
    <row r="615" spans="1:6" ht="69.95" customHeight="1">
      <c r="A615" s="32" t="s">
        <v>189</v>
      </c>
      <c r="B615" s="32" t="s">
        <v>1419</v>
      </c>
      <c r="C615" s="32" t="s">
        <v>43</v>
      </c>
      <c r="D615" s="32"/>
      <c r="E615" s="32" t="s">
        <v>1420</v>
      </c>
      <c r="F615" s="32" t="s">
        <v>1416</v>
      </c>
    </row>
    <row r="616" spans="1:6" ht="69.95" customHeight="1">
      <c r="A616" s="32" t="s">
        <v>190</v>
      </c>
      <c r="B616" s="32" t="s">
        <v>1421</v>
      </c>
      <c r="C616" s="32" t="s">
        <v>12</v>
      </c>
      <c r="D616" s="32" t="s">
        <v>199</v>
      </c>
      <c r="E616" s="32"/>
      <c r="F616" s="32" t="s">
        <v>1422</v>
      </c>
    </row>
    <row r="617" spans="1:6" ht="69.95" customHeight="1">
      <c r="A617" s="32" t="s">
        <v>190</v>
      </c>
      <c r="B617" s="32" t="s">
        <v>1423</v>
      </c>
      <c r="C617" s="32" t="s">
        <v>13</v>
      </c>
      <c r="D617" s="32" t="s">
        <v>1547</v>
      </c>
      <c r="E617" s="32"/>
      <c r="F617" s="32" t="s">
        <v>1422</v>
      </c>
    </row>
    <row r="618" spans="1:6" ht="69.95" customHeight="1">
      <c r="A618" s="32" t="s">
        <v>190</v>
      </c>
      <c r="B618" s="32" t="s">
        <v>1414</v>
      </c>
      <c r="C618" s="32" t="s">
        <v>40</v>
      </c>
      <c r="D618" s="32"/>
      <c r="E618" s="32" t="s">
        <v>1429</v>
      </c>
      <c r="F618" s="32" t="s">
        <v>1416</v>
      </c>
    </row>
    <row r="619" spans="1:6" ht="69.95" customHeight="1">
      <c r="A619" s="32" t="s">
        <v>190</v>
      </c>
      <c r="B619" s="32" t="s">
        <v>1417</v>
      </c>
      <c r="C619" s="32" t="s">
        <v>41</v>
      </c>
      <c r="D619" s="32"/>
      <c r="E619" s="32" t="s">
        <v>1418</v>
      </c>
      <c r="F619" s="32" t="s">
        <v>1416</v>
      </c>
    </row>
    <row r="620" spans="1:6" ht="69.95" customHeight="1">
      <c r="A620" s="32" t="s">
        <v>190</v>
      </c>
      <c r="B620" s="32" t="s">
        <v>1419</v>
      </c>
      <c r="C620" s="32" t="s">
        <v>43</v>
      </c>
      <c r="D620" s="32"/>
      <c r="E620" s="32" t="s">
        <v>1420</v>
      </c>
      <c r="F620" s="32" t="s">
        <v>1416</v>
      </c>
    </row>
    <row r="621" spans="1:6" ht="69.95" customHeight="1">
      <c r="A621" s="32" t="s">
        <v>191</v>
      </c>
      <c r="B621" s="32" t="s">
        <v>1421</v>
      </c>
      <c r="C621" s="32" t="s">
        <v>12</v>
      </c>
      <c r="D621" s="32" t="s">
        <v>1548</v>
      </c>
      <c r="E621" s="32" t="s">
        <v>1539</v>
      </c>
      <c r="F621" s="32" t="s">
        <v>1422</v>
      </c>
    </row>
    <row r="622" spans="1:6" ht="69.95" customHeight="1">
      <c r="A622" s="32" t="s">
        <v>191</v>
      </c>
      <c r="B622" s="32" t="s">
        <v>1423</v>
      </c>
      <c r="C622" s="32" t="s">
        <v>13</v>
      </c>
      <c r="D622" s="32" t="s">
        <v>1549</v>
      </c>
      <c r="E622" s="32" t="s">
        <v>1257</v>
      </c>
      <c r="F622" s="32" t="s">
        <v>1422</v>
      </c>
    </row>
    <row r="623" spans="1:6" ht="69.95" customHeight="1">
      <c r="A623" s="32" t="s">
        <v>191</v>
      </c>
      <c r="B623" s="32" t="s">
        <v>1414</v>
      </c>
      <c r="C623" s="32" t="s">
        <v>40</v>
      </c>
      <c r="D623" s="32"/>
      <c r="E623" s="32" t="s">
        <v>1429</v>
      </c>
      <c r="F623" s="32" t="s">
        <v>1416</v>
      </c>
    </row>
    <row r="624" spans="1:6" ht="69.95" customHeight="1">
      <c r="A624" s="32" t="s">
        <v>191</v>
      </c>
      <c r="B624" s="32" t="s">
        <v>1417</v>
      </c>
      <c r="C624" s="32" t="s">
        <v>41</v>
      </c>
      <c r="D624" s="32"/>
      <c r="E624" s="32" t="s">
        <v>1418</v>
      </c>
      <c r="F624" s="32" t="s">
        <v>1416</v>
      </c>
    </row>
    <row r="625" spans="1:6" ht="69.95" customHeight="1">
      <c r="A625" s="32" t="s">
        <v>191</v>
      </c>
      <c r="B625" s="32" t="s">
        <v>1419</v>
      </c>
      <c r="C625" s="32" t="s">
        <v>43</v>
      </c>
      <c r="D625" s="32"/>
      <c r="E625" s="32" t="s">
        <v>1420</v>
      </c>
      <c r="F625" s="32" t="s">
        <v>1416</v>
      </c>
    </row>
    <row r="626" spans="1:6" ht="69.95" customHeight="1">
      <c r="A626" s="32" t="s">
        <v>192</v>
      </c>
      <c r="B626" s="32" t="s">
        <v>1421</v>
      </c>
      <c r="C626" s="32" t="s">
        <v>12</v>
      </c>
      <c r="D626" s="32" t="s">
        <v>1550</v>
      </c>
      <c r="E626" s="32" t="s">
        <v>1540</v>
      </c>
      <c r="F626" s="32" t="s">
        <v>1422</v>
      </c>
    </row>
    <row r="627" spans="1:6" ht="69.95" customHeight="1">
      <c r="A627" s="32" t="s">
        <v>192</v>
      </c>
      <c r="B627" s="32" t="s">
        <v>1423</v>
      </c>
      <c r="C627" s="32" t="s">
        <v>13</v>
      </c>
      <c r="D627" s="32" t="s">
        <v>1261</v>
      </c>
      <c r="E627" s="32" t="s">
        <v>193</v>
      </c>
      <c r="F627" s="32" t="s">
        <v>1422</v>
      </c>
    </row>
    <row r="628" spans="1:6" ht="69.95" customHeight="1">
      <c r="A628" s="32" t="s">
        <v>192</v>
      </c>
      <c r="B628" s="32" t="s">
        <v>1414</v>
      </c>
      <c r="C628" s="32" t="s">
        <v>40</v>
      </c>
      <c r="D628" s="32"/>
      <c r="E628" s="32" t="s">
        <v>1429</v>
      </c>
      <c r="F628" s="32" t="s">
        <v>1416</v>
      </c>
    </row>
    <row r="629" spans="1:6" ht="69.95" customHeight="1">
      <c r="A629" s="32" t="s">
        <v>192</v>
      </c>
      <c r="B629" s="32" t="s">
        <v>1417</v>
      </c>
      <c r="C629" s="32" t="s">
        <v>41</v>
      </c>
      <c r="D629" s="32"/>
      <c r="E629" s="32" t="s">
        <v>1418</v>
      </c>
      <c r="F629" s="32" t="s">
        <v>1416</v>
      </c>
    </row>
    <row r="630" spans="1:6" ht="69.95" customHeight="1">
      <c r="A630" s="32" t="s">
        <v>192</v>
      </c>
      <c r="B630" s="32" t="s">
        <v>1419</v>
      </c>
      <c r="C630" s="32" t="s">
        <v>43</v>
      </c>
      <c r="D630" s="32"/>
      <c r="E630" s="32" t="s">
        <v>1420</v>
      </c>
      <c r="F630" s="32" t="s">
        <v>1416</v>
      </c>
    </row>
    <row r="631" spans="1:6" ht="69.95" customHeight="1">
      <c r="A631" s="32" t="s">
        <v>193</v>
      </c>
      <c r="B631" s="32" t="s">
        <v>1421</v>
      </c>
      <c r="C631" s="32" t="s">
        <v>12</v>
      </c>
      <c r="D631" s="32" t="s">
        <v>1551</v>
      </c>
      <c r="E631" s="32" t="s">
        <v>1541</v>
      </c>
      <c r="F631" s="32" t="s">
        <v>1422</v>
      </c>
    </row>
    <row r="632" spans="1:6" ht="69.95" customHeight="1">
      <c r="A632" s="32" t="s">
        <v>193</v>
      </c>
      <c r="B632" s="32" t="s">
        <v>1423</v>
      </c>
      <c r="C632" s="32" t="s">
        <v>13</v>
      </c>
      <c r="D632" s="32" t="s">
        <v>1552</v>
      </c>
      <c r="E632" s="32" t="s">
        <v>237</v>
      </c>
      <c r="F632" s="32" t="s">
        <v>1422</v>
      </c>
    </row>
    <row r="633" spans="1:6" ht="69.95" customHeight="1">
      <c r="A633" s="32" t="s">
        <v>193</v>
      </c>
      <c r="B633" s="32" t="s">
        <v>1414</v>
      </c>
      <c r="C633" s="32" t="s">
        <v>40</v>
      </c>
      <c r="D633" s="32"/>
      <c r="E633" s="32" t="s">
        <v>1429</v>
      </c>
      <c r="F633" s="32" t="s">
        <v>1416</v>
      </c>
    </row>
    <row r="634" spans="1:6" ht="69.95" customHeight="1">
      <c r="A634" s="32" t="s">
        <v>193</v>
      </c>
      <c r="B634" s="32" t="s">
        <v>1417</v>
      </c>
      <c r="C634" s="32" t="s">
        <v>41</v>
      </c>
      <c r="D634" s="32"/>
      <c r="E634" s="32" t="s">
        <v>1418</v>
      </c>
      <c r="F634" s="32" t="s">
        <v>1416</v>
      </c>
    </row>
    <row r="635" spans="1:6" ht="69.95" customHeight="1">
      <c r="A635" s="32" t="s">
        <v>193</v>
      </c>
      <c r="B635" s="32" t="s">
        <v>1419</v>
      </c>
      <c r="C635" s="32" t="s">
        <v>43</v>
      </c>
      <c r="D635" s="32"/>
      <c r="E635" s="32" t="s">
        <v>1420</v>
      </c>
      <c r="F635" s="32" t="s">
        <v>1416</v>
      </c>
    </row>
    <row r="636" spans="1:6" ht="69.95" customHeight="1">
      <c r="A636" s="32" t="s">
        <v>194</v>
      </c>
      <c r="B636" s="32" t="s">
        <v>1421</v>
      </c>
      <c r="C636" s="32" t="s">
        <v>12</v>
      </c>
      <c r="D636" s="32" t="s">
        <v>1553</v>
      </c>
      <c r="E636" s="32" t="s">
        <v>1065</v>
      </c>
      <c r="F636" s="32" t="s">
        <v>1422</v>
      </c>
    </row>
    <row r="637" spans="1:6" ht="69.95" customHeight="1">
      <c r="A637" s="32" t="s">
        <v>194</v>
      </c>
      <c r="B637" s="32" t="s">
        <v>1423</v>
      </c>
      <c r="C637" s="32" t="s">
        <v>13</v>
      </c>
      <c r="D637" s="32"/>
      <c r="E637" s="32" t="s">
        <v>1258</v>
      </c>
      <c r="F637" s="32" t="s">
        <v>1422</v>
      </c>
    </row>
    <row r="638" spans="1:6" ht="69.95" customHeight="1">
      <c r="A638" s="32" t="s">
        <v>194</v>
      </c>
      <c r="B638" s="32" t="s">
        <v>1414</v>
      </c>
      <c r="C638" s="32" t="s">
        <v>40</v>
      </c>
      <c r="D638" s="32"/>
      <c r="E638" s="32" t="s">
        <v>1429</v>
      </c>
      <c r="F638" s="32" t="s">
        <v>1416</v>
      </c>
    </row>
    <row r="639" spans="1:6" ht="69.95" customHeight="1">
      <c r="A639" s="32" t="s">
        <v>194</v>
      </c>
      <c r="B639" s="32" t="s">
        <v>1417</v>
      </c>
      <c r="C639" s="32" t="s">
        <v>41</v>
      </c>
      <c r="D639" s="32"/>
      <c r="E639" s="32" t="s">
        <v>1418</v>
      </c>
      <c r="F639" s="32" t="s">
        <v>1416</v>
      </c>
    </row>
    <row r="640" spans="1:6" ht="69.95" customHeight="1">
      <c r="A640" s="32" t="s">
        <v>194</v>
      </c>
      <c r="B640" s="32" t="s">
        <v>1419</v>
      </c>
      <c r="C640" s="32" t="s">
        <v>43</v>
      </c>
      <c r="D640" s="32"/>
      <c r="E640" s="32" t="s">
        <v>1420</v>
      </c>
      <c r="F640" s="32" t="s">
        <v>1416</v>
      </c>
    </row>
    <row r="641" spans="1:6" ht="69.95" customHeight="1">
      <c r="A641" s="32" t="s">
        <v>195</v>
      </c>
      <c r="B641" s="32" t="s">
        <v>1421</v>
      </c>
      <c r="C641" s="32" t="s">
        <v>12</v>
      </c>
      <c r="D641" s="32" t="s">
        <v>1554</v>
      </c>
      <c r="E641" s="32" t="s">
        <v>1555</v>
      </c>
      <c r="F641" s="32" t="s">
        <v>1422</v>
      </c>
    </row>
    <row r="642" spans="1:6" ht="69.95" customHeight="1">
      <c r="A642" s="32" t="s">
        <v>195</v>
      </c>
      <c r="B642" s="32" t="s">
        <v>1423</v>
      </c>
      <c r="C642" s="32" t="s">
        <v>13</v>
      </c>
      <c r="D642" s="32"/>
      <c r="E642" s="32" t="s">
        <v>237</v>
      </c>
      <c r="F642" s="32" t="s">
        <v>1422</v>
      </c>
    </row>
    <row r="643" spans="1:6" ht="69.95" customHeight="1">
      <c r="A643" s="32" t="s">
        <v>195</v>
      </c>
      <c r="B643" s="32" t="s">
        <v>1458</v>
      </c>
      <c r="C643" s="32" t="s">
        <v>35</v>
      </c>
      <c r="D643" s="32" t="s">
        <v>1501</v>
      </c>
      <c r="E643" s="32" t="s">
        <v>1502</v>
      </c>
      <c r="F643" s="32" t="s">
        <v>1503</v>
      </c>
    </row>
    <row r="644" spans="1:6" ht="69.95" customHeight="1">
      <c r="A644" s="32" t="s">
        <v>195</v>
      </c>
      <c r="B644" s="32" t="s">
        <v>1414</v>
      </c>
      <c r="C644" s="32" t="s">
        <v>40</v>
      </c>
      <c r="D644" s="32"/>
      <c r="E644" s="32" t="s">
        <v>1429</v>
      </c>
      <c r="F644" s="32" t="s">
        <v>1416</v>
      </c>
    </row>
    <row r="645" spans="1:6" ht="69.95" customHeight="1">
      <c r="A645" s="32" t="s">
        <v>195</v>
      </c>
      <c r="B645" s="32" t="s">
        <v>1417</v>
      </c>
      <c r="C645" s="32" t="s">
        <v>41</v>
      </c>
      <c r="D645" s="32"/>
      <c r="E645" s="32" t="s">
        <v>1418</v>
      </c>
      <c r="F645" s="32" t="s">
        <v>1416</v>
      </c>
    </row>
    <row r="646" spans="1:6" ht="69.95" customHeight="1">
      <c r="A646" s="32" t="s">
        <v>195</v>
      </c>
      <c r="B646" s="32" t="s">
        <v>1419</v>
      </c>
      <c r="C646" s="32" t="s">
        <v>43</v>
      </c>
      <c r="D646" s="32"/>
      <c r="E646" s="32" t="s">
        <v>1508</v>
      </c>
      <c r="F646" s="32" t="s">
        <v>1416</v>
      </c>
    </row>
    <row r="647" spans="1:6" ht="69.95" customHeight="1">
      <c r="A647" s="32" t="s">
        <v>196</v>
      </c>
      <c r="B647" s="32" t="s">
        <v>1421</v>
      </c>
      <c r="C647" s="32" t="s">
        <v>12</v>
      </c>
      <c r="D647" s="32" t="s">
        <v>1556</v>
      </c>
      <c r="E647" s="32" t="s">
        <v>1153</v>
      </c>
      <c r="F647" s="32" t="s">
        <v>1422</v>
      </c>
    </row>
    <row r="648" spans="1:6" ht="69.95" customHeight="1">
      <c r="A648" s="32" t="s">
        <v>196</v>
      </c>
      <c r="B648" s="32" t="s">
        <v>1423</v>
      </c>
      <c r="C648" s="32" t="s">
        <v>13</v>
      </c>
      <c r="D648" s="32" t="s">
        <v>1557</v>
      </c>
      <c r="E648" s="32" t="s">
        <v>1542</v>
      </c>
      <c r="F648" s="32" t="s">
        <v>1422</v>
      </c>
    </row>
    <row r="649" spans="1:6" ht="69.95" customHeight="1">
      <c r="A649" s="32" t="s">
        <v>196</v>
      </c>
      <c r="B649" s="32" t="s">
        <v>1414</v>
      </c>
      <c r="C649" s="32" t="s">
        <v>40</v>
      </c>
      <c r="D649" s="32"/>
      <c r="E649" s="32" t="s">
        <v>1429</v>
      </c>
      <c r="F649" s="32" t="s">
        <v>1416</v>
      </c>
    </row>
    <row r="650" spans="1:6" ht="69.95" customHeight="1">
      <c r="A650" s="32" t="s">
        <v>196</v>
      </c>
      <c r="B650" s="32" t="s">
        <v>1417</v>
      </c>
      <c r="C650" s="32" t="s">
        <v>41</v>
      </c>
      <c r="D650" s="32"/>
      <c r="E650" s="32" t="s">
        <v>1418</v>
      </c>
      <c r="F650" s="32" t="s">
        <v>1416</v>
      </c>
    </row>
    <row r="651" spans="1:6" ht="69.95" customHeight="1">
      <c r="A651" s="32" t="s">
        <v>196</v>
      </c>
      <c r="B651" s="32" t="s">
        <v>1419</v>
      </c>
      <c r="C651" s="32" t="s">
        <v>43</v>
      </c>
      <c r="D651" s="32"/>
      <c r="E651" s="32" t="s">
        <v>1420</v>
      </c>
      <c r="F651" s="32" t="s">
        <v>1416</v>
      </c>
    </row>
    <row r="652" spans="1:6" ht="69.95" customHeight="1">
      <c r="A652" s="32" t="s">
        <v>197</v>
      </c>
      <c r="B652" s="32" t="s">
        <v>1421</v>
      </c>
      <c r="C652" s="32" t="s">
        <v>12</v>
      </c>
      <c r="D652" s="32" t="s">
        <v>1558</v>
      </c>
      <c r="E652" s="32" t="s">
        <v>1543</v>
      </c>
      <c r="F652" s="32" t="s">
        <v>1422</v>
      </c>
    </row>
    <row r="653" spans="1:6" ht="69.95" customHeight="1">
      <c r="A653" s="32" t="s">
        <v>197</v>
      </c>
      <c r="B653" s="32" t="s">
        <v>1423</v>
      </c>
      <c r="C653" s="32" t="s">
        <v>13</v>
      </c>
      <c r="D653" s="32" t="s">
        <v>1559</v>
      </c>
      <c r="E653" s="32" t="s">
        <v>1544</v>
      </c>
      <c r="F653" s="32" t="s">
        <v>1422</v>
      </c>
    </row>
    <row r="654" spans="1:6" ht="69.95" customHeight="1">
      <c r="A654" s="32" t="s">
        <v>197</v>
      </c>
      <c r="B654" s="32" t="s">
        <v>1414</v>
      </c>
      <c r="C654" s="32" t="s">
        <v>40</v>
      </c>
      <c r="D654" s="32"/>
      <c r="E654" s="32" t="s">
        <v>1429</v>
      </c>
      <c r="F654" s="32" t="s">
        <v>1416</v>
      </c>
    </row>
    <row r="655" spans="1:6" ht="69.95" customHeight="1">
      <c r="A655" s="32" t="s">
        <v>197</v>
      </c>
      <c r="B655" s="32" t="s">
        <v>1417</v>
      </c>
      <c r="C655" s="32" t="s">
        <v>41</v>
      </c>
      <c r="D655" s="32"/>
      <c r="E655" s="32" t="s">
        <v>1418</v>
      </c>
      <c r="F655" s="32" t="s">
        <v>1416</v>
      </c>
    </row>
    <row r="656" spans="1:6" ht="69.95" customHeight="1">
      <c r="A656" s="32" t="s">
        <v>197</v>
      </c>
      <c r="B656" s="32" t="s">
        <v>1419</v>
      </c>
      <c r="C656" s="32" t="s">
        <v>43</v>
      </c>
      <c r="D656" s="32"/>
      <c r="E656" s="32" t="s">
        <v>1420</v>
      </c>
      <c r="F656" s="32" t="s">
        <v>1416</v>
      </c>
    </row>
    <row r="657" spans="1:6" ht="69.95" customHeight="1">
      <c r="A657" s="32" t="s">
        <v>198</v>
      </c>
      <c r="B657" s="32" t="s">
        <v>1421</v>
      </c>
      <c r="C657" s="32" t="s">
        <v>12</v>
      </c>
      <c r="D657" s="32" t="s">
        <v>1560</v>
      </c>
      <c r="E657" s="32" t="s">
        <v>1543</v>
      </c>
      <c r="F657" s="32" t="s">
        <v>1422</v>
      </c>
    </row>
    <row r="658" spans="1:6" ht="69.95" customHeight="1">
      <c r="A658" s="32" t="s">
        <v>198</v>
      </c>
      <c r="B658" s="32" t="s">
        <v>1423</v>
      </c>
      <c r="C658" s="32" t="s">
        <v>13</v>
      </c>
      <c r="D658" s="32" t="s">
        <v>225</v>
      </c>
      <c r="E658" s="32" t="s">
        <v>1259</v>
      </c>
      <c r="F658" s="32" t="s">
        <v>1422</v>
      </c>
    </row>
    <row r="659" spans="1:6" ht="69.95" customHeight="1">
      <c r="A659" s="32" t="s">
        <v>198</v>
      </c>
      <c r="B659" s="32" t="s">
        <v>1414</v>
      </c>
      <c r="C659" s="32" t="s">
        <v>40</v>
      </c>
      <c r="D659" s="32"/>
      <c r="E659" s="32" t="s">
        <v>1429</v>
      </c>
      <c r="F659" s="32" t="s">
        <v>1416</v>
      </c>
    </row>
    <row r="660" spans="1:6" ht="69.95" customHeight="1">
      <c r="A660" s="32" t="s">
        <v>198</v>
      </c>
      <c r="B660" s="32" t="s">
        <v>1417</v>
      </c>
      <c r="C660" s="32" t="s">
        <v>41</v>
      </c>
      <c r="D660" s="32"/>
      <c r="E660" s="32" t="s">
        <v>1418</v>
      </c>
      <c r="F660" s="32" t="s">
        <v>1416</v>
      </c>
    </row>
    <row r="661" spans="1:6" ht="69.95" customHeight="1">
      <c r="A661" s="32" t="s">
        <v>198</v>
      </c>
      <c r="B661" s="32" t="s">
        <v>1419</v>
      </c>
      <c r="C661" s="32" t="s">
        <v>43</v>
      </c>
      <c r="D661" s="32"/>
      <c r="E661" s="32" t="s">
        <v>1420</v>
      </c>
      <c r="F661" s="32" t="s">
        <v>1416</v>
      </c>
    </row>
    <row r="662" spans="1:6" ht="69.95" customHeight="1">
      <c r="A662" s="32" t="s">
        <v>199</v>
      </c>
      <c r="B662" s="32" t="s">
        <v>1421</v>
      </c>
      <c r="C662" s="32" t="s">
        <v>12</v>
      </c>
      <c r="D662" s="32" t="s">
        <v>1561</v>
      </c>
      <c r="E662" s="32" t="s">
        <v>1545</v>
      </c>
      <c r="F662" s="32" t="s">
        <v>1422</v>
      </c>
    </row>
    <row r="663" spans="1:6" ht="69.95" customHeight="1">
      <c r="A663" s="32" t="s">
        <v>199</v>
      </c>
      <c r="B663" s="32" t="s">
        <v>1423</v>
      </c>
      <c r="C663" s="32" t="s">
        <v>13</v>
      </c>
      <c r="D663" s="32" t="s">
        <v>1562</v>
      </c>
      <c r="E663" s="32" t="s">
        <v>1546</v>
      </c>
      <c r="F663" s="32" t="s">
        <v>1422</v>
      </c>
    </row>
    <row r="664" spans="1:6" ht="69.95" customHeight="1">
      <c r="A664" s="32" t="s">
        <v>199</v>
      </c>
      <c r="B664" s="32" t="s">
        <v>1414</v>
      </c>
      <c r="C664" s="32" t="s">
        <v>40</v>
      </c>
      <c r="D664" s="32"/>
      <c r="E664" s="32" t="s">
        <v>1429</v>
      </c>
      <c r="F664" s="32" t="s">
        <v>1416</v>
      </c>
    </row>
    <row r="665" spans="1:6" ht="69.95" customHeight="1">
      <c r="A665" s="32" t="s">
        <v>199</v>
      </c>
      <c r="B665" s="32" t="s">
        <v>1417</v>
      </c>
      <c r="C665" s="32" t="s">
        <v>41</v>
      </c>
      <c r="D665" s="32"/>
      <c r="E665" s="32" t="s">
        <v>1418</v>
      </c>
      <c r="F665" s="32" t="s">
        <v>1416</v>
      </c>
    </row>
    <row r="666" spans="1:6" ht="69.95" customHeight="1">
      <c r="A666" s="32" t="s">
        <v>199</v>
      </c>
      <c r="B666" s="32" t="s">
        <v>1419</v>
      </c>
      <c r="C666" s="32" t="s">
        <v>43</v>
      </c>
      <c r="D666" s="32"/>
      <c r="E666" s="32" t="s">
        <v>1420</v>
      </c>
      <c r="F666" s="32" t="s">
        <v>1416</v>
      </c>
    </row>
    <row r="667" spans="1:6" ht="69.95" customHeight="1">
      <c r="A667" s="32" t="s">
        <v>200</v>
      </c>
      <c r="B667" s="32" t="s">
        <v>1421</v>
      </c>
      <c r="C667" s="32" t="s">
        <v>12</v>
      </c>
      <c r="D667" s="32" t="s">
        <v>1563</v>
      </c>
      <c r="E667" s="32" t="s">
        <v>199</v>
      </c>
      <c r="F667" s="32" t="s">
        <v>1422</v>
      </c>
    </row>
    <row r="668" spans="1:6" ht="69.95" customHeight="1">
      <c r="A668" s="32" t="s">
        <v>200</v>
      </c>
      <c r="B668" s="32" t="s">
        <v>1423</v>
      </c>
      <c r="C668" s="32" t="s">
        <v>13</v>
      </c>
      <c r="D668" s="32" t="s">
        <v>1564</v>
      </c>
      <c r="E668" s="32" t="s">
        <v>1547</v>
      </c>
      <c r="F668" s="32" t="s">
        <v>1422</v>
      </c>
    </row>
    <row r="669" spans="1:6" ht="69.95" customHeight="1">
      <c r="A669" s="32" t="s">
        <v>200</v>
      </c>
      <c r="B669" s="32" t="s">
        <v>1414</v>
      </c>
      <c r="C669" s="32" t="s">
        <v>40</v>
      </c>
      <c r="D669" s="32"/>
      <c r="E669" s="32" t="s">
        <v>1429</v>
      </c>
      <c r="F669" s="32" t="s">
        <v>1416</v>
      </c>
    </row>
    <row r="670" spans="1:6" ht="69.95" customHeight="1">
      <c r="A670" s="32" t="s">
        <v>200</v>
      </c>
      <c r="B670" s="32" t="s">
        <v>1417</v>
      </c>
      <c r="C670" s="32" t="s">
        <v>41</v>
      </c>
      <c r="D670" s="32"/>
      <c r="E670" s="32" t="s">
        <v>1418</v>
      </c>
      <c r="F670" s="32" t="s">
        <v>1416</v>
      </c>
    </row>
    <row r="671" spans="1:6" ht="69.95" customHeight="1">
      <c r="A671" s="32" t="s">
        <v>200</v>
      </c>
      <c r="B671" s="32" t="s">
        <v>1419</v>
      </c>
      <c r="C671" s="32" t="s">
        <v>43</v>
      </c>
      <c r="D671" s="32"/>
      <c r="E671" s="32" t="s">
        <v>1420</v>
      </c>
      <c r="F671" s="32" t="s">
        <v>1416</v>
      </c>
    </row>
    <row r="672" spans="1:6" ht="69.95" customHeight="1">
      <c r="A672" s="32" t="s">
        <v>201</v>
      </c>
      <c r="B672" s="32" t="s">
        <v>1421</v>
      </c>
      <c r="C672" s="32" t="s">
        <v>12</v>
      </c>
      <c r="D672" s="32" t="s">
        <v>210</v>
      </c>
      <c r="E672" s="32" t="s">
        <v>1548</v>
      </c>
      <c r="F672" s="32" t="s">
        <v>1422</v>
      </c>
    </row>
    <row r="673" spans="1:6" ht="69.95" customHeight="1">
      <c r="A673" s="32" t="s">
        <v>201</v>
      </c>
      <c r="B673" s="32" t="s">
        <v>1423</v>
      </c>
      <c r="C673" s="32" t="s">
        <v>13</v>
      </c>
      <c r="D673" s="32" t="s">
        <v>1565</v>
      </c>
      <c r="E673" s="32" t="s">
        <v>1549</v>
      </c>
      <c r="F673" s="32" t="s">
        <v>1422</v>
      </c>
    </row>
    <row r="674" spans="1:6" ht="69.95" customHeight="1">
      <c r="A674" s="32" t="s">
        <v>201</v>
      </c>
      <c r="B674" s="32" t="s">
        <v>1414</v>
      </c>
      <c r="C674" s="32" t="s">
        <v>40</v>
      </c>
      <c r="D674" s="32"/>
      <c r="E674" s="32" t="s">
        <v>1429</v>
      </c>
      <c r="F674" s="32" t="s">
        <v>1416</v>
      </c>
    </row>
    <row r="675" spans="1:6" ht="69.95" customHeight="1">
      <c r="A675" s="32" t="s">
        <v>201</v>
      </c>
      <c r="B675" s="32" t="s">
        <v>1417</v>
      </c>
      <c r="C675" s="32" t="s">
        <v>41</v>
      </c>
      <c r="D675" s="32"/>
      <c r="E675" s="32" t="s">
        <v>1418</v>
      </c>
      <c r="F675" s="32" t="s">
        <v>1416</v>
      </c>
    </row>
    <row r="676" spans="1:6" ht="69.95" customHeight="1">
      <c r="A676" s="32" t="s">
        <v>201</v>
      </c>
      <c r="B676" s="32" t="s">
        <v>1419</v>
      </c>
      <c r="C676" s="32" t="s">
        <v>43</v>
      </c>
      <c r="D676" s="32"/>
      <c r="E676" s="32" t="s">
        <v>1420</v>
      </c>
      <c r="F676" s="32" t="s">
        <v>1416</v>
      </c>
    </row>
    <row r="677" spans="1:6" ht="69.95" customHeight="1">
      <c r="A677" s="32" t="s">
        <v>202</v>
      </c>
      <c r="B677" s="32" t="s">
        <v>1421</v>
      </c>
      <c r="C677" s="32" t="s">
        <v>12</v>
      </c>
      <c r="D677" s="32" t="s">
        <v>211</v>
      </c>
      <c r="E677" s="32" t="s">
        <v>1550</v>
      </c>
      <c r="F677" s="32" t="s">
        <v>1422</v>
      </c>
    </row>
    <row r="678" spans="1:6" ht="69.95" customHeight="1">
      <c r="A678" s="32" t="s">
        <v>202</v>
      </c>
      <c r="B678" s="32" t="s">
        <v>1423</v>
      </c>
      <c r="C678" s="32" t="s">
        <v>13</v>
      </c>
      <c r="D678" s="32" t="s">
        <v>1566</v>
      </c>
      <c r="E678" s="32" t="s">
        <v>1261</v>
      </c>
      <c r="F678" s="32" t="s">
        <v>1422</v>
      </c>
    </row>
    <row r="679" spans="1:6" ht="69.95" customHeight="1">
      <c r="A679" s="32" t="s">
        <v>202</v>
      </c>
      <c r="B679" s="32" t="s">
        <v>1414</v>
      </c>
      <c r="C679" s="32" t="s">
        <v>40</v>
      </c>
      <c r="D679" s="32"/>
      <c r="E679" s="32" t="s">
        <v>1429</v>
      </c>
      <c r="F679" s="32" t="s">
        <v>1416</v>
      </c>
    </row>
    <row r="680" spans="1:6" ht="69.95" customHeight="1">
      <c r="A680" s="32" t="s">
        <v>202</v>
      </c>
      <c r="B680" s="32" t="s">
        <v>1417</v>
      </c>
      <c r="C680" s="32" t="s">
        <v>41</v>
      </c>
      <c r="D680" s="32"/>
      <c r="E680" s="32" t="s">
        <v>1418</v>
      </c>
      <c r="F680" s="32" t="s">
        <v>1416</v>
      </c>
    </row>
    <row r="681" spans="1:6" ht="69.95" customHeight="1">
      <c r="A681" s="32" t="s">
        <v>202</v>
      </c>
      <c r="B681" s="32" t="s">
        <v>1419</v>
      </c>
      <c r="C681" s="32" t="s">
        <v>43</v>
      </c>
      <c r="D681" s="32"/>
      <c r="E681" s="32" t="s">
        <v>1420</v>
      </c>
      <c r="F681" s="32" t="s">
        <v>1416</v>
      </c>
    </row>
    <row r="682" spans="1:6" ht="69.95" customHeight="1">
      <c r="A682" s="32" t="s">
        <v>203</v>
      </c>
      <c r="B682" s="32" t="s">
        <v>1421</v>
      </c>
      <c r="C682" s="32" t="s">
        <v>12</v>
      </c>
      <c r="D682" s="32" t="s">
        <v>1567</v>
      </c>
      <c r="E682" s="32" t="s">
        <v>1551</v>
      </c>
      <c r="F682" s="32" t="s">
        <v>1422</v>
      </c>
    </row>
    <row r="683" spans="1:6" ht="69.95" customHeight="1">
      <c r="A683" s="32" t="s">
        <v>203</v>
      </c>
      <c r="B683" s="32" t="s">
        <v>1423</v>
      </c>
      <c r="C683" s="32" t="s">
        <v>13</v>
      </c>
      <c r="D683" s="32"/>
      <c r="E683" s="32" t="s">
        <v>1552</v>
      </c>
      <c r="F683" s="32" t="s">
        <v>1422</v>
      </c>
    </row>
    <row r="684" spans="1:6" ht="69.95" customHeight="1">
      <c r="A684" s="32" t="s">
        <v>203</v>
      </c>
      <c r="B684" s="32" t="s">
        <v>1414</v>
      </c>
      <c r="C684" s="32" t="s">
        <v>40</v>
      </c>
      <c r="D684" s="32"/>
      <c r="E684" s="32" t="s">
        <v>1429</v>
      </c>
      <c r="F684" s="32" t="s">
        <v>1416</v>
      </c>
    </row>
    <row r="685" spans="1:6" ht="69.95" customHeight="1">
      <c r="A685" s="32" t="s">
        <v>203</v>
      </c>
      <c r="B685" s="32" t="s">
        <v>1417</v>
      </c>
      <c r="C685" s="32" t="s">
        <v>41</v>
      </c>
      <c r="D685" s="32"/>
      <c r="E685" s="32" t="s">
        <v>1418</v>
      </c>
      <c r="F685" s="32" t="s">
        <v>1416</v>
      </c>
    </row>
    <row r="686" spans="1:6" ht="69.95" customHeight="1">
      <c r="A686" s="32" t="s">
        <v>203</v>
      </c>
      <c r="B686" s="32" t="s">
        <v>1419</v>
      </c>
      <c r="C686" s="32" t="s">
        <v>43</v>
      </c>
      <c r="D686" s="32"/>
      <c r="E686" s="32" t="s">
        <v>1420</v>
      </c>
      <c r="F686" s="32" t="s">
        <v>1416</v>
      </c>
    </row>
    <row r="687" spans="1:6" ht="69.95" customHeight="1">
      <c r="A687" s="32" t="s">
        <v>204</v>
      </c>
      <c r="B687" s="32" t="s">
        <v>1421</v>
      </c>
      <c r="C687" s="32" t="s">
        <v>12</v>
      </c>
      <c r="D687" s="32" t="s">
        <v>1568</v>
      </c>
      <c r="E687" s="32" t="s">
        <v>1553</v>
      </c>
      <c r="F687" s="32" t="s">
        <v>1422</v>
      </c>
    </row>
    <row r="688" spans="1:6" ht="69.95" customHeight="1">
      <c r="A688" s="32" t="s">
        <v>204</v>
      </c>
      <c r="B688" s="32" t="s">
        <v>1423</v>
      </c>
      <c r="C688" s="32" t="s">
        <v>13</v>
      </c>
      <c r="D688" s="32" t="s">
        <v>213</v>
      </c>
      <c r="E688" s="32"/>
      <c r="F688" s="32" t="s">
        <v>1422</v>
      </c>
    </row>
    <row r="689" spans="1:6" ht="69.95" customHeight="1">
      <c r="A689" s="32" t="s">
        <v>204</v>
      </c>
      <c r="B689" s="32" t="s">
        <v>1414</v>
      </c>
      <c r="C689" s="32" t="s">
        <v>40</v>
      </c>
      <c r="D689" s="32"/>
      <c r="E689" s="32" t="s">
        <v>1429</v>
      </c>
      <c r="F689" s="32" t="s">
        <v>1416</v>
      </c>
    </row>
    <row r="690" spans="1:6" ht="69.95" customHeight="1">
      <c r="A690" s="32" t="s">
        <v>204</v>
      </c>
      <c r="B690" s="32" t="s">
        <v>1417</v>
      </c>
      <c r="C690" s="32" t="s">
        <v>41</v>
      </c>
      <c r="D690" s="32"/>
      <c r="E690" s="32" t="s">
        <v>1418</v>
      </c>
      <c r="F690" s="32" t="s">
        <v>1416</v>
      </c>
    </row>
    <row r="691" spans="1:6" ht="69.95" customHeight="1">
      <c r="A691" s="32" t="s">
        <v>204</v>
      </c>
      <c r="B691" s="32" t="s">
        <v>1419</v>
      </c>
      <c r="C691" s="32" t="s">
        <v>43</v>
      </c>
      <c r="D691" s="32"/>
      <c r="E691" s="32" t="s">
        <v>1420</v>
      </c>
      <c r="F691" s="32" t="s">
        <v>1416</v>
      </c>
    </row>
    <row r="692" spans="1:6" ht="69.95" customHeight="1">
      <c r="A692" s="32" t="s">
        <v>205</v>
      </c>
      <c r="B692" s="32" t="s">
        <v>1421</v>
      </c>
      <c r="C692" s="32" t="s">
        <v>12</v>
      </c>
      <c r="D692" s="32"/>
      <c r="E692" s="32" t="s">
        <v>1554</v>
      </c>
      <c r="F692" s="32" t="s">
        <v>1422</v>
      </c>
    </row>
    <row r="693" spans="1:6" ht="69.95" customHeight="1">
      <c r="A693" s="32" t="s">
        <v>205</v>
      </c>
      <c r="B693" s="32" t="s">
        <v>1414</v>
      </c>
      <c r="C693" s="32" t="s">
        <v>40</v>
      </c>
      <c r="D693" s="32"/>
      <c r="E693" s="32" t="s">
        <v>1429</v>
      </c>
      <c r="F693" s="32" t="s">
        <v>1416</v>
      </c>
    </row>
    <row r="694" spans="1:6" ht="69.95" customHeight="1">
      <c r="A694" s="32" t="s">
        <v>205</v>
      </c>
      <c r="B694" s="32" t="s">
        <v>1417</v>
      </c>
      <c r="C694" s="32" t="s">
        <v>41</v>
      </c>
      <c r="D694" s="32"/>
      <c r="E694" s="32" t="s">
        <v>1418</v>
      </c>
      <c r="F694" s="32" t="s">
        <v>1416</v>
      </c>
    </row>
    <row r="695" spans="1:6" ht="69.95" customHeight="1">
      <c r="A695" s="32" t="s">
        <v>205</v>
      </c>
      <c r="B695" s="32" t="s">
        <v>1419</v>
      </c>
      <c r="C695" s="32" t="s">
        <v>43</v>
      </c>
      <c r="D695" s="32"/>
      <c r="E695" s="32" t="s">
        <v>1420</v>
      </c>
      <c r="F695" s="32" t="s">
        <v>1416</v>
      </c>
    </row>
    <row r="696" spans="1:6" ht="69.95" customHeight="1">
      <c r="A696" s="32" t="s">
        <v>206</v>
      </c>
      <c r="B696" s="32" t="s">
        <v>1421</v>
      </c>
      <c r="C696" s="32" t="s">
        <v>12</v>
      </c>
      <c r="D696" s="32"/>
      <c r="E696" s="32" t="s">
        <v>1556</v>
      </c>
      <c r="F696" s="32" t="s">
        <v>1422</v>
      </c>
    </row>
    <row r="697" spans="1:6" ht="69.95" customHeight="1">
      <c r="A697" s="32" t="s">
        <v>206</v>
      </c>
      <c r="B697" s="32" t="s">
        <v>1423</v>
      </c>
      <c r="C697" s="32" t="s">
        <v>13</v>
      </c>
      <c r="D697" s="32"/>
      <c r="E697" s="32" t="s">
        <v>1557</v>
      </c>
      <c r="F697" s="32" t="s">
        <v>1422</v>
      </c>
    </row>
    <row r="698" spans="1:6" ht="69.95" customHeight="1">
      <c r="A698" s="32" t="s">
        <v>206</v>
      </c>
      <c r="B698" s="32" t="s">
        <v>1414</v>
      </c>
      <c r="C698" s="32" t="s">
        <v>40</v>
      </c>
      <c r="D698" s="32"/>
      <c r="E698" s="32" t="s">
        <v>1429</v>
      </c>
      <c r="F698" s="32" t="s">
        <v>1416</v>
      </c>
    </row>
    <row r="699" spans="1:6" ht="69.95" customHeight="1">
      <c r="A699" s="32" t="s">
        <v>206</v>
      </c>
      <c r="B699" s="32" t="s">
        <v>1417</v>
      </c>
      <c r="C699" s="32" t="s">
        <v>41</v>
      </c>
      <c r="D699" s="32"/>
      <c r="E699" s="32" t="s">
        <v>1418</v>
      </c>
      <c r="F699" s="32" t="s">
        <v>1416</v>
      </c>
    </row>
    <row r="700" spans="1:6" ht="69.95" customHeight="1">
      <c r="A700" s="32" t="s">
        <v>206</v>
      </c>
      <c r="B700" s="32" t="s">
        <v>1419</v>
      </c>
      <c r="C700" s="32" t="s">
        <v>43</v>
      </c>
      <c r="D700" s="32"/>
      <c r="E700" s="32" t="s">
        <v>1420</v>
      </c>
      <c r="F700" s="32" t="s">
        <v>1416</v>
      </c>
    </row>
    <row r="701" spans="1:6" ht="69.95" customHeight="1">
      <c r="A701" s="32" t="s">
        <v>207</v>
      </c>
      <c r="B701" s="32" t="s">
        <v>1421</v>
      </c>
      <c r="C701" s="32" t="s">
        <v>12</v>
      </c>
      <c r="D701" s="32" t="s">
        <v>1569</v>
      </c>
      <c r="E701" s="32" t="s">
        <v>1558</v>
      </c>
      <c r="F701" s="32" t="s">
        <v>1422</v>
      </c>
    </row>
    <row r="702" spans="1:6" ht="69.95" customHeight="1">
      <c r="A702" s="32" t="s">
        <v>207</v>
      </c>
      <c r="B702" s="32" t="s">
        <v>1423</v>
      </c>
      <c r="C702" s="32" t="s">
        <v>13</v>
      </c>
      <c r="D702" s="32" t="s">
        <v>237</v>
      </c>
      <c r="E702" s="32" t="s">
        <v>1559</v>
      </c>
      <c r="F702" s="32" t="s">
        <v>1422</v>
      </c>
    </row>
    <row r="703" spans="1:6" ht="69.95" customHeight="1">
      <c r="A703" s="32" t="s">
        <v>207</v>
      </c>
      <c r="B703" s="32" t="s">
        <v>1414</v>
      </c>
      <c r="C703" s="32" t="s">
        <v>40</v>
      </c>
      <c r="D703" s="32"/>
      <c r="E703" s="32" t="s">
        <v>1429</v>
      </c>
      <c r="F703" s="32" t="s">
        <v>1416</v>
      </c>
    </row>
    <row r="704" spans="1:6" ht="69.95" customHeight="1">
      <c r="A704" s="32" t="s">
        <v>207</v>
      </c>
      <c r="B704" s="32" t="s">
        <v>1417</v>
      </c>
      <c r="C704" s="32" t="s">
        <v>41</v>
      </c>
      <c r="D704" s="32"/>
      <c r="E704" s="32" t="s">
        <v>1418</v>
      </c>
      <c r="F704" s="32" t="s">
        <v>1416</v>
      </c>
    </row>
    <row r="705" spans="1:6" ht="69.95" customHeight="1">
      <c r="A705" s="32" t="s">
        <v>207</v>
      </c>
      <c r="B705" s="32" t="s">
        <v>1419</v>
      </c>
      <c r="C705" s="32" t="s">
        <v>43</v>
      </c>
      <c r="D705" s="32"/>
      <c r="E705" s="32" t="s">
        <v>1420</v>
      </c>
      <c r="F705" s="32" t="s">
        <v>1416</v>
      </c>
    </row>
    <row r="706" spans="1:6" ht="69.95" customHeight="1">
      <c r="A706" s="32" t="s">
        <v>208</v>
      </c>
      <c r="B706" s="32" t="s">
        <v>1421</v>
      </c>
      <c r="C706" s="32" t="s">
        <v>12</v>
      </c>
      <c r="D706" s="32"/>
      <c r="E706" s="32" t="s">
        <v>1560</v>
      </c>
      <c r="F706" s="32" t="s">
        <v>1422</v>
      </c>
    </row>
    <row r="707" spans="1:6" ht="69.95" customHeight="1">
      <c r="A707" s="32" t="s">
        <v>208</v>
      </c>
      <c r="B707" s="32" t="s">
        <v>1423</v>
      </c>
      <c r="C707" s="32" t="s">
        <v>13</v>
      </c>
      <c r="D707" s="32"/>
      <c r="E707" s="32" t="s">
        <v>225</v>
      </c>
      <c r="F707" s="32" t="s">
        <v>1422</v>
      </c>
    </row>
    <row r="708" spans="1:6" ht="69.95" customHeight="1">
      <c r="A708" s="32" t="s">
        <v>208</v>
      </c>
      <c r="B708" s="32" t="s">
        <v>1414</v>
      </c>
      <c r="C708" s="32" t="s">
        <v>40</v>
      </c>
      <c r="D708" s="32"/>
      <c r="E708" s="32" t="s">
        <v>1429</v>
      </c>
      <c r="F708" s="32" t="s">
        <v>1416</v>
      </c>
    </row>
    <row r="709" spans="1:6" ht="69.95" customHeight="1">
      <c r="A709" s="32" t="s">
        <v>208</v>
      </c>
      <c r="B709" s="32" t="s">
        <v>1417</v>
      </c>
      <c r="C709" s="32" t="s">
        <v>41</v>
      </c>
      <c r="D709" s="32"/>
      <c r="E709" s="32" t="s">
        <v>1418</v>
      </c>
      <c r="F709" s="32" t="s">
        <v>1416</v>
      </c>
    </row>
    <row r="710" spans="1:6" ht="69.95" customHeight="1">
      <c r="A710" s="32" t="s">
        <v>208</v>
      </c>
      <c r="B710" s="32" t="s">
        <v>1419</v>
      </c>
      <c r="C710" s="32" t="s">
        <v>43</v>
      </c>
      <c r="D710" s="32"/>
      <c r="E710" s="32" t="s">
        <v>1420</v>
      </c>
      <c r="F710" s="32" t="s">
        <v>1416</v>
      </c>
    </row>
    <row r="711" spans="1:6" ht="69.95" customHeight="1">
      <c r="A711" s="32" t="s">
        <v>209</v>
      </c>
      <c r="B711" s="32" t="s">
        <v>1421</v>
      </c>
      <c r="C711" s="32" t="s">
        <v>12</v>
      </c>
      <c r="D711" s="32" t="s">
        <v>1155</v>
      </c>
      <c r="E711" s="32" t="s">
        <v>1561</v>
      </c>
      <c r="F711" s="32" t="s">
        <v>1422</v>
      </c>
    </row>
    <row r="712" spans="1:6" ht="69.95" customHeight="1">
      <c r="A712" s="32" t="s">
        <v>209</v>
      </c>
      <c r="B712" s="32" t="s">
        <v>1423</v>
      </c>
      <c r="C712" s="32" t="s">
        <v>13</v>
      </c>
      <c r="D712" s="32" t="s">
        <v>1570</v>
      </c>
      <c r="E712" s="32" t="s">
        <v>1562</v>
      </c>
      <c r="F712" s="32" t="s">
        <v>1422</v>
      </c>
    </row>
    <row r="713" spans="1:6" ht="69.95" customHeight="1">
      <c r="A713" s="32" t="s">
        <v>209</v>
      </c>
      <c r="B713" s="32" t="s">
        <v>1414</v>
      </c>
      <c r="C713" s="32" t="s">
        <v>40</v>
      </c>
      <c r="D713" s="32"/>
      <c r="E713" s="32" t="s">
        <v>1429</v>
      </c>
      <c r="F713" s="32" t="s">
        <v>1416</v>
      </c>
    </row>
    <row r="714" spans="1:6" ht="69.95" customHeight="1">
      <c r="A714" s="32" t="s">
        <v>209</v>
      </c>
      <c r="B714" s="32" t="s">
        <v>1417</v>
      </c>
      <c r="C714" s="32" t="s">
        <v>41</v>
      </c>
      <c r="D714" s="32"/>
      <c r="E714" s="32" t="s">
        <v>1418</v>
      </c>
      <c r="F714" s="32" t="s">
        <v>1416</v>
      </c>
    </row>
    <row r="715" spans="1:6" ht="69.95" customHeight="1">
      <c r="A715" s="32" t="s">
        <v>209</v>
      </c>
      <c r="B715" s="32" t="s">
        <v>1419</v>
      </c>
      <c r="C715" s="32" t="s">
        <v>43</v>
      </c>
      <c r="D715" s="32"/>
      <c r="E715" s="32" t="s">
        <v>1420</v>
      </c>
      <c r="F715" s="32" t="s">
        <v>1416</v>
      </c>
    </row>
    <row r="716" spans="1:6" ht="69.95" customHeight="1">
      <c r="A716" s="32" t="s">
        <v>210</v>
      </c>
      <c r="B716" s="32" t="s">
        <v>1421</v>
      </c>
      <c r="C716" s="32" t="s">
        <v>12</v>
      </c>
      <c r="D716" s="32" t="s">
        <v>1571</v>
      </c>
      <c r="E716" s="32" t="s">
        <v>1563</v>
      </c>
      <c r="F716" s="32" t="s">
        <v>1422</v>
      </c>
    </row>
    <row r="717" spans="1:6" ht="69.95" customHeight="1">
      <c r="A717" s="32" t="s">
        <v>210</v>
      </c>
      <c r="B717" s="32" t="s">
        <v>1423</v>
      </c>
      <c r="C717" s="32" t="s">
        <v>13</v>
      </c>
      <c r="D717" s="32" t="s">
        <v>1572</v>
      </c>
      <c r="E717" s="32" t="s">
        <v>1564</v>
      </c>
      <c r="F717" s="32" t="s">
        <v>1422</v>
      </c>
    </row>
    <row r="718" spans="1:6" ht="69.95" customHeight="1">
      <c r="A718" s="32" t="s">
        <v>210</v>
      </c>
      <c r="B718" s="32" t="s">
        <v>1414</v>
      </c>
      <c r="C718" s="32" t="s">
        <v>40</v>
      </c>
      <c r="D718" s="32"/>
      <c r="E718" s="32" t="s">
        <v>1429</v>
      </c>
      <c r="F718" s="32" t="s">
        <v>1416</v>
      </c>
    </row>
    <row r="719" spans="1:6" ht="69.95" customHeight="1">
      <c r="A719" s="32" t="s">
        <v>210</v>
      </c>
      <c r="B719" s="32" t="s">
        <v>1417</v>
      </c>
      <c r="C719" s="32" t="s">
        <v>41</v>
      </c>
      <c r="D719" s="32"/>
      <c r="E719" s="32" t="s">
        <v>1418</v>
      </c>
      <c r="F719" s="32" t="s">
        <v>1416</v>
      </c>
    </row>
    <row r="720" spans="1:6" ht="69.95" customHeight="1">
      <c r="A720" s="32" t="s">
        <v>210</v>
      </c>
      <c r="B720" s="32" t="s">
        <v>1419</v>
      </c>
      <c r="C720" s="32" t="s">
        <v>43</v>
      </c>
      <c r="D720" s="32"/>
      <c r="E720" s="32" t="s">
        <v>1420</v>
      </c>
      <c r="F720" s="32" t="s">
        <v>1416</v>
      </c>
    </row>
    <row r="721" spans="1:6" ht="69.95" customHeight="1">
      <c r="A721" s="32" t="s">
        <v>211</v>
      </c>
      <c r="B721" s="32" t="s">
        <v>1421</v>
      </c>
      <c r="C721" s="32" t="s">
        <v>12</v>
      </c>
      <c r="D721" s="32" t="s">
        <v>1573</v>
      </c>
      <c r="E721" s="32" t="s">
        <v>210</v>
      </c>
      <c r="F721" s="32" t="s">
        <v>1422</v>
      </c>
    </row>
    <row r="722" spans="1:6" ht="69.95" customHeight="1">
      <c r="A722" s="32" t="s">
        <v>211</v>
      </c>
      <c r="B722" s="32" t="s">
        <v>1423</v>
      </c>
      <c r="C722" s="32" t="s">
        <v>13</v>
      </c>
      <c r="D722" s="32" t="s">
        <v>1572</v>
      </c>
      <c r="E722" s="32" t="s">
        <v>1565</v>
      </c>
      <c r="F722" s="32" t="s">
        <v>1422</v>
      </c>
    </row>
    <row r="723" spans="1:6" ht="69.95" customHeight="1">
      <c r="A723" s="32" t="s">
        <v>211</v>
      </c>
      <c r="B723" s="32" t="s">
        <v>1414</v>
      </c>
      <c r="C723" s="32" t="s">
        <v>40</v>
      </c>
      <c r="D723" s="32"/>
      <c r="E723" s="32" t="s">
        <v>1429</v>
      </c>
      <c r="F723" s="32" t="s">
        <v>1416</v>
      </c>
    </row>
    <row r="724" spans="1:6" ht="69.95" customHeight="1">
      <c r="A724" s="32" t="s">
        <v>211</v>
      </c>
      <c r="B724" s="32" t="s">
        <v>1417</v>
      </c>
      <c r="C724" s="32" t="s">
        <v>41</v>
      </c>
      <c r="D724" s="32"/>
      <c r="E724" s="32" t="s">
        <v>1418</v>
      </c>
      <c r="F724" s="32" t="s">
        <v>1416</v>
      </c>
    </row>
    <row r="725" spans="1:6" ht="69.95" customHeight="1">
      <c r="A725" s="32" t="s">
        <v>211</v>
      </c>
      <c r="B725" s="32" t="s">
        <v>1419</v>
      </c>
      <c r="C725" s="32" t="s">
        <v>43</v>
      </c>
      <c r="D725" s="32"/>
      <c r="E725" s="32" t="s">
        <v>1420</v>
      </c>
      <c r="F725" s="32" t="s">
        <v>1416</v>
      </c>
    </row>
    <row r="726" spans="1:6" ht="69.95" customHeight="1">
      <c r="A726" s="32" t="s">
        <v>212</v>
      </c>
      <c r="B726" s="32" t="s">
        <v>1421</v>
      </c>
      <c r="C726" s="32" t="s">
        <v>12</v>
      </c>
      <c r="D726" s="32" t="s">
        <v>1574</v>
      </c>
      <c r="E726" s="32" t="s">
        <v>211</v>
      </c>
      <c r="F726" s="32" t="s">
        <v>1422</v>
      </c>
    </row>
    <row r="727" spans="1:6" ht="69.95" customHeight="1">
      <c r="A727" s="32" t="s">
        <v>212</v>
      </c>
      <c r="B727" s="32" t="s">
        <v>1423</v>
      </c>
      <c r="C727" s="32" t="s">
        <v>13</v>
      </c>
      <c r="D727" s="32" t="s">
        <v>1575</v>
      </c>
      <c r="E727" s="32" t="s">
        <v>1566</v>
      </c>
      <c r="F727" s="32" t="s">
        <v>1422</v>
      </c>
    </row>
    <row r="728" spans="1:6" ht="69.95" customHeight="1">
      <c r="A728" s="32" t="s">
        <v>212</v>
      </c>
      <c r="B728" s="32" t="s">
        <v>1414</v>
      </c>
      <c r="C728" s="32" t="s">
        <v>40</v>
      </c>
      <c r="D728" s="32"/>
      <c r="E728" s="32" t="s">
        <v>1429</v>
      </c>
      <c r="F728" s="32" t="s">
        <v>1416</v>
      </c>
    </row>
    <row r="729" spans="1:6" ht="69.95" customHeight="1">
      <c r="A729" s="32" t="s">
        <v>212</v>
      </c>
      <c r="B729" s="32" t="s">
        <v>1417</v>
      </c>
      <c r="C729" s="32" t="s">
        <v>41</v>
      </c>
      <c r="D729" s="32"/>
      <c r="E729" s="32" t="s">
        <v>1418</v>
      </c>
      <c r="F729" s="32" t="s">
        <v>1416</v>
      </c>
    </row>
    <row r="730" spans="1:6" ht="69.95" customHeight="1">
      <c r="A730" s="32" t="s">
        <v>212</v>
      </c>
      <c r="B730" s="32" t="s">
        <v>1419</v>
      </c>
      <c r="C730" s="32" t="s">
        <v>43</v>
      </c>
      <c r="D730" s="32"/>
      <c r="E730" s="32" t="s">
        <v>1420</v>
      </c>
      <c r="F730" s="32" t="s">
        <v>1416</v>
      </c>
    </row>
    <row r="731" spans="1:6" ht="69.95" customHeight="1">
      <c r="A731" s="32" t="s">
        <v>213</v>
      </c>
      <c r="B731" s="32" t="s">
        <v>1421</v>
      </c>
      <c r="C731" s="32" t="s">
        <v>12</v>
      </c>
      <c r="D731" s="32" t="s">
        <v>1576</v>
      </c>
      <c r="E731" s="32" t="s">
        <v>1567</v>
      </c>
      <c r="F731" s="32" t="s">
        <v>1422</v>
      </c>
    </row>
    <row r="732" spans="1:6" ht="69.95" customHeight="1">
      <c r="A732" s="32" t="s">
        <v>213</v>
      </c>
      <c r="B732" s="32" t="s">
        <v>1423</v>
      </c>
      <c r="C732" s="32" t="s">
        <v>13</v>
      </c>
      <c r="D732" s="32" t="s">
        <v>1577</v>
      </c>
      <c r="E732" s="32"/>
      <c r="F732" s="32" t="s">
        <v>1422</v>
      </c>
    </row>
    <row r="733" spans="1:6" ht="69.95" customHeight="1">
      <c r="A733" s="32" t="s">
        <v>213</v>
      </c>
      <c r="B733" s="32" t="s">
        <v>1414</v>
      </c>
      <c r="C733" s="32" t="s">
        <v>40</v>
      </c>
      <c r="D733" s="32"/>
      <c r="E733" s="32" t="s">
        <v>1429</v>
      </c>
      <c r="F733" s="32" t="s">
        <v>1416</v>
      </c>
    </row>
    <row r="734" spans="1:6" ht="69.95" customHeight="1">
      <c r="A734" s="32" t="s">
        <v>213</v>
      </c>
      <c r="B734" s="32" t="s">
        <v>1417</v>
      </c>
      <c r="C734" s="32" t="s">
        <v>41</v>
      </c>
      <c r="D734" s="32"/>
      <c r="E734" s="32" t="s">
        <v>1418</v>
      </c>
      <c r="F734" s="32" t="s">
        <v>1416</v>
      </c>
    </row>
    <row r="735" spans="1:6" ht="69.95" customHeight="1">
      <c r="A735" s="32" t="s">
        <v>213</v>
      </c>
      <c r="B735" s="32" t="s">
        <v>1419</v>
      </c>
      <c r="C735" s="32" t="s">
        <v>43</v>
      </c>
      <c r="D735" s="32"/>
      <c r="E735" s="32" t="s">
        <v>1420</v>
      </c>
      <c r="F735" s="32" t="s">
        <v>1416</v>
      </c>
    </row>
    <row r="736" spans="1:6" ht="69.95" customHeight="1">
      <c r="A736" s="32" t="s">
        <v>214</v>
      </c>
      <c r="B736" s="32" t="s">
        <v>1421</v>
      </c>
      <c r="C736" s="32" t="s">
        <v>12</v>
      </c>
      <c r="D736" s="32" t="s">
        <v>1578</v>
      </c>
      <c r="E736" s="32" t="s">
        <v>1568</v>
      </c>
      <c r="F736" s="32" t="s">
        <v>1422</v>
      </c>
    </row>
    <row r="737" spans="1:6" ht="69.95" customHeight="1">
      <c r="A737" s="32" t="s">
        <v>214</v>
      </c>
      <c r="B737" s="32" t="s">
        <v>1423</v>
      </c>
      <c r="C737" s="32" t="s">
        <v>13</v>
      </c>
      <c r="D737" s="32" t="s">
        <v>1579</v>
      </c>
      <c r="E737" s="32" t="s">
        <v>213</v>
      </c>
      <c r="F737" s="32" t="s">
        <v>1422</v>
      </c>
    </row>
    <row r="738" spans="1:6" ht="69.95" customHeight="1">
      <c r="A738" s="32" t="s">
        <v>214</v>
      </c>
      <c r="B738" s="32" t="s">
        <v>1414</v>
      </c>
      <c r="C738" s="32" t="s">
        <v>40</v>
      </c>
      <c r="D738" s="32"/>
      <c r="E738" s="32" t="s">
        <v>1429</v>
      </c>
      <c r="F738" s="32" t="s">
        <v>1416</v>
      </c>
    </row>
    <row r="739" spans="1:6" ht="69.95" customHeight="1">
      <c r="A739" s="32" t="s">
        <v>214</v>
      </c>
      <c r="B739" s="32" t="s">
        <v>1417</v>
      </c>
      <c r="C739" s="32" t="s">
        <v>41</v>
      </c>
      <c r="D739" s="32"/>
      <c r="E739" s="32" t="s">
        <v>1418</v>
      </c>
      <c r="F739" s="32" t="s">
        <v>1416</v>
      </c>
    </row>
    <row r="740" spans="1:6" ht="69.95" customHeight="1">
      <c r="A740" s="32" t="s">
        <v>214</v>
      </c>
      <c r="B740" s="32" t="s">
        <v>1419</v>
      </c>
      <c r="C740" s="32" t="s">
        <v>43</v>
      </c>
      <c r="D740" s="32"/>
      <c r="E740" s="32" t="s">
        <v>1420</v>
      </c>
      <c r="F740" s="32" t="s">
        <v>1416</v>
      </c>
    </row>
    <row r="741" spans="1:6" ht="69.95" customHeight="1">
      <c r="A741" s="32" t="s">
        <v>215</v>
      </c>
      <c r="B741" s="32" t="s">
        <v>1421</v>
      </c>
      <c r="C741" s="32" t="s">
        <v>12</v>
      </c>
      <c r="D741" s="32" t="s">
        <v>1580</v>
      </c>
      <c r="E741" s="32"/>
      <c r="F741" s="32" t="s">
        <v>1422</v>
      </c>
    </row>
    <row r="742" spans="1:6" ht="69.95" customHeight="1">
      <c r="A742" s="32" t="s">
        <v>215</v>
      </c>
      <c r="B742" s="32" t="s">
        <v>1423</v>
      </c>
      <c r="C742" s="32" t="s">
        <v>13</v>
      </c>
      <c r="D742" s="32" t="s">
        <v>228</v>
      </c>
      <c r="E742" s="32"/>
      <c r="F742" s="32" t="s">
        <v>1422</v>
      </c>
    </row>
    <row r="743" spans="1:6" ht="69.95" customHeight="1">
      <c r="A743" s="32" t="s">
        <v>215</v>
      </c>
      <c r="B743" s="32" t="s">
        <v>1414</v>
      </c>
      <c r="C743" s="32" t="s">
        <v>40</v>
      </c>
      <c r="D743" s="32"/>
      <c r="E743" s="32" t="s">
        <v>1429</v>
      </c>
      <c r="F743" s="32" t="s">
        <v>1416</v>
      </c>
    </row>
    <row r="744" spans="1:6" ht="69.95" customHeight="1">
      <c r="A744" s="32" t="s">
        <v>215</v>
      </c>
      <c r="B744" s="32" t="s">
        <v>1417</v>
      </c>
      <c r="C744" s="32" t="s">
        <v>41</v>
      </c>
      <c r="D744" s="32"/>
      <c r="E744" s="32" t="s">
        <v>1418</v>
      </c>
      <c r="F744" s="32" t="s">
        <v>1416</v>
      </c>
    </row>
    <row r="745" spans="1:6" ht="69.95" customHeight="1">
      <c r="A745" s="32" t="s">
        <v>215</v>
      </c>
      <c r="B745" s="32" t="s">
        <v>1419</v>
      </c>
      <c r="C745" s="32" t="s">
        <v>43</v>
      </c>
      <c r="D745" s="32"/>
      <c r="E745" s="32" t="s">
        <v>1420</v>
      </c>
      <c r="F745" s="32" t="s">
        <v>1416</v>
      </c>
    </row>
    <row r="746" spans="1:6" ht="69.95" customHeight="1">
      <c r="A746" s="32" t="s">
        <v>216</v>
      </c>
      <c r="B746" s="32" t="s">
        <v>1421</v>
      </c>
      <c r="C746" s="32" t="s">
        <v>12</v>
      </c>
      <c r="D746" s="32" t="s">
        <v>1581</v>
      </c>
      <c r="E746" s="32"/>
      <c r="F746" s="32" t="s">
        <v>1422</v>
      </c>
    </row>
    <row r="747" spans="1:6" ht="69.95" customHeight="1">
      <c r="A747" s="32" t="s">
        <v>216</v>
      </c>
      <c r="B747" s="32" t="s">
        <v>1423</v>
      </c>
      <c r="C747" s="32" t="s">
        <v>13</v>
      </c>
      <c r="D747" s="32" t="s">
        <v>228</v>
      </c>
      <c r="E747" s="32"/>
      <c r="F747" s="32" t="s">
        <v>1422</v>
      </c>
    </row>
    <row r="748" spans="1:6" ht="69.95" customHeight="1">
      <c r="A748" s="32" t="s">
        <v>216</v>
      </c>
      <c r="B748" s="32" t="s">
        <v>1414</v>
      </c>
      <c r="C748" s="32" t="s">
        <v>40</v>
      </c>
      <c r="D748" s="32"/>
      <c r="E748" s="32" t="s">
        <v>1429</v>
      </c>
      <c r="F748" s="32" t="s">
        <v>1416</v>
      </c>
    </row>
    <row r="749" spans="1:6" ht="69.95" customHeight="1">
      <c r="A749" s="32" t="s">
        <v>216</v>
      </c>
      <c r="B749" s="32" t="s">
        <v>1417</v>
      </c>
      <c r="C749" s="32" t="s">
        <v>41</v>
      </c>
      <c r="D749" s="32"/>
      <c r="E749" s="32" t="s">
        <v>1418</v>
      </c>
      <c r="F749" s="32" t="s">
        <v>1416</v>
      </c>
    </row>
    <row r="750" spans="1:6" ht="69.95" customHeight="1">
      <c r="A750" s="32" t="s">
        <v>216</v>
      </c>
      <c r="B750" s="32" t="s">
        <v>1419</v>
      </c>
      <c r="C750" s="32" t="s">
        <v>43</v>
      </c>
      <c r="D750" s="32"/>
      <c r="E750" s="32" t="s">
        <v>1420</v>
      </c>
      <c r="F750" s="32" t="s">
        <v>1416</v>
      </c>
    </row>
    <row r="751" spans="1:6" ht="69.95" customHeight="1">
      <c r="A751" s="32" t="s">
        <v>217</v>
      </c>
      <c r="B751" s="32" t="s">
        <v>1421</v>
      </c>
      <c r="C751" s="32" t="s">
        <v>12</v>
      </c>
      <c r="D751" s="32" t="s">
        <v>1582</v>
      </c>
      <c r="E751" s="32" t="s">
        <v>1569</v>
      </c>
      <c r="F751" s="32" t="s">
        <v>1422</v>
      </c>
    </row>
    <row r="752" spans="1:6" ht="69.95" customHeight="1">
      <c r="A752" s="32" t="s">
        <v>217</v>
      </c>
      <c r="B752" s="32" t="s">
        <v>1423</v>
      </c>
      <c r="C752" s="32" t="s">
        <v>13</v>
      </c>
      <c r="D752" s="32" t="s">
        <v>228</v>
      </c>
      <c r="E752" s="32" t="s">
        <v>237</v>
      </c>
      <c r="F752" s="32" t="s">
        <v>1422</v>
      </c>
    </row>
    <row r="753" spans="1:6" ht="69.95" customHeight="1">
      <c r="A753" s="32" t="s">
        <v>217</v>
      </c>
      <c r="B753" s="32" t="s">
        <v>1414</v>
      </c>
      <c r="C753" s="32" t="s">
        <v>40</v>
      </c>
      <c r="D753" s="32"/>
      <c r="E753" s="32" t="s">
        <v>1429</v>
      </c>
      <c r="F753" s="32" t="s">
        <v>1416</v>
      </c>
    </row>
    <row r="754" spans="1:6" ht="69.95" customHeight="1">
      <c r="A754" s="32" t="s">
        <v>217</v>
      </c>
      <c r="B754" s="32" t="s">
        <v>1417</v>
      </c>
      <c r="C754" s="32" t="s">
        <v>41</v>
      </c>
      <c r="D754" s="32"/>
      <c r="E754" s="32" t="s">
        <v>1418</v>
      </c>
      <c r="F754" s="32" t="s">
        <v>1416</v>
      </c>
    </row>
    <row r="755" spans="1:6" ht="69.95" customHeight="1">
      <c r="A755" s="32" t="s">
        <v>217</v>
      </c>
      <c r="B755" s="32" t="s">
        <v>1419</v>
      </c>
      <c r="C755" s="32" t="s">
        <v>43</v>
      </c>
      <c r="D755" s="32"/>
      <c r="E755" s="32" t="s">
        <v>1420</v>
      </c>
      <c r="F755" s="32" t="s">
        <v>1416</v>
      </c>
    </row>
    <row r="756" spans="1:6" ht="69.95" customHeight="1">
      <c r="A756" s="32" t="s">
        <v>218</v>
      </c>
      <c r="B756" s="32" t="s">
        <v>1421</v>
      </c>
      <c r="C756" s="32" t="s">
        <v>12</v>
      </c>
      <c r="D756" s="32" t="s">
        <v>1583</v>
      </c>
      <c r="E756" s="32"/>
      <c r="F756" s="32" t="s">
        <v>1422</v>
      </c>
    </row>
    <row r="757" spans="1:6" ht="69.95" customHeight="1">
      <c r="A757" s="32" t="s">
        <v>218</v>
      </c>
      <c r="B757" s="32" t="s">
        <v>1414</v>
      </c>
      <c r="C757" s="32" t="s">
        <v>40</v>
      </c>
      <c r="D757" s="32"/>
      <c r="E757" s="32" t="s">
        <v>1429</v>
      </c>
      <c r="F757" s="32" t="s">
        <v>1416</v>
      </c>
    </row>
    <row r="758" spans="1:6" ht="69.95" customHeight="1">
      <c r="A758" s="32" t="s">
        <v>218</v>
      </c>
      <c r="B758" s="32" t="s">
        <v>1417</v>
      </c>
      <c r="C758" s="32" t="s">
        <v>41</v>
      </c>
      <c r="D758" s="32"/>
      <c r="E758" s="32" t="s">
        <v>1418</v>
      </c>
      <c r="F758" s="32" t="s">
        <v>1416</v>
      </c>
    </row>
    <row r="759" spans="1:6" ht="69.95" customHeight="1">
      <c r="A759" s="32" t="s">
        <v>218</v>
      </c>
      <c r="B759" s="32" t="s">
        <v>1419</v>
      </c>
      <c r="C759" s="32" t="s">
        <v>43</v>
      </c>
      <c r="D759" s="32"/>
      <c r="E759" s="32" t="s">
        <v>1420</v>
      </c>
      <c r="F759" s="32" t="s">
        <v>1416</v>
      </c>
    </row>
    <row r="760" spans="1:6" ht="69.95" customHeight="1">
      <c r="A760" s="32" t="s">
        <v>219</v>
      </c>
      <c r="B760" s="32" t="s">
        <v>1421</v>
      </c>
      <c r="C760" s="32" t="s">
        <v>12</v>
      </c>
      <c r="D760" s="32" t="s">
        <v>1584</v>
      </c>
      <c r="E760" s="32" t="s">
        <v>1155</v>
      </c>
      <c r="F760" s="32" t="s">
        <v>1422</v>
      </c>
    </row>
    <row r="761" spans="1:6" ht="69.95" customHeight="1">
      <c r="A761" s="32" t="s">
        <v>219</v>
      </c>
      <c r="B761" s="32" t="s">
        <v>1423</v>
      </c>
      <c r="C761" s="32" t="s">
        <v>13</v>
      </c>
      <c r="D761" s="32" t="s">
        <v>237</v>
      </c>
      <c r="E761" s="32" t="s">
        <v>1570</v>
      </c>
      <c r="F761" s="32" t="s">
        <v>1422</v>
      </c>
    </row>
    <row r="762" spans="1:6" ht="69.95" customHeight="1">
      <c r="A762" s="32" t="s">
        <v>219</v>
      </c>
      <c r="B762" s="32" t="s">
        <v>1414</v>
      </c>
      <c r="C762" s="32" t="s">
        <v>40</v>
      </c>
      <c r="D762" s="32"/>
      <c r="E762" s="32" t="s">
        <v>1429</v>
      </c>
      <c r="F762" s="32" t="s">
        <v>1416</v>
      </c>
    </row>
    <row r="763" spans="1:6" ht="69.95" customHeight="1">
      <c r="A763" s="32" t="s">
        <v>219</v>
      </c>
      <c r="B763" s="32" t="s">
        <v>1417</v>
      </c>
      <c r="C763" s="32" t="s">
        <v>41</v>
      </c>
      <c r="D763" s="32"/>
      <c r="E763" s="32" t="s">
        <v>1418</v>
      </c>
      <c r="F763" s="32" t="s">
        <v>1416</v>
      </c>
    </row>
    <row r="764" spans="1:6" ht="69.95" customHeight="1">
      <c r="A764" s="32" t="s">
        <v>219</v>
      </c>
      <c r="B764" s="32" t="s">
        <v>1419</v>
      </c>
      <c r="C764" s="32" t="s">
        <v>43</v>
      </c>
      <c r="D764" s="32"/>
      <c r="E764" s="32" t="s">
        <v>1420</v>
      </c>
      <c r="F764" s="32" t="s">
        <v>1416</v>
      </c>
    </row>
    <row r="765" spans="1:6" ht="69.95" customHeight="1">
      <c r="A765" s="32" t="s">
        <v>220</v>
      </c>
      <c r="B765" s="32" t="s">
        <v>1421</v>
      </c>
      <c r="C765" s="32" t="s">
        <v>12</v>
      </c>
      <c r="D765" s="32" t="s">
        <v>1585</v>
      </c>
      <c r="E765" s="32" t="s">
        <v>1571</v>
      </c>
      <c r="F765" s="32" t="s">
        <v>1422</v>
      </c>
    </row>
    <row r="766" spans="1:6" ht="69.95" customHeight="1">
      <c r="A766" s="32" t="s">
        <v>220</v>
      </c>
      <c r="B766" s="32" t="s">
        <v>1423</v>
      </c>
      <c r="C766" s="32" t="s">
        <v>13</v>
      </c>
      <c r="D766" s="32" t="s">
        <v>1266</v>
      </c>
      <c r="E766" s="32" t="s">
        <v>1572</v>
      </c>
      <c r="F766" s="32" t="s">
        <v>1422</v>
      </c>
    </row>
    <row r="767" spans="1:6" ht="69.95" customHeight="1">
      <c r="A767" s="32" t="s">
        <v>220</v>
      </c>
      <c r="B767" s="32" t="s">
        <v>1414</v>
      </c>
      <c r="C767" s="32" t="s">
        <v>40</v>
      </c>
      <c r="D767" s="32"/>
      <c r="E767" s="32" t="s">
        <v>1429</v>
      </c>
      <c r="F767" s="32" t="s">
        <v>1416</v>
      </c>
    </row>
    <row r="768" spans="1:6" ht="69.95" customHeight="1">
      <c r="A768" s="32" t="s">
        <v>220</v>
      </c>
      <c r="B768" s="32" t="s">
        <v>1417</v>
      </c>
      <c r="C768" s="32" t="s">
        <v>41</v>
      </c>
      <c r="D768" s="32"/>
      <c r="E768" s="32" t="s">
        <v>1418</v>
      </c>
      <c r="F768" s="32" t="s">
        <v>1416</v>
      </c>
    </row>
    <row r="769" spans="1:6" ht="69.95" customHeight="1">
      <c r="A769" s="32" t="s">
        <v>220</v>
      </c>
      <c r="B769" s="32" t="s">
        <v>1419</v>
      </c>
      <c r="C769" s="32" t="s">
        <v>43</v>
      </c>
      <c r="D769" s="32"/>
      <c r="E769" s="32" t="s">
        <v>1420</v>
      </c>
      <c r="F769" s="32" t="s">
        <v>1416</v>
      </c>
    </row>
    <row r="770" spans="1:6" ht="69.95" customHeight="1">
      <c r="A770" s="32" t="s">
        <v>221</v>
      </c>
      <c r="B770" s="32" t="s">
        <v>1421</v>
      </c>
      <c r="C770" s="32" t="s">
        <v>12</v>
      </c>
      <c r="D770" s="32" t="s">
        <v>1586</v>
      </c>
      <c r="E770" s="32" t="s">
        <v>1573</v>
      </c>
      <c r="F770" s="32" t="s">
        <v>1422</v>
      </c>
    </row>
    <row r="771" spans="1:6" ht="69.95" customHeight="1">
      <c r="A771" s="32" t="s">
        <v>221</v>
      </c>
      <c r="B771" s="32" t="s">
        <v>1423</v>
      </c>
      <c r="C771" s="32" t="s">
        <v>13</v>
      </c>
      <c r="D771" s="32" t="s">
        <v>1587</v>
      </c>
      <c r="E771" s="32" t="s">
        <v>1572</v>
      </c>
      <c r="F771" s="32" t="s">
        <v>1422</v>
      </c>
    </row>
    <row r="772" spans="1:6" ht="69.95" customHeight="1">
      <c r="A772" s="32" t="s">
        <v>221</v>
      </c>
      <c r="B772" s="32" t="s">
        <v>1414</v>
      </c>
      <c r="C772" s="32" t="s">
        <v>40</v>
      </c>
      <c r="D772" s="32"/>
      <c r="E772" s="32" t="s">
        <v>1429</v>
      </c>
      <c r="F772" s="32" t="s">
        <v>1416</v>
      </c>
    </row>
    <row r="773" spans="1:6" ht="69.95" customHeight="1">
      <c r="A773" s="32" t="s">
        <v>221</v>
      </c>
      <c r="B773" s="32" t="s">
        <v>1417</v>
      </c>
      <c r="C773" s="32" t="s">
        <v>41</v>
      </c>
      <c r="D773" s="32"/>
      <c r="E773" s="32" t="s">
        <v>1418</v>
      </c>
      <c r="F773" s="32" t="s">
        <v>1416</v>
      </c>
    </row>
    <row r="774" spans="1:6" ht="69.95" customHeight="1">
      <c r="A774" s="32" t="s">
        <v>221</v>
      </c>
      <c r="B774" s="32" t="s">
        <v>1419</v>
      </c>
      <c r="C774" s="32" t="s">
        <v>43</v>
      </c>
      <c r="D774" s="32"/>
      <c r="E774" s="32" t="s">
        <v>1420</v>
      </c>
      <c r="F774" s="32" t="s">
        <v>1416</v>
      </c>
    </row>
    <row r="775" spans="1:6" ht="69.95" customHeight="1">
      <c r="A775" s="32" t="s">
        <v>222</v>
      </c>
      <c r="B775" s="32" t="s">
        <v>1421</v>
      </c>
      <c r="C775" s="32" t="s">
        <v>12</v>
      </c>
      <c r="D775" s="32" t="s">
        <v>1588</v>
      </c>
      <c r="E775" s="32" t="s">
        <v>1574</v>
      </c>
      <c r="F775" s="32" t="s">
        <v>1422</v>
      </c>
    </row>
    <row r="776" spans="1:6" ht="69.95" customHeight="1">
      <c r="A776" s="32" t="s">
        <v>222</v>
      </c>
      <c r="B776" s="32" t="s">
        <v>1423</v>
      </c>
      <c r="C776" s="32" t="s">
        <v>13</v>
      </c>
      <c r="D776" s="32" t="s">
        <v>233</v>
      </c>
      <c r="E776" s="32" t="s">
        <v>1575</v>
      </c>
      <c r="F776" s="32" t="s">
        <v>1422</v>
      </c>
    </row>
    <row r="777" spans="1:6" ht="69.95" customHeight="1">
      <c r="A777" s="32" t="s">
        <v>222</v>
      </c>
      <c r="B777" s="32" t="s">
        <v>1414</v>
      </c>
      <c r="C777" s="32" t="s">
        <v>40</v>
      </c>
      <c r="D777" s="32"/>
      <c r="E777" s="32" t="s">
        <v>1429</v>
      </c>
      <c r="F777" s="32" t="s">
        <v>1416</v>
      </c>
    </row>
    <row r="778" spans="1:6" ht="69.95" customHeight="1">
      <c r="A778" s="32" t="s">
        <v>222</v>
      </c>
      <c r="B778" s="32" t="s">
        <v>1417</v>
      </c>
      <c r="C778" s="32" t="s">
        <v>41</v>
      </c>
      <c r="D778" s="32"/>
      <c r="E778" s="32" t="s">
        <v>1418</v>
      </c>
      <c r="F778" s="32" t="s">
        <v>1416</v>
      </c>
    </row>
    <row r="779" spans="1:6" ht="69.95" customHeight="1">
      <c r="A779" s="32" t="s">
        <v>222</v>
      </c>
      <c r="B779" s="32" t="s">
        <v>1419</v>
      </c>
      <c r="C779" s="32" t="s">
        <v>43</v>
      </c>
      <c r="D779" s="32"/>
      <c r="E779" s="32" t="s">
        <v>1420</v>
      </c>
      <c r="F779" s="32" t="s">
        <v>1416</v>
      </c>
    </row>
    <row r="780" spans="1:6" ht="69.95" customHeight="1">
      <c r="A780" s="32" t="s">
        <v>223</v>
      </c>
      <c r="B780" s="32" t="s">
        <v>1421</v>
      </c>
      <c r="C780" s="32" t="s">
        <v>12</v>
      </c>
      <c r="D780" s="32" t="s">
        <v>1589</v>
      </c>
      <c r="E780" s="32" t="s">
        <v>1576</v>
      </c>
      <c r="F780" s="32" t="s">
        <v>1422</v>
      </c>
    </row>
    <row r="781" spans="1:6" ht="69.95" customHeight="1">
      <c r="A781" s="32" t="s">
        <v>223</v>
      </c>
      <c r="B781" s="32" t="s">
        <v>1423</v>
      </c>
      <c r="C781" s="32" t="s">
        <v>13</v>
      </c>
      <c r="D781" s="32" t="s">
        <v>1267</v>
      </c>
      <c r="E781" s="32" t="s">
        <v>1577</v>
      </c>
      <c r="F781" s="32" t="s">
        <v>1422</v>
      </c>
    </row>
    <row r="782" spans="1:6" ht="69.95" customHeight="1">
      <c r="A782" s="32" t="s">
        <v>223</v>
      </c>
      <c r="B782" s="32" t="s">
        <v>1414</v>
      </c>
      <c r="C782" s="32" t="s">
        <v>40</v>
      </c>
      <c r="D782" s="32"/>
      <c r="E782" s="32" t="s">
        <v>1429</v>
      </c>
      <c r="F782" s="32" t="s">
        <v>1416</v>
      </c>
    </row>
    <row r="783" spans="1:6" ht="69.95" customHeight="1">
      <c r="A783" s="32" t="s">
        <v>223</v>
      </c>
      <c r="B783" s="32" t="s">
        <v>1417</v>
      </c>
      <c r="C783" s="32" t="s">
        <v>41</v>
      </c>
      <c r="D783" s="32"/>
      <c r="E783" s="32" t="s">
        <v>1418</v>
      </c>
      <c r="F783" s="32" t="s">
        <v>1416</v>
      </c>
    </row>
    <row r="784" spans="1:6" ht="69.95" customHeight="1">
      <c r="A784" s="32" t="s">
        <v>223</v>
      </c>
      <c r="B784" s="32" t="s">
        <v>1419</v>
      </c>
      <c r="C784" s="32" t="s">
        <v>43</v>
      </c>
      <c r="D784" s="32"/>
      <c r="E784" s="32" t="s">
        <v>1420</v>
      </c>
      <c r="F784" s="32" t="s">
        <v>1416</v>
      </c>
    </row>
    <row r="785" spans="1:6" ht="69.95" customHeight="1">
      <c r="A785" s="32" t="s">
        <v>224</v>
      </c>
      <c r="B785" s="32" t="s">
        <v>1421</v>
      </c>
      <c r="C785" s="32" t="s">
        <v>12</v>
      </c>
      <c r="D785" s="32"/>
      <c r="E785" s="32" t="s">
        <v>1578</v>
      </c>
      <c r="F785" s="32" t="s">
        <v>1422</v>
      </c>
    </row>
    <row r="786" spans="1:6" ht="69.95" customHeight="1">
      <c r="A786" s="32" t="s">
        <v>224</v>
      </c>
      <c r="B786" s="32" t="s">
        <v>1423</v>
      </c>
      <c r="C786" s="32" t="s">
        <v>13</v>
      </c>
      <c r="D786" s="32" t="s">
        <v>237</v>
      </c>
      <c r="E786" s="32" t="s">
        <v>1579</v>
      </c>
      <c r="F786" s="32" t="s">
        <v>1422</v>
      </c>
    </row>
    <row r="787" spans="1:6" ht="69.95" customHeight="1">
      <c r="A787" s="32" t="s">
        <v>224</v>
      </c>
      <c r="B787" s="32" t="s">
        <v>1414</v>
      </c>
      <c r="C787" s="32" t="s">
        <v>40</v>
      </c>
      <c r="D787" s="32"/>
      <c r="E787" s="32" t="s">
        <v>1429</v>
      </c>
      <c r="F787" s="32" t="s">
        <v>1416</v>
      </c>
    </row>
    <row r="788" spans="1:6" ht="69.95" customHeight="1">
      <c r="A788" s="32" t="s">
        <v>224</v>
      </c>
      <c r="B788" s="32" t="s">
        <v>1417</v>
      </c>
      <c r="C788" s="32" t="s">
        <v>41</v>
      </c>
      <c r="D788" s="32"/>
      <c r="E788" s="32" t="s">
        <v>1418</v>
      </c>
      <c r="F788" s="32" t="s">
        <v>1416</v>
      </c>
    </row>
    <row r="789" spans="1:6" ht="69.95" customHeight="1">
      <c r="A789" s="32" t="s">
        <v>224</v>
      </c>
      <c r="B789" s="32" t="s">
        <v>1419</v>
      </c>
      <c r="C789" s="32" t="s">
        <v>43</v>
      </c>
      <c r="D789" s="32"/>
      <c r="E789" s="32" t="s">
        <v>1420</v>
      </c>
      <c r="F789" s="32" t="s">
        <v>1416</v>
      </c>
    </row>
    <row r="790" spans="1:6" ht="69.95" customHeight="1">
      <c r="A790" s="32" t="s">
        <v>225</v>
      </c>
      <c r="B790" s="32" t="s">
        <v>1421</v>
      </c>
      <c r="C790" s="32" t="s">
        <v>12</v>
      </c>
      <c r="D790" s="32" t="s">
        <v>1162</v>
      </c>
      <c r="E790" s="32" t="s">
        <v>1580</v>
      </c>
      <c r="F790" s="32" t="s">
        <v>1422</v>
      </c>
    </row>
    <row r="791" spans="1:6" ht="69.95" customHeight="1">
      <c r="A791" s="32" t="s">
        <v>225</v>
      </c>
      <c r="B791" s="32" t="s">
        <v>1423</v>
      </c>
      <c r="C791" s="32" t="s">
        <v>13</v>
      </c>
      <c r="D791" s="32"/>
      <c r="E791" s="32" t="s">
        <v>228</v>
      </c>
      <c r="F791" s="32" t="s">
        <v>1422</v>
      </c>
    </row>
    <row r="792" spans="1:6" ht="69.95" customHeight="1">
      <c r="A792" s="32" t="s">
        <v>225</v>
      </c>
      <c r="B792" s="32" t="s">
        <v>1414</v>
      </c>
      <c r="C792" s="32" t="s">
        <v>40</v>
      </c>
      <c r="D792" s="32"/>
      <c r="E792" s="32" t="s">
        <v>1429</v>
      </c>
      <c r="F792" s="32" t="s">
        <v>1416</v>
      </c>
    </row>
    <row r="793" spans="1:6" ht="69.95" customHeight="1">
      <c r="A793" s="32" t="s">
        <v>225</v>
      </c>
      <c r="B793" s="32" t="s">
        <v>1417</v>
      </c>
      <c r="C793" s="32" t="s">
        <v>41</v>
      </c>
      <c r="D793" s="32"/>
      <c r="E793" s="32" t="s">
        <v>1418</v>
      </c>
      <c r="F793" s="32" t="s">
        <v>1416</v>
      </c>
    </row>
    <row r="794" spans="1:6" ht="69.95" customHeight="1">
      <c r="A794" s="32" t="s">
        <v>225</v>
      </c>
      <c r="B794" s="32" t="s">
        <v>1419</v>
      </c>
      <c r="C794" s="32" t="s">
        <v>43</v>
      </c>
      <c r="D794" s="32"/>
      <c r="E794" s="32" t="s">
        <v>1420</v>
      </c>
      <c r="F794" s="32" t="s">
        <v>1416</v>
      </c>
    </row>
    <row r="795" spans="1:6" ht="69.95" customHeight="1">
      <c r="A795" s="32" t="s">
        <v>226</v>
      </c>
      <c r="B795" s="32" t="s">
        <v>1421</v>
      </c>
      <c r="C795" s="32" t="s">
        <v>12</v>
      </c>
      <c r="D795" s="32" t="s">
        <v>75</v>
      </c>
      <c r="E795" s="32" t="s">
        <v>1581</v>
      </c>
      <c r="F795" s="32" t="s">
        <v>1422</v>
      </c>
    </row>
    <row r="796" spans="1:6" ht="69.95" customHeight="1">
      <c r="A796" s="32" t="s">
        <v>226</v>
      </c>
      <c r="B796" s="32" t="s">
        <v>1423</v>
      </c>
      <c r="C796" s="32" t="s">
        <v>13</v>
      </c>
      <c r="D796" s="32" t="s">
        <v>1424</v>
      </c>
      <c r="E796" s="32" t="s">
        <v>228</v>
      </c>
      <c r="F796" s="32" t="s">
        <v>1422</v>
      </c>
    </row>
    <row r="797" spans="1:6" ht="69.95" customHeight="1">
      <c r="A797" s="32" t="s">
        <v>226</v>
      </c>
      <c r="B797" s="32" t="s">
        <v>1414</v>
      </c>
      <c r="C797" s="32" t="s">
        <v>40</v>
      </c>
      <c r="D797" s="32"/>
      <c r="E797" s="32" t="s">
        <v>1429</v>
      </c>
      <c r="F797" s="32" t="s">
        <v>1416</v>
      </c>
    </row>
    <row r="798" spans="1:6" ht="69.95" customHeight="1">
      <c r="A798" s="32" t="s">
        <v>226</v>
      </c>
      <c r="B798" s="32" t="s">
        <v>1417</v>
      </c>
      <c r="C798" s="32" t="s">
        <v>41</v>
      </c>
      <c r="D798" s="32"/>
      <c r="E798" s="32" t="s">
        <v>1418</v>
      </c>
      <c r="F798" s="32" t="s">
        <v>1416</v>
      </c>
    </row>
    <row r="799" spans="1:6" ht="69.95" customHeight="1">
      <c r="A799" s="32" t="s">
        <v>226</v>
      </c>
      <c r="B799" s="32" t="s">
        <v>1419</v>
      </c>
      <c r="C799" s="32" t="s">
        <v>43</v>
      </c>
      <c r="D799" s="32"/>
      <c r="E799" s="32" t="s">
        <v>1420</v>
      </c>
      <c r="F799" s="32" t="s">
        <v>1416</v>
      </c>
    </row>
    <row r="800" spans="1:6" ht="69.95" customHeight="1">
      <c r="A800" s="32" t="s">
        <v>227</v>
      </c>
      <c r="B800" s="32" t="s">
        <v>1421</v>
      </c>
      <c r="C800" s="32" t="s">
        <v>12</v>
      </c>
      <c r="D800" s="32" t="s">
        <v>1425</v>
      </c>
      <c r="E800" s="32" t="s">
        <v>1582</v>
      </c>
      <c r="F800" s="32" t="s">
        <v>1422</v>
      </c>
    </row>
    <row r="801" spans="1:6" ht="69.95" customHeight="1">
      <c r="A801" s="32" t="s">
        <v>227</v>
      </c>
      <c r="B801" s="32" t="s">
        <v>1423</v>
      </c>
      <c r="C801" s="32" t="s">
        <v>13</v>
      </c>
      <c r="D801" s="32" t="s">
        <v>1426</v>
      </c>
      <c r="E801" s="32" t="s">
        <v>228</v>
      </c>
      <c r="F801" s="32" t="s">
        <v>1422</v>
      </c>
    </row>
    <row r="802" spans="1:6" ht="69.95" customHeight="1">
      <c r="A802" s="32" t="s">
        <v>227</v>
      </c>
      <c r="B802" s="32" t="s">
        <v>1414</v>
      </c>
      <c r="C802" s="32" t="s">
        <v>40</v>
      </c>
      <c r="D802" s="32"/>
      <c r="E802" s="32" t="s">
        <v>1429</v>
      </c>
      <c r="F802" s="32" t="s">
        <v>1416</v>
      </c>
    </row>
    <row r="803" spans="1:6" ht="69.95" customHeight="1">
      <c r="A803" s="32" t="s">
        <v>227</v>
      </c>
      <c r="B803" s="32" t="s">
        <v>1417</v>
      </c>
      <c r="C803" s="32" t="s">
        <v>41</v>
      </c>
      <c r="D803" s="32"/>
      <c r="E803" s="32" t="s">
        <v>1418</v>
      </c>
      <c r="F803" s="32" t="s">
        <v>1416</v>
      </c>
    </row>
    <row r="804" spans="1:6" ht="69.95" customHeight="1">
      <c r="A804" s="32" t="s">
        <v>227</v>
      </c>
      <c r="B804" s="32" t="s">
        <v>1419</v>
      </c>
      <c r="C804" s="32" t="s">
        <v>43</v>
      </c>
      <c r="D804" s="32"/>
      <c r="E804" s="32" t="s">
        <v>1420</v>
      </c>
      <c r="F804" s="32" t="s">
        <v>1416</v>
      </c>
    </row>
    <row r="805" spans="1:6" ht="69.95" customHeight="1">
      <c r="A805" s="32" t="s">
        <v>228</v>
      </c>
      <c r="B805" s="32" t="s">
        <v>1421</v>
      </c>
      <c r="C805" s="32" t="s">
        <v>12</v>
      </c>
      <c r="D805" s="32" t="s">
        <v>64</v>
      </c>
      <c r="E805" s="32" t="s">
        <v>1583</v>
      </c>
      <c r="F805" s="32" t="s">
        <v>1422</v>
      </c>
    </row>
    <row r="806" spans="1:6" ht="69.95" customHeight="1">
      <c r="A806" s="32" t="s">
        <v>228</v>
      </c>
      <c r="B806" s="32" t="s">
        <v>1423</v>
      </c>
      <c r="C806" s="32" t="s">
        <v>13</v>
      </c>
      <c r="D806" s="32" t="s">
        <v>83</v>
      </c>
      <c r="E806" s="32"/>
      <c r="F806" s="32" t="s">
        <v>1422</v>
      </c>
    </row>
    <row r="807" spans="1:6" ht="69.95" customHeight="1">
      <c r="A807" s="32" t="s">
        <v>228</v>
      </c>
      <c r="B807" s="32" t="s">
        <v>1414</v>
      </c>
      <c r="C807" s="32" t="s">
        <v>40</v>
      </c>
      <c r="D807" s="32"/>
      <c r="E807" s="32" t="s">
        <v>1429</v>
      </c>
      <c r="F807" s="32" t="s">
        <v>1416</v>
      </c>
    </row>
    <row r="808" spans="1:6" ht="69.95" customHeight="1">
      <c r="A808" s="32" t="s">
        <v>228</v>
      </c>
      <c r="B808" s="32" t="s">
        <v>1417</v>
      </c>
      <c r="C808" s="32" t="s">
        <v>41</v>
      </c>
      <c r="D808" s="32"/>
      <c r="E808" s="32" t="s">
        <v>1418</v>
      </c>
      <c r="F808" s="32" t="s">
        <v>1416</v>
      </c>
    </row>
    <row r="809" spans="1:6" ht="69.95" customHeight="1">
      <c r="A809" s="32" t="s">
        <v>228</v>
      </c>
      <c r="B809" s="32" t="s">
        <v>1419</v>
      </c>
      <c r="C809" s="32" t="s">
        <v>43</v>
      </c>
      <c r="D809" s="32"/>
      <c r="E809" s="32" t="s">
        <v>1420</v>
      </c>
      <c r="F809" s="32" t="s">
        <v>1416</v>
      </c>
    </row>
    <row r="810" spans="1:6" ht="69.95" customHeight="1">
      <c r="A810" s="32" t="s">
        <v>229</v>
      </c>
      <c r="B810" s="32" t="s">
        <v>1421</v>
      </c>
      <c r="C810" s="32" t="s">
        <v>12</v>
      </c>
      <c r="D810" s="32" t="s">
        <v>83</v>
      </c>
      <c r="E810" s="32" t="s">
        <v>1584</v>
      </c>
      <c r="F810" s="32" t="s">
        <v>1422</v>
      </c>
    </row>
    <row r="811" spans="1:6" ht="69.95" customHeight="1">
      <c r="A811" s="32" t="s">
        <v>229</v>
      </c>
      <c r="B811" s="32" t="s">
        <v>1423</v>
      </c>
      <c r="C811" s="32" t="s">
        <v>13</v>
      </c>
      <c r="D811" s="32" t="s">
        <v>1271</v>
      </c>
      <c r="E811" s="32" t="s">
        <v>237</v>
      </c>
      <c r="F811" s="32" t="s">
        <v>1422</v>
      </c>
    </row>
    <row r="812" spans="1:6" ht="69.95" customHeight="1">
      <c r="A812" s="32" t="s">
        <v>229</v>
      </c>
      <c r="B812" s="32" t="s">
        <v>1414</v>
      </c>
      <c r="C812" s="32" t="s">
        <v>40</v>
      </c>
      <c r="D812" s="32"/>
      <c r="E812" s="32" t="s">
        <v>1429</v>
      </c>
      <c r="F812" s="32" t="s">
        <v>1416</v>
      </c>
    </row>
    <row r="813" spans="1:6" ht="69.95" customHeight="1">
      <c r="A813" s="32" t="s">
        <v>229</v>
      </c>
      <c r="B813" s="32" t="s">
        <v>1417</v>
      </c>
      <c r="C813" s="32" t="s">
        <v>41</v>
      </c>
      <c r="D813" s="32"/>
      <c r="E813" s="32" t="s">
        <v>1418</v>
      </c>
      <c r="F813" s="32" t="s">
        <v>1416</v>
      </c>
    </row>
    <row r="814" spans="1:6" ht="69.95" customHeight="1">
      <c r="A814" s="32" t="s">
        <v>229</v>
      </c>
      <c r="B814" s="32" t="s">
        <v>1419</v>
      </c>
      <c r="C814" s="32" t="s">
        <v>43</v>
      </c>
      <c r="D814" s="32"/>
      <c r="E814" s="32" t="s">
        <v>1420</v>
      </c>
      <c r="F814" s="32" t="s">
        <v>1416</v>
      </c>
    </row>
    <row r="815" spans="1:6" ht="69.95" customHeight="1">
      <c r="A815" s="32" t="s">
        <v>230</v>
      </c>
      <c r="B815" s="32" t="s">
        <v>1421</v>
      </c>
      <c r="C815" s="32" t="s">
        <v>12</v>
      </c>
      <c r="D815" s="32" t="s">
        <v>736</v>
      </c>
      <c r="E815" s="32" t="s">
        <v>1585</v>
      </c>
      <c r="F815" s="32" t="s">
        <v>1422</v>
      </c>
    </row>
    <row r="816" spans="1:6" ht="69.95" customHeight="1">
      <c r="A816" s="32" t="s">
        <v>230</v>
      </c>
      <c r="B816" s="32" t="s">
        <v>1423</v>
      </c>
      <c r="C816" s="32" t="s">
        <v>13</v>
      </c>
      <c r="D816" s="32" t="s">
        <v>1272</v>
      </c>
      <c r="E816" s="32" t="s">
        <v>1266</v>
      </c>
      <c r="F816" s="32" t="s">
        <v>1422</v>
      </c>
    </row>
    <row r="817" spans="1:6" ht="69.95" customHeight="1">
      <c r="A817" s="32" t="s">
        <v>230</v>
      </c>
      <c r="B817" s="32" t="s">
        <v>1414</v>
      </c>
      <c r="C817" s="32" t="s">
        <v>40</v>
      </c>
      <c r="D817" s="32"/>
      <c r="E817" s="32" t="s">
        <v>1429</v>
      </c>
      <c r="F817" s="32" t="s">
        <v>1416</v>
      </c>
    </row>
    <row r="818" spans="1:6" ht="69.95" customHeight="1">
      <c r="A818" s="32" t="s">
        <v>230</v>
      </c>
      <c r="B818" s="32" t="s">
        <v>1417</v>
      </c>
      <c r="C818" s="32" t="s">
        <v>41</v>
      </c>
      <c r="D818" s="32"/>
      <c r="E818" s="32" t="s">
        <v>1418</v>
      </c>
      <c r="F818" s="32" t="s">
        <v>1416</v>
      </c>
    </row>
    <row r="819" spans="1:6" ht="69.95" customHeight="1">
      <c r="A819" s="32" t="s">
        <v>230</v>
      </c>
      <c r="B819" s="32" t="s">
        <v>1419</v>
      </c>
      <c r="C819" s="32" t="s">
        <v>43</v>
      </c>
      <c r="D819" s="32"/>
      <c r="E819" s="32" t="s">
        <v>1420</v>
      </c>
      <c r="F819" s="32" t="s">
        <v>1416</v>
      </c>
    </row>
    <row r="820" spans="1:6" ht="69.95" customHeight="1">
      <c r="A820" s="32" t="s">
        <v>231</v>
      </c>
      <c r="B820" s="32" t="s">
        <v>1421</v>
      </c>
      <c r="C820" s="32" t="s">
        <v>12</v>
      </c>
      <c r="D820" s="32" t="s">
        <v>740</v>
      </c>
      <c r="E820" s="32" t="s">
        <v>1586</v>
      </c>
      <c r="F820" s="32" t="s">
        <v>1422</v>
      </c>
    </row>
    <row r="821" spans="1:6" ht="69.95" customHeight="1">
      <c r="A821" s="32" t="s">
        <v>231</v>
      </c>
      <c r="B821" s="32" t="s">
        <v>1423</v>
      </c>
      <c r="C821" s="32" t="s">
        <v>13</v>
      </c>
      <c r="D821" s="32" t="s">
        <v>1427</v>
      </c>
      <c r="E821" s="32" t="s">
        <v>1587</v>
      </c>
      <c r="F821" s="32" t="s">
        <v>1422</v>
      </c>
    </row>
    <row r="822" spans="1:6" ht="69.95" customHeight="1">
      <c r="A822" s="32" t="s">
        <v>231</v>
      </c>
      <c r="B822" s="32" t="s">
        <v>1414</v>
      </c>
      <c r="C822" s="32" t="s">
        <v>40</v>
      </c>
      <c r="D822" s="32"/>
      <c r="E822" s="32" t="s">
        <v>1429</v>
      </c>
      <c r="F822" s="32" t="s">
        <v>1416</v>
      </c>
    </row>
    <row r="823" spans="1:6" ht="69.95" customHeight="1">
      <c r="A823" s="32" t="s">
        <v>231</v>
      </c>
      <c r="B823" s="32" t="s">
        <v>1417</v>
      </c>
      <c r="C823" s="32" t="s">
        <v>41</v>
      </c>
      <c r="D823" s="32"/>
      <c r="E823" s="32" t="s">
        <v>1418</v>
      </c>
      <c r="F823" s="32" t="s">
        <v>1416</v>
      </c>
    </row>
    <row r="824" spans="1:6" ht="69.95" customHeight="1">
      <c r="A824" s="32" t="s">
        <v>231</v>
      </c>
      <c r="B824" s="32" t="s">
        <v>1419</v>
      </c>
      <c r="C824" s="32" t="s">
        <v>43</v>
      </c>
      <c r="D824" s="32"/>
      <c r="E824" s="32" t="s">
        <v>1420</v>
      </c>
      <c r="F824" s="32" t="s">
        <v>1416</v>
      </c>
    </row>
    <row r="825" spans="1:6" ht="69.95" customHeight="1">
      <c r="A825" s="32" t="s">
        <v>232</v>
      </c>
      <c r="B825" s="32" t="s">
        <v>1421</v>
      </c>
      <c r="C825" s="32" t="s">
        <v>12</v>
      </c>
      <c r="D825" s="32" t="s">
        <v>744</v>
      </c>
      <c r="E825" s="32" t="s">
        <v>1588</v>
      </c>
      <c r="F825" s="32" t="s">
        <v>1422</v>
      </c>
    </row>
    <row r="826" spans="1:6" ht="69.95" customHeight="1">
      <c r="A826" s="32" t="s">
        <v>232</v>
      </c>
      <c r="B826" s="32" t="s">
        <v>1423</v>
      </c>
      <c r="C826" s="32" t="s">
        <v>13</v>
      </c>
      <c r="D826" s="32" t="s">
        <v>163</v>
      </c>
      <c r="E826" s="32" t="s">
        <v>233</v>
      </c>
      <c r="F826" s="32" t="s">
        <v>1422</v>
      </c>
    </row>
    <row r="827" spans="1:6" ht="69.95" customHeight="1">
      <c r="A827" s="32" t="s">
        <v>232</v>
      </c>
      <c r="B827" s="32" t="s">
        <v>1414</v>
      </c>
      <c r="C827" s="32" t="s">
        <v>40</v>
      </c>
      <c r="D827" s="32"/>
      <c r="E827" s="32" t="s">
        <v>1429</v>
      </c>
      <c r="F827" s="32" t="s">
        <v>1416</v>
      </c>
    </row>
    <row r="828" spans="1:6" ht="69.95" customHeight="1">
      <c r="A828" s="32" t="s">
        <v>232</v>
      </c>
      <c r="B828" s="32" t="s">
        <v>1417</v>
      </c>
      <c r="C828" s="32" t="s">
        <v>41</v>
      </c>
      <c r="D828" s="32"/>
      <c r="E828" s="32" t="s">
        <v>1418</v>
      </c>
      <c r="F828" s="32" t="s">
        <v>1416</v>
      </c>
    </row>
    <row r="829" spans="1:6" ht="69.95" customHeight="1">
      <c r="A829" s="32" t="s">
        <v>232</v>
      </c>
      <c r="B829" s="32" t="s">
        <v>1419</v>
      </c>
      <c r="C829" s="32" t="s">
        <v>43</v>
      </c>
      <c r="D829" s="32"/>
      <c r="E829" s="32" t="s">
        <v>1420</v>
      </c>
      <c r="F829" s="32" t="s">
        <v>1416</v>
      </c>
    </row>
    <row r="830" spans="1:6" ht="69.95" customHeight="1">
      <c r="A830" s="32" t="s">
        <v>233</v>
      </c>
      <c r="B830" s="32" t="s">
        <v>1421</v>
      </c>
      <c r="C830" s="32" t="s">
        <v>12</v>
      </c>
      <c r="D830" s="32" t="s">
        <v>748</v>
      </c>
      <c r="E830" s="32" t="s">
        <v>1589</v>
      </c>
      <c r="F830" s="32" t="s">
        <v>1422</v>
      </c>
    </row>
    <row r="831" spans="1:6" ht="69.95" customHeight="1">
      <c r="A831" s="32" t="s">
        <v>233</v>
      </c>
      <c r="B831" s="32" t="s">
        <v>1423</v>
      </c>
      <c r="C831" s="32" t="s">
        <v>13</v>
      </c>
      <c r="D831" s="32" t="s">
        <v>749</v>
      </c>
      <c r="E831" s="32" t="s">
        <v>1267</v>
      </c>
      <c r="F831" s="32" t="s">
        <v>1422</v>
      </c>
    </row>
    <row r="832" spans="1:6" ht="69.95" customHeight="1">
      <c r="A832" s="32" t="s">
        <v>233</v>
      </c>
      <c r="B832" s="32" t="s">
        <v>1414</v>
      </c>
      <c r="C832" s="32" t="s">
        <v>40</v>
      </c>
      <c r="D832" s="32"/>
      <c r="E832" s="32" t="s">
        <v>1429</v>
      </c>
      <c r="F832" s="32" t="s">
        <v>1416</v>
      </c>
    </row>
    <row r="833" spans="1:6" ht="69.95" customHeight="1">
      <c r="A833" s="32" t="s">
        <v>233</v>
      </c>
      <c r="B833" s="32" t="s">
        <v>1417</v>
      </c>
      <c r="C833" s="32" t="s">
        <v>41</v>
      </c>
      <c r="D833" s="32"/>
      <c r="E833" s="32" t="s">
        <v>1418</v>
      </c>
      <c r="F833" s="32" t="s">
        <v>1416</v>
      </c>
    </row>
    <row r="834" spans="1:6" ht="69.95" customHeight="1">
      <c r="A834" s="32" t="s">
        <v>233</v>
      </c>
      <c r="B834" s="32" t="s">
        <v>1419</v>
      </c>
      <c r="C834" s="32" t="s">
        <v>43</v>
      </c>
      <c r="D834" s="32"/>
      <c r="E834" s="32" t="s">
        <v>1420</v>
      </c>
      <c r="F834" s="32" t="s">
        <v>1416</v>
      </c>
    </row>
    <row r="835" spans="1:6" ht="69.95" customHeight="1">
      <c r="A835" s="32" t="s">
        <v>234</v>
      </c>
      <c r="B835" s="32" t="s">
        <v>1421</v>
      </c>
      <c r="C835" s="32" t="s">
        <v>12</v>
      </c>
      <c r="D835" s="32" t="s">
        <v>1147</v>
      </c>
      <c r="E835" s="32" t="s">
        <v>1063</v>
      </c>
      <c r="F835" s="32" t="s">
        <v>1422</v>
      </c>
    </row>
    <row r="836" spans="1:6" ht="69.95" customHeight="1">
      <c r="A836" s="32" t="s">
        <v>234</v>
      </c>
      <c r="B836" s="32" t="s">
        <v>1423</v>
      </c>
      <c r="C836" s="32" t="s">
        <v>13</v>
      </c>
      <c r="D836" s="32" t="s">
        <v>1274</v>
      </c>
      <c r="E836" s="32" t="s">
        <v>237</v>
      </c>
      <c r="F836" s="32" t="s">
        <v>1422</v>
      </c>
    </row>
    <row r="837" spans="1:6" ht="69.95" customHeight="1">
      <c r="A837" s="32" t="s">
        <v>234</v>
      </c>
      <c r="B837" s="32" t="s">
        <v>1414</v>
      </c>
      <c r="C837" s="32" t="s">
        <v>40</v>
      </c>
      <c r="D837" s="32"/>
      <c r="E837" s="32" t="s">
        <v>1429</v>
      </c>
      <c r="F837" s="32" t="s">
        <v>1416</v>
      </c>
    </row>
    <row r="838" spans="1:6" ht="69.95" customHeight="1">
      <c r="A838" s="32" t="s">
        <v>234</v>
      </c>
      <c r="B838" s="32" t="s">
        <v>1417</v>
      </c>
      <c r="C838" s="32" t="s">
        <v>41</v>
      </c>
      <c r="D838" s="32"/>
      <c r="E838" s="32" t="s">
        <v>1418</v>
      </c>
      <c r="F838" s="32" t="s">
        <v>1416</v>
      </c>
    </row>
    <row r="839" spans="1:6" ht="69.95" customHeight="1">
      <c r="A839" s="32" t="s">
        <v>234</v>
      </c>
      <c r="B839" s="32" t="s">
        <v>1419</v>
      </c>
      <c r="C839" s="32" t="s">
        <v>43</v>
      </c>
      <c r="D839" s="32"/>
      <c r="E839" s="32" t="s">
        <v>1420</v>
      </c>
      <c r="F839" s="32" t="s">
        <v>1416</v>
      </c>
    </row>
    <row r="840" spans="1:6" ht="69.95" customHeight="1">
      <c r="A840" s="32" t="s">
        <v>235</v>
      </c>
      <c r="B840" s="32" t="s">
        <v>1421</v>
      </c>
      <c r="C840" s="32" t="s">
        <v>12</v>
      </c>
      <c r="D840" s="32" t="s">
        <v>1495</v>
      </c>
      <c r="E840" s="32" t="s">
        <v>1590</v>
      </c>
      <c r="F840" s="32" t="s">
        <v>1422</v>
      </c>
    </row>
    <row r="841" spans="1:6" ht="69.95" customHeight="1">
      <c r="A841" s="32" t="s">
        <v>235</v>
      </c>
      <c r="B841" s="32" t="s">
        <v>1423</v>
      </c>
      <c r="C841" s="32" t="s">
        <v>13</v>
      </c>
      <c r="D841" s="32" t="s">
        <v>119</v>
      </c>
      <c r="E841" s="32" t="s">
        <v>237</v>
      </c>
      <c r="F841" s="32" t="s">
        <v>1422</v>
      </c>
    </row>
    <row r="842" spans="1:6" ht="69.95" customHeight="1">
      <c r="A842" s="32" t="s">
        <v>235</v>
      </c>
      <c r="B842" s="32" t="s">
        <v>1458</v>
      </c>
      <c r="C842" s="32" t="s">
        <v>35</v>
      </c>
      <c r="D842" s="32" t="s">
        <v>1501</v>
      </c>
      <c r="E842" s="32" t="s">
        <v>1502</v>
      </c>
      <c r="F842" s="32" t="s">
        <v>1503</v>
      </c>
    </row>
    <row r="843" spans="1:6" ht="69.95" customHeight="1">
      <c r="A843" s="32" t="s">
        <v>235</v>
      </c>
      <c r="B843" s="32" t="s">
        <v>1414</v>
      </c>
      <c r="C843" s="32" t="s">
        <v>40</v>
      </c>
      <c r="D843" s="32"/>
      <c r="E843" s="32" t="s">
        <v>1429</v>
      </c>
      <c r="F843" s="32" t="s">
        <v>1416</v>
      </c>
    </row>
    <row r="844" spans="1:6" ht="69.95" customHeight="1">
      <c r="A844" s="32" t="s">
        <v>235</v>
      </c>
      <c r="B844" s="32" t="s">
        <v>1417</v>
      </c>
      <c r="C844" s="32" t="s">
        <v>41</v>
      </c>
      <c r="D844" s="32"/>
      <c r="E844" s="32" t="s">
        <v>1418</v>
      </c>
      <c r="F844" s="32" t="s">
        <v>1416</v>
      </c>
    </row>
    <row r="845" spans="1:6" ht="69.95" customHeight="1">
      <c r="A845" s="32" t="s">
        <v>235</v>
      </c>
      <c r="B845" s="32" t="s">
        <v>1419</v>
      </c>
      <c r="C845" s="32" t="s">
        <v>43</v>
      </c>
      <c r="D845" s="32"/>
      <c r="E845" s="32" t="s">
        <v>1508</v>
      </c>
      <c r="F845" s="32" t="s">
        <v>1416</v>
      </c>
    </row>
    <row r="846" spans="1:6" ht="69.95" customHeight="1">
      <c r="A846" s="32" t="s">
        <v>236</v>
      </c>
      <c r="B846" s="32" t="s">
        <v>1421</v>
      </c>
      <c r="C846" s="32" t="s">
        <v>12</v>
      </c>
      <c r="D846" s="32" t="s">
        <v>1555</v>
      </c>
      <c r="E846" s="32"/>
      <c r="F846" s="32" t="s">
        <v>1422</v>
      </c>
    </row>
    <row r="847" spans="1:6" ht="69.95" customHeight="1">
      <c r="A847" s="32" t="s">
        <v>236</v>
      </c>
      <c r="B847" s="32" t="s">
        <v>1414</v>
      </c>
      <c r="C847" s="32" t="s">
        <v>40</v>
      </c>
      <c r="D847" s="32"/>
      <c r="E847" s="32" t="s">
        <v>1429</v>
      </c>
      <c r="F847" s="32" t="s">
        <v>1416</v>
      </c>
    </row>
    <row r="848" spans="1:6" ht="69.95" customHeight="1">
      <c r="A848" s="32" t="s">
        <v>236</v>
      </c>
      <c r="B848" s="32" t="s">
        <v>1417</v>
      </c>
      <c r="C848" s="32" t="s">
        <v>41</v>
      </c>
      <c r="D848" s="32"/>
      <c r="E848" s="32" t="s">
        <v>1418</v>
      </c>
      <c r="F848" s="32" t="s">
        <v>1416</v>
      </c>
    </row>
    <row r="849" spans="1:6" ht="69.95" customHeight="1">
      <c r="A849" s="32" t="s">
        <v>236</v>
      </c>
      <c r="B849" s="32" t="s">
        <v>1419</v>
      </c>
      <c r="C849" s="32" t="s">
        <v>43</v>
      </c>
      <c r="D849" s="32"/>
      <c r="E849" s="32" t="s">
        <v>1420</v>
      </c>
      <c r="F849" s="32" t="s">
        <v>1416</v>
      </c>
    </row>
    <row r="850" spans="1:6" ht="69.95" customHeight="1">
      <c r="A850" s="32" t="s">
        <v>237</v>
      </c>
      <c r="B850" s="32" t="s">
        <v>1421</v>
      </c>
      <c r="C850" s="32" t="s">
        <v>12</v>
      </c>
      <c r="D850" s="32" t="s">
        <v>1590</v>
      </c>
      <c r="E850" s="32" t="s">
        <v>1162</v>
      </c>
      <c r="F850" s="32" t="s">
        <v>1422</v>
      </c>
    </row>
    <row r="851" spans="1:6" ht="69.95" customHeight="1">
      <c r="A851" s="32" t="s">
        <v>237</v>
      </c>
      <c r="B851" s="32" t="s">
        <v>1423</v>
      </c>
      <c r="C851" s="32" t="s">
        <v>13</v>
      </c>
      <c r="D851" s="32" t="s">
        <v>237</v>
      </c>
      <c r="E851" s="32"/>
      <c r="F851" s="32" t="s">
        <v>1422</v>
      </c>
    </row>
    <row r="852" spans="1:6" ht="69.95" customHeight="1">
      <c r="A852" s="32" t="s">
        <v>237</v>
      </c>
      <c r="B852" s="32" t="s">
        <v>1414</v>
      </c>
      <c r="C852" s="32" t="s">
        <v>40</v>
      </c>
      <c r="D852" s="32"/>
      <c r="E852" s="32" t="s">
        <v>1429</v>
      </c>
      <c r="F852" s="32" t="s">
        <v>1416</v>
      </c>
    </row>
    <row r="853" spans="1:6" ht="69.95" customHeight="1">
      <c r="A853" s="32" t="s">
        <v>237</v>
      </c>
      <c r="B853" s="32" t="s">
        <v>1417</v>
      </c>
      <c r="C853" s="32" t="s">
        <v>41</v>
      </c>
      <c r="D853" s="32"/>
      <c r="E853" s="32" t="s">
        <v>1418</v>
      </c>
      <c r="F853" s="32" t="s">
        <v>1416</v>
      </c>
    </row>
    <row r="854" spans="1:6" ht="69.95" customHeight="1">
      <c r="A854" s="32" t="s">
        <v>237</v>
      </c>
      <c r="B854" s="32" t="s">
        <v>1419</v>
      </c>
      <c r="C854" s="32" t="s">
        <v>43</v>
      </c>
      <c r="D854" s="32"/>
      <c r="E854" s="32" t="s">
        <v>1420</v>
      </c>
      <c r="F854" s="32" t="s">
        <v>1416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6"/>
  <sheetViews>
    <sheetView workbookViewId="0"/>
  </sheetViews>
  <sheetFormatPr defaultRowHeight="14.25"/>
  <cols>
    <col min="1" max="2" width="20" customWidth="1"/>
    <col min="3" max="4" width="42" customWidth="1"/>
  </cols>
  <sheetData>
    <row r="1" spans="1:4" ht="36" customHeight="1">
      <c r="A1" s="37" t="s">
        <v>813</v>
      </c>
      <c r="B1" s="37" t="s">
        <v>1591</v>
      </c>
      <c r="C1" s="37" t="s">
        <v>1592</v>
      </c>
      <c r="D1" s="37" t="s">
        <v>1593</v>
      </c>
    </row>
    <row r="2" spans="1:4" ht="26.1" customHeight="1">
      <c r="A2" s="32" t="s">
        <v>311</v>
      </c>
      <c r="B2" s="32" t="s">
        <v>1594</v>
      </c>
      <c r="C2" s="32" t="s">
        <v>111</v>
      </c>
      <c r="D2" s="32" t="s">
        <v>1595</v>
      </c>
    </row>
    <row r="3" spans="1:4" ht="26.1" customHeight="1">
      <c r="A3" s="32" t="s">
        <v>317</v>
      </c>
      <c r="B3" s="32" t="s">
        <v>1594</v>
      </c>
      <c r="C3" s="32" t="s">
        <v>114</v>
      </c>
      <c r="D3" s="32" t="s">
        <v>1595</v>
      </c>
    </row>
    <row r="4" spans="1:4" ht="26.1" customHeight="1">
      <c r="A4" s="32" t="s">
        <v>319</v>
      </c>
      <c r="B4" s="32" t="s">
        <v>1594</v>
      </c>
      <c r="C4" s="32" t="s">
        <v>114</v>
      </c>
      <c r="D4" s="32" t="s">
        <v>1595</v>
      </c>
    </row>
    <row r="5" spans="1:4" ht="26.1" customHeight="1">
      <c r="A5" s="32" t="s">
        <v>370</v>
      </c>
      <c r="B5" s="32" t="s">
        <v>1594</v>
      </c>
      <c r="C5" s="32" t="s">
        <v>88</v>
      </c>
      <c r="D5" s="32" t="s">
        <v>1595</v>
      </c>
    </row>
    <row r="6" spans="1:4" ht="26.1" customHeight="1">
      <c r="A6" s="32" t="s">
        <v>387</v>
      </c>
      <c r="B6" s="32" t="s">
        <v>1594</v>
      </c>
      <c r="C6" s="32" t="s">
        <v>98</v>
      </c>
      <c r="D6" s="32" t="s">
        <v>1595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79"/>
  <sheetViews>
    <sheetView workbookViewId="0"/>
  </sheetViews>
  <sheetFormatPr defaultRowHeight="14.25"/>
  <cols>
    <col min="1" max="4" width="20" customWidth="1"/>
  </cols>
  <sheetData>
    <row r="1" spans="1:4" ht="36" customHeight="1">
      <c r="A1" s="37" t="s">
        <v>0</v>
      </c>
      <c r="B1" s="37" t="s">
        <v>1596</v>
      </c>
      <c r="C1" s="37" t="s">
        <v>1597</v>
      </c>
      <c r="D1" s="37" t="s">
        <v>1598</v>
      </c>
    </row>
    <row r="2" spans="1:4" ht="26.1" customHeight="1">
      <c r="A2" s="32" t="s">
        <v>63</v>
      </c>
      <c r="B2" s="32" t="s">
        <v>911</v>
      </c>
      <c r="C2" s="72" t="str">
        <f>INDEX(Backlog!$K$2:$K$188,MATCH(A2,Backlog!$A$2:$A$188,0))</f>
        <v>Done</v>
      </c>
      <c r="D2" s="32" t="str">
        <f>INDEX(Backlog!$B$2:$B$188,MATCH(A2,Backlog!$A$2:$A$188,0))</f>
        <v>M2</v>
      </c>
    </row>
    <row r="3" spans="1:4" ht="26.1" customHeight="1">
      <c r="A3" s="32" t="s">
        <v>64</v>
      </c>
      <c r="B3" s="32" t="s">
        <v>911</v>
      </c>
      <c r="C3" s="72" t="str">
        <f>INDEX(Backlog!$K$2:$K$188,MATCH(A3,Backlog!$A$2:$A$188,0))</f>
        <v>Done</v>
      </c>
      <c r="D3" s="32" t="str">
        <f>INDEX(Backlog!$B$2:$B$188,MATCH(A3,Backlog!$A$2:$A$188,0))</f>
        <v>M2</v>
      </c>
    </row>
    <row r="4" spans="1:4" ht="26.1" customHeight="1">
      <c r="A4" s="32" t="s">
        <v>64</v>
      </c>
      <c r="B4" s="32" t="s">
        <v>845</v>
      </c>
      <c r="C4" s="72" t="str">
        <f>INDEX(Backlog!$K$2:$K$188,MATCH(A4,Backlog!$A$2:$A$188,0))</f>
        <v>Done</v>
      </c>
      <c r="D4" s="32" t="str">
        <f>INDEX(Backlog!$B$2:$B$188,MATCH(A4,Backlog!$A$2:$A$188,0))</f>
        <v>M2</v>
      </c>
    </row>
    <row r="5" spans="1:4" ht="26.1" customHeight="1">
      <c r="A5" s="32" t="s">
        <v>65</v>
      </c>
      <c r="B5" s="32" t="s">
        <v>909</v>
      </c>
      <c r="C5" s="72" t="str">
        <f>INDEX(Backlog!$K$2:$K$188,MATCH(A5,Backlog!$A$2:$A$188,0))</f>
        <v>Done</v>
      </c>
      <c r="D5" s="32" t="str">
        <f>INDEX(Backlog!$B$2:$B$188,MATCH(A5,Backlog!$A$2:$A$188,0))</f>
        <v>M2</v>
      </c>
    </row>
    <row r="6" spans="1:4" ht="26.1" customHeight="1">
      <c r="A6" s="32" t="s">
        <v>66</v>
      </c>
      <c r="B6" s="32" t="s">
        <v>854</v>
      </c>
      <c r="C6" s="72" t="str">
        <f>INDEX(Backlog!$K$2:$K$188,MATCH(A6,Backlog!$A$2:$A$188,0))</f>
        <v>Done</v>
      </c>
      <c r="D6" s="32" t="str">
        <f>INDEX(Backlog!$B$2:$B$188,MATCH(A6,Backlog!$A$2:$A$188,0))</f>
        <v>M2</v>
      </c>
    </row>
    <row r="7" spans="1:4" ht="26.1" customHeight="1">
      <c r="A7" s="32" t="s">
        <v>67</v>
      </c>
      <c r="B7" s="32" t="s">
        <v>854</v>
      </c>
      <c r="C7" s="72" t="str">
        <f>INDEX(Backlog!$K$2:$K$188,MATCH(A7,Backlog!$A$2:$A$188,0))</f>
        <v>Done</v>
      </c>
      <c r="D7" s="32" t="str">
        <f>INDEX(Backlog!$B$2:$B$188,MATCH(A7,Backlog!$A$2:$A$188,0))</f>
        <v>M2</v>
      </c>
    </row>
    <row r="8" spans="1:4" ht="26.1" customHeight="1">
      <c r="A8" s="32" t="s">
        <v>68</v>
      </c>
      <c r="B8" s="32" t="s">
        <v>898</v>
      </c>
      <c r="C8" s="72" t="str">
        <f>INDEX(Backlog!$K$2:$K$188,MATCH(A8,Backlog!$A$2:$A$188,0))</f>
        <v>Done</v>
      </c>
      <c r="D8" s="32" t="str">
        <f>INDEX(Backlog!$B$2:$B$188,MATCH(A8,Backlog!$A$2:$A$188,0))</f>
        <v>M2</v>
      </c>
    </row>
    <row r="9" spans="1:4" ht="26.1" customHeight="1">
      <c r="A9" s="32" t="s">
        <v>70</v>
      </c>
      <c r="B9" s="32" t="s">
        <v>903</v>
      </c>
      <c r="C9" s="72" t="str">
        <f>INDEX(Backlog!$K$2:$K$188,MATCH(A9,Backlog!$A$2:$A$188,0))</f>
        <v>Done</v>
      </c>
      <c r="D9" s="32" t="str">
        <f>INDEX(Backlog!$B$2:$B$188,MATCH(A9,Backlog!$A$2:$A$188,0))</f>
        <v>M2</v>
      </c>
    </row>
    <row r="10" spans="1:4" ht="26.1" customHeight="1">
      <c r="A10" s="32" t="s">
        <v>72</v>
      </c>
      <c r="B10" s="32" t="s">
        <v>862</v>
      </c>
      <c r="C10" s="72" t="str">
        <f>INDEX(Backlog!$K$2:$K$188,MATCH(A10,Backlog!$A$2:$A$188,0))</f>
        <v>Done</v>
      </c>
      <c r="D10" s="32" t="str">
        <f>INDEX(Backlog!$B$2:$B$188,MATCH(A10,Backlog!$A$2:$A$188,0))</f>
        <v>M2</v>
      </c>
    </row>
    <row r="11" spans="1:4" ht="26.1" customHeight="1">
      <c r="A11" s="32" t="s">
        <v>72</v>
      </c>
      <c r="B11" s="32" t="s">
        <v>869</v>
      </c>
      <c r="C11" s="72" t="str">
        <f>INDEX(Backlog!$K$2:$K$188,MATCH(A11,Backlog!$A$2:$A$188,0))</f>
        <v>Done</v>
      </c>
      <c r="D11" s="32" t="str">
        <f>INDEX(Backlog!$B$2:$B$188,MATCH(A11,Backlog!$A$2:$A$188,0))</f>
        <v>M2</v>
      </c>
    </row>
    <row r="12" spans="1:4" ht="26.1" customHeight="1">
      <c r="A12" s="32" t="s">
        <v>73</v>
      </c>
      <c r="B12" s="32" t="s">
        <v>928</v>
      </c>
      <c r="C12" s="72" t="str">
        <f>INDEX(Backlog!$K$2:$K$188,MATCH(A12,Backlog!$A$2:$A$188,0))</f>
        <v>Done</v>
      </c>
      <c r="D12" s="32" t="str">
        <f>INDEX(Backlog!$B$2:$B$188,MATCH(A12,Backlog!$A$2:$A$188,0))</f>
        <v>M2</v>
      </c>
    </row>
    <row r="13" spans="1:4" ht="26.1" customHeight="1">
      <c r="A13" s="32" t="s">
        <v>79</v>
      </c>
      <c r="B13" s="32" t="s">
        <v>884</v>
      </c>
      <c r="C13" s="72" t="str">
        <f>INDEX(Backlog!$K$2:$K$188,MATCH(A13,Backlog!$A$2:$A$188,0))</f>
        <v>Done</v>
      </c>
      <c r="D13" s="32" t="str">
        <f>INDEX(Backlog!$B$2:$B$188,MATCH(A13,Backlog!$A$2:$A$188,0))</f>
        <v>M2</v>
      </c>
    </row>
    <row r="14" spans="1:4" ht="26.1" customHeight="1">
      <c r="A14" s="32" t="s">
        <v>80</v>
      </c>
      <c r="B14" s="32" t="s">
        <v>907</v>
      </c>
      <c r="C14" s="72" t="str">
        <f>INDEX(Backlog!$K$2:$K$188,MATCH(A14,Backlog!$A$2:$A$188,0))</f>
        <v>Done</v>
      </c>
      <c r="D14" s="32" t="str">
        <f>INDEX(Backlog!$B$2:$B$188,MATCH(A14,Backlog!$A$2:$A$188,0))</f>
        <v>M2</v>
      </c>
    </row>
    <row r="15" spans="1:4" ht="26.1" customHeight="1">
      <c r="A15" s="32" t="s">
        <v>83</v>
      </c>
      <c r="B15" s="32" t="s">
        <v>949</v>
      </c>
      <c r="C15" s="72" t="str">
        <f>INDEX(Backlog!$K$2:$K$188,MATCH(A15,Backlog!$A$2:$A$188,0))</f>
        <v>Done</v>
      </c>
      <c r="D15" s="32" t="str">
        <f>INDEX(Backlog!$B$2:$B$188,MATCH(A15,Backlog!$A$2:$A$188,0))</f>
        <v>M2</v>
      </c>
    </row>
    <row r="16" spans="1:4" ht="26.1" customHeight="1">
      <c r="A16" s="32" t="s">
        <v>85</v>
      </c>
      <c r="B16" s="32" t="s">
        <v>898</v>
      </c>
      <c r="C16" s="72" t="str">
        <f>INDEX(Backlog!$K$2:$K$188,MATCH(A16,Backlog!$A$2:$A$188,0))</f>
        <v>Done</v>
      </c>
      <c r="D16" s="32" t="str">
        <f>INDEX(Backlog!$B$2:$B$188,MATCH(A16,Backlog!$A$2:$A$188,0))</f>
        <v>M2</v>
      </c>
    </row>
    <row r="17" spans="1:4" ht="26.1" customHeight="1">
      <c r="A17" s="32" t="s">
        <v>85</v>
      </c>
      <c r="B17" s="32" t="s">
        <v>911</v>
      </c>
      <c r="C17" s="72" t="str">
        <f>INDEX(Backlog!$K$2:$K$188,MATCH(A17,Backlog!$A$2:$A$188,0))</f>
        <v>Done</v>
      </c>
      <c r="D17" s="32" t="str">
        <f>INDEX(Backlog!$B$2:$B$188,MATCH(A17,Backlog!$A$2:$A$188,0))</f>
        <v>M2</v>
      </c>
    </row>
    <row r="18" spans="1:4" ht="26.1" customHeight="1">
      <c r="A18" s="32" t="s">
        <v>87</v>
      </c>
      <c r="B18" s="32" t="s">
        <v>911</v>
      </c>
      <c r="C18" s="72" t="str">
        <f>INDEX(Backlog!$K$2:$K$188,MATCH(A18,Backlog!$A$2:$A$188,0))</f>
        <v>Done</v>
      </c>
      <c r="D18" s="32" t="str">
        <f>INDEX(Backlog!$B$2:$B$188,MATCH(A18,Backlog!$A$2:$A$188,0))</f>
        <v>M2</v>
      </c>
    </row>
    <row r="19" spans="1:4" ht="26.1" customHeight="1">
      <c r="A19" s="32" t="s">
        <v>87</v>
      </c>
      <c r="B19" s="32" t="s">
        <v>952</v>
      </c>
      <c r="C19" s="72" t="str">
        <f>INDEX(Backlog!$K$2:$K$188,MATCH(A19,Backlog!$A$2:$A$188,0))</f>
        <v>Done</v>
      </c>
      <c r="D19" s="32" t="str">
        <f>INDEX(Backlog!$B$2:$B$188,MATCH(A19,Backlog!$A$2:$A$188,0))</f>
        <v>M2</v>
      </c>
    </row>
    <row r="20" spans="1:4" ht="26.1" customHeight="1">
      <c r="A20" s="32" t="s">
        <v>94</v>
      </c>
      <c r="B20" s="32" t="s">
        <v>840</v>
      </c>
      <c r="C20" s="72" t="str">
        <f>INDEX(Backlog!$K$2:$K$188,MATCH(A20,Backlog!$A$2:$A$188,0))</f>
        <v>Not Started</v>
      </c>
      <c r="D20" s="32" t="str">
        <f>INDEX(Backlog!$B$2:$B$188,MATCH(A20,Backlog!$A$2:$A$188,0))</f>
        <v>M2</v>
      </c>
    </row>
    <row r="21" spans="1:4" ht="26.1" customHeight="1">
      <c r="A21" s="32" t="s">
        <v>94</v>
      </c>
      <c r="B21" s="32" t="s">
        <v>832</v>
      </c>
      <c r="C21" s="72" t="str">
        <f>INDEX(Backlog!$K$2:$K$188,MATCH(A21,Backlog!$A$2:$A$188,0))</f>
        <v>Not Started</v>
      </c>
      <c r="D21" s="32" t="str">
        <f>INDEX(Backlog!$B$2:$B$188,MATCH(A21,Backlog!$A$2:$A$188,0))</f>
        <v>M2</v>
      </c>
    </row>
    <row r="22" spans="1:4" ht="26.1" customHeight="1">
      <c r="A22" s="32" t="s">
        <v>94</v>
      </c>
      <c r="B22" s="32" t="s">
        <v>842</v>
      </c>
      <c r="C22" s="72" t="str">
        <f>INDEX(Backlog!$K$2:$K$188,MATCH(A22,Backlog!$A$2:$A$188,0))</f>
        <v>Not Started</v>
      </c>
      <c r="D22" s="32" t="str">
        <f>INDEX(Backlog!$B$2:$B$188,MATCH(A22,Backlog!$A$2:$A$188,0))</f>
        <v>M2</v>
      </c>
    </row>
    <row r="23" spans="1:4" ht="26.1" customHeight="1">
      <c r="A23" s="32" t="s">
        <v>97</v>
      </c>
      <c r="B23" s="32" t="s">
        <v>854</v>
      </c>
      <c r="C23" s="72" t="str">
        <f>INDEX(Backlog!$K$2:$K$188,MATCH(A23,Backlog!$A$2:$A$188,0))</f>
        <v>Not Started</v>
      </c>
      <c r="D23" s="32" t="str">
        <f>INDEX(Backlog!$B$2:$B$188,MATCH(A23,Backlog!$A$2:$A$188,0))</f>
        <v>M2</v>
      </c>
    </row>
    <row r="24" spans="1:4" ht="26.1" customHeight="1">
      <c r="A24" s="32" t="s">
        <v>98</v>
      </c>
      <c r="B24" s="32" t="s">
        <v>854</v>
      </c>
      <c r="C24" s="72" t="str">
        <f>INDEX(Backlog!$K$2:$K$188,MATCH(A24,Backlog!$A$2:$A$188,0))</f>
        <v>Done</v>
      </c>
      <c r="D24" s="32" t="str">
        <f>INDEX(Backlog!$B$2:$B$188,MATCH(A24,Backlog!$A$2:$A$188,0))</f>
        <v>M2</v>
      </c>
    </row>
    <row r="25" spans="1:4" ht="26.1" customHeight="1">
      <c r="A25" s="32" t="s">
        <v>98</v>
      </c>
      <c r="B25" s="32" t="s">
        <v>858</v>
      </c>
      <c r="C25" s="72" t="str">
        <f>INDEX(Backlog!$K$2:$K$188,MATCH(A25,Backlog!$A$2:$A$188,0))</f>
        <v>Done</v>
      </c>
      <c r="D25" s="32" t="str">
        <f>INDEX(Backlog!$B$2:$B$188,MATCH(A25,Backlog!$A$2:$A$188,0))</f>
        <v>M2</v>
      </c>
    </row>
    <row r="26" spans="1:4" ht="26.1" customHeight="1">
      <c r="A26" s="32" t="s">
        <v>98</v>
      </c>
      <c r="B26" s="32" t="s">
        <v>842</v>
      </c>
      <c r="C26" s="72" t="str">
        <f>INDEX(Backlog!$K$2:$K$188,MATCH(A26,Backlog!$A$2:$A$188,0))</f>
        <v>Done</v>
      </c>
      <c r="D26" s="32" t="str">
        <f>INDEX(Backlog!$B$2:$B$188,MATCH(A26,Backlog!$A$2:$A$188,0))</f>
        <v>M2</v>
      </c>
    </row>
    <row r="27" spans="1:4" ht="26.1" customHeight="1">
      <c r="A27" s="32" t="s">
        <v>99</v>
      </c>
      <c r="B27" s="32" t="s">
        <v>856</v>
      </c>
      <c r="C27" s="72" t="str">
        <f>INDEX(Backlog!$K$2:$K$188,MATCH(A27,Backlog!$A$2:$A$188,0))</f>
        <v>In Progress</v>
      </c>
      <c r="D27" s="32" t="str">
        <f>INDEX(Backlog!$B$2:$B$188,MATCH(A27,Backlog!$A$2:$A$188,0))</f>
        <v>M2</v>
      </c>
    </row>
    <row r="28" spans="1:4" ht="26.1" customHeight="1">
      <c r="A28" s="32" t="s">
        <v>100</v>
      </c>
      <c r="B28" s="32" t="s">
        <v>834</v>
      </c>
      <c r="C28" s="72" t="str">
        <f>INDEX(Backlog!$K$2:$K$188,MATCH(A28,Backlog!$A$2:$A$188,0))</f>
        <v>Not Started</v>
      </c>
      <c r="D28" s="32" t="str">
        <f>INDEX(Backlog!$B$2:$B$188,MATCH(A28,Backlog!$A$2:$A$188,0))</f>
        <v>M2</v>
      </c>
    </row>
    <row r="29" spans="1:4" ht="26.1" customHeight="1">
      <c r="A29" s="32" t="s">
        <v>100</v>
      </c>
      <c r="B29" s="32" t="s">
        <v>827</v>
      </c>
      <c r="C29" s="72" t="str">
        <f>INDEX(Backlog!$K$2:$K$188,MATCH(A29,Backlog!$A$2:$A$188,0))</f>
        <v>Not Started</v>
      </c>
      <c r="D29" s="32" t="str">
        <f>INDEX(Backlog!$B$2:$B$188,MATCH(A29,Backlog!$A$2:$A$188,0))</f>
        <v>M2</v>
      </c>
    </row>
    <row r="30" spans="1:4" ht="26.1" customHeight="1">
      <c r="A30" s="32" t="s">
        <v>100</v>
      </c>
      <c r="B30" s="32" t="s">
        <v>842</v>
      </c>
      <c r="C30" s="72" t="str">
        <f>INDEX(Backlog!$K$2:$K$188,MATCH(A30,Backlog!$A$2:$A$188,0))</f>
        <v>Not Started</v>
      </c>
      <c r="D30" s="32" t="str">
        <f>INDEX(Backlog!$B$2:$B$188,MATCH(A30,Backlog!$A$2:$A$188,0))</f>
        <v>M2</v>
      </c>
    </row>
    <row r="31" spans="1:4" ht="26.1" customHeight="1">
      <c r="A31" s="32" t="s">
        <v>101</v>
      </c>
      <c r="B31" s="32" t="s">
        <v>886</v>
      </c>
      <c r="C31" s="72" t="str">
        <f>INDEX(Backlog!$K$2:$K$188,MATCH(A31,Backlog!$A$2:$A$188,0))</f>
        <v>Not Started</v>
      </c>
      <c r="D31" s="32" t="str">
        <f>INDEX(Backlog!$B$2:$B$188,MATCH(A31,Backlog!$A$2:$A$188,0))</f>
        <v>M2</v>
      </c>
    </row>
    <row r="32" spans="1:4" ht="26.1" customHeight="1">
      <c r="A32" s="32" t="s">
        <v>103</v>
      </c>
      <c r="B32" s="32" t="s">
        <v>903</v>
      </c>
      <c r="C32" s="72" t="str">
        <f>INDEX(Backlog!$K$2:$K$188,MATCH(A32,Backlog!$A$2:$A$188,0))</f>
        <v>Not Started</v>
      </c>
      <c r="D32" s="32" t="str">
        <f>INDEX(Backlog!$B$2:$B$188,MATCH(A32,Backlog!$A$2:$A$188,0))</f>
        <v>M2</v>
      </c>
    </row>
    <row r="33" spans="1:4" ht="26.1" customHeight="1">
      <c r="A33" s="32" t="s">
        <v>103</v>
      </c>
      <c r="B33" s="32" t="s">
        <v>884</v>
      </c>
      <c r="C33" s="72" t="str">
        <f>INDEX(Backlog!$K$2:$K$188,MATCH(A33,Backlog!$A$2:$A$188,0))</f>
        <v>Not Started</v>
      </c>
      <c r="D33" s="32" t="str">
        <f>INDEX(Backlog!$B$2:$B$188,MATCH(A33,Backlog!$A$2:$A$188,0))</f>
        <v>M2</v>
      </c>
    </row>
    <row r="34" spans="1:4" ht="26.1" customHeight="1">
      <c r="A34" s="32" t="s">
        <v>104</v>
      </c>
      <c r="B34" s="32" t="s">
        <v>827</v>
      </c>
      <c r="C34" s="72" t="str">
        <f>INDEX(Backlog!$K$2:$K$188,MATCH(A34,Backlog!$A$2:$A$188,0))</f>
        <v>Done</v>
      </c>
      <c r="D34" s="32" t="str">
        <f>INDEX(Backlog!$B$2:$B$188,MATCH(A34,Backlog!$A$2:$A$188,0))</f>
        <v>M2</v>
      </c>
    </row>
    <row r="35" spans="1:4" ht="26.1" customHeight="1">
      <c r="A35" s="32" t="s">
        <v>104</v>
      </c>
      <c r="B35" s="32" t="s">
        <v>947</v>
      </c>
      <c r="C35" s="72" t="str">
        <f>INDEX(Backlog!$K$2:$K$188,MATCH(A35,Backlog!$A$2:$A$188,0))</f>
        <v>Done</v>
      </c>
      <c r="D35" s="32" t="str">
        <f>INDEX(Backlog!$B$2:$B$188,MATCH(A35,Backlog!$A$2:$A$188,0))</f>
        <v>M2</v>
      </c>
    </row>
    <row r="36" spans="1:4" ht="26.1" customHeight="1">
      <c r="A36" s="32" t="s">
        <v>109</v>
      </c>
      <c r="B36" s="32" t="s">
        <v>907</v>
      </c>
      <c r="C36" s="72" t="str">
        <f>INDEX(Backlog!$K$2:$K$188,MATCH(A36,Backlog!$A$2:$A$188,0))</f>
        <v>Done</v>
      </c>
      <c r="D36" s="32" t="str">
        <f>INDEX(Backlog!$B$2:$B$188,MATCH(A36,Backlog!$A$2:$A$188,0))</f>
        <v>M2</v>
      </c>
    </row>
    <row r="37" spans="1:4" ht="26.1" customHeight="1">
      <c r="A37" s="32" t="s">
        <v>113</v>
      </c>
      <c r="B37" s="32" t="s">
        <v>871</v>
      </c>
      <c r="C37" s="72" t="str">
        <f>INDEX(Backlog!$K$2:$K$188,MATCH(A37,Backlog!$A$2:$A$188,0))</f>
        <v>Done</v>
      </c>
      <c r="D37" s="32" t="str">
        <f>INDEX(Backlog!$B$2:$B$188,MATCH(A37,Backlog!$A$2:$A$188,0))</f>
        <v>M2</v>
      </c>
    </row>
    <row r="38" spans="1:4" ht="26.1" customHeight="1">
      <c r="A38" s="32" t="s">
        <v>113</v>
      </c>
      <c r="B38" s="32" t="s">
        <v>873</v>
      </c>
      <c r="C38" s="72" t="str">
        <f>INDEX(Backlog!$K$2:$K$188,MATCH(A38,Backlog!$A$2:$A$188,0))</f>
        <v>Done</v>
      </c>
      <c r="D38" s="32" t="str">
        <f>INDEX(Backlog!$B$2:$B$188,MATCH(A38,Backlog!$A$2:$A$188,0))</f>
        <v>M2</v>
      </c>
    </row>
    <row r="39" spans="1:4" ht="26.1" customHeight="1">
      <c r="A39" s="32" t="s">
        <v>113</v>
      </c>
      <c r="B39" s="32" t="s">
        <v>848</v>
      </c>
      <c r="C39" s="72" t="str">
        <f>INDEX(Backlog!$K$2:$K$188,MATCH(A39,Backlog!$A$2:$A$188,0))</f>
        <v>Done</v>
      </c>
      <c r="D39" s="32" t="str">
        <f>INDEX(Backlog!$B$2:$B$188,MATCH(A39,Backlog!$A$2:$A$188,0))</f>
        <v>M2</v>
      </c>
    </row>
    <row r="40" spans="1:4" ht="26.1" customHeight="1">
      <c r="A40" s="32" t="s">
        <v>114</v>
      </c>
      <c r="B40" s="32" t="s">
        <v>875</v>
      </c>
      <c r="C40" s="72" t="str">
        <f>INDEX(Backlog!$K$2:$K$188,MATCH(A40,Backlog!$A$2:$A$188,0))</f>
        <v>Done</v>
      </c>
      <c r="D40" s="32" t="str">
        <f>INDEX(Backlog!$B$2:$B$188,MATCH(A40,Backlog!$A$2:$A$188,0))</f>
        <v>M2</v>
      </c>
    </row>
    <row r="41" spans="1:4" ht="26.1" customHeight="1">
      <c r="A41" s="32" t="s">
        <v>115</v>
      </c>
      <c r="B41" s="32" t="s">
        <v>856</v>
      </c>
      <c r="C41" s="72" t="str">
        <f>INDEX(Backlog!$K$2:$K$188,MATCH(A41,Backlog!$A$2:$A$188,0))</f>
        <v>In Progress</v>
      </c>
      <c r="D41" s="32" t="str">
        <f>INDEX(Backlog!$B$2:$B$188,MATCH(A41,Backlog!$A$2:$A$188,0))</f>
        <v>M2</v>
      </c>
    </row>
    <row r="42" spans="1:4" ht="26.1" customHeight="1">
      <c r="A42" s="32" t="s">
        <v>116</v>
      </c>
      <c r="B42" s="32" t="s">
        <v>827</v>
      </c>
      <c r="C42" s="72" t="str">
        <f>INDEX(Backlog!$K$2:$K$188,MATCH(A42,Backlog!$A$2:$A$188,0))</f>
        <v>Not Started</v>
      </c>
      <c r="D42" s="32" t="str">
        <f>INDEX(Backlog!$B$2:$B$188,MATCH(A42,Backlog!$A$2:$A$188,0))</f>
        <v>M2</v>
      </c>
    </row>
    <row r="43" spans="1:4" ht="26.1" customHeight="1">
      <c r="A43" s="32" t="s">
        <v>116</v>
      </c>
      <c r="B43" s="32" t="s">
        <v>832</v>
      </c>
      <c r="C43" s="72" t="str">
        <f>INDEX(Backlog!$K$2:$K$188,MATCH(A43,Backlog!$A$2:$A$188,0))</f>
        <v>Not Started</v>
      </c>
      <c r="D43" s="32" t="str">
        <f>INDEX(Backlog!$B$2:$B$188,MATCH(A43,Backlog!$A$2:$A$188,0))</f>
        <v>M2</v>
      </c>
    </row>
    <row r="44" spans="1:4" ht="26.1" customHeight="1">
      <c r="A44" s="32" t="s">
        <v>116</v>
      </c>
      <c r="B44" s="32" t="s">
        <v>850</v>
      </c>
      <c r="C44" s="72" t="str">
        <f>INDEX(Backlog!$K$2:$K$188,MATCH(A44,Backlog!$A$2:$A$188,0))</f>
        <v>Not Started</v>
      </c>
      <c r="D44" s="32" t="str">
        <f>INDEX(Backlog!$B$2:$B$188,MATCH(A44,Backlog!$A$2:$A$188,0))</f>
        <v>M2</v>
      </c>
    </row>
    <row r="45" spans="1:4" ht="26.1" customHeight="1">
      <c r="A45" s="32" t="s">
        <v>116</v>
      </c>
      <c r="B45" s="32" t="s">
        <v>877</v>
      </c>
      <c r="C45" s="72" t="str">
        <f>INDEX(Backlog!$K$2:$K$188,MATCH(A45,Backlog!$A$2:$A$188,0))</f>
        <v>Not Started</v>
      </c>
      <c r="D45" s="32" t="str">
        <f>INDEX(Backlog!$B$2:$B$188,MATCH(A45,Backlog!$A$2:$A$188,0))</f>
        <v>M2</v>
      </c>
    </row>
    <row r="46" spans="1:4" ht="26.1" customHeight="1">
      <c r="A46" s="32" t="s">
        <v>117</v>
      </c>
      <c r="B46" s="32" t="s">
        <v>850</v>
      </c>
      <c r="C46" s="72" t="str">
        <f>INDEX(Backlog!$K$2:$K$188,MATCH(A46,Backlog!$A$2:$A$188,0))</f>
        <v>Done</v>
      </c>
      <c r="D46" s="32" t="str">
        <f>INDEX(Backlog!$B$2:$B$188,MATCH(A46,Backlog!$A$2:$A$188,0))</f>
        <v>M2</v>
      </c>
    </row>
    <row r="47" spans="1:4" ht="26.1" customHeight="1">
      <c r="A47" s="32" t="s">
        <v>119</v>
      </c>
      <c r="B47" s="32" t="s">
        <v>877</v>
      </c>
      <c r="C47" s="72" t="str">
        <f>INDEX(Backlog!$K$2:$K$188,MATCH(A47,Backlog!$A$2:$A$188,0))</f>
        <v>Done</v>
      </c>
      <c r="D47" s="32" t="str">
        <f>INDEX(Backlog!$B$2:$B$188,MATCH(A47,Backlog!$A$2:$A$188,0))</f>
        <v>M2</v>
      </c>
    </row>
    <row r="48" spans="1:4" ht="26.1" customHeight="1">
      <c r="A48" s="32" t="s">
        <v>119</v>
      </c>
      <c r="B48" s="32" t="s">
        <v>856</v>
      </c>
      <c r="C48" s="72" t="str">
        <f>INDEX(Backlog!$K$2:$K$188,MATCH(A48,Backlog!$A$2:$A$188,0))</f>
        <v>Done</v>
      </c>
      <c r="D48" s="32" t="str">
        <f>INDEX(Backlog!$B$2:$B$188,MATCH(A48,Backlog!$A$2:$A$188,0))</f>
        <v>M2</v>
      </c>
    </row>
    <row r="49" spans="1:4" ht="26.1" customHeight="1">
      <c r="A49" s="32" t="s">
        <v>120</v>
      </c>
      <c r="B49" s="32" t="s">
        <v>850</v>
      </c>
      <c r="C49" s="72" t="str">
        <f>INDEX(Backlog!$K$2:$K$188,MATCH(A49,Backlog!$A$2:$A$188,0))</f>
        <v>Done</v>
      </c>
      <c r="D49" s="32" t="str">
        <f>INDEX(Backlog!$B$2:$B$188,MATCH(A49,Backlog!$A$2:$A$188,0))</f>
        <v>M2</v>
      </c>
    </row>
    <row r="50" spans="1:4" ht="26.1" customHeight="1">
      <c r="A50" s="32" t="s">
        <v>120</v>
      </c>
      <c r="B50" s="32" t="s">
        <v>873</v>
      </c>
      <c r="C50" s="72" t="str">
        <f>INDEX(Backlog!$K$2:$K$188,MATCH(A50,Backlog!$A$2:$A$188,0))</f>
        <v>Done</v>
      </c>
      <c r="D50" s="32" t="str">
        <f>INDEX(Backlog!$B$2:$B$188,MATCH(A50,Backlog!$A$2:$A$188,0))</f>
        <v>M2</v>
      </c>
    </row>
    <row r="51" spans="1:4" ht="26.1" customHeight="1">
      <c r="A51" s="32" t="s">
        <v>122</v>
      </c>
      <c r="B51" s="32" t="s">
        <v>869</v>
      </c>
      <c r="C51" s="72" t="str">
        <f>INDEX(Backlog!$K$2:$K$188,MATCH(A51,Backlog!$A$2:$A$188,0))</f>
        <v>Not Started</v>
      </c>
      <c r="D51" s="32" t="str">
        <f>INDEX(Backlog!$B$2:$B$188,MATCH(A51,Backlog!$A$2:$A$188,0))</f>
        <v>M2</v>
      </c>
    </row>
    <row r="52" spans="1:4" ht="26.1" customHeight="1">
      <c r="A52" s="32" t="s">
        <v>124</v>
      </c>
      <c r="B52" s="32" t="s">
        <v>869</v>
      </c>
      <c r="C52" s="72" t="str">
        <f>INDEX(Backlog!$K$2:$K$188,MATCH(A52,Backlog!$A$2:$A$188,0))</f>
        <v>Not Started</v>
      </c>
      <c r="D52" s="32" t="str">
        <f>INDEX(Backlog!$B$2:$B$188,MATCH(A52,Backlog!$A$2:$A$188,0))</f>
        <v>M2</v>
      </c>
    </row>
    <row r="53" spans="1:4" ht="26.1" customHeight="1">
      <c r="A53" s="32" t="s">
        <v>126</v>
      </c>
      <c r="B53" s="32" t="s">
        <v>956</v>
      </c>
      <c r="C53" s="72" t="str">
        <f>INDEX(Backlog!$K$2:$K$188,MATCH(A53,Backlog!$A$2:$A$188,0))</f>
        <v>Done</v>
      </c>
      <c r="D53" s="32" t="str">
        <f>INDEX(Backlog!$B$2:$B$188,MATCH(A53,Backlog!$A$2:$A$188,0))</f>
        <v>M2</v>
      </c>
    </row>
    <row r="54" spans="1:4" ht="26.1" customHeight="1">
      <c r="A54" s="32" t="s">
        <v>138</v>
      </c>
      <c r="B54" s="32" t="s">
        <v>890</v>
      </c>
      <c r="C54" s="72" t="str">
        <f>INDEX(Backlog!$K$2:$K$188,MATCH(A54,Backlog!$A$2:$A$188,0))</f>
        <v>Done</v>
      </c>
      <c r="D54" s="32" t="str">
        <f>INDEX(Backlog!$B$2:$B$188,MATCH(A54,Backlog!$A$2:$A$188,0))</f>
        <v>M2</v>
      </c>
    </row>
    <row r="55" spans="1:4" ht="26.1" customHeight="1">
      <c r="A55" s="32" t="s">
        <v>139</v>
      </c>
      <c r="B55" s="32" t="s">
        <v>913</v>
      </c>
      <c r="C55" s="72" t="str">
        <f>INDEX(Backlog!$K$2:$K$188,MATCH(A55,Backlog!$A$2:$A$188,0))</f>
        <v>Done</v>
      </c>
      <c r="D55" s="32" t="str">
        <f>INDEX(Backlog!$B$2:$B$188,MATCH(A55,Backlog!$A$2:$A$188,0))</f>
        <v>M2</v>
      </c>
    </row>
    <row r="56" spans="1:4" ht="26.1" customHeight="1">
      <c r="A56" s="32" t="s">
        <v>140</v>
      </c>
      <c r="B56" s="32" t="s">
        <v>890</v>
      </c>
      <c r="C56" s="72" t="str">
        <f>INDEX(Backlog!$K$2:$K$188,MATCH(A56,Backlog!$A$2:$A$188,0))</f>
        <v>Done</v>
      </c>
      <c r="D56" s="32" t="str">
        <f>INDEX(Backlog!$B$2:$B$188,MATCH(A56,Backlog!$A$2:$A$188,0))</f>
        <v>M2</v>
      </c>
    </row>
    <row r="57" spans="1:4" ht="26.1" customHeight="1">
      <c r="A57" s="32" t="s">
        <v>140</v>
      </c>
      <c r="B57" s="32" t="s">
        <v>896</v>
      </c>
      <c r="C57" s="72" t="str">
        <f>INDEX(Backlog!$K$2:$K$188,MATCH(A57,Backlog!$A$2:$A$188,0))</f>
        <v>Done</v>
      </c>
      <c r="D57" s="32" t="str">
        <f>INDEX(Backlog!$B$2:$B$188,MATCH(A57,Backlog!$A$2:$A$188,0))</f>
        <v>M2</v>
      </c>
    </row>
    <row r="58" spans="1:4" ht="26.1" customHeight="1">
      <c r="A58" s="32" t="s">
        <v>141</v>
      </c>
      <c r="B58" s="32" t="s">
        <v>903</v>
      </c>
      <c r="C58" s="72" t="str">
        <f>INDEX(Backlog!$K$2:$K$188,MATCH(A58,Backlog!$A$2:$A$188,0))</f>
        <v>Not Started</v>
      </c>
      <c r="D58" s="32" t="str">
        <f>INDEX(Backlog!$B$2:$B$188,MATCH(A58,Backlog!$A$2:$A$188,0))</f>
        <v>M2</v>
      </c>
    </row>
    <row r="59" spans="1:4" ht="26.1" customHeight="1">
      <c r="A59" s="32" t="s">
        <v>147</v>
      </c>
      <c r="B59" s="32" t="s">
        <v>907</v>
      </c>
      <c r="C59" s="72" t="str">
        <f>INDEX(Backlog!$K$2:$K$188,MATCH(A59,Backlog!$A$2:$A$188,0))</f>
        <v>Not Started</v>
      </c>
      <c r="D59" s="32" t="str">
        <f>INDEX(Backlog!$B$2:$B$188,MATCH(A59,Backlog!$A$2:$A$188,0))</f>
        <v>M2</v>
      </c>
    </row>
    <row r="60" spans="1:4" ht="26.1" customHeight="1">
      <c r="A60" s="32" t="s">
        <v>148</v>
      </c>
      <c r="B60" s="32" t="s">
        <v>988</v>
      </c>
      <c r="C60" s="72" t="str">
        <f>INDEX(Backlog!$K$2:$K$188,MATCH(A60,Backlog!$A$2:$A$188,0))</f>
        <v>Not Started</v>
      </c>
      <c r="D60" s="32" t="str">
        <f>INDEX(Backlog!$B$2:$B$188,MATCH(A60,Backlog!$A$2:$A$188,0))</f>
        <v>M2</v>
      </c>
    </row>
    <row r="61" spans="1:4" ht="26.1" customHeight="1">
      <c r="A61" s="32" t="s">
        <v>148</v>
      </c>
      <c r="B61" s="32" t="s">
        <v>966</v>
      </c>
      <c r="C61" s="72" t="str">
        <f>INDEX(Backlog!$K$2:$K$188,MATCH(A61,Backlog!$A$2:$A$188,0))</f>
        <v>Not Started</v>
      </c>
      <c r="D61" s="32" t="str">
        <f>INDEX(Backlog!$B$2:$B$188,MATCH(A61,Backlog!$A$2:$A$188,0))</f>
        <v>M2</v>
      </c>
    </row>
    <row r="62" spans="1:4" ht="26.1" customHeight="1">
      <c r="A62" s="32" t="s">
        <v>150</v>
      </c>
      <c r="B62" s="32" t="s">
        <v>884</v>
      </c>
      <c r="C62" s="72" t="str">
        <f>INDEX(Backlog!$K$2:$K$188,MATCH(A62,Backlog!$A$2:$A$188,0))</f>
        <v>Done</v>
      </c>
      <c r="D62" s="32" t="str">
        <f>INDEX(Backlog!$B$2:$B$188,MATCH(A62,Backlog!$A$2:$A$188,0))</f>
        <v>M2</v>
      </c>
    </row>
    <row r="63" spans="1:4" ht="26.1" customHeight="1">
      <c r="A63" s="32" t="s">
        <v>150</v>
      </c>
      <c r="B63" s="32" t="s">
        <v>988</v>
      </c>
      <c r="C63" s="72" t="str">
        <f>INDEX(Backlog!$K$2:$K$188,MATCH(A63,Backlog!$A$2:$A$188,0))</f>
        <v>Done</v>
      </c>
      <c r="D63" s="32" t="str">
        <f>INDEX(Backlog!$B$2:$B$188,MATCH(A63,Backlog!$A$2:$A$188,0))</f>
        <v>M2</v>
      </c>
    </row>
    <row r="64" spans="1:4" ht="26.1" customHeight="1">
      <c r="A64" s="32" t="s">
        <v>155</v>
      </c>
      <c r="B64" s="32" t="s">
        <v>952</v>
      </c>
      <c r="C64" s="72" t="str">
        <f>INDEX(Backlog!$K$2:$K$188,MATCH(A64,Backlog!$A$2:$A$188,0))</f>
        <v>Not Started</v>
      </c>
      <c r="D64" s="32" t="str">
        <f>INDEX(Backlog!$B$2:$B$188,MATCH(A64,Backlog!$A$2:$A$188,0))</f>
        <v>M2</v>
      </c>
    </row>
    <row r="65" spans="1:4" ht="26.1" customHeight="1">
      <c r="A65" s="32" t="s">
        <v>158</v>
      </c>
      <c r="B65" s="32" t="s">
        <v>939</v>
      </c>
      <c r="C65" s="72" t="str">
        <f>INDEX(Backlog!$K$2:$K$188,MATCH(A65,Backlog!$A$2:$A$188,0))</f>
        <v>Not Started</v>
      </c>
      <c r="D65" s="32" t="str">
        <f>INDEX(Backlog!$B$2:$B$188,MATCH(A65,Backlog!$A$2:$A$188,0))</f>
        <v>M2</v>
      </c>
    </row>
    <row r="66" spans="1:4" ht="26.1" customHeight="1">
      <c r="A66" s="32" t="s">
        <v>159</v>
      </c>
      <c r="B66" s="32" t="s">
        <v>954</v>
      </c>
      <c r="C66" s="72" t="str">
        <f>INDEX(Backlog!$K$2:$K$188,MATCH(A66,Backlog!$A$2:$A$188,0))</f>
        <v>Not Started</v>
      </c>
      <c r="D66" s="32" t="str">
        <f>INDEX(Backlog!$B$2:$B$188,MATCH(A66,Backlog!$A$2:$A$188,0))</f>
        <v>M2</v>
      </c>
    </row>
    <row r="67" spans="1:4" ht="26.1" customHeight="1">
      <c r="A67" s="32" t="s">
        <v>161</v>
      </c>
      <c r="B67" s="32" t="s">
        <v>842</v>
      </c>
      <c r="C67" s="72" t="str">
        <f>INDEX(Backlog!$K$2:$K$188,MATCH(A67,Backlog!$A$2:$A$188,0))</f>
        <v>Not Started</v>
      </c>
      <c r="D67" s="32" t="str">
        <f>INDEX(Backlog!$B$2:$B$188,MATCH(A67,Backlog!$A$2:$A$188,0))</f>
        <v>M2</v>
      </c>
    </row>
    <row r="68" spans="1:4" ht="26.1" customHeight="1">
      <c r="A68" s="32" t="s">
        <v>162</v>
      </c>
      <c r="B68" s="32" t="s">
        <v>964</v>
      </c>
      <c r="C68" s="72" t="str">
        <f>INDEX(Backlog!$K$2:$K$188,MATCH(A68,Backlog!$A$2:$A$188,0))</f>
        <v>Not Started</v>
      </c>
      <c r="D68" s="32" t="str">
        <f>INDEX(Backlog!$B$2:$B$188,MATCH(A68,Backlog!$A$2:$A$188,0))</f>
        <v>M2</v>
      </c>
    </row>
    <row r="69" spans="1:4" ht="26.1" customHeight="1">
      <c r="A69" s="32" t="s">
        <v>166</v>
      </c>
      <c r="B69" s="32" t="s">
        <v>952</v>
      </c>
      <c r="C69" s="72" t="str">
        <f>INDEX(Backlog!$K$2:$K$188,MATCH(A69,Backlog!$A$2:$A$188,0))</f>
        <v>Not Started</v>
      </c>
      <c r="D69" s="32" t="str">
        <f>INDEX(Backlog!$B$2:$B$188,MATCH(A69,Backlog!$A$2:$A$188,0))</f>
        <v>M2</v>
      </c>
    </row>
    <row r="70" spans="1:4" ht="26.1" customHeight="1">
      <c r="A70" s="32" t="s">
        <v>167</v>
      </c>
      <c r="B70" s="32" t="s">
        <v>956</v>
      </c>
      <c r="C70" s="72" t="str">
        <f>INDEX(Backlog!$K$2:$K$188,MATCH(A70,Backlog!$A$2:$A$188,0))</f>
        <v>Not Started</v>
      </c>
      <c r="D70" s="32" t="str">
        <f>INDEX(Backlog!$B$2:$B$188,MATCH(A70,Backlog!$A$2:$A$188,0))</f>
        <v>M3</v>
      </c>
    </row>
    <row r="71" spans="1:4" ht="26.1" customHeight="1">
      <c r="A71" s="32" t="s">
        <v>170</v>
      </c>
      <c r="B71" s="32" t="s">
        <v>964</v>
      </c>
      <c r="C71" s="72" t="str">
        <f>INDEX(Backlog!$K$2:$K$188,MATCH(A71,Backlog!$A$2:$A$188,0))</f>
        <v>Not Started</v>
      </c>
      <c r="D71" s="32" t="str">
        <f>INDEX(Backlog!$B$2:$B$188,MATCH(A71,Backlog!$A$2:$A$188,0))</f>
        <v>M3</v>
      </c>
    </row>
    <row r="72" spans="1:4" ht="26.1" customHeight="1">
      <c r="A72" s="32" t="s">
        <v>171</v>
      </c>
      <c r="B72" s="32" t="s">
        <v>836</v>
      </c>
      <c r="C72" s="72" t="str">
        <f>INDEX(Backlog!$K$2:$K$188,MATCH(A72,Backlog!$A$2:$A$188,0))</f>
        <v>Not Started</v>
      </c>
      <c r="D72" s="32" t="str">
        <f>INDEX(Backlog!$B$2:$B$188,MATCH(A72,Backlog!$A$2:$A$188,0))</f>
        <v>M3</v>
      </c>
    </row>
    <row r="73" spans="1:4" ht="26.1" customHeight="1">
      <c r="A73" s="32" t="s">
        <v>173</v>
      </c>
      <c r="B73" s="32" t="s">
        <v>956</v>
      </c>
      <c r="C73" s="72" t="str">
        <f>INDEX(Backlog!$K$2:$K$188,MATCH(A73,Backlog!$A$2:$A$188,0))</f>
        <v>Not Started</v>
      </c>
      <c r="D73" s="32" t="str">
        <f>INDEX(Backlog!$B$2:$B$188,MATCH(A73,Backlog!$A$2:$A$188,0))</f>
        <v>M3</v>
      </c>
    </row>
    <row r="74" spans="1:4" ht="26.1" customHeight="1">
      <c r="A74" s="32" t="s">
        <v>174</v>
      </c>
      <c r="B74" s="32" t="s">
        <v>958</v>
      </c>
      <c r="C74" s="72" t="str">
        <f>INDEX(Backlog!$K$2:$K$188,MATCH(A74,Backlog!$A$2:$A$188,0))</f>
        <v>Not Started</v>
      </c>
      <c r="D74" s="32" t="str">
        <f>INDEX(Backlog!$B$2:$B$188,MATCH(A74,Backlog!$A$2:$A$188,0))</f>
        <v>M3</v>
      </c>
    </row>
    <row r="75" spans="1:4" ht="26.1" customHeight="1">
      <c r="A75" s="32" t="s">
        <v>182</v>
      </c>
      <c r="B75" s="32" t="s">
        <v>941</v>
      </c>
      <c r="C75" s="72" t="str">
        <f>INDEX(Backlog!$K$2:$K$188,MATCH(A75,Backlog!$A$2:$A$188,0))</f>
        <v>Not Started</v>
      </c>
      <c r="D75" s="32" t="str">
        <f>INDEX(Backlog!$B$2:$B$188,MATCH(A75,Backlog!$A$2:$A$188,0))</f>
        <v>M3</v>
      </c>
    </row>
    <row r="76" spans="1:4" ht="26.1" customHeight="1">
      <c r="A76" s="32" t="s">
        <v>189</v>
      </c>
      <c r="B76" s="32" t="s">
        <v>848</v>
      </c>
      <c r="C76" s="72" t="str">
        <f>INDEX(Backlog!$K$2:$K$188,MATCH(A76,Backlog!$A$2:$A$188,0))</f>
        <v>Not Started</v>
      </c>
      <c r="D76" s="32" t="str">
        <f>INDEX(Backlog!$B$2:$B$188,MATCH(A76,Backlog!$A$2:$A$188,0))</f>
        <v>M3</v>
      </c>
    </row>
    <row r="77" spans="1:4" ht="26.1" customHeight="1">
      <c r="A77" s="32" t="s">
        <v>194</v>
      </c>
      <c r="B77" s="32" t="s">
        <v>862</v>
      </c>
      <c r="C77" s="72" t="str">
        <f>INDEX(Backlog!$K$2:$K$188,MATCH(A77,Backlog!$A$2:$A$188,0))</f>
        <v>Not Started</v>
      </c>
      <c r="D77" s="32" t="str">
        <f>INDEX(Backlog!$B$2:$B$188,MATCH(A77,Backlog!$A$2:$A$188,0))</f>
        <v>M3</v>
      </c>
    </row>
    <row r="78" spans="1:4" ht="26.1" customHeight="1">
      <c r="A78" s="32" t="s">
        <v>194</v>
      </c>
      <c r="B78" s="32" t="s">
        <v>867</v>
      </c>
      <c r="C78" s="72" t="str">
        <f>INDEX(Backlog!$K$2:$K$188,MATCH(A78,Backlog!$A$2:$A$188,0))</f>
        <v>Not Started</v>
      </c>
      <c r="D78" s="32" t="str">
        <f>INDEX(Backlog!$B$2:$B$188,MATCH(A78,Backlog!$A$2:$A$188,0))</f>
        <v>M3</v>
      </c>
    </row>
    <row r="79" spans="1:4" ht="26.1" customHeight="1">
      <c r="A79" s="32" t="s">
        <v>194</v>
      </c>
      <c r="B79" s="32" t="s">
        <v>869</v>
      </c>
      <c r="C79" s="72" t="str">
        <f>INDEX(Backlog!$K$2:$K$188,MATCH(A79,Backlog!$A$2:$A$188,0))</f>
        <v>Not Started</v>
      </c>
      <c r="D79" s="32" t="str">
        <f>INDEX(Backlog!$B$2:$B$188,MATCH(A79,Backlog!$A$2:$A$188,0))</f>
        <v>M3</v>
      </c>
    </row>
    <row r="80" spans="1:4" ht="26.1" customHeight="1">
      <c r="A80" s="32" t="s">
        <v>194</v>
      </c>
      <c r="B80" s="32" t="s">
        <v>871</v>
      </c>
      <c r="C80" s="72" t="str">
        <f>INDEX(Backlog!$K$2:$K$188,MATCH(A80,Backlog!$A$2:$A$188,0))</f>
        <v>Not Started</v>
      </c>
      <c r="D80" s="32" t="str">
        <f>INDEX(Backlog!$B$2:$B$188,MATCH(A80,Backlog!$A$2:$A$188,0))</f>
        <v>M3</v>
      </c>
    </row>
    <row r="81" spans="1:4" ht="26.1" customHeight="1">
      <c r="A81" s="32" t="s">
        <v>194</v>
      </c>
      <c r="B81" s="32" t="s">
        <v>873</v>
      </c>
      <c r="C81" s="72" t="str">
        <f>INDEX(Backlog!$K$2:$K$188,MATCH(A81,Backlog!$A$2:$A$188,0))</f>
        <v>Not Started</v>
      </c>
      <c r="D81" s="32" t="str">
        <f>INDEX(Backlog!$B$2:$B$188,MATCH(A81,Backlog!$A$2:$A$188,0))</f>
        <v>M3</v>
      </c>
    </row>
    <row r="82" spans="1:4" ht="26.1" customHeight="1">
      <c r="A82" s="32" t="s">
        <v>194</v>
      </c>
      <c r="B82" s="32" t="s">
        <v>879</v>
      </c>
      <c r="C82" s="72" t="str">
        <f>INDEX(Backlog!$K$2:$K$188,MATCH(A82,Backlog!$A$2:$A$188,0))</f>
        <v>Not Started</v>
      </c>
      <c r="D82" s="32" t="str">
        <f>INDEX(Backlog!$B$2:$B$188,MATCH(A82,Backlog!$A$2:$A$188,0))</f>
        <v>M3</v>
      </c>
    </row>
    <row r="83" spans="1:4" ht="26.1" customHeight="1">
      <c r="A83" s="32" t="s">
        <v>194</v>
      </c>
      <c r="B83" s="32" t="s">
        <v>928</v>
      </c>
      <c r="C83" s="72" t="str">
        <f>INDEX(Backlog!$K$2:$K$188,MATCH(A83,Backlog!$A$2:$A$188,0))</f>
        <v>Not Started</v>
      </c>
      <c r="D83" s="32" t="str">
        <f>INDEX(Backlog!$B$2:$B$188,MATCH(A83,Backlog!$A$2:$A$188,0))</f>
        <v>M3</v>
      </c>
    </row>
    <row r="84" spans="1:4" ht="26.1" customHeight="1">
      <c r="A84" s="32" t="s">
        <v>195</v>
      </c>
      <c r="B84" s="32" t="s">
        <v>856</v>
      </c>
      <c r="C84" s="72" t="str">
        <f>INDEX(Backlog!$K$2:$K$188,MATCH(A84,Backlog!$A$2:$A$188,0))</f>
        <v>Not Started</v>
      </c>
      <c r="D84" s="32" t="str">
        <f>INDEX(Backlog!$B$2:$B$188,MATCH(A84,Backlog!$A$2:$A$188,0))</f>
        <v>M3</v>
      </c>
    </row>
    <row r="85" spans="1:4" ht="26.1" customHeight="1">
      <c r="A85" s="32" t="s">
        <v>195</v>
      </c>
      <c r="B85" s="32" t="s">
        <v>922</v>
      </c>
      <c r="C85" s="72" t="str">
        <f>INDEX(Backlog!$K$2:$K$188,MATCH(A85,Backlog!$A$2:$A$188,0))</f>
        <v>Not Started</v>
      </c>
      <c r="D85" s="32" t="str">
        <f>INDEX(Backlog!$B$2:$B$188,MATCH(A85,Backlog!$A$2:$A$188,0))</f>
        <v>M3</v>
      </c>
    </row>
    <row r="86" spans="1:4" ht="26.1" customHeight="1">
      <c r="A86" s="32" t="s">
        <v>196</v>
      </c>
      <c r="B86" s="32" t="s">
        <v>975</v>
      </c>
      <c r="C86" s="72" t="str">
        <f>INDEX(Backlog!$K$2:$K$188,MATCH(A86,Backlog!$A$2:$A$188,0))</f>
        <v>Not Started</v>
      </c>
      <c r="D86" s="32" t="str">
        <f>INDEX(Backlog!$B$2:$B$188,MATCH(A86,Backlog!$A$2:$A$188,0))</f>
        <v>M3</v>
      </c>
    </row>
    <row r="87" spans="1:4" ht="26.1" customHeight="1">
      <c r="A87" s="32" t="s">
        <v>197</v>
      </c>
      <c r="B87" s="32" t="s">
        <v>884</v>
      </c>
      <c r="C87" s="72" t="str">
        <f>INDEX(Backlog!$K$2:$K$188,MATCH(A87,Backlog!$A$2:$A$188,0))</f>
        <v>Not Started</v>
      </c>
      <c r="D87" s="32" t="str">
        <f>INDEX(Backlog!$B$2:$B$188,MATCH(A87,Backlog!$A$2:$A$188,0))</f>
        <v>M3</v>
      </c>
    </row>
    <row r="88" spans="1:4" ht="26.1" customHeight="1">
      <c r="A88" s="32" t="s">
        <v>197</v>
      </c>
      <c r="B88" s="32" t="s">
        <v>888</v>
      </c>
      <c r="C88" s="72" t="str">
        <f>INDEX(Backlog!$K$2:$K$188,MATCH(A88,Backlog!$A$2:$A$188,0))</f>
        <v>Not Started</v>
      </c>
      <c r="D88" s="32" t="str">
        <f>INDEX(Backlog!$B$2:$B$188,MATCH(A88,Backlog!$A$2:$A$188,0))</f>
        <v>M3</v>
      </c>
    </row>
    <row r="89" spans="1:4" ht="26.1" customHeight="1">
      <c r="A89" s="32" t="s">
        <v>202</v>
      </c>
      <c r="B89" s="32" t="s">
        <v>869</v>
      </c>
      <c r="C89" s="72" t="str">
        <f>INDEX(Backlog!$K$2:$K$188,MATCH(A89,Backlog!$A$2:$A$188,0))</f>
        <v>Not Started</v>
      </c>
      <c r="D89" s="32" t="str">
        <f>INDEX(Backlog!$B$2:$B$188,MATCH(A89,Backlog!$A$2:$A$188,0))</f>
        <v>M3</v>
      </c>
    </row>
    <row r="90" spans="1:4" ht="26.1" customHeight="1">
      <c r="A90" s="32" t="s">
        <v>208</v>
      </c>
      <c r="B90" s="32" t="s">
        <v>960</v>
      </c>
      <c r="C90" s="72" t="str">
        <f>INDEX(Backlog!$K$2:$K$188,MATCH(A90,Backlog!$A$2:$A$188,0))</f>
        <v>Not Started</v>
      </c>
      <c r="D90" s="32" t="str">
        <f>INDEX(Backlog!$B$2:$B$188,MATCH(A90,Backlog!$A$2:$A$188,0))</f>
        <v>M3</v>
      </c>
    </row>
    <row r="91" spans="1:4" ht="26.1" customHeight="1">
      <c r="A91" s="32" t="s">
        <v>211</v>
      </c>
      <c r="B91" s="32" t="s">
        <v>973</v>
      </c>
      <c r="C91" s="72" t="str">
        <f>INDEX(Backlog!$K$2:$K$188,MATCH(A91,Backlog!$A$2:$A$188,0))</f>
        <v>Not Started</v>
      </c>
      <c r="D91" s="32" t="str">
        <f>INDEX(Backlog!$B$2:$B$188,MATCH(A91,Backlog!$A$2:$A$188,0))</f>
        <v>M3</v>
      </c>
    </row>
    <row r="92" spans="1:4" ht="26.1" customHeight="1">
      <c r="A92" s="32" t="s">
        <v>212</v>
      </c>
      <c r="B92" s="32" t="s">
        <v>977</v>
      </c>
      <c r="C92" s="72" t="str">
        <f>INDEX(Backlog!$K$2:$K$188,MATCH(A92,Backlog!$A$2:$A$188,0))</f>
        <v>Not Started</v>
      </c>
      <c r="D92" s="32" t="str">
        <f>INDEX(Backlog!$B$2:$B$188,MATCH(A92,Backlog!$A$2:$A$188,0))</f>
        <v>M3</v>
      </c>
    </row>
    <row r="93" spans="1:4" ht="26.1" customHeight="1">
      <c r="A93" s="32" t="s">
        <v>212</v>
      </c>
      <c r="B93" s="32" t="s">
        <v>922</v>
      </c>
      <c r="C93" s="72" t="str">
        <f>INDEX(Backlog!$K$2:$K$188,MATCH(A93,Backlog!$A$2:$A$188,0))</f>
        <v>Not Started</v>
      </c>
      <c r="D93" s="32" t="str">
        <f>INDEX(Backlog!$B$2:$B$188,MATCH(A93,Backlog!$A$2:$A$188,0))</f>
        <v>M3</v>
      </c>
    </row>
    <row r="94" spans="1:4" ht="26.1" customHeight="1">
      <c r="A94" s="32" t="s">
        <v>212</v>
      </c>
      <c r="B94" s="32" t="s">
        <v>981</v>
      </c>
      <c r="C94" s="72" t="str">
        <f>INDEX(Backlog!$K$2:$K$188,MATCH(A94,Backlog!$A$2:$A$188,0))</f>
        <v>Not Started</v>
      </c>
      <c r="D94" s="32" t="str">
        <f>INDEX(Backlog!$B$2:$B$188,MATCH(A94,Backlog!$A$2:$A$188,0))</f>
        <v>M3</v>
      </c>
    </row>
    <row r="95" spans="1:4" ht="26.1" customHeight="1">
      <c r="A95" s="32" t="s">
        <v>214</v>
      </c>
      <c r="B95" s="32" t="s">
        <v>884</v>
      </c>
      <c r="C95" s="72" t="str">
        <f>INDEX(Backlog!$K$2:$K$188,MATCH(A95,Backlog!$A$2:$A$188,0))</f>
        <v>Not Started</v>
      </c>
      <c r="D95" s="32" t="str">
        <f>INDEX(Backlog!$B$2:$B$188,MATCH(A95,Backlog!$A$2:$A$188,0))</f>
        <v>M3</v>
      </c>
    </row>
    <row r="96" spans="1:4" ht="26.1" customHeight="1">
      <c r="A96" s="32" t="s">
        <v>215</v>
      </c>
      <c r="B96" s="32" t="s">
        <v>888</v>
      </c>
      <c r="C96" s="72" t="str">
        <f>INDEX(Backlog!$K$2:$K$188,MATCH(A96,Backlog!$A$2:$A$188,0))</f>
        <v>Not Started</v>
      </c>
      <c r="D96" s="32" t="str">
        <f>INDEX(Backlog!$B$2:$B$188,MATCH(A96,Backlog!$A$2:$A$188,0))</f>
        <v>M3</v>
      </c>
    </row>
    <row r="97" spans="1:4" ht="26.1" customHeight="1">
      <c r="A97" s="32" t="s">
        <v>215</v>
      </c>
      <c r="B97" s="32" t="s">
        <v>894</v>
      </c>
      <c r="C97" s="72" t="str">
        <f>INDEX(Backlog!$K$2:$K$188,MATCH(A97,Backlog!$A$2:$A$188,0))</f>
        <v>Not Started</v>
      </c>
      <c r="D97" s="32" t="str">
        <f>INDEX(Backlog!$B$2:$B$188,MATCH(A97,Backlog!$A$2:$A$188,0))</f>
        <v>M3</v>
      </c>
    </row>
    <row r="98" spans="1:4" ht="26.1" customHeight="1">
      <c r="A98" s="32" t="s">
        <v>218</v>
      </c>
      <c r="B98" s="32" t="s">
        <v>945</v>
      </c>
      <c r="C98" s="72" t="str">
        <f>INDEX(Backlog!$K$2:$K$188,MATCH(A98,Backlog!$A$2:$A$188,0))</f>
        <v>Not Started</v>
      </c>
      <c r="D98" s="32" t="str">
        <f>INDEX(Backlog!$B$2:$B$188,MATCH(A98,Backlog!$A$2:$A$188,0))</f>
        <v>M3</v>
      </c>
    </row>
    <row r="99" spans="1:4" ht="26.1" customHeight="1">
      <c r="A99" s="32" t="s">
        <v>219</v>
      </c>
      <c r="B99" s="32" t="s">
        <v>907</v>
      </c>
      <c r="C99" s="72" t="str">
        <f>INDEX(Backlog!$K$2:$K$188,MATCH(A99,Backlog!$A$2:$A$188,0))</f>
        <v>Not Started</v>
      </c>
      <c r="D99" s="32" t="str">
        <f>INDEX(Backlog!$B$2:$B$188,MATCH(A99,Backlog!$A$2:$A$188,0))</f>
        <v>M3</v>
      </c>
    </row>
    <row r="100" spans="1:4" ht="26.1" customHeight="1">
      <c r="A100" s="32" t="s">
        <v>222</v>
      </c>
      <c r="B100" s="32" t="s">
        <v>896</v>
      </c>
      <c r="C100" s="72" t="str">
        <f>INDEX(Backlog!$K$2:$K$188,MATCH(A100,Backlog!$A$2:$A$188,0))</f>
        <v>Not Started</v>
      </c>
      <c r="D100" s="32" t="str">
        <f>INDEX(Backlog!$B$2:$B$188,MATCH(A100,Backlog!$A$2:$A$188,0))</f>
        <v>M3</v>
      </c>
    </row>
    <row r="101" spans="1:4" ht="26.1" customHeight="1">
      <c r="A101" s="32" t="s">
        <v>223</v>
      </c>
      <c r="B101" s="32" t="s">
        <v>890</v>
      </c>
      <c r="C101" s="72" t="str">
        <f>INDEX(Backlog!$K$2:$K$188,MATCH(A101,Backlog!$A$2:$A$188,0))</f>
        <v>Not Started</v>
      </c>
      <c r="D101" s="32" t="str">
        <f>INDEX(Backlog!$B$2:$B$188,MATCH(A101,Backlog!$A$2:$A$188,0))</f>
        <v>M3</v>
      </c>
    </row>
    <row r="102" spans="1:4" ht="26.1" customHeight="1">
      <c r="A102" s="32" t="s">
        <v>223</v>
      </c>
      <c r="B102" s="32" t="s">
        <v>896</v>
      </c>
      <c r="C102" s="72" t="str">
        <f>INDEX(Backlog!$K$2:$K$188,MATCH(A102,Backlog!$A$2:$A$188,0))</f>
        <v>Not Started</v>
      </c>
      <c r="D102" s="32" t="str">
        <f>INDEX(Backlog!$B$2:$B$188,MATCH(A102,Backlog!$A$2:$A$188,0))</f>
        <v>M3</v>
      </c>
    </row>
    <row r="103" spans="1:4" ht="26.1" customHeight="1">
      <c r="A103" s="32" t="s">
        <v>224</v>
      </c>
      <c r="B103" s="32" t="s">
        <v>881</v>
      </c>
      <c r="C103" s="72" t="str">
        <f>INDEX(Backlog!$K$2:$K$188,MATCH(A103,Backlog!$A$2:$A$188,0))</f>
        <v>Not Started</v>
      </c>
      <c r="D103" s="32" t="str">
        <f>INDEX(Backlog!$B$2:$B$188,MATCH(A103,Backlog!$A$2:$A$188,0))</f>
        <v>M3</v>
      </c>
    </row>
    <row r="104" spans="1:4" ht="26.1" customHeight="1">
      <c r="A104" s="32" t="s">
        <v>224</v>
      </c>
      <c r="B104" s="32" t="s">
        <v>884</v>
      </c>
      <c r="C104" s="72" t="str">
        <f>INDEX(Backlog!$K$2:$K$188,MATCH(A104,Backlog!$A$2:$A$188,0))</f>
        <v>Not Started</v>
      </c>
      <c r="D104" s="32" t="str">
        <f>INDEX(Backlog!$B$2:$B$188,MATCH(A104,Backlog!$A$2:$A$188,0))</f>
        <v>M3</v>
      </c>
    </row>
    <row r="105" spans="1:4" ht="26.1" customHeight="1">
      <c r="A105" s="32" t="s">
        <v>225</v>
      </c>
      <c r="B105" s="32" t="s">
        <v>869</v>
      </c>
      <c r="C105" s="72" t="str">
        <f>INDEX(Backlog!$K$2:$K$188,MATCH(A105,Backlog!$A$2:$A$188,0))</f>
        <v>Not Started</v>
      </c>
      <c r="D105" s="32" t="str">
        <f>INDEX(Backlog!$B$2:$B$188,MATCH(A105,Backlog!$A$2:$A$188,0))</f>
        <v>M3</v>
      </c>
    </row>
    <row r="106" spans="1:4" ht="26.1" customHeight="1">
      <c r="A106" s="32" t="s">
        <v>226</v>
      </c>
      <c r="B106" s="32" t="s">
        <v>971</v>
      </c>
      <c r="C106" s="72" t="str">
        <f>INDEX(Backlog!$K$2:$K$188,MATCH(A106,Backlog!$A$2:$A$188,0))</f>
        <v>Not Started</v>
      </c>
      <c r="D106" s="32" t="str">
        <f>INDEX(Backlog!$B$2:$B$188,MATCH(A106,Backlog!$A$2:$A$188,0))</f>
        <v>M3</v>
      </c>
    </row>
    <row r="107" spans="1:4" ht="26.1" customHeight="1">
      <c r="A107" s="32" t="s">
        <v>226</v>
      </c>
      <c r="B107" s="32" t="s">
        <v>973</v>
      </c>
      <c r="C107" s="72" t="str">
        <f>INDEX(Backlog!$K$2:$K$188,MATCH(A107,Backlog!$A$2:$A$188,0))</f>
        <v>Not Started</v>
      </c>
      <c r="D107" s="32" t="str">
        <f>INDEX(Backlog!$B$2:$B$188,MATCH(A107,Backlog!$A$2:$A$188,0))</f>
        <v>M3</v>
      </c>
    </row>
    <row r="108" spans="1:4" ht="26.1" customHeight="1">
      <c r="A108" s="32" t="s">
        <v>228</v>
      </c>
      <c r="B108" s="32" t="s">
        <v>886</v>
      </c>
      <c r="C108" s="72" t="str">
        <f>INDEX(Backlog!$K$2:$K$188,MATCH(A108,Backlog!$A$2:$A$188,0))</f>
        <v>Not Started</v>
      </c>
      <c r="D108" s="32" t="str">
        <f>INDEX(Backlog!$B$2:$B$188,MATCH(A108,Backlog!$A$2:$A$188,0))</f>
        <v>M3</v>
      </c>
    </row>
    <row r="109" spans="1:4" ht="26.1" customHeight="1">
      <c r="A109" s="32" t="s">
        <v>228</v>
      </c>
      <c r="B109" s="32" t="s">
        <v>896</v>
      </c>
      <c r="C109" s="72" t="str">
        <f>INDEX(Backlog!$K$2:$K$188,MATCH(A109,Backlog!$A$2:$A$188,0))</f>
        <v>Not Started</v>
      </c>
      <c r="D109" s="32" t="str">
        <f>INDEX(Backlog!$B$2:$B$188,MATCH(A109,Backlog!$A$2:$A$188,0))</f>
        <v>M3</v>
      </c>
    </row>
    <row r="110" spans="1:4" ht="26.1" customHeight="1">
      <c r="A110" s="32" t="s">
        <v>228</v>
      </c>
      <c r="B110" s="32" t="s">
        <v>913</v>
      </c>
      <c r="C110" s="72" t="str">
        <f>INDEX(Backlog!$K$2:$K$188,MATCH(A110,Backlog!$A$2:$A$188,0))</f>
        <v>Not Started</v>
      </c>
      <c r="D110" s="32" t="str">
        <f>INDEX(Backlog!$B$2:$B$188,MATCH(A110,Backlog!$A$2:$A$188,0))</f>
        <v>M3</v>
      </c>
    </row>
    <row r="111" spans="1:4" ht="26.1" customHeight="1">
      <c r="A111" s="32" t="s">
        <v>229</v>
      </c>
      <c r="B111" s="32" t="s">
        <v>896</v>
      </c>
      <c r="C111" s="72" t="str">
        <f>INDEX(Backlog!$K$2:$K$188,MATCH(A111,Backlog!$A$2:$A$188,0))</f>
        <v>Not Started</v>
      </c>
      <c r="D111" s="32" t="str">
        <f>INDEX(Backlog!$B$2:$B$188,MATCH(A111,Backlog!$A$2:$A$188,0))</f>
        <v>M3</v>
      </c>
    </row>
    <row r="112" spans="1:4" ht="26.1" customHeight="1">
      <c r="A112" s="32" t="s">
        <v>231</v>
      </c>
      <c r="B112" s="32" t="s">
        <v>983</v>
      </c>
      <c r="C112" s="72" t="str">
        <f>INDEX(Backlog!$K$2:$K$188,MATCH(A112,Backlog!$A$2:$A$188,0))</f>
        <v>Not Started</v>
      </c>
      <c r="D112" s="32" t="str">
        <f>INDEX(Backlog!$B$2:$B$188,MATCH(A112,Backlog!$A$2:$A$188,0))</f>
        <v>M3</v>
      </c>
    </row>
    <row r="113" spans="1:4" ht="26.1" customHeight="1">
      <c r="A113" s="32" t="s">
        <v>233</v>
      </c>
      <c r="B113" s="32" t="s">
        <v>918</v>
      </c>
      <c r="C113" s="72" t="str">
        <f>INDEX(Backlog!$K$2:$K$188,MATCH(A113,Backlog!$A$2:$A$188,0))</f>
        <v>Not Started</v>
      </c>
      <c r="D113" s="32" t="str">
        <f>INDEX(Backlog!$B$2:$B$188,MATCH(A113,Backlog!$A$2:$A$188,0))</f>
        <v>M3</v>
      </c>
    </row>
    <row r="114" spans="1:4" ht="26.1" customHeight="1">
      <c r="A114" s="32" t="s">
        <v>234</v>
      </c>
      <c r="B114" s="32" t="s">
        <v>884</v>
      </c>
      <c r="C114" s="72" t="str">
        <f>INDEX(Backlog!$K$2:$K$188,MATCH(A114,Backlog!$A$2:$A$188,0))</f>
        <v>Not Started</v>
      </c>
      <c r="D114" s="32" t="str">
        <f>INDEX(Backlog!$B$2:$B$188,MATCH(A114,Backlog!$A$2:$A$188,0))</f>
        <v>M3</v>
      </c>
    </row>
    <row r="115" spans="1:4" ht="26.1" customHeight="1">
      <c r="A115" s="32" t="s">
        <v>234</v>
      </c>
      <c r="B115" s="32" t="s">
        <v>894</v>
      </c>
      <c r="C115" s="72" t="str">
        <f>INDEX(Backlog!$K$2:$K$188,MATCH(A115,Backlog!$A$2:$A$188,0))</f>
        <v>Not Started</v>
      </c>
      <c r="D115" s="32" t="str">
        <f>INDEX(Backlog!$B$2:$B$188,MATCH(A115,Backlog!$A$2:$A$188,0))</f>
        <v>M3</v>
      </c>
    </row>
    <row r="116" spans="1:4" ht="26.1" customHeight="1">
      <c r="A116" s="32" t="s">
        <v>235</v>
      </c>
      <c r="B116" s="32" t="s">
        <v>966</v>
      </c>
      <c r="C116" s="72" t="str">
        <f>INDEX(Backlog!$K$2:$K$188,MATCH(A116,Backlog!$A$2:$A$188,0))</f>
        <v>Not Started</v>
      </c>
      <c r="D116" s="32" t="str">
        <f>INDEX(Backlog!$B$2:$B$188,MATCH(A116,Backlog!$A$2:$A$188,0))</f>
        <v>M3</v>
      </c>
    </row>
    <row r="117" spans="1:4" ht="26.1" customHeight="1">
      <c r="A117" s="32" t="s">
        <v>235</v>
      </c>
      <c r="B117" s="32" t="s">
        <v>892</v>
      </c>
      <c r="C117" s="72" t="str">
        <f>INDEX(Backlog!$K$2:$K$188,MATCH(A117,Backlog!$A$2:$A$188,0))</f>
        <v>Not Started</v>
      </c>
      <c r="D117" s="32" t="str">
        <f>INDEX(Backlog!$B$2:$B$188,MATCH(A117,Backlog!$A$2:$A$188,0))</f>
        <v>M3</v>
      </c>
    </row>
    <row r="118" spans="1:4" ht="26.1" customHeight="1">
      <c r="A118" s="32" t="s">
        <v>236</v>
      </c>
      <c r="B118" s="32" t="s">
        <v>964</v>
      </c>
      <c r="C118" s="72" t="str">
        <f>INDEX(Backlog!$K$2:$K$188,MATCH(A118,Backlog!$A$2:$A$188,0))</f>
        <v>Not Started</v>
      </c>
      <c r="D118" s="32" t="str">
        <f>INDEX(Backlog!$B$2:$B$188,MATCH(A118,Backlog!$A$2:$A$188,0))</f>
        <v>M3</v>
      </c>
    </row>
    <row r="119" spans="1:4" ht="26.1" customHeight="1">
      <c r="A119" s="32" t="s">
        <v>238</v>
      </c>
      <c r="B119" s="32" t="s">
        <v>827</v>
      </c>
      <c r="C119" s="72" t="str">
        <f>INDEX(Backlog!$K$2:$K$188,MATCH(A119,Backlog!$A$2:$A$188,0))</f>
        <v>Not Started</v>
      </c>
      <c r="D119" s="32" t="str">
        <f>INDEX(Backlog!$B$2:$B$188,MATCH(A119,Backlog!$A$2:$A$188,0))</f>
        <v>M2</v>
      </c>
    </row>
    <row r="120" spans="1:4">
      <c r="A120" t="s">
        <v>238</v>
      </c>
      <c r="B120" t="s">
        <v>832</v>
      </c>
      <c r="C120" s="71" t="str">
        <f>INDEX(Backlog!$K$2:$K$188,MATCH(A120,Backlog!$A$2:$A$188,0))</f>
        <v>Not Started</v>
      </c>
      <c r="D120" t="str">
        <f>INDEX(Backlog!$B$2:$B$188,MATCH(A120,Backlog!$A$2:$A$188,0))</f>
        <v>M2</v>
      </c>
    </row>
    <row r="121" spans="1:4">
      <c r="A121" t="s">
        <v>238</v>
      </c>
      <c r="B121" t="s">
        <v>834</v>
      </c>
      <c r="C121" s="71" t="str">
        <f>INDEX(Backlog!$K$2:$K$188,MATCH(A121,Backlog!$A$2:$A$188,0))</f>
        <v>Not Started</v>
      </c>
      <c r="D121" t="str">
        <f>INDEX(Backlog!$B$2:$B$188,MATCH(A121,Backlog!$A$2:$A$188,0))</f>
        <v>M2</v>
      </c>
    </row>
    <row r="122" spans="1:4">
      <c r="A122" t="s">
        <v>238</v>
      </c>
      <c r="B122" t="s">
        <v>842</v>
      </c>
      <c r="C122" s="71" t="str">
        <f>INDEX(Backlog!$K$2:$K$188,MATCH(A122,Backlog!$A$2:$A$188,0))</f>
        <v>Not Started</v>
      </c>
      <c r="D122" t="str">
        <f>INDEX(Backlog!$B$2:$B$188,MATCH(A122,Backlog!$A$2:$A$188,0))</f>
        <v>M2</v>
      </c>
    </row>
    <row r="123" spans="1:4">
      <c r="A123" t="s">
        <v>238</v>
      </c>
      <c r="B123" t="s">
        <v>848</v>
      </c>
      <c r="C123" s="71" t="str">
        <f>INDEX(Backlog!$K$2:$K$188,MATCH(A123,Backlog!$A$2:$A$188,0))</f>
        <v>Not Started</v>
      </c>
      <c r="D123" t="str">
        <f>INDEX(Backlog!$B$2:$B$188,MATCH(A123,Backlog!$A$2:$A$188,0))</f>
        <v>M2</v>
      </c>
    </row>
    <row r="124" spans="1:4">
      <c r="A124" t="s">
        <v>238</v>
      </c>
      <c r="B124" t="s">
        <v>850</v>
      </c>
      <c r="C124" s="71" t="str">
        <f>INDEX(Backlog!$K$2:$K$188,MATCH(A124,Backlog!$A$2:$A$188,0))</f>
        <v>Not Started</v>
      </c>
      <c r="D124" t="str">
        <f>INDEX(Backlog!$B$2:$B$188,MATCH(A124,Backlog!$A$2:$A$188,0))</f>
        <v>M2</v>
      </c>
    </row>
    <row r="125" spans="1:4">
      <c r="A125" t="s">
        <v>238</v>
      </c>
      <c r="B125" t="s">
        <v>856</v>
      </c>
      <c r="C125" s="71" t="str">
        <f>INDEX(Backlog!$K$2:$K$188,MATCH(A125,Backlog!$A$2:$A$188,0))</f>
        <v>Not Started</v>
      </c>
      <c r="D125" t="str">
        <f>INDEX(Backlog!$B$2:$B$188,MATCH(A125,Backlog!$A$2:$A$188,0))</f>
        <v>M2</v>
      </c>
    </row>
    <row r="126" spans="1:4">
      <c r="A126" t="s">
        <v>238</v>
      </c>
      <c r="B126" t="s">
        <v>858</v>
      </c>
      <c r="C126" s="71" t="str">
        <f>INDEX(Backlog!$K$2:$K$188,MATCH(A126,Backlog!$A$2:$A$188,0))</f>
        <v>Not Started</v>
      </c>
      <c r="D126" t="str">
        <f>INDEX(Backlog!$B$2:$B$188,MATCH(A126,Backlog!$A$2:$A$188,0))</f>
        <v>M2</v>
      </c>
    </row>
    <row r="127" spans="1:4">
      <c r="A127" t="s">
        <v>238</v>
      </c>
      <c r="B127" t="s">
        <v>865</v>
      </c>
      <c r="C127" s="71" t="str">
        <f>INDEX(Backlog!$K$2:$K$188,MATCH(A127,Backlog!$A$2:$A$188,0))</f>
        <v>Not Started</v>
      </c>
      <c r="D127" t="str">
        <f>INDEX(Backlog!$B$2:$B$188,MATCH(A127,Backlog!$A$2:$A$188,0))</f>
        <v>M2</v>
      </c>
    </row>
    <row r="128" spans="1:4">
      <c r="A128" t="s">
        <v>238</v>
      </c>
      <c r="B128" t="s">
        <v>867</v>
      </c>
      <c r="C128" s="71" t="str">
        <f>INDEX(Backlog!$K$2:$K$188,MATCH(A128,Backlog!$A$2:$A$188,0))</f>
        <v>Not Started</v>
      </c>
      <c r="D128" t="str">
        <f>INDEX(Backlog!$B$2:$B$188,MATCH(A128,Backlog!$A$2:$A$188,0))</f>
        <v>M2</v>
      </c>
    </row>
    <row r="129" spans="1:4">
      <c r="A129" t="s">
        <v>238</v>
      </c>
      <c r="B129" t="s">
        <v>871</v>
      </c>
      <c r="C129" s="71" t="str">
        <f>INDEX(Backlog!$K$2:$K$188,MATCH(A129,Backlog!$A$2:$A$188,0))</f>
        <v>Not Started</v>
      </c>
      <c r="D129" t="str">
        <f>INDEX(Backlog!$B$2:$B$188,MATCH(A129,Backlog!$A$2:$A$188,0))</f>
        <v>M2</v>
      </c>
    </row>
    <row r="130" spans="1:4">
      <c r="A130" t="s">
        <v>238</v>
      </c>
      <c r="B130" t="s">
        <v>873</v>
      </c>
      <c r="C130" s="71" t="str">
        <f>INDEX(Backlog!$K$2:$K$188,MATCH(A130,Backlog!$A$2:$A$188,0))</f>
        <v>Not Started</v>
      </c>
      <c r="D130" t="str">
        <f>INDEX(Backlog!$B$2:$B$188,MATCH(A130,Backlog!$A$2:$A$188,0))</f>
        <v>M2</v>
      </c>
    </row>
    <row r="131" spans="1:4">
      <c r="A131" t="s">
        <v>238</v>
      </c>
      <c r="B131" t="s">
        <v>875</v>
      </c>
      <c r="C131" s="71" t="str">
        <f>INDEX(Backlog!$K$2:$K$188,MATCH(A131,Backlog!$A$2:$A$188,0))</f>
        <v>Not Started</v>
      </c>
      <c r="D131" t="str">
        <f>INDEX(Backlog!$B$2:$B$188,MATCH(A131,Backlog!$A$2:$A$188,0))</f>
        <v>M2</v>
      </c>
    </row>
    <row r="132" spans="1:4">
      <c r="A132" t="s">
        <v>238</v>
      </c>
      <c r="B132" t="s">
        <v>901</v>
      </c>
      <c r="C132" s="71" t="str">
        <f>INDEX(Backlog!$K$2:$K$188,MATCH(A132,Backlog!$A$2:$A$188,0))</f>
        <v>Not Started</v>
      </c>
      <c r="D132" t="str">
        <f>INDEX(Backlog!$B$2:$B$188,MATCH(A132,Backlog!$A$2:$A$188,0))</f>
        <v>M2</v>
      </c>
    </row>
    <row r="133" spans="1:4">
      <c r="A133" t="s">
        <v>238</v>
      </c>
      <c r="B133" t="s">
        <v>915</v>
      </c>
      <c r="C133" s="71" t="str">
        <f>INDEX(Backlog!$K$2:$K$188,MATCH(A133,Backlog!$A$2:$A$188,0))</f>
        <v>Not Started</v>
      </c>
      <c r="D133" t="str">
        <f>INDEX(Backlog!$B$2:$B$188,MATCH(A133,Backlog!$A$2:$A$188,0))</f>
        <v>M2</v>
      </c>
    </row>
    <row r="134" spans="1:4">
      <c r="A134" t="s">
        <v>238</v>
      </c>
      <c r="B134" t="s">
        <v>928</v>
      </c>
      <c r="C134" s="71" t="str">
        <f>INDEX(Backlog!$K$2:$K$188,MATCH(A134,Backlog!$A$2:$A$188,0))</f>
        <v>Not Started</v>
      </c>
      <c r="D134" t="str">
        <f>INDEX(Backlog!$B$2:$B$188,MATCH(A134,Backlog!$A$2:$A$188,0))</f>
        <v>M2</v>
      </c>
    </row>
    <row r="135" spans="1:4">
      <c r="A135" t="s">
        <v>239</v>
      </c>
      <c r="B135" t="s">
        <v>836</v>
      </c>
      <c r="C135" s="71" t="str">
        <f>INDEX(Backlog!$K$2:$K$188,MATCH(A135,Backlog!$A$2:$A$188,0))</f>
        <v>Not Started</v>
      </c>
      <c r="D135" t="str">
        <f>INDEX(Backlog!$B$2:$B$188,MATCH(A135,Backlog!$A$2:$A$188,0))</f>
        <v>M2</v>
      </c>
    </row>
    <row r="136" spans="1:4">
      <c r="A136" t="s">
        <v>239</v>
      </c>
      <c r="B136" t="s">
        <v>827</v>
      </c>
      <c r="C136" s="71" t="str">
        <f>INDEX(Backlog!$K$2:$K$188,MATCH(A136,Backlog!$A$2:$A$188,0))</f>
        <v>Not Started</v>
      </c>
      <c r="D136" t="str">
        <f>INDEX(Backlog!$B$2:$B$188,MATCH(A136,Backlog!$A$2:$A$188,0))</f>
        <v>M2</v>
      </c>
    </row>
    <row r="137" spans="1:4">
      <c r="A137" t="s">
        <v>239</v>
      </c>
      <c r="B137" t="s">
        <v>838</v>
      </c>
      <c r="C137" s="71" t="str">
        <f>INDEX(Backlog!$K$2:$K$188,MATCH(A137,Backlog!$A$2:$A$188,0))</f>
        <v>Not Started</v>
      </c>
      <c r="D137" t="str">
        <f>INDEX(Backlog!$B$2:$B$188,MATCH(A137,Backlog!$A$2:$A$188,0))</f>
        <v>M2</v>
      </c>
    </row>
    <row r="138" spans="1:4">
      <c r="A138" t="s">
        <v>239</v>
      </c>
      <c r="B138" t="s">
        <v>930</v>
      </c>
      <c r="C138" s="71" t="str">
        <f>INDEX(Backlog!$K$2:$K$188,MATCH(A138,Backlog!$A$2:$A$188,0))</f>
        <v>Not Started</v>
      </c>
      <c r="D138" t="str">
        <f>INDEX(Backlog!$B$2:$B$188,MATCH(A138,Backlog!$A$2:$A$188,0))</f>
        <v>M2</v>
      </c>
    </row>
    <row r="139" spans="1:4">
      <c r="A139" t="s">
        <v>240</v>
      </c>
      <c r="B139" t="s">
        <v>862</v>
      </c>
      <c r="C139" s="71" t="str">
        <f>INDEX(Backlog!$K$2:$K$188,MATCH(A139,Backlog!$A$2:$A$188,0))</f>
        <v>Not Started</v>
      </c>
      <c r="D139" t="str">
        <f>INDEX(Backlog!$B$2:$B$188,MATCH(A139,Backlog!$A$2:$A$188,0))</f>
        <v>M3</v>
      </c>
    </row>
    <row r="140" spans="1:4">
      <c r="A140" t="s">
        <v>240</v>
      </c>
      <c r="B140" t="s">
        <v>865</v>
      </c>
      <c r="C140" s="71" t="str">
        <f>INDEX(Backlog!$K$2:$K$188,MATCH(A140,Backlog!$A$2:$A$188,0))</f>
        <v>Not Started</v>
      </c>
      <c r="D140" t="str">
        <f>INDEX(Backlog!$B$2:$B$188,MATCH(A140,Backlog!$A$2:$A$188,0))</f>
        <v>M3</v>
      </c>
    </row>
    <row r="141" spans="1:4">
      <c r="A141" t="s">
        <v>240</v>
      </c>
      <c r="B141" t="s">
        <v>867</v>
      </c>
      <c r="C141" s="71" t="str">
        <f>INDEX(Backlog!$K$2:$K$188,MATCH(A141,Backlog!$A$2:$A$188,0))</f>
        <v>Not Started</v>
      </c>
      <c r="D141" t="str">
        <f>INDEX(Backlog!$B$2:$B$188,MATCH(A141,Backlog!$A$2:$A$188,0))</f>
        <v>M3</v>
      </c>
    </row>
    <row r="142" spans="1:4">
      <c r="A142" t="s">
        <v>240</v>
      </c>
      <c r="B142" t="s">
        <v>879</v>
      </c>
      <c r="C142" s="71" t="str">
        <f>INDEX(Backlog!$K$2:$K$188,MATCH(A142,Backlog!$A$2:$A$188,0))</f>
        <v>Not Started</v>
      </c>
      <c r="D142" t="str">
        <f>INDEX(Backlog!$B$2:$B$188,MATCH(A142,Backlog!$A$2:$A$188,0))</f>
        <v>M3</v>
      </c>
    </row>
    <row r="143" spans="1:4">
      <c r="A143" t="s">
        <v>240</v>
      </c>
      <c r="B143" t="s">
        <v>924</v>
      </c>
      <c r="C143" s="71" t="str">
        <f>INDEX(Backlog!$K$2:$K$188,MATCH(A143,Backlog!$A$2:$A$188,0))</f>
        <v>Not Started</v>
      </c>
      <c r="D143" t="str">
        <f>INDEX(Backlog!$B$2:$B$188,MATCH(A143,Backlog!$A$2:$A$188,0))</f>
        <v>M3</v>
      </c>
    </row>
    <row r="144" spans="1:4">
      <c r="A144" t="s">
        <v>240</v>
      </c>
      <c r="B144" t="s">
        <v>928</v>
      </c>
      <c r="C144" s="71" t="str">
        <f>INDEX(Backlog!$K$2:$K$188,MATCH(A144,Backlog!$A$2:$A$188,0))</f>
        <v>Not Started</v>
      </c>
      <c r="D144" t="str">
        <f>INDEX(Backlog!$B$2:$B$188,MATCH(A144,Backlog!$A$2:$A$188,0))</f>
        <v>M3</v>
      </c>
    </row>
    <row r="145" spans="1:4">
      <c r="A145" t="s">
        <v>240</v>
      </c>
      <c r="B145" t="s">
        <v>939</v>
      </c>
      <c r="C145" s="71" t="str">
        <f>INDEX(Backlog!$K$2:$K$188,MATCH(A145,Backlog!$A$2:$A$188,0))</f>
        <v>Not Started</v>
      </c>
      <c r="D145" t="str">
        <f>INDEX(Backlog!$B$2:$B$188,MATCH(A145,Backlog!$A$2:$A$188,0))</f>
        <v>M3</v>
      </c>
    </row>
    <row r="146" spans="1:4">
      <c r="A146" t="s">
        <v>240</v>
      </c>
      <c r="B146" t="s">
        <v>971</v>
      </c>
      <c r="C146" s="71" t="str">
        <f>INDEX(Backlog!$K$2:$K$188,MATCH(A146,Backlog!$A$2:$A$188,0))</f>
        <v>Not Started</v>
      </c>
      <c r="D146" t="str">
        <f>INDEX(Backlog!$B$2:$B$188,MATCH(A146,Backlog!$A$2:$A$188,0))</f>
        <v>M3</v>
      </c>
    </row>
    <row r="147" spans="1:4">
      <c r="A147" t="s">
        <v>240</v>
      </c>
      <c r="B147" t="s">
        <v>975</v>
      </c>
      <c r="C147" s="71" t="str">
        <f>INDEX(Backlog!$K$2:$K$188,MATCH(A147,Backlog!$A$2:$A$188,0))</f>
        <v>Not Started</v>
      </c>
      <c r="D147" t="str">
        <f>INDEX(Backlog!$B$2:$B$188,MATCH(A147,Backlog!$A$2:$A$188,0))</f>
        <v>M3</v>
      </c>
    </row>
    <row r="148" spans="1:4">
      <c r="A148" t="s">
        <v>240</v>
      </c>
      <c r="B148" t="s">
        <v>983</v>
      </c>
      <c r="C148" s="71" t="str">
        <f>INDEX(Backlog!$K$2:$K$188,MATCH(A148,Backlog!$A$2:$A$188,0))</f>
        <v>Not Started</v>
      </c>
      <c r="D148" t="str">
        <f>INDEX(Backlog!$B$2:$B$188,MATCH(A148,Backlog!$A$2:$A$188,0))</f>
        <v>M3</v>
      </c>
    </row>
    <row r="149" spans="1:4">
      <c r="A149" t="s">
        <v>240</v>
      </c>
      <c r="B149" t="s">
        <v>991</v>
      </c>
      <c r="C149" s="71" t="str">
        <f>INDEX(Backlog!$K$2:$K$188,MATCH(A149,Backlog!$A$2:$A$188,0))</f>
        <v>Not Started</v>
      </c>
      <c r="D149" t="str">
        <f>INDEX(Backlog!$B$2:$B$188,MATCH(A149,Backlog!$A$2:$A$188,0))</f>
        <v>M3</v>
      </c>
    </row>
    <row r="150" spans="1:4">
      <c r="A150" t="s">
        <v>9583</v>
      </c>
      <c r="B150" t="s">
        <v>827</v>
      </c>
      <c r="C150" s="71" t="str">
        <f>INDEX(Backlog!$K$2:$K$188,MATCH(A150,Backlog!$A$2:$A$188,0))</f>
        <v>Done</v>
      </c>
      <c r="D150" t="str">
        <f>INDEX(Backlog!$B$2:$B$188,MATCH(A150,Backlog!$A$2:$A$188,0))</f>
        <v>M2</v>
      </c>
    </row>
    <row r="151" spans="1:4">
      <c r="A151" t="s">
        <v>9583</v>
      </c>
      <c r="B151" t="s">
        <v>836</v>
      </c>
      <c r="C151" t="str">
        <f>INDEX(Backlog!$K$2:$K$188,MATCH(A151,Backlog!$A$2:$A$188,0))</f>
        <v>Done</v>
      </c>
      <c r="D151" t="str">
        <f>INDEX(Backlog!$B$2:$B$188,MATCH(A151,Backlog!$A$2:$A$188,0))</f>
        <v>M2</v>
      </c>
    </row>
    <row r="152" spans="1:4">
      <c r="A152" t="s">
        <v>9583</v>
      </c>
      <c r="B152" t="s">
        <v>838</v>
      </c>
      <c r="C152" t="str">
        <f>INDEX(Backlog!$K$2:$K$188,MATCH(A152,Backlog!$A$2:$A$188,0))</f>
        <v>Done</v>
      </c>
      <c r="D152" t="str">
        <f>INDEX(Backlog!$B$2:$B$188,MATCH(A152,Backlog!$A$2:$A$188,0))</f>
        <v>M2</v>
      </c>
    </row>
    <row r="153" spans="1:4">
      <c r="A153" t="s">
        <v>9583</v>
      </c>
      <c r="B153" t="s">
        <v>909</v>
      </c>
      <c r="C153" t="str">
        <f>INDEX(Backlog!$K$2:$K$188,MATCH(A153,Backlog!$A$2:$A$188,0))</f>
        <v>Done</v>
      </c>
      <c r="D153" t="str">
        <f>INDEX(Backlog!$B$2:$B$188,MATCH(A153,Backlog!$A$2:$A$188,0))</f>
        <v>M2</v>
      </c>
    </row>
    <row r="154" spans="1:4">
      <c r="A154" t="s">
        <v>9608</v>
      </c>
      <c r="B154" t="s">
        <v>838</v>
      </c>
      <c r="C154" t="str">
        <f>INDEX(Backlog!$K$2:$K$188,MATCH(A154,Backlog!$A$2:$A$188,0))</f>
        <v>Done</v>
      </c>
      <c r="D154" t="str">
        <f>INDEX(Backlog!$B$2:$B$188,MATCH(A154,Backlog!$A$2:$A$188,0))</f>
        <v>M2</v>
      </c>
    </row>
    <row r="155" spans="1:4">
      <c r="A155" t="s">
        <v>9608</v>
      </c>
      <c r="B155" t="s">
        <v>907</v>
      </c>
      <c r="C155" t="str">
        <f>INDEX(Backlog!$K$2:$K$188,MATCH(A155,Backlog!$A$2:$A$188,0))</f>
        <v>Done</v>
      </c>
      <c r="D155" t="str">
        <f>INDEX(Backlog!$B$2:$B$188,MATCH(A155,Backlog!$A$2:$A$188,0))</f>
        <v>M2</v>
      </c>
    </row>
    <row r="156" spans="1:4">
      <c r="A156" t="s">
        <v>9616</v>
      </c>
      <c r="B156" t="s">
        <v>838</v>
      </c>
      <c r="C156" t="str">
        <f>INDEX(Backlog!$K$2:$K$188,MATCH(A156,Backlog!$A$2:$A$188,0))</f>
        <v>Not Started</v>
      </c>
      <c r="D156" t="str">
        <f>INDEX(Backlog!$B$2:$B$188,MATCH(A156,Backlog!$A$2:$A$188,0))</f>
        <v>M2</v>
      </c>
    </row>
    <row r="157" spans="1:4">
      <c r="A157" t="s">
        <v>9616</v>
      </c>
      <c r="B157" t="s">
        <v>842</v>
      </c>
      <c r="C157" t="str">
        <f>INDEX(Backlog!$K$2:$K$188,MATCH(A157,Backlog!$A$2:$A$188,0))</f>
        <v>Not Started</v>
      </c>
      <c r="D157" t="str">
        <f>INDEX(Backlog!$B$2:$B$188,MATCH(A157,Backlog!$A$2:$A$188,0))</f>
        <v>M2</v>
      </c>
    </row>
    <row r="158" spans="1:4">
      <c r="A158" t="s">
        <v>9616</v>
      </c>
      <c r="B158" t="s">
        <v>856</v>
      </c>
      <c r="C158" t="str">
        <f>INDEX(Backlog!$K$2:$K$188,MATCH(A158,Backlog!$A$2:$A$188,0))</f>
        <v>Not Started</v>
      </c>
      <c r="D158" t="str">
        <f>INDEX(Backlog!$B$2:$B$188,MATCH(A158,Backlog!$A$2:$A$188,0))</f>
        <v>M2</v>
      </c>
    </row>
    <row r="159" spans="1:4">
      <c r="A159" t="s">
        <v>9616</v>
      </c>
      <c r="B159" t="s">
        <v>907</v>
      </c>
      <c r="C159" t="str">
        <f>INDEX(Backlog!$K$2:$K$188,MATCH(A159,Backlog!$A$2:$A$188,0))</f>
        <v>Not Started</v>
      </c>
      <c r="D159" t="str">
        <f>INDEX(Backlog!$B$2:$B$188,MATCH(A159,Backlog!$A$2:$A$188,0))</f>
        <v>M2</v>
      </c>
    </row>
    <row r="160" spans="1:4">
      <c r="A160" t="s">
        <v>9625</v>
      </c>
      <c r="B160" t="s">
        <v>827</v>
      </c>
      <c r="C160" t="str">
        <f>INDEX(Backlog!$K$2:$K$188,MATCH(A160,Backlog!$A$2:$A$188,0))</f>
        <v>Not Started</v>
      </c>
      <c r="D160" t="str">
        <f>INDEX(Backlog!$B$2:$B$188,MATCH(A160,Backlog!$A$2:$A$188,0))</f>
        <v>M2</v>
      </c>
    </row>
    <row r="161" spans="1:4">
      <c r="A161" t="s">
        <v>9625</v>
      </c>
      <c r="B161" t="s">
        <v>836</v>
      </c>
      <c r="C161" t="str">
        <f>INDEX(Backlog!$K$2:$K$188,MATCH(A161,Backlog!$A$2:$A$188,0))</f>
        <v>Not Started</v>
      </c>
      <c r="D161" t="str">
        <f>INDEX(Backlog!$B$2:$B$188,MATCH(A161,Backlog!$A$2:$A$188,0))</f>
        <v>M2</v>
      </c>
    </row>
    <row r="162" spans="1:4">
      <c r="A162" t="s">
        <v>9625</v>
      </c>
      <c r="B162" t="s">
        <v>842</v>
      </c>
      <c r="C162" t="str">
        <f>INDEX(Backlog!$K$2:$K$188,MATCH(A162,Backlog!$A$2:$A$188,0))</f>
        <v>Not Started</v>
      </c>
      <c r="D162" t="str">
        <f>INDEX(Backlog!$B$2:$B$188,MATCH(A162,Backlog!$A$2:$A$188,0))</f>
        <v>M2</v>
      </c>
    </row>
    <row r="163" spans="1:4">
      <c r="A163" t="s">
        <v>9633</v>
      </c>
      <c r="B163" t="s">
        <v>838</v>
      </c>
      <c r="C163" t="str">
        <f>INDEX(Backlog!$K$2:$K$188,MATCH(A163,Backlog!$A$2:$A$188,0))</f>
        <v>In Progress</v>
      </c>
      <c r="D163" t="str">
        <f>INDEX(Backlog!$B$2:$B$188,MATCH(A163,Backlog!$A$2:$A$188,0))</f>
        <v>M2</v>
      </c>
    </row>
    <row r="164" spans="1:4">
      <c r="A164" t="s">
        <v>9633</v>
      </c>
      <c r="B164" t="s">
        <v>850</v>
      </c>
      <c r="C164" t="str">
        <f>INDEX(Backlog!$K$2:$K$188,MATCH(A164,Backlog!$A$2:$A$188,0))</f>
        <v>In Progress</v>
      </c>
      <c r="D164" t="str">
        <f>INDEX(Backlog!$B$2:$B$188,MATCH(A164,Backlog!$A$2:$A$188,0))</f>
        <v>M2</v>
      </c>
    </row>
    <row r="165" spans="1:4">
      <c r="A165" t="s">
        <v>9633</v>
      </c>
      <c r="B165" t="s">
        <v>871</v>
      </c>
      <c r="C165" t="str">
        <f>INDEX(Backlog!$K$2:$K$188,MATCH(A165,Backlog!$A$2:$A$188,0))</f>
        <v>In Progress</v>
      </c>
      <c r="D165" t="str">
        <f>INDEX(Backlog!$B$2:$B$188,MATCH(A165,Backlog!$A$2:$A$188,0))</f>
        <v>M2</v>
      </c>
    </row>
    <row r="166" spans="1:4">
      <c r="A166" t="s">
        <v>9633</v>
      </c>
      <c r="B166" t="s">
        <v>911</v>
      </c>
      <c r="C166" t="str">
        <f>INDEX(Backlog!$K$2:$K$188,MATCH(A166,Backlog!$A$2:$A$188,0))</f>
        <v>In Progress</v>
      </c>
      <c r="D166" t="str">
        <f>INDEX(Backlog!$B$2:$B$188,MATCH(A166,Backlog!$A$2:$A$188,0))</f>
        <v>M2</v>
      </c>
    </row>
    <row r="167" spans="1:4">
      <c r="A167" t="s">
        <v>9642</v>
      </c>
      <c r="B167" t="s">
        <v>842</v>
      </c>
      <c r="C167" t="str">
        <f>INDEX(Backlog!$K$2:$K$188,MATCH(A167,Backlog!$A$2:$A$188,0))</f>
        <v>Not Started</v>
      </c>
      <c r="D167" t="str">
        <f>INDEX(Backlog!$B$2:$B$188,MATCH(A167,Backlog!$A$2:$A$188,0))</f>
        <v>M2</v>
      </c>
    </row>
    <row r="168" spans="1:4">
      <c r="A168" t="s">
        <v>9642</v>
      </c>
      <c r="B168" t="s">
        <v>960</v>
      </c>
      <c r="C168" t="str">
        <f>INDEX(Backlog!$K$2:$K$188,MATCH(A168,Backlog!$A$2:$A$188,0))</f>
        <v>Not Started</v>
      </c>
      <c r="D168" t="str">
        <f>INDEX(Backlog!$B$2:$B$188,MATCH(A168,Backlog!$A$2:$A$188,0))</f>
        <v>M2</v>
      </c>
    </row>
    <row r="169" spans="1:4">
      <c r="A169" t="s">
        <v>9642</v>
      </c>
      <c r="B169" t="s">
        <v>962</v>
      </c>
      <c r="C169" t="str">
        <f>INDEX(Backlog!$K$2:$K$188,MATCH(A169,Backlog!$A$2:$A$188,0))</f>
        <v>Not Started</v>
      </c>
      <c r="D169" t="str">
        <f>INDEX(Backlog!$B$2:$B$188,MATCH(A169,Backlog!$A$2:$A$188,0))</f>
        <v>M2</v>
      </c>
    </row>
    <row r="170" spans="1:4">
      <c r="A170" t="s">
        <v>9642</v>
      </c>
      <c r="B170" t="s">
        <v>964</v>
      </c>
      <c r="C170" t="str">
        <f>INDEX(Backlog!$K$2:$K$188,MATCH(A170,Backlog!$A$2:$A$188,0))</f>
        <v>Not Started</v>
      </c>
      <c r="D170" t="str">
        <f>INDEX(Backlog!$B$2:$B$188,MATCH(A170,Backlog!$A$2:$A$188,0))</f>
        <v>M2</v>
      </c>
    </row>
    <row r="171" spans="1:4">
      <c r="A171" t="s">
        <v>9651</v>
      </c>
      <c r="B171" t="s">
        <v>827</v>
      </c>
      <c r="C171" t="str">
        <f>INDEX(Backlog!$K$2:$K$188,MATCH(A171,Backlog!$A$2:$A$188,0))</f>
        <v>Not Started</v>
      </c>
      <c r="D171" t="str">
        <f>INDEX(Backlog!$B$2:$B$188,MATCH(A171,Backlog!$A$2:$A$188,0))</f>
        <v>M2</v>
      </c>
    </row>
    <row r="172" spans="1:4">
      <c r="A172" t="s">
        <v>9651</v>
      </c>
      <c r="B172" t="s">
        <v>832</v>
      </c>
      <c r="C172" t="str">
        <f>INDEX(Backlog!$K$2:$K$188,MATCH(A172,Backlog!$A$2:$A$188,0))</f>
        <v>Not Started</v>
      </c>
      <c r="D172" t="str">
        <f>INDEX(Backlog!$B$2:$B$188,MATCH(A172,Backlog!$A$2:$A$188,0))</f>
        <v>M2</v>
      </c>
    </row>
    <row r="173" spans="1:4">
      <c r="A173" t="s">
        <v>9651</v>
      </c>
      <c r="B173" t="s">
        <v>836</v>
      </c>
      <c r="C173" t="str">
        <f>INDEX(Backlog!$K$2:$K$188,MATCH(A173,Backlog!$A$2:$A$188,0))</f>
        <v>Not Started</v>
      </c>
      <c r="D173" t="str">
        <f>INDEX(Backlog!$B$2:$B$188,MATCH(A173,Backlog!$A$2:$A$188,0))</f>
        <v>M2</v>
      </c>
    </row>
    <row r="174" spans="1:4">
      <c r="A174" t="s">
        <v>9651</v>
      </c>
      <c r="B174" t="s">
        <v>842</v>
      </c>
      <c r="C174" t="str">
        <f>INDEX(Backlog!$K$2:$K$188,MATCH(A174,Backlog!$A$2:$A$188,0))</f>
        <v>Not Started</v>
      </c>
      <c r="D174" t="str">
        <f>INDEX(Backlog!$B$2:$B$188,MATCH(A174,Backlog!$A$2:$A$188,0))</f>
        <v>M2</v>
      </c>
    </row>
    <row r="175" spans="1:4">
      <c r="A175" t="s">
        <v>9651</v>
      </c>
      <c r="B175" t="s">
        <v>856</v>
      </c>
      <c r="C175" t="str">
        <f>INDEX(Backlog!$K$2:$K$188,MATCH(A175,Backlog!$A$2:$A$188,0))</f>
        <v>Not Started</v>
      </c>
      <c r="D175" t="str">
        <f>INDEX(Backlog!$B$2:$B$188,MATCH(A175,Backlog!$A$2:$A$188,0))</f>
        <v>M2</v>
      </c>
    </row>
    <row r="176" spans="1:4">
      <c r="A176" t="s">
        <v>9661</v>
      </c>
      <c r="B176" t="s">
        <v>842</v>
      </c>
      <c r="C176" t="str">
        <f>INDEX(Backlog!$K$2:$K$188,MATCH(A176,Backlog!$A$2:$A$188,0))</f>
        <v>Not Started</v>
      </c>
      <c r="D176" t="str">
        <f>INDEX(Backlog!$B$2:$B$188,MATCH(A176,Backlog!$A$2:$A$188,0))</f>
        <v>M2</v>
      </c>
    </row>
    <row r="177" spans="1:4">
      <c r="A177" t="s">
        <v>9661</v>
      </c>
      <c r="B177" t="s">
        <v>844</v>
      </c>
      <c r="C177" t="str">
        <f>INDEX(Backlog!$K$2:$K$188,MATCH(A177,Backlog!$A$2:$A$188,0))</f>
        <v>Not Started</v>
      </c>
      <c r="D177" t="str">
        <f>INDEX(Backlog!$B$2:$B$188,MATCH(A177,Backlog!$A$2:$A$188,0))</f>
        <v>M2</v>
      </c>
    </row>
    <row r="178" spans="1:4">
      <c r="A178" t="s">
        <v>9661</v>
      </c>
      <c r="B178" t="s">
        <v>956</v>
      </c>
      <c r="C178" t="str">
        <f>INDEX(Backlog!$K$2:$K$188,MATCH(A178,Backlog!$A$2:$A$188,0))</f>
        <v>Not Started</v>
      </c>
      <c r="D178" t="str">
        <f>INDEX(Backlog!$B$2:$B$188,MATCH(A178,Backlog!$A$2:$A$188,0))</f>
        <v>M2</v>
      </c>
    </row>
    <row r="179" spans="1:4">
      <c r="A179" t="s">
        <v>9661</v>
      </c>
      <c r="B179" t="s">
        <v>960</v>
      </c>
      <c r="C179" t="str">
        <f>INDEX(Backlog!$K$2:$K$188,MATCH(A179,Backlog!$A$2:$A$188,0))</f>
        <v>Not Started</v>
      </c>
      <c r="D179" t="str">
        <f>INDEX(Backlog!$B$2:$B$188,MATCH(A179,Backlog!$A$2:$A$188,0))</f>
        <v>M2</v>
      </c>
    </row>
  </sheetData>
  <conditionalFormatting sqref="C2:C150">
    <cfRule type="expression" dxfId="21" priority="1">
      <formula>$C2="Done"</formula>
    </cfRule>
    <cfRule type="expression" dxfId="20" priority="2">
      <formula>$C2="In Progress"</formula>
    </cfRule>
    <cfRule type="expression" dxfId="19" priority="3">
      <formula>$C2="Not Started"</formula>
    </cfRule>
    <cfRule type="expression" dxfId="18" priority="4">
      <formula>$C2="Blocked"</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71"/>
  <sheetViews>
    <sheetView workbookViewId="0"/>
  </sheetViews>
  <sheetFormatPr defaultRowHeight="14.25"/>
  <cols>
    <col min="1" max="1" width="22" customWidth="1"/>
    <col min="2" max="2" width="28" customWidth="1"/>
    <col min="3" max="3" width="32" customWidth="1"/>
    <col min="4" max="4" width="20" customWidth="1"/>
    <col min="5" max="5" width="24" customWidth="1"/>
    <col min="6" max="6" width="32" customWidth="1"/>
    <col min="7" max="7" width="40" customWidth="1"/>
    <col min="8" max="8" width="36" customWidth="1"/>
    <col min="9" max="9" width="28" customWidth="1"/>
    <col min="10" max="10" width="44" customWidth="1"/>
    <col min="11" max="11" width="36" customWidth="1"/>
  </cols>
  <sheetData>
    <row r="1" spans="1:11" ht="30" customHeight="1">
      <c r="A1" s="56" t="s">
        <v>10561</v>
      </c>
      <c r="B1" s="56" t="s">
        <v>10562</v>
      </c>
      <c r="C1" s="56" t="s">
        <v>10563</v>
      </c>
      <c r="D1" s="56" t="s">
        <v>10564</v>
      </c>
      <c r="E1" s="56" t="s">
        <v>10565</v>
      </c>
      <c r="F1" s="56" t="s">
        <v>10566</v>
      </c>
      <c r="G1" s="56" t="s">
        <v>10567</v>
      </c>
      <c r="H1" s="56" t="s">
        <v>10568</v>
      </c>
      <c r="I1" s="56" t="s">
        <v>10569</v>
      </c>
      <c r="J1" s="56" t="s">
        <v>10570</v>
      </c>
      <c r="K1" s="56" t="s">
        <v>10571</v>
      </c>
    </row>
    <row r="2" spans="1:11" ht="60" customHeight="1">
      <c r="A2" s="57" t="s">
        <v>1967</v>
      </c>
      <c r="B2" s="57" t="s">
        <v>10572</v>
      </c>
      <c r="C2" s="57" t="s">
        <v>10573</v>
      </c>
      <c r="D2" s="57" t="s">
        <v>449</v>
      </c>
      <c r="E2" s="57" t="s">
        <v>238</v>
      </c>
      <c r="F2" s="57" t="s">
        <v>10574</v>
      </c>
      <c r="G2" s="57" t="s">
        <v>10575</v>
      </c>
      <c r="H2" s="57" t="s">
        <v>10576</v>
      </c>
      <c r="I2" s="57" t="s">
        <v>10577</v>
      </c>
      <c r="J2" s="57" t="s">
        <v>10578</v>
      </c>
      <c r="K2" s="57" t="s">
        <v>10579</v>
      </c>
    </row>
    <row r="3" spans="1:11" ht="60" customHeight="1">
      <c r="A3" s="57" t="s">
        <v>5953</v>
      </c>
      <c r="B3" s="57" t="s">
        <v>10572</v>
      </c>
      <c r="C3" s="57" t="s">
        <v>10580</v>
      </c>
      <c r="D3" s="57" t="s">
        <v>449</v>
      </c>
      <c r="E3" s="57" t="s">
        <v>238</v>
      </c>
      <c r="F3" s="57" t="s">
        <v>10581</v>
      </c>
      <c r="G3" s="57" t="s">
        <v>10582</v>
      </c>
      <c r="H3" s="57" t="s">
        <v>10583</v>
      </c>
      <c r="I3" s="57" t="s">
        <v>10577</v>
      </c>
      <c r="J3" s="57" t="s">
        <v>10584</v>
      </c>
      <c r="K3" s="57" t="s">
        <v>10579</v>
      </c>
    </row>
    <row r="4" spans="1:11" ht="60" customHeight="1">
      <c r="A4" s="57" t="s">
        <v>10585</v>
      </c>
      <c r="B4" s="57" t="s">
        <v>10572</v>
      </c>
      <c r="C4" s="57" t="s">
        <v>10586</v>
      </c>
      <c r="D4" s="57" t="s">
        <v>449</v>
      </c>
      <c r="E4" s="57" t="s">
        <v>238</v>
      </c>
      <c r="F4" s="57" t="s">
        <v>10587</v>
      </c>
      <c r="G4" s="57" t="s">
        <v>10588</v>
      </c>
      <c r="H4" s="57" t="s">
        <v>10589</v>
      </c>
      <c r="I4" s="57" t="s">
        <v>10577</v>
      </c>
      <c r="J4" s="57" t="s">
        <v>10590</v>
      </c>
      <c r="K4" s="57" t="s">
        <v>10579</v>
      </c>
    </row>
    <row r="5" spans="1:11" ht="60" customHeight="1">
      <c r="A5" s="57" t="s">
        <v>10591</v>
      </c>
      <c r="B5" s="57" t="s">
        <v>10572</v>
      </c>
      <c r="C5" s="57" t="s">
        <v>10592</v>
      </c>
      <c r="D5" s="57" t="s">
        <v>449</v>
      </c>
      <c r="E5" s="57" t="s">
        <v>238</v>
      </c>
      <c r="F5" s="57" t="s">
        <v>10593</v>
      </c>
      <c r="G5" s="57" t="s">
        <v>10594</v>
      </c>
      <c r="H5" s="57" t="s">
        <v>10595</v>
      </c>
      <c r="I5" s="57" t="s">
        <v>10577</v>
      </c>
      <c r="J5" s="57" t="s">
        <v>10596</v>
      </c>
      <c r="K5" s="57" t="s">
        <v>10579</v>
      </c>
    </row>
    <row r="6" spans="1:11" ht="60" customHeight="1">
      <c r="A6" s="57" t="s">
        <v>10597</v>
      </c>
      <c r="B6" s="57" t="s">
        <v>10572</v>
      </c>
      <c r="C6" s="57" t="s">
        <v>10598</v>
      </c>
      <c r="D6" s="57" t="s">
        <v>449</v>
      </c>
      <c r="E6" s="57" t="s">
        <v>238</v>
      </c>
      <c r="F6" s="57" t="s">
        <v>10599</v>
      </c>
      <c r="G6" s="57" t="s">
        <v>10600</v>
      </c>
      <c r="H6" s="57" t="s">
        <v>10601</v>
      </c>
      <c r="I6" s="57" t="s">
        <v>10577</v>
      </c>
      <c r="J6" s="57" t="s">
        <v>10602</v>
      </c>
      <c r="K6" s="57" t="s">
        <v>10579</v>
      </c>
    </row>
    <row r="7" spans="1:11" ht="60" customHeight="1">
      <c r="A7" s="57" t="s">
        <v>10603</v>
      </c>
      <c r="B7" s="57" t="s">
        <v>10572</v>
      </c>
      <c r="C7" s="57" t="s">
        <v>10604</v>
      </c>
      <c r="D7" s="57" t="s">
        <v>449</v>
      </c>
      <c r="E7" s="57" t="s">
        <v>238</v>
      </c>
      <c r="F7" s="57" t="s">
        <v>10605</v>
      </c>
      <c r="G7" s="57" t="s">
        <v>10606</v>
      </c>
      <c r="H7" s="57" t="s">
        <v>10607</v>
      </c>
      <c r="I7" s="57" t="s">
        <v>10577</v>
      </c>
      <c r="J7" s="57" t="s">
        <v>10608</v>
      </c>
      <c r="K7" s="57" t="s">
        <v>10579</v>
      </c>
    </row>
    <row r="8" spans="1:11" ht="60" customHeight="1">
      <c r="A8" s="57" t="s">
        <v>10609</v>
      </c>
      <c r="B8" s="57" t="s">
        <v>10572</v>
      </c>
      <c r="C8" s="57" t="s">
        <v>10610</v>
      </c>
      <c r="D8" s="57" t="s">
        <v>449</v>
      </c>
      <c r="E8" s="57" t="s">
        <v>238</v>
      </c>
      <c r="F8" s="57" t="s">
        <v>10611</v>
      </c>
      <c r="G8" s="57" t="s">
        <v>10612</v>
      </c>
      <c r="H8" s="57" t="s">
        <v>10613</v>
      </c>
      <c r="I8" s="57" t="s">
        <v>10577</v>
      </c>
      <c r="J8" s="57" t="s">
        <v>10614</v>
      </c>
      <c r="K8" s="57" t="s">
        <v>10579</v>
      </c>
    </row>
    <row r="9" spans="1:11" ht="60" customHeight="1">
      <c r="A9" s="57" t="s">
        <v>10615</v>
      </c>
      <c r="B9" s="57" t="s">
        <v>10572</v>
      </c>
      <c r="C9" s="57" t="s">
        <v>10616</v>
      </c>
      <c r="D9" s="57" t="s">
        <v>449</v>
      </c>
      <c r="E9" s="57" t="s">
        <v>238</v>
      </c>
      <c r="F9" s="57" t="s">
        <v>10617</v>
      </c>
      <c r="G9" s="57" t="s">
        <v>10618</v>
      </c>
      <c r="H9" s="57" t="s">
        <v>10619</v>
      </c>
      <c r="I9" s="57" t="s">
        <v>10577</v>
      </c>
      <c r="J9" s="57" t="s">
        <v>10620</v>
      </c>
      <c r="K9" s="57" t="s">
        <v>10579</v>
      </c>
    </row>
    <row r="10" spans="1:11" ht="60" customHeight="1">
      <c r="A10" s="57" t="s">
        <v>10621</v>
      </c>
      <c r="B10" s="57" t="s">
        <v>10572</v>
      </c>
      <c r="C10" s="57" t="s">
        <v>10622</v>
      </c>
      <c r="D10" s="57" t="s">
        <v>10623</v>
      </c>
      <c r="E10" s="57" t="s">
        <v>10431</v>
      </c>
      <c r="F10" s="57" t="s">
        <v>10624</v>
      </c>
      <c r="G10" s="57" t="s">
        <v>10625</v>
      </c>
      <c r="H10" s="57" t="s">
        <v>10626</v>
      </c>
      <c r="I10" s="57" t="s">
        <v>10577</v>
      </c>
      <c r="J10" s="57" t="s">
        <v>10627</v>
      </c>
      <c r="K10" s="57" t="s">
        <v>10579</v>
      </c>
    </row>
    <row r="11" spans="1:11" ht="60" customHeight="1">
      <c r="A11" s="57" t="s">
        <v>6118</v>
      </c>
      <c r="B11" s="57" t="s">
        <v>10572</v>
      </c>
      <c r="C11" s="57" t="s">
        <v>10628</v>
      </c>
      <c r="D11" s="57" t="s">
        <v>449</v>
      </c>
      <c r="E11" s="57" t="s">
        <v>238</v>
      </c>
      <c r="F11" s="57" t="s">
        <v>94</v>
      </c>
      <c r="G11" s="57" t="s">
        <v>10629</v>
      </c>
      <c r="H11" s="57" t="s">
        <v>10630</v>
      </c>
      <c r="I11" s="57" t="s">
        <v>10577</v>
      </c>
      <c r="J11" s="57" t="s">
        <v>10631</v>
      </c>
      <c r="K11" s="57" t="s">
        <v>10579</v>
      </c>
    </row>
    <row r="12" spans="1:11" ht="60" customHeight="1">
      <c r="A12" s="57" t="s">
        <v>6124</v>
      </c>
      <c r="B12" s="57" t="s">
        <v>10572</v>
      </c>
      <c r="C12" s="57" t="s">
        <v>10632</v>
      </c>
      <c r="D12" s="57" t="s">
        <v>449</v>
      </c>
      <c r="E12" s="57" t="s">
        <v>238</v>
      </c>
      <c r="F12" s="57" t="s">
        <v>10633</v>
      </c>
      <c r="G12" s="57" t="s">
        <v>10634</v>
      </c>
      <c r="H12" s="57" t="s">
        <v>10635</v>
      </c>
      <c r="I12" s="57" t="s">
        <v>10577</v>
      </c>
      <c r="J12" s="57" t="s">
        <v>10636</v>
      </c>
      <c r="K12" s="57" t="s">
        <v>10579</v>
      </c>
    </row>
    <row r="13" spans="1:11" ht="60" customHeight="1">
      <c r="A13" s="57" t="s">
        <v>1971</v>
      </c>
      <c r="B13" s="57" t="s">
        <v>10572</v>
      </c>
      <c r="C13" s="57" t="s">
        <v>10637</v>
      </c>
      <c r="D13" s="57" t="s">
        <v>1058</v>
      </c>
      <c r="E13" s="57" t="s">
        <v>240</v>
      </c>
      <c r="F13" s="57" t="s">
        <v>184</v>
      </c>
      <c r="G13" s="57" t="s">
        <v>10638</v>
      </c>
      <c r="H13" s="57" t="s">
        <v>10639</v>
      </c>
      <c r="I13" s="57" t="s">
        <v>10577</v>
      </c>
      <c r="J13" s="57" t="s">
        <v>10640</v>
      </c>
      <c r="K13" s="57" t="s">
        <v>10579</v>
      </c>
    </row>
    <row r="14" spans="1:11" ht="60" customHeight="1">
      <c r="A14" s="57" t="s">
        <v>6134</v>
      </c>
      <c r="B14" s="57" t="s">
        <v>10572</v>
      </c>
      <c r="C14" s="57" t="s">
        <v>10641</v>
      </c>
      <c r="D14" s="57" t="s">
        <v>449</v>
      </c>
      <c r="E14" s="57" t="s">
        <v>238</v>
      </c>
      <c r="F14" s="57" t="s">
        <v>10642</v>
      </c>
      <c r="G14" s="57" t="s">
        <v>10643</v>
      </c>
      <c r="H14" s="57" t="s">
        <v>10644</v>
      </c>
      <c r="I14" s="57" t="s">
        <v>10577</v>
      </c>
      <c r="J14" s="57" t="s">
        <v>10645</v>
      </c>
      <c r="K14" s="57" t="s">
        <v>10579</v>
      </c>
    </row>
    <row r="15" spans="1:11" ht="60" customHeight="1">
      <c r="A15" s="57" t="s">
        <v>6140</v>
      </c>
      <c r="B15" s="57" t="s">
        <v>10572</v>
      </c>
      <c r="C15" s="57" t="s">
        <v>10646</v>
      </c>
      <c r="D15" s="57" t="s">
        <v>449</v>
      </c>
      <c r="E15" s="57" t="s">
        <v>238</v>
      </c>
      <c r="F15" s="57" t="s">
        <v>91</v>
      </c>
      <c r="G15" s="57" t="s">
        <v>10647</v>
      </c>
      <c r="H15" s="57" t="s">
        <v>10648</v>
      </c>
      <c r="I15" s="57" t="s">
        <v>10577</v>
      </c>
      <c r="J15" s="57" t="s">
        <v>10649</v>
      </c>
      <c r="K15" s="57" t="s">
        <v>10579</v>
      </c>
    </row>
    <row r="16" spans="1:11" ht="60" customHeight="1">
      <c r="A16" s="57" t="s">
        <v>10650</v>
      </c>
      <c r="B16" s="57" t="s">
        <v>10572</v>
      </c>
      <c r="C16" s="57" t="s">
        <v>10651</v>
      </c>
      <c r="D16" s="57" t="s">
        <v>10623</v>
      </c>
      <c r="E16" s="57" t="s">
        <v>10431</v>
      </c>
      <c r="F16" s="57" t="s">
        <v>10652</v>
      </c>
      <c r="G16" s="57" t="s">
        <v>10653</v>
      </c>
      <c r="H16" s="57" t="s">
        <v>10654</v>
      </c>
      <c r="I16" s="57" t="s">
        <v>10577</v>
      </c>
      <c r="J16" s="57" t="s">
        <v>10655</v>
      </c>
      <c r="K16" s="57" t="s">
        <v>10579</v>
      </c>
    </row>
    <row r="17" spans="1:11" ht="60" customHeight="1">
      <c r="A17" s="57" t="s">
        <v>6121</v>
      </c>
      <c r="B17" s="57" t="s">
        <v>10572</v>
      </c>
      <c r="C17" s="57" t="s">
        <v>10656</v>
      </c>
      <c r="D17" s="57" t="s">
        <v>10623</v>
      </c>
      <c r="E17" s="57" t="s">
        <v>10431</v>
      </c>
      <c r="F17" s="57" t="s">
        <v>10657</v>
      </c>
      <c r="G17" s="57" t="s">
        <v>10658</v>
      </c>
      <c r="H17" s="57" t="s">
        <v>10659</v>
      </c>
      <c r="I17" s="57" t="s">
        <v>10577</v>
      </c>
      <c r="J17" s="57" t="s">
        <v>10660</v>
      </c>
      <c r="K17" s="57" t="s">
        <v>10579</v>
      </c>
    </row>
    <row r="18" spans="1:11" ht="60" customHeight="1">
      <c r="A18" s="57" t="s">
        <v>6127</v>
      </c>
      <c r="B18" s="57" t="s">
        <v>10572</v>
      </c>
      <c r="C18" s="57" t="s">
        <v>10661</v>
      </c>
      <c r="D18" s="57" t="s">
        <v>10623</v>
      </c>
      <c r="E18" s="57" t="s">
        <v>10431</v>
      </c>
      <c r="F18" s="57" t="s">
        <v>10662</v>
      </c>
      <c r="G18" s="57" t="s">
        <v>10663</v>
      </c>
      <c r="H18" s="57" t="s">
        <v>10664</v>
      </c>
      <c r="I18" s="57" t="s">
        <v>10577</v>
      </c>
      <c r="J18" s="57" t="s">
        <v>10665</v>
      </c>
      <c r="K18" s="57" t="s">
        <v>10579</v>
      </c>
    </row>
    <row r="19" spans="1:11" ht="60" customHeight="1">
      <c r="A19" s="57" t="s">
        <v>1974</v>
      </c>
      <c r="B19" s="57" t="s">
        <v>10572</v>
      </c>
      <c r="C19" s="57" t="s">
        <v>10666</v>
      </c>
      <c r="D19" s="57" t="s">
        <v>10623</v>
      </c>
      <c r="E19" s="57" t="s">
        <v>10431</v>
      </c>
      <c r="F19" s="57" t="s">
        <v>10667</v>
      </c>
      <c r="G19" s="57" t="s">
        <v>10668</v>
      </c>
      <c r="H19" s="57" t="s">
        <v>10669</v>
      </c>
      <c r="I19" s="57" t="s">
        <v>10577</v>
      </c>
      <c r="J19" s="57" t="s">
        <v>10670</v>
      </c>
      <c r="K19" s="57" t="s">
        <v>10579</v>
      </c>
    </row>
    <row r="20" spans="1:11" ht="60" customHeight="1">
      <c r="A20" s="57" t="s">
        <v>6137</v>
      </c>
      <c r="B20" s="57" t="s">
        <v>10572</v>
      </c>
      <c r="C20" s="57" t="s">
        <v>10671</v>
      </c>
      <c r="D20" s="57" t="s">
        <v>10623</v>
      </c>
      <c r="E20" s="57" t="s">
        <v>10431</v>
      </c>
      <c r="F20" s="57" t="s">
        <v>10672</v>
      </c>
      <c r="G20" s="57" t="s">
        <v>10673</v>
      </c>
      <c r="H20" s="57" t="s">
        <v>10674</v>
      </c>
      <c r="I20" s="57" t="s">
        <v>10577</v>
      </c>
      <c r="J20" s="57" t="s">
        <v>10675</v>
      </c>
      <c r="K20" s="57" t="s">
        <v>10579</v>
      </c>
    </row>
    <row r="21" spans="1:11" ht="60" customHeight="1">
      <c r="A21" s="57" t="s">
        <v>6143</v>
      </c>
      <c r="B21" s="57" t="s">
        <v>10572</v>
      </c>
      <c r="C21" s="57" t="s">
        <v>10676</v>
      </c>
      <c r="D21" s="57" t="s">
        <v>10623</v>
      </c>
      <c r="E21" s="57" t="s">
        <v>10431</v>
      </c>
      <c r="F21" s="57" t="s">
        <v>10677</v>
      </c>
      <c r="G21" s="57" t="s">
        <v>10678</v>
      </c>
      <c r="H21" s="57" t="s">
        <v>10679</v>
      </c>
      <c r="I21" s="57" t="s">
        <v>10577</v>
      </c>
      <c r="J21" s="57" t="s">
        <v>10680</v>
      </c>
      <c r="K21" s="57" t="s">
        <v>10579</v>
      </c>
    </row>
    <row r="22" spans="1:11" ht="60" customHeight="1">
      <c r="A22" s="57" t="s">
        <v>6149</v>
      </c>
      <c r="B22" s="57" t="s">
        <v>10572</v>
      </c>
      <c r="C22" s="57" t="s">
        <v>10681</v>
      </c>
      <c r="D22" s="57" t="s">
        <v>10623</v>
      </c>
      <c r="E22" s="57" t="s">
        <v>10431</v>
      </c>
      <c r="F22" s="57" t="s">
        <v>10682</v>
      </c>
      <c r="G22" s="57" t="s">
        <v>10683</v>
      </c>
      <c r="H22" s="57" t="s">
        <v>10684</v>
      </c>
      <c r="I22" s="57" t="s">
        <v>10577</v>
      </c>
      <c r="J22" s="57" t="s">
        <v>10685</v>
      </c>
      <c r="K22" s="57" t="s">
        <v>10579</v>
      </c>
    </row>
    <row r="23" spans="1:11" ht="60" customHeight="1">
      <c r="A23" s="57" t="s">
        <v>6155</v>
      </c>
      <c r="B23" s="57" t="s">
        <v>10572</v>
      </c>
      <c r="C23" s="57" t="s">
        <v>10686</v>
      </c>
      <c r="D23" s="57" t="s">
        <v>10623</v>
      </c>
      <c r="E23" s="57" t="s">
        <v>10431</v>
      </c>
      <c r="F23" s="57" t="s">
        <v>10687</v>
      </c>
      <c r="G23" s="57" t="s">
        <v>10688</v>
      </c>
      <c r="H23" s="57" t="s">
        <v>10689</v>
      </c>
      <c r="I23" s="57" t="s">
        <v>10577</v>
      </c>
      <c r="J23" s="57" t="s">
        <v>10690</v>
      </c>
      <c r="K23" s="57" t="s">
        <v>10579</v>
      </c>
    </row>
    <row r="24" spans="1:11" ht="60" customHeight="1">
      <c r="A24" s="57" t="s">
        <v>1980</v>
      </c>
      <c r="B24" s="57" t="s">
        <v>10572</v>
      </c>
      <c r="C24" s="57" t="s">
        <v>10691</v>
      </c>
      <c r="D24" s="57" t="s">
        <v>1058</v>
      </c>
      <c r="E24" s="57" t="s">
        <v>240</v>
      </c>
      <c r="F24" s="57" t="s">
        <v>10692</v>
      </c>
      <c r="G24" s="57" t="s">
        <v>10693</v>
      </c>
      <c r="H24" s="57" t="s">
        <v>10694</v>
      </c>
      <c r="I24" s="57" t="s">
        <v>10577</v>
      </c>
      <c r="J24" s="57" t="s">
        <v>10695</v>
      </c>
      <c r="K24" s="57" t="s">
        <v>10579</v>
      </c>
    </row>
    <row r="25" spans="1:11" ht="60" customHeight="1">
      <c r="A25" s="57" t="s">
        <v>1988</v>
      </c>
      <c r="B25" s="57" t="s">
        <v>10572</v>
      </c>
      <c r="C25" s="57" t="s">
        <v>10696</v>
      </c>
      <c r="D25" s="57" t="s">
        <v>1058</v>
      </c>
      <c r="E25" s="57" t="s">
        <v>240</v>
      </c>
      <c r="F25" s="57" t="s">
        <v>10697</v>
      </c>
      <c r="G25" s="57" t="s">
        <v>10698</v>
      </c>
      <c r="H25" s="57" t="s">
        <v>10699</v>
      </c>
      <c r="I25" s="57" t="s">
        <v>10577</v>
      </c>
      <c r="J25" s="57" t="s">
        <v>10700</v>
      </c>
      <c r="K25" s="57" t="s">
        <v>10579</v>
      </c>
    </row>
    <row r="26" spans="1:11" ht="60" customHeight="1">
      <c r="A26" s="57" t="s">
        <v>1995</v>
      </c>
      <c r="B26" s="57" t="s">
        <v>10572</v>
      </c>
      <c r="C26" s="57" t="s">
        <v>10701</v>
      </c>
      <c r="D26" s="57" t="s">
        <v>1058</v>
      </c>
      <c r="E26" s="57" t="s">
        <v>240</v>
      </c>
      <c r="F26" s="57" t="s">
        <v>227</v>
      </c>
      <c r="G26" s="57" t="s">
        <v>10702</v>
      </c>
      <c r="H26" s="57" t="s">
        <v>10703</v>
      </c>
      <c r="I26" s="57" t="s">
        <v>10577</v>
      </c>
      <c r="J26" s="57" t="s">
        <v>10704</v>
      </c>
      <c r="K26" s="57" t="s">
        <v>10579</v>
      </c>
    </row>
    <row r="27" spans="1:11" ht="60" customHeight="1">
      <c r="A27" s="57" t="s">
        <v>5994</v>
      </c>
      <c r="B27" s="57" t="s">
        <v>10572</v>
      </c>
      <c r="C27" s="57" t="s">
        <v>10705</v>
      </c>
      <c r="D27" s="57" t="s">
        <v>1058</v>
      </c>
      <c r="E27" s="57" t="s">
        <v>240</v>
      </c>
      <c r="F27" s="57" t="s">
        <v>235</v>
      </c>
      <c r="G27" s="57" t="s">
        <v>10706</v>
      </c>
      <c r="H27" s="57" t="s">
        <v>10707</v>
      </c>
      <c r="I27" s="57" t="s">
        <v>10577</v>
      </c>
      <c r="J27" s="57" t="s">
        <v>10708</v>
      </c>
      <c r="K27" s="57" t="s">
        <v>10579</v>
      </c>
    </row>
    <row r="28" spans="1:11" ht="60" customHeight="1">
      <c r="A28" s="57" t="s">
        <v>10709</v>
      </c>
      <c r="B28" s="57" t="s">
        <v>10572</v>
      </c>
      <c r="C28" s="57" t="s">
        <v>10710</v>
      </c>
      <c r="D28" s="57" t="s">
        <v>10623</v>
      </c>
      <c r="E28" s="57" t="s">
        <v>10431</v>
      </c>
      <c r="F28" s="57" t="s">
        <v>10711</v>
      </c>
      <c r="G28" s="57" t="s">
        <v>10712</v>
      </c>
      <c r="H28" s="57" t="s">
        <v>10713</v>
      </c>
      <c r="I28" s="57" t="s">
        <v>10577</v>
      </c>
      <c r="J28" s="57" t="s">
        <v>10714</v>
      </c>
      <c r="K28" s="57" t="s">
        <v>10579</v>
      </c>
    </row>
    <row r="29" spans="1:11" ht="60" customHeight="1">
      <c r="A29" s="57" t="s">
        <v>10715</v>
      </c>
      <c r="B29" s="57" t="s">
        <v>10572</v>
      </c>
      <c r="C29" s="57" t="s">
        <v>10716</v>
      </c>
      <c r="D29" s="57" t="s">
        <v>10623</v>
      </c>
      <c r="E29" s="57" t="s">
        <v>10431</v>
      </c>
      <c r="F29" s="57" t="s">
        <v>10717</v>
      </c>
      <c r="G29" s="57" t="s">
        <v>10718</v>
      </c>
      <c r="H29" s="57" t="s">
        <v>10719</v>
      </c>
      <c r="I29" s="57" t="s">
        <v>10577</v>
      </c>
      <c r="J29" s="57" t="s">
        <v>10720</v>
      </c>
      <c r="K29" s="57" t="s">
        <v>10579</v>
      </c>
    </row>
    <row r="30" spans="1:11" ht="60" customHeight="1">
      <c r="A30" s="57" t="s">
        <v>10721</v>
      </c>
      <c r="B30" s="57" t="s">
        <v>10572</v>
      </c>
      <c r="C30" s="57" t="s">
        <v>10722</v>
      </c>
      <c r="D30" s="57" t="s">
        <v>1058</v>
      </c>
      <c r="E30" s="57" t="s">
        <v>240</v>
      </c>
      <c r="F30" s="57" t="s">
        <v>229</v>
      </c>
      <c r="G30" s="57" t="s">
        <v>10723</v>
      </c>
      <c r="H30" s="57" t="s">
        <v>10724</v>
      </c>
      <c r="I30" s="57" t="s">
        <v>10577</v>
      </c>
      <c r="J30" s="57" t="s">
        <v>10725</v>
      </c>
      <c r="K30" s="57" t="s">
        <v>10579</v>
      </c>
    </row>
    <row r="31" spans="1:11" ht="60" customHeight="1">
      <c r="A31" s="57" t="s">
        <v>10726</v>
      </c>
      <c r="B31" s="57" t="s">
        <v>10572</v>
      </c>
      <c r="C31" s="57" t="s">
        <v>10727</v>
      </c>
      <c r="D31" s="57" t="s">
        <v>1058</v>
      </c>
      <c r="E31" s="57" t="s">
        <v>240</v>
      </c>
      <c r="F31" s="57" t="s">
        <v>195</v>
      </c>
      <c r="G31" s="57" t="s">
        <v>10728</v>
      </c>
      <c r="H31" s="57" t="s">
        <v>10729</v>
      </c>
      <c r="I31" s="57" t="s">
        <v>10577</v>
      </c>
      <c r="J31" s="57" t="s">
        <v>10730</v>
      </c>
      <c r="K31" s="57" t="s">
        <v>10579</v>
      </c>
    </row>
    <row r="32" spans="1:11" ht="60" customHeight="1">
      <c r="A32" s="57" t="s">
        <v>5955</v>
      </c>
      <c r="B32" s="57" t="s">
        <v>10572</v>
      </c>
      <c r="C32" s="57" t="s">
        <v>10731</v>
      </c>
      <c r="D32" s="57" t="s">
        <v>1058</v>
      </c>
      <c r="E32" s="57" t="s">
        <v>240</v>
      </c>
      <c r="F32" s="57" t="s">
        <v>185</v>
      </c>
      <c r="G32" s="57" t="s">
        <v>10732</v>
      </c>
      <c r="H32" s="57" t="s">
        <v>10733</v>
      </c>
      <c r="I32" s="57" t="s">
        <v>10577</v>
      </c>
      <c r="J32" s="57" t="s">
        <v>10734</v>
      </c>
      <c r="K32" s="57" t="s">
        <v>10579</v>
      </c>
    </row>
    <row r="33" spans="1:11" ht="60" customHeight="1">
      <c r="A33" s="57" t="s">
        <v>4763</v>
      </c>
      <c r="B33" s="57" t="s">
        <v>10572</v>
      </c>
      <c r="C33" s="57" t="s">
        <v>10735</v>
      </c>
      <c r="D33" s="57" t="s">
        <v>10623</v>
      </c>
      <c r="E33" s="57" t="s">
        <v>10431</v>
      </c>
      <c r="F33" s="57" t="s">
        <v>10472</v>
      </c>
      <c r="G33" s="57" t="s">
        <v>10736</v>
      </c>
      <c r="H33" s="57" t="s">
        <v>10737</v>
      </c>
      <c r="I33" s="57" t="s">
        <v>10577</v>
      </c>
      <c r="J33" s="57" t="s">
        <v>10738</v>
      </c>
      <c r="K33" s="57" t="s">
        <v>10579</v>
      </c>
    </row>
    <row r="34" spans="1:11" ht="60" customHeight="1">
      <c r="A34" s="57" t="s">
        <v>4764</v>
      </c>
      <c r="B34" s="57" t="s">
        <v>10572</v>
      </c>
      <c r="C34" s="57" t="s">
        <v>10739</v>
      </c>
      <c r="D34" s="57" t="s">
        <v>10623</v>
      </c>
      <c r="E34" s="57" t="s">
        <v>10431</v>
      </c>
      <c r="F34" s="57" t="s">
        <v>10740</v>
      </c>
      <c r="G34" s="57" t="s">
        <v>10741</v>
      </c>
      <c r="H34" s="57" t="s">
        <v>10742</v>
      </c>
      <c r="I34" s="57" t="s">
        <v>10577</v>
      </c>
      <c r="J34" s="57" t="s">
        <v>10743</v>
      </c>
      <c r="K34" s="57" t="s">
        <v>10579</v>
      </c>
    </row>
    <row r="35" spans="1:11" ht="60" customHeight="1">
      <c r="A35" s="57" t="s">
        <v>4767</v>
      </c>
      <c r="B35" s="57" t="s">
        <v>10572</v>
      </c>
      <c r="C35" s="57" t="s">
        <v>10744</v>
      </c>
      <c r="D35" s="57" t="s">
        <v>10623</v>
      </c>
      <c r="E35" s="57" t="s">
        <v>10431</v>
      </c>
      <c r="F35" s="57" t="s">
        <v>10740</v>
      </c>
      <c r="G35" s="57" t="s">
        <v>10745</v>
      </c>
      <c r="H35" s="57" t="s">
        <v>10746</v>
      </c>
      <c r="I35" s="57" t="s">
        <v>10577</v>
      </c>
      <c r="J35" s="57" t="s">
        <v>10747</v>
      </c>
      <c r="K35" s="57" t="s">
        <v>10579</v>
      </c>
    </row>
    <row r="36" spans="1:11" ht="60" customHeight="1">
      <c r="A36" s="57" t="s">
        <v>4770</v>
      </c>
      <c r="B36" s="57" t="s">
        <v>10572</v>
      </c>
      <c r="C36" s="57" t="s">
        <v>10748</v>
      </c>
      <c r="D36" s="57" t="s">
        <v>10623</v>
      </c>
      <c r="E36" s="57" t="s">
        <v>10431</v>
      </c>
      <c r="F36" s="57" t="s">
        <v>10749</v>
      </c>
      <c r="G36" s="57" t="s">
        <v>10750</v>
      </c>
      <c r="H36" s="57" t="s">
        <v>10751</v>
      </c>
      <c r="I36" s="57" t="s">
        <v>10577</v>
      </c>
      <c r="J36" s="57" t="s">
        <v>10752</v>
      </c>
      <c r="K36" s="57" t="s">
        <v>10579</v>
      </c>
    </row>
    <row r="37" spans="1:11" ht="60" customHeight="1">
      <c r="A37" s="57" t="s">
        <v>4773</v>
      </c>
      <c r="B37" s="57" t="s">
        <v>10572</v>
      </c>
      <c r="C37" s="57" t="s">
        <v>10753</v>
      </c>
      <c r="D37" s="57" t="s">
        <v>1058</v>
      </c>
      <c r="E37" s="57" t="s">
        <v>240</v>
      </c>
      <c r="F37" s="57" t="s">
        <v>186</v>
      </c>
      <c r="G37" s="57" t="s">
        <v>10754</v>
      </c>
      <c r="H37" s="57" t="s">
        <v>10755</v>
      </c>
      <c r="I37" s="57" t="s">
        <v>10577</v>
      </c>
      <c r="J37" s="57" t="s">
        <v>10756</v>
      </c>
      <c r="K37" s="57" t="s">
        <v>10579</v>
      </c>
    </row>
    <row r="38" spans="1:11" ht="60" customHeight="1">
      <c r="A38" s="57" t="s">
        <v>4776</v>
      </c>
      <c r="B38" s="57" t="s">
        <v>10572</v>
      </c>
      <c r="C38" s="57" t="s">
        <v>10757</v>
      </c>
      <c r="D38" s="57" t="s">
        <v>1058</v>
      </c>
      <c r="E38" s="57" t="s">
        <v>240</v>
      </c>
      <c r="F38" s="57" t="s">
        <v>186</v>
      </c>
      <c r="G38" s="57" t="s">
        <v>10758</v>
      </c>
      <c r="H38" s="57" t="s">
        <v>10759</v>
      </c>
      <c r="I38" s="57" t="s">
        <v>10577</v>
      </c>
      <c r="J38" s="57" t="s">
        <v>10760</v>
      </c>
      <c r="K38" s="57" t="s">
        <v>10579</v>
      </c>
    </row>
    <row r="39" spans="1:11" ht="60" customHeight="1">
      <c r="A39" s="57" t="s">
        <v>4779</v>
      </c>
      <c r="B39" s="57" t="s">
        <v>10572</v>
      </c>
      <c r="C39" s="57" t="s">
        <v>10761</v>
      </c>
      <c r="D39" s="57" t="s">
        <v>10623</v>
      </c>
      <c r="E39" s="57" t="s">
        <v>10431</v>
      </c>
      <c r="F39" s="57" t="s">
        <v>10762</v>
      </c>
      <c r="G39" s="57" t="s">
        <v>10763</v>
      </c>
      <c r="H39" s="57" t="s">
        <v>10764</v>
      </c>
      <c r="I39" s="57" t="s">
        <v>10577</v>
      </c>
      <c r="J39" s="57" t="s">
        <v>10765</v>
      </c>
      <c r="K39" s="57" t="s">
        <v>10579</v>
      </c>
    </row>
    <row r="40" spans="1:11" ht="60" customHeight="1">
      <c r="A40" s="57" t="s">
        <v>4782</v>
      </c>
      <c r="B40" s="57" t="s">
        <v>10572</v>
      </c>
      <c r="C40" s="57" t="s">
        <v>10766</v>
      </c>
      <c r="D40" s="57" t="s">
        <v>1058</v>
      </c>
      <c r="E40" s="57" t="s">
        <v>240</v>
      </c>
      <c r="F40" s="57" t="s">
        <v>188</v>
      </c>
      <c r="G40" s="57" t="s">
        <v>10767</v>
      </c>
      <c r="H40" s="57" t="s">
        <v>10768</v>
      </c>
      <c r="I40" s="57" t="s">
        <v>10577</v>
      </c>
      <c r="J40" s="57" t="s">
        <v>10769</v>
      </c>
      <c r="K40" s="57" t="s">
        <v>10579</v>
      </c>
    </row>
    <row r="41" spans="1:11" ht="60" customHeight="1">
      <c r="A41" s="57" t="s">
        <v>4785</v>
      </c>
      <c r="B41" s="57" t="s">
        <v>10572</v>
      </c>
      <c r="C41" s="57" t="s">
        <v>10770</v>
      </c>
      <c r="D41" s="57" t="s">
        <v>1058</v>
      </c>
      <c r="E41" s="57" t="s">
        <v>240</v>
      </c>
      <c r="F41" s="57" t="s">
        <v>187</v>
      </c>
      <c r="G41" s="57" t="s">
        <v>10771</v>
      </c>
      <c r="H41" s="57" t="s">
        <v>10772</v>
      </c>
      <c r="I41" s="57" t="s">
        <v>10577</v>
      </c>
      <c r="J41" s="57" t="s">
        <v>10773</v>
      </c>
      <c r="K41" s="57" t="s">
        <v>10579</v>
      </c>
    </row>
    <row r="42" spans="1:11" ht="60" customHeight="1">
      <c r="A42" s="57" t="s">
        <v>10774</v>
      </c>
      <c r="B42" s="57" t="s">
        <v>10775</v>
      </c>
      <c r="C42" s="57" t="s">
        <v>10776</v>
      </c>
      <c r="D42" s="57" t="s">
        <v>449</v>
      </c>
      <c r="E42" s="57" t="s">
        <v>238</v>
      </c>
      <c r="F42" s="57" t="s">
        <v>10581</v>
      </c>
      <c r="G42" s="57" t="s">
        <v>10777</v>
      </c>
      <c r="H42" s="57" t="s">
        <v>10774</v>
      </c>
      <c r="I42" s="57" t="s">
        <v>10577</v>
      </c>
      <c r="J42" s="57" t="s">
        <v>10778</v>
      </c>
      <c r="K42" s="57" t="s">
        <v>10779</v>
      </c>
    </row>
    <row r="43" spans="1:11" ht="60" customHeight="1">
      <c r="A43" s="57" t="s">
        <v>3682</v>
      </c>
      <c r="B43" s="57" t="s">
        <v>10775</v>
      </c>
      <c r="C43" s="57" t="s">
        <v>10780</v>
      </c>
      <c r="D43" s="57" t="s">
        <v>449</v>
      </c>
      <c r="E43" s="57" t="s">
        <v>238</v>
      </c>
      <c r="F43" s="57" t="s">
        <v>10581</v>
      </c>
      <c r="G43" s="57" t="s">
        <v>10781</v>
      </c>
      <c r="H43" s="57" t="s">
        <v>3682</v>
      </c>
      <c r="I43" s="57" t="s">
        <v>10577</v>
      </c>
      <c r="J43" s="57" t="s">
        <v>10778</v>
      </c>
      <c r="K43" s="57" t="s">
        <v>10779</v>
      </c>
    </row>
    <row r="44" spans="1:11" ht="60" customHeight="1">
      <c r="A44" s="57" t="s">
        <v>3687</v>
      </c>
      <c r="B44" s="57" t="s">
        <v>10775</v>
      </c>
      <c r="C44" s="57" t="s">
        <v>10782</v>
      </c>
      <c r="D44" s="57" t="s">
        <v>1058</v>
      </c>
      <c r="E44" s="57" t="s">
        <v>240</v>
      </c>
      <c r="F44" s="57" t="s">
        <v>194</v>
      </c>
      <c r="G44" s="57" t="s">
        <v>10783</v>
      </c>
      <c r="H44" s="57" t="s">
        <v>3687</v>
      </c>
      <c r="I44" s="57" t="s">
        <v>10577</v>
      </c>
      <c r="J44" s="57" t="s">
        <v>10778</v>
      </c>
      <c r="K44" s="57" t="s">
        <v>10779</v>
      </c>
    </row>
    <row r="45" spans="1:11" ht="60" customHeight="1">
      <c r="A45" s="57" t="s">
        <v>3693</v>
      </c>
      <c r="B45" s="57" t="s">
        <v>10775</v>
      </c>
      <c r="C45" s="57" t="s">
        <v>10784</v>
      </c>
      <c r="D45" s="57" t="s">
        <v>449</v>
      </c>
      <c r="E45" s="57" t="s">
        <v>238</v>
      </c>
      <c r="F45" s="57" t="s">
        <v>10581</v>
      </c>
      <c r="G45" s="57" t="s">
        <v>10785</v>
      </c>
      <c r="H45" s="57" t="s">
        <v>3693</v>
      </c>
      <c r="I45" s="57" t="s">
        <v>10577</v>
      </c>
      <c r="J45" s="57" t="s">
        <v>10778</v>
      </c>
      <c r="K45" s="57" t="s">
        <v>10779</v>
      </c>
    </row>
    <row r="46" spans="1:11" ht="60" customHeight="1">
      <c r="A46" s="57" t="s">
        <v>3699</v>
      </c>
      <c r="B46" s="57" t="s">
        <v>10775</v>
      </c>
      <c r="C46" s="57" t="s">
        <v>10786</v>
      </c>
      <c r="D46" s="57" t="s">
        <v>449</v>
      </c>
      <c r="E46" s="57" t="s">
        <v>238</v>
      </c>
      <c r="F46" s="57" t="s">
        <v>10581</v>
      </c>
      <c r="G46" s="57" t="s">
        <v>10787</v>
      </c>
      <c r="H46" s="57" t="s">
        <v>3699</v>
      </c>
      <c r="I46" s="57" t="s">
        <v>10577</v>
      </c>
      <c r="J46" s="57" t="s">
        <v>10778</v>
      </c>
      <c r="K46" s="57" t="s">
        <v>10779</v>
      </c>
    </row>
    <row r="47" spans="1:11" ht="60" customHeight="1">
      <c r="A47" s="57" t="s">
        <v>3705</v>
      </c>
      <c r="B47" s="57" t="s">
        <v>10775</v>
      </c>
      <c r="C47" s="57" t="s">
        <v>10788</v>
      </c>
      <c r="D47" s="57" t="s">
        <v>1058</v>
      </c>
      <c r="E47" s="57" t="s">
        <v>240</v>
      </c>
      <c r="F47" s="57" t="s">
        <v>194</v>
      </c>
      <c r="G47" s="57" t="s">
        <v>10789</v>
      </c>
      <c r="H47" s="57" t="s">
        <v>3705</v>
      </c>
      <c r="I47" s="57" t="s">
        <v>10577</v>
      </c>
      <c r="J47" s="57" t="s">
        <v>10778</v>
      </c>
      <c r="K47" s="57" t="s">
        <v>10779</v>
      </c>
    </row>
    <row r="48" spans="1:11" ht="60" customHeight="1">
      <c r="A48" s="57" t="s">
        <v>10790</v>
      </c>
      <c r="B48" s="57" t="s">
        <v>10791</v>
      </c>
      <c r="C48" s="57" t="s">
        <v>10792</v>
      </c>
      <c r="D48" s="57" t="s">
        <v>449</v>
      </c>
      <c r="E48" s="57" t="s">
        <v>238</v>
      </c>
      <c r="F48" s="57" t="s">
        <v>10574</v>
      </c>
      <c r="G48" s="57" t="s">
        <v>10575</v>
      </c>
      <c r="H48" s="57" t="s">
        <v>10793</v>
      </c>
      <c r="I48" s="57" t="s">
        <v>10577</v>
      </c>
      <c r="J48" s="57" t="s">
        <v>10794</v>
      </c>
      <c r="K48" s="57" t="s">
        <v>10795</v>
      </c>
    </row>
    <row r="49" spans="1:11" ht="60" customHeight="1">
      <c r="A49" s="57" t="s">
        <v>10796</v>
      </c>
      <c r="B49" s="57" t="s">
        <v>10791</v>
      </c>
      <c r="C49" s="57" t="s">
        <v>10797</v>
      </c>
      <c r="D49" s="57" t="s">
        <v>449</v>
      </c>
      <c r="E49" s="57" t="s">
        <v>238</v>
      </c>
      <c r="F49" s="57" t="s">
        <v>10574</v>
      </c>
      <c r="G49" s="57" t="s">
        <v>10575</v>
      </c>
      <c r="H49" s="57" t="s">
        <v>10798</v>
      </c>
      <c r="I49" s="57" t="s">
        <v>10577</v>
      </c>
      <c r="J49" s="57" t="s">
        <v>10799</v>
      </c>
      <c r="K49" s="57" t="s">
        <v>10795</v>
      </c>
    </row>
    <row r="50" spans="1:11" ht="60" customHeight="1">
      <c r="A50" s="57" t="s">
        <v>10800</v>
      </c>
      <c r="B50" s="57" t="s">
        <v>10791</v>
      </c>
      <c r="C50" s="57" t="s">
        <v>10801</v>
      </c>
      <c r="D50" s="57" t="s">
        <v>449</v>
      </c>
      <c r="E50" s="57" t="s">
        <v>238</v>
      </c>
      <c r="F50" s="57" t="s">
        <v>10587</v>
      </c>
      <c r="G50" s="57" t="s">
        <v>10588</v>
      </c>
      <c r="H50" s="57" t="s">
        <v>10802</v>
      </c>
      <c r="I50" s="57" t="s">
        <v>10577</v>
      </c>
      <c r="J50" s="57" t="s">
        <v>10803</v>
      </c>
      <c r="K50" s="57" t="s">
        <v>10795</v>
      </c>
    </row>
    <row r="51" spans="1:11" ht="60" customHeight="1">
      <c r="A51" s="57" t="s">
        <v>10804</v>
      </c>
      <c r="B51" s="57" t="s">
        <v>10791</v>
      </c>
      <c r="C51" s="57" t="s">
        <v>10805</v>
      </c>
      <c r="D51" s="57" t="s">
        <v>449</v>
      </c>
      <c r="E51" s="57" t="s">
        <v>238</v>
      </c>
      <c r="F51" s="57" t="s">
        <v>10587</v>
      </c>
      <c r="G51" s="57" t="s">
        <v>10588</v>
      </c>
      <c r="H51" s="57" t="s">
        <v>10806</v>
      </c>
      <c r="I51" s="57" t="s">
        <v>10577</v>
      </c>
      <c r="J51" s="57" t="s">
        <v>10807</v>
      </c>
      <c r="K51" s="57" t="s">
        <v>10795</v>
      </c>
    </row>
    <row r="52" spans="1:11" ht="60" customHeight="1">
      <c r="A52" s="57" t="s">
        <v>10808</v>
      </c>
      <c r="B52" s="57" t="s">
        <v>10791</v>
      </c>
      <c r="C52" s="57" t="s">
        <v>10809</v>
      </c>
      <c r="D52" s="57" t="s">
        <v>449</v>
      </c>
      <c r="E52" s="57" t="s">
        <v>238</v>
      </c>
      <c r="F52" s="57" t="s">
        <v>10587</v>
      </c>
      <c r="G52" s="57" t="s">
        <v>10588</v>
      </c>
      <c r="H52" s="57" t="s">
        <v>10810</v>
      </c>
      <c r="I52" s="57" t="s">
        <v>10577</v>
      </c>
      <c r="J52" s="57" t="s">
        <v>10811</v>
      </c>
      <c r="K52" s="57" t="s">
        <v>10795</v>
      </c>
    </row>
    <row r="53" spans="1:11" ht="60" customHeight="1">
      <c r="A53" s="57" t="s">
        <v>10812</v>
      </c>
      <c r="B53" s="57" t="s">
        <v>10791</v>
      </c>
      <c r="C53" s="57" t="s">
        <v>10813</v>
      </c>
      <c r="D53" s="57" t="s">
        <v>449</v>
      </c>
      <c r="E53" s="57" t="s">
        <v>238</v>
      </c>
      <c r="F53" s="57" t="s">
        <v>10587</v>
      </c>
      <c r="G53" s="57" t="s">
        <v>10588</v>
      </c>
      <c r="H53" s="57" t="s">
        <v>10814</v>
      </c>
      <c r="I53" s="57" t="s">
        <v>10577</v>
      </c>
      <c r="J53" s="57" t="s">
        <v>10815</v>
      </c>
      <c r="K53" s="57" t="s">
        <v>10795</v>
      </c>
    </row>
    <row r="54" spans="1:11" ht="60" customHeight="1">
      <c r="A54" s="57" t="s">
        <v>10816</v>
      </c>
      <c r="B54" s="57" t="s">
        <v>10791</v>
      </c>
      <c r="C54" s="57" t="s">
        <v>10817</v>
      </c>
      <c r="D54" s="57" t="s">
        <v>449</v>
      </c>
      <c r="E54" s="57" t="s">
        <v>238</v>
      </c>
      <c r="F54" s="57" t="s">
        <v>10593</v>
      </c>
      <c r="G54" s="57" t="s">
        <v>10594</v>
      </c>
      <c r="H54" s="57" t="s">
        <v>10818</v>
      </c>
      <c r="I54" s="57" t="s">
        <v>10577</v>
      </c>
      <c r="J54" s="57" t="s">
        <v>10819</v>
      </c>
      <c r="K54" s="57" t="s">
        <v>10795</v>
      </c>
    </row>
    <row r="55" spans="1:11" ht="60" customHeight="1">
      <c r="A55" s="57" t="s">
        <v>10820</v>
      </c>
      <c r="B55" s="57" t="s">
        <v>10791</v>
      </c>
      <c r="C55" s="57" t="s">
        <v>10821</v>
      </c>
      <c r="D55" s="57" t="s">
        <v>449</v>
      </c>
      <c r="E55" s="57" t="s">
        <v>238</v>
      </c>
      <c r="F55" s="57" t="s">
        <v>10593</v>
      </c>
      <c r="G55" s="57" t="s">
        <v>10594</v>
      </c>
      <c r="H55" s="57" t="s">
        <v>10822</v>
      </c>
      <c r="I55" s="57" t="s">
        <v>10577</v>
      </c>
      <c r="J55" s="57" t="s">
        <v>10823</v>
      </c>
      <c r="K55" s="57" t="s">
        <v>10795</v>
      </c>
    </row>
    <row r="56" spans="1:11" ht="60" customHeight="1">
      <c r="A56" s="57" t="s">
        <v>10824</v>
      </c>
      <c r="B56" s="57" t="s">
        <v>10791</v>
      </c>
      <c r="C56" s="57" t="s">
        <v>10825</v>
      </c>
      <c r="D56" s="57" t="s">
        <v>449</v>
      </c>
      <c r="E56" s="57" t="s">
        <v>238</v>
      </c>
      <c r="F56" s="57" t="s">
        <v>10599</v>
      </c>
      <c r="G56" s="57" t="s">
        <v>10600</v>
      </c>
      <c r="H56" s="57" t="s">
        <v>10826</v>
      </c>
      <c r="I56" s="57" t="s">
        <v>10577</v>
      </c>
      <c r="J56" s="57" t="s">
        <v>10827</v>
      </c>
      <c r="K56" s="57" t="s">
        <v>10795</v>
      </c>
    </row>
    <row r="57" spans="1:11" ht="60" customHeight="1">
      <c r="A57" s="57" t="s">
        <v>10828</v>
      </c>
      <c r="B57" s="57" t="s">
        <v>10791</v>
      </c>
      <c r="C57" s="57" t="s">
        <v>10829</v>
      </c>
      <c r="D57" s="57" t="s">
        <v>449</v>
      </c>
      <c r="E57" s="57" t="s">
        <v>238</v>
      </c>
      <c r="F57" s="57" t="s">
        <v>10599</v>
      </c>
      <c r="G57" s="57" t="s">
        <v>10600</v>
      </c>
      <c r="H57" s="57" t="s">
        <v>10830</v>
      </c>
      <c r="I57" s="57" t="s">
        <v>10577</v>
      </c>
      <c r="J57" s="57" t="s">
        <v>10831</v>
      </c>
      <c r="K57" s="57" t="s">
        <v>10795</v>
      </c>
    </row>
    <row r="58" spans="1:11" ht="60" customHeight="1">
      <c r="A58" s="57" t="s">
        <v>10832</v>
      </c>
      <c r="B58" s="57" t="s">
        <v>10791</v>
      </c>
      <c r="C58" s="57" t="s">
        <v>10833</v>
      </c>
      <c r="D58" s="57" t="s">
        <v>449</v>
      </c>
      <c r="E58" s="57" t="s">
        <v>238</v>
      </c>
      <c r="F58" s="57" t="s">
        <v>10599</v>
      </c>
      <c r="G58" s="57" t="s">
        <v>10600</v>
      </c>
      <c r="H58" s="57" t="s">
        <v>10834</v>
      </c>
      <c r="I58" s="57" t="s">
        <v>10577</v>
      </c>
      <c r="J58" s="57" t="s">
        <v>10835</v>
      </c>
      <c r="K58" s="57" t="s">
        <v>10795</v>
      </c>
    </row>
    <row r="59" spans="1:11" ht="60" customHeight="1">
      <c r="A59" s="57" t="s">
        <v>10836</v>
      </c>
      <c r="B59" s="57" t="s">
        <v>10791</v>
      </c>
      <c r="C59" s="57" t="s">
        <v>10837</v>
      </c>
      <c r="D59" s="57" t="s">
        <v>449</v>
      </c>
      <c r="E59" s="57" t="s">
        <v>238</v>
      </c>
      <c r="F59" s="57" t="s">
        <v>10605</v>
      </c>
      <c r="G59" s="57" t="s">
        <v>10606</v>
      </c>
      <c r="H59" s="57" t="s">
        <v>10838</v>
      </c>
      <c r="I59" s="57" t="s">
        <v>10577</v>
      </c>
      <c r="J59" s="57" t="s">
        <v>10839</v>
      </c>
      <c r="K59" s="57" t="s">
        <v>10795</v>
      </c>
    </row>
    <row r="60" spans="1:11" ht="60" customHeight="1">
      <c r="A60" s="57" t="s">
        <v>10840</v>
      </c>
      <c r="B60" s="57" t="s">
        <v>10791</v>
      </c>
      <c r="C60" s="57" t="s">
        <v>10841</v>
      </c>
      <c r="D60" s="57" t="s">
        <v>449</v>
      </c>
      <c r="E60" s="57" t="s">
        <v>238</v>
      </c>
      <c r="F60" s="57" t="s">
        <v>10605</v>
      </c>
      <c r="G60" s="57" t="s">
        <v>10606</v>
      </c>
      <c r="H60" s="57" t="s">
        <v>10842</v>
      </c>
      <c r="I60" s="57" t="s">
        <v>10577</v>
      </c>
      <c r="J60" s="57" t="s">
        <v>10843</v>
      </c>
      <c r="K60" s="57" t="s">
        <v>10795</v>
      </c>
    </row>
    <row r="61" spans="1:11" ht="60" customHeight="1">
      <c r="A61" s="57" t="s">
        <v>10844</v>
      </c>
      <c r="B61" s="57" t="s">
        <v>10845</v>
      </c>
      <c r="C61" s="57" t="s">
        <v>10846</v>
      </c>
      <c r="D61" s="57" t="s">
        <v>449</v>
      </c>
      <c r="E61" s="57" t="s">
        <v>238</v>
      </c>
      <c r="F61" s="57" t="s">
        <v>10605</v>
      </c>
      <c r="G61" s="57" t="s">
        <v>10606</v>
      </c>
      <c r="H61" s="57" t="s">
        <v>10847</v>
      </c>
      <c r="I61" s="57" t="s">
        <v>10577</v>
      </c>
      <c r="J61" s="57" t="s">
        <v>10848</v>
      </c>
      <c r="K61" s="57" t="s">
        <v>10795</v>
      </c>
    </row>
    <row r="62" spans="1:11" ht="60" customHeight="1">
      <c r="A62" s="57" t="s">
        <v>10849</v>
      </c>
      <c r="B62" s="57" t="s">
        <v>10791</v>
      </c>
      <c r="C62" s="57" t="s">
        <v>10850</v>
      </c>
      <c r="D62" s="57" t="s">
        <v>449</v>
      </c>
      <c r="E62" s="57" t="s">
        <v>238</v>
      </c>
      <c r="F62" s="57" t="s">
        <v>10611</v>
      </c>
      <c r="G62" s="57" t="s">
        <v>10612</v>
      </c>
      <c r="H62" s="57" t="s">
        <v>10851</v>
      </c>
      <c r="I62" s="57" t="s">
        <v>10577</v>
      </c>
      <c r="J62" s="57" t="s">
        <v>10852</v>
      </c>
      <c r="K62" s="57" t="s">
        <v>10795</v>
      </c>
    </row>
    <row r="63" spans="1:11" ht="60" customHeight="1">
      <c r="A63" s="57" t="s">
        <v>10853</v>
      </c>
      <c r="B63" s="57" t="s">
        <v>10791</v>
      </c>
      <c r="C63" s="57" t="s">
        <v>10854</v>
      </c>
      <c r="D63" s="57" t="s">
        <v>449</v>
      </c>
      <c r="E63" s="57" t="s">
        <v>238</v>
      </c>
      <c r="F63" s="57" t="s">
        <v>10611</v>
      </c>
      <c r="G63" s="57" t="s">
        <v>10612</v>
      </c>
      <c r="H63" s="57" t="s">
        <v>10855</v>
      </c>
      <c r="I63" s="57" t="s">
        <v>10577</v>
      </c>
      <c r="J63" s="57" t="s">
        <v>10856</v>
      </c>
      <c r="K63" s="57" t="s">
        <v>10795</v>
      </c>
    </row>
    <row r="64" spans="1:11" ht="60" customHeight="1">
      <c r="A64" s="57" t="s">
        <v>10857</v>
      </c>
      <c r="B64" s="57" t="s">
        <v>10791</v>
      </c>
      <c r="C64" s="57" t="s">
        <v>10858</v>
      </c>
      <c r="D64" s="57" t="s">
        <v>449</v>
      </c>
      <c r="E64" s="57" t="s">
        <v>238</v>
      </c>
      <c r="F64" s="57" t="s">
        <v>10611</v>
      </c>
      <c r="G64" s="57" t="s">
        <v>10612</v>
      </c>
      <c r="H64" s="57" t="s">
        <v>10859</v>
      </c>
      <c r="I64" s="57" t="s">
        <v>10577</v>
      </c>
      <c r="J64" s="57" t="s">
        <v>10860</v>
      </c>
      <c r="K64" s="57" t="s">
        <v>10795</v>
      </c>
    </row>
    <row r="65" spans="1:11" ht="60" customHeight="1">
      <c r="A65" s="57" t="s">
        <v>10861</v>
      </c>
      <c r="B65" s="57" t="s">
        <v>10845</v>
      </c>
      <c r="C65" s="57" t="s">
        <v>10862</v>
      </c>
      <c r="D65" s="57" t="s">
        <v>449</v>
      </c>
      <c r="E65" s="57" t="s">
        <v>238</v>
      </c>
      <c r="F65" s="57" t="s">
        <v>10611</v>
      </c>
      <c r="G65" s="57" t="s">
        <v>10612</v>
      </c>
      <c r="H65" s="57" t="s">
        <v>10863</v>
      </c>
      <c r="I65" s="57" t="s">
        <v>10577</v>
      </c>
      <c r="J65" s="57" t="s">
        <v>10864</v>
      </c>
      <c r="K65" s="57" t="s">
        <v>10795</v>
      </c>
    </row>
    <row r="66" spans="1:11" ht="60" customHeight="1">
      <c r="A66" s="57" t="s">
        <v>10865</v>
      </c>
      <c r="B66" s="57" t="s">
        <v>10791</v>
      </c>
      <c r="C66" s="57" t="s">
        <v>10866</v>
      </c>
      <c r="D66" s="57" t="s">
        <v>449</v>
      </c>
      <c r="E66" s="57" t="s">
        <v>238</v>
      </c>
      <c r="F66" s="57" t="s">
        <v>10617</v>
      </c>
      <c r="G66" s="57" t="s">
        <v>10618</v>
      </c>
      <c r="H66" s="57" t="s">
        <v>10867</v>
      </c>
      <c r="I66" s="57" t="s">
        <v>10577</v>
      </c>
      <c r="J66" s="57" t="s">
        <v>10868</v>
      </c>
      <c r="K66" s="57" t="s">
        <v>10795</v>
      </c>
    </row>
    <row r="67" spans="1:11" ht="60" customHeight="1">
      <c r="A67" s="57" t="s">
        <v>10869</v>
      </c>
      <c r="B67" s="57" t="s">
        <v>10791</v>
      </c>
      <c r="C67" s="57" t="s">
        <v>10870</v>
      </c>
      <c r="D67" s="57" t="s">
        <v>10623</v>
      </c>
      <c r="E67" s="57" t="s">
        <v>10431</v>
      </c>
      <c r="F67" s="57" t="s">
        <v>10624</v>
      </c>
      <c r="G67" s="57" t="s">
        <v>10625</v>
      </c>
      <c r="H67" s="57" t="s">
        <v>10871</v>
      </c>
      <c r="I67" s="57" t="s">
        <v>10577</v>
      </c>
      <c r="J67" s="57" t="s">
        <v>10872</v>
      </c>
      <c r="K67" s="57" t="s">
        <v>10795</v>
      </c>
    </row>
    <row r="68" spans="1:11" ht="60" customHeight="1">
      <c r="A68" s="57" t="s">
        <v>10873</v>
      </c>
      <c r="B68" s="57" t="s">
        <v>10791</v>
      </c>
      <c r="C68" s="57" t="s">
        <v>10874</v>
      </c>
      <c r="D68" s="57" t="s">
        <v>10623</v>
      </c>
      <c r="E68" s="57" t="s">
        <v>10431</v>
      </c>
      <c r="F68" s="57" t="s">
        <v>10624</v>
      </c>
      <c r="G68" s="57" t="s">
        <v>10625</v>
      </c>
      <c r="H68" s="57" t="s">
        <v>10875</v>
      </c>
      <c r="I68" s="57" t="s">
        <v>10577</v>
      </c>
      <c r="J68" s="57" t="s">
        <v>10876</v>
      </c>
      <c r="K68" s="57" t="s">
        <v>10795</v>
      </c>
    </row>
    <row r="69" spans="1:11" ht="60" customHeight="1">
      <c r="A69" s="57" t="s">
        <v>10877</v>
      </c>
      <c r="B69" s="57" t="s">
        <v>10791</v>
      </c>
      <c r="C69" s="57" t="s">
        <v>10878</v>
      </c>
      <c r="D69" s="57" t="s">
        <v>10623</v>
      </c>
      <c r="E69" s="57" t="s">
        <v>10431</v>
      </c>
      <c r="F69" s="57" t="s">
        <v>10624</v>
      </c>
      <c r="G69" s="57" t="s">
        <v>10625</v>
      </c>
      <c r="H69" s="57" t="s">
        <v>10879</v>
      </c>
      <c r="I69" s="57" t="s">
        <v>10577</v>
      </c>
      <c r="J69" s="57" t="s">
        <v>10880</v>
      </c>
      <c r="K69" s="57" t="s">
        <v>10795</v>
      </c>
    </row>
    <row r="70" spans="1:11" ht="60" customHeight="1">
      <c r="A70" s="57" t="s">
        <v>10881</v>
      </c>
      <c r="B70" s="57" t="s">
        <v>10791</v>
      </c>
      <c r="C70" s="57" t="s">
        <v>10882</v>
      </c>
      <c r="D70" s="57" t="s">
        <v>10623</v>
      </c>
      <c r="E70" s="57" t="s">
        <v>10431</v>
      </c>
      <c r="F70" s="57" t="s">
        <v>10624</v>
      </c>
      <c r="G70" s="57" t="s">
        <v>10625</v>
      </c>
      <c r="H70" s="57" t="s">
        <v>10883</v>
      </c>
      <c r="I70" s="57" t="s">
        <v>10577</v>
      </c>
      <c r="J70" s="57" t="s">
        <v>10884</v>
      </c>
      <c r="K70" s="57" t="s">
        <v>10795</v>
      </c>
    </row>
    <row r="71" spans="1:11" ht="60" customHeight="1">
      <c r="A71" s="57" t="s">
        <v>10885</v>
      </c>
      <c r="B71" s="57" t="s">
        <v>10791</v>
      </c>
      <c r="C71" s="57" t="s">
        <v>10886</v>
      </c>
      <c r="D71" s="57" t="s">
        <v>10623</v>
      </c>
      <c r="E71" s="57" t="s">
        <v>10431</v>
      </c>
      <c r="F71" s="57" t="s">
        <v>10624</v>
      </c>
      <c r="G71" s="57" t="s">
        <v>10625</v>
      </c>
      <c r="H71" s="57" t="s">
        <v>10887</v>
      </c>
      <c r="I71" s="57" t="s">
        <v>10577</v>
      </c>
      <c r="J71" s="57" t="s">
        <v>10888</v>
      </c>
      <c r="K71" s="57" t="s">
        <v>10795</v>
      </c>
    </row>
    <row r="72" spans="1:11" ht="60" customHeight="1">
      <c r="A72" s="57" t="s">
        <v>10889</v>
      </c>
      <c r="B72" s="57" t="s">
        <v>10791</v>
      </c>
      <c r="C72" s="57" t="s">
        <v>10890</v>
      </c>
      <c r="D72" s="57" t="s">
        <v>10623</v>
      </c>
      <c r="E72" s="57" t="s">
        <v>10431</v>
      </c>
      <c r="F72" s="57" t="s">
        <v>10624</v>
      </c>
      <c r="G72" s="57" t="s">
        <v>10625</v>
      </c>
      <c r="H72" s="57" t="s">
        <v>10891</v>
      </c>
      <c r="I72" s="57" t="s">
        <v>10577</v>
      </c>
      <c r="J72" s="57" t="s">
        <v>10892</v>
      </c>
      <c r="K72" s="57" t="s">
        <v>10795</v>
      </c>
    </row>
    <row r="73" spans="1:11" ht="60" customHeight="1">
      <c r="A73" s="57" t="s">
        <v>10893</v>
      </c>
      <c r="B73" s="57" t="s">
        <v>10791</v>
      </c>
      <c r="C73" s="57" t="s">
        <v>10894</v>
      </c>
      <c r="D73" s="57" t="s">
        <v>10623</v>
      </c>
      <c r="E73" s="57" t="s">
        <v>10431</v>
      </c>
      <c r="F73" s="57" t="s">
        <v>10624</v>
      </c>
      <c r="G73" s="57" t="s">
        <v>10625</v>
      </c>
      <c r="H73" s="57" t="s">
        <v>10895</v>
      </c>
      <c r="I73" s="57" t="s">
        <v>10577</v>
      </c>
      <c r="J73" s="57" t="s">
        <v>10896</v>
      </c>
      <c r="K73" s="57" t="s">
        <v>10795</v>
      </c>
    </row>
    <row r="74" spans="1:11" ht="60" customHeight="1">
      <c r="A74" s="57" t="s">
        <v>10897</v>
      </c>
      <c r="B74" s="57" t="s">
        <v>10791</v>
      </c>
      <c r="C74" s="57" t="s">
        <v>10898</v>
      </c>
      <c r="D74" s="57" t="s">
        <v>10623</v>
      </c>
      <c r="E74" s="57" t="s">
        <v>10431</v>
      </c>
      <c r="F74" s="57" t="s">
        <v>10624</v>
      </c>
      <c r="G74" s="57" t="s">
        <v>10625</v>
      </c>
      <c r="H74" s="57" t="s">
        <v>10899</v>
      </c>
      <c r="I74" s="57" t="s">
        <v>10577</v>
      </c>
      <c r="J74" s="57" t="s">
        <v>10900</v>
      </c>
      <c r="K74" s="57" t="s">
        <v>10795</v>
      </c>
    </row>
    <row r="75" spans="1:11" ht="60" customHeight="1">
      <c r="A75" s="57" t="s">
        <v>10901</v>
      </c>
      <c r="B75" s="57" t="s">
        <v>10791</v>
      </c>
      <c r="C75" s="57" t="s">
        <v>10902</v>
      </c>
      <c r="D75" s="57" t="s">
        <v>10623</v>
      </c>
      <c r="E75" s="57" t="s">
        <v>10431</v>
      </c>
      <c r="F75" s="57" t="s">
        <v>10624</v>
      </c>
      <c r="G75" s="57" t="s">
        <v>10625</v>
      </c>
      <c r="H75" s="57" t="s">
        <v>10903</v>
      </c>
      <c r="I75" s="57" t="s">
        <v>10577</v>
      </c>
      <c r="J75" s="57" t="s">
        <v>10904</v>
      </c>
      <c r="K75" s="57" t="s">
        <v>10795</v>
      </c>
    </row>
    <row r="76" spans="1:11" ht="60" customHeight="1">
      <c r="A76" s="57" t="s">
        <v>10905</v>
      </c>
      <c r="B76" s="57" t="s">
        <v>10791</v>
      </c>
      <c r="C76" s="57" t="s">
        <v>10906</v>
      </c>
      <c r="D76" s="57" t="s">
        <v>10623</v>
      </c>
      <c r="E76" s="57" t="s">
        <v>10431</v>
      </c>
      <c r="F76" s="57" t="s">
        <v>10624</v>
      </c>
      <c r="G76" s="57" t="s">
        <v>10625</v>
      </c>
      <c r="H76" s="57" t="s">
        <v>10907</v>
      </c>
      <c r="I76" s="57" t="s">
        <v>10577</v>
      </c>
      <c r="J76" s="57" t="s">
        <v>10908</v>
      </c>
      <c r="K76" s="57" t="s">
        <v>10795</v>
      </c>
    </row>
    <row r="77" spans="1:11" ht="60" customHeight="1">
      <c r="A77" s="57" t="s">
        <v>10909</v>
      </c>
      <c r="B77" s="57" t="s">
        <v>10791</v>
      </c>
      <c r="C77" s="57" t="s">
        <v>10910</v>
      </c>
      <c r="D77" s="57" t="s">
        <v>10623</v>
      </c>
      <c r="E77" s="57" t="s">
        <v>10431</v>
      </c>
      <c r="F77" s="57" t="s">
        <v>10624</v>
      </c>
      <c r="G77" s="57" t="s">
        <v>10625</v>
      </c>
      <c r="H77" s="57" t="s">
        <v>10911</v>
      </c>
      <c r="I77" s="57" t="s">
        <v>10577</v>
      </c>
      <c r="J77" s="57" t="s">
        <v>10912</v>
      </c>
      <c r="K77" s="57" t="s">
        <v>10795</v>
      </c>
    </row>
    <row r="78" spans="1:11" ht="60" customHeight="1">
      <c r="A78" s="57" t="s">
        <v>10913</v>
      </c>
      <c r="B78" s="57" t="s">
        <v>10791</v>
      </c>
      <c r="C78" s="57" t="s">
        <v>10914</v>
      </c>
      <c r="D78" s="57" t="s">
        <v>449</v>
      </c>
      <c r="E78" s="57" t="s">
        <v>238</v>
      </c>
      <c r="F78" s="57" t="s">
        <v>94</v>
      </c>
      <c r="G78" s="57" t="s">
        <v>10629</v>
      </c>
      <c r="H78" s="57" t="s">
        <v>10915</v>
      </c>
      <c r="I78" s="57" t="s">
        <v>10577</v>
      </c>
      <c r="J78" s="57" t="s">
        <v>10916</v>
      </c>
      <c r="K78" s="57" t="s">
        <v>10795</v>
      </c>
    </row>
    <row r="79" spans="1:11" ht="60" customHeight="1">
      <c r="A79" s="57" t="s">
        <v>10917</v>
      </c>
      <c r="B79" s="57" t="s">
        <v>10791</v>
      </c>
      <c r="C79" s="57" t="s">
        <v>10918</v>
      </c>
      <c r="D79" s="57" t="s">
        <v>449</v>
      </c>
      <c r="E79" s="57" t="s">
        <v>238</v>
      </c>
      <c r="F79" s="57" t="s">
        <v>94</v>
      </c>
      <c r="G79" s="57" t="s">
        <v>10629</v>
      </c>
      <c r="H79" s="57" t="s">
        <v>10919</v>
      </c>
      <c r="I79" s="57" t="s">
        <v>10577</v>
      </c>
      <c r="J79" s="57" t="s">
        <v>10920</v>
      </c>
      <c r="K79" s="57" t="s">
        <v>10795</v>
      </c>
    </row>
    <row r="80" spans="1:11" ht="60" customHeight="1">
      <c r="A80" s="57" t="s">
        <v>10921</v>
      </c>
      <c r="B80" s="57" t="s">
        <v>10845</v>
      </c>
      <c r="C80" s="57" t="s">
        <v>10922</v>
      </c>
      <c r="D80" s="57" t="s">
        <v>449</v>
      </c>
      <c r="E80" s="57" t="s">
        <v>238</v>
      </c>
      <c r="F80" s="57" t="s">
        <v>10633</v>
      </c>
      <c r="G80" s="57" t="s">
        <v>10634</v>
      </c>
      <c r="H80" s="57" t="s">
        <v>10923</v>
      </c>
      <c r="I80" s="57" t="s">
        <v>10577</v>
      </c>
      <c r="J80" s="57" t="s">
        <v>10924</v>
      </c>
      <c r="K80" s="57" t="s">
        <v>10795</v>
      </c>
    </row>
    <row r="81" spans="1:11" ht="60" customHeight="1">
      <c r="A81" s="57" t="s">
        <v>10925</v>
      </c>
      <c r="B81" s="57" t="s">
        <v>10791</v>
      </c>
      <c r="C81" s="57" t="s">
        <v>10926</v>
      </c>
      <c r="D81" s="57" t="s">
        <v>1058</v>
      </c>
      <c r="E81" s="57" t="s">
        <v>240</v>
      </c>
      <c r="F81" s="57" t="s">
        <v>184</v>
      </c>
      <c r="G81" s="57" t="s">
        <v>10638</v>
      </c>
      <c r="H81" s="57" t="s">
        <v>10927</v>
      </c>
      <c r="I81" s="57" t="s">
        <v>10577</v>
      </c>
      <c r="J81" s="57" t="s">
        <v>10928</v>
      </c>
      <c r="K81" s="57" t="s">
        <v>10795</v>
      </c>
    </row>
    <row r="82" spans="1:11" ht="60" customHeight="1">
      <c r="A82" s="57" t="s">
        <v>10929</v>
      </c>
      <c r="B82" s="57" t="s">
        <v>10845</v>
      </c>
      <c r="C82" s="57" t="s">
        <v>10930</v>
      </c>
      <c r="D82" s="57" t="s">
        <v>449</v>
      </c>
      <c r="E82" s="57" t="s">
        <v>238</v>
      </c>
      <c r="F82" s="57" t="s">
        <v>10642</v>
      </c>
      <c r="G82" s="57" t="s">
        <v>10643</v>
      </c>
      <c r="H82" s="57" t="s">
        <v>10931</v>
      </c>
      <c r="I82" s="57" t="s">
        <v>10577</v>
      </c>
      <c r="J82" s="57" t="s">
        <v>10932</v>
      </c>
      <c r="K82" s="57" t="s">
        <v>10795</v>
      </c>
    </row>
    <row r="83" spans="1:11" ht="60" customHeight="1">
      <c r="A83" s="57" t="s">
        <v>10933</v>
      </c>
      <c r="B83" s="57" t="s">
        <v>10791</v>
      </c>
      <c r="C83" s="57" t="s">
        <v>10934</v>
      </c>
      <c r="D83" s="57" t="s">
        <v>449</v>
      </c>
      <c r="E83" s="57" t="s">
        <v>238</v>
      </c>
      <c r="F83" s="57" t="s">
        <v>91</v>
      </c>
      <c r="G83" s="57" t="s">
        <v>10647</v>
      </c>
      <c r="H83" s="57" t="s">
        <v>10935</v>
      </c>
      <c r="I83" s="57" t="s">
        <v>10577</v>
      </c>
      <c r="J83" s="57" t="s">
        <v>10936</v>
      </c>
      <c r="K83" s="57" t="s">
        <v>10795</v>
      </c>
    </row>
    <row r="84" spans="1:11" ht="60" customHeight="1">
      <c r="A84" s="57" t="s">
        <v>10937</v>
      </c>
      <c r="B84" s="57" t="s">
        <v>10791</v>
      </c>
      <c r="C84" s="57" t="s">
        <v>10938</v>
      </c>
      <c r="D84" s="57" t="s">
        <v>449</v>
      </c>
      <c r="E84" s="57" t="s">
        <v>238</v>
      </c>
      <c r="F84" s="57" t="s">
        <v>91</v>
      </c>
      <c r="G84" s="57" t="s">
        <v>10647</v>
      </c>
      <c r="H84" s="57" t="s">
        <v>10939</v>
      </c>
      <c r="I84" s="57" t="s">
        <v>10577</v>
      </c>
      <c r="J84" s="57" t="s">
        <v>10940</v>
      </c>
      <c r="K84" s="57" t="s">
        <v>10795</v>
      </c>
    </row>
    <row r="85" spans="1:11" ht="60" customHeight="1">
      <c r="A85" s="57" t="s">
        <v>10941</v>
      </c>
      <c r="B85" s="57" t="s">
        <v>10791</v>
      </c>
      <c r="C85" s="57" t="s">
        <v>10942</v>
      </c>
      <c r="D85" s="57" t="s">
        <v>10623</v>
      </c>
      <c r="E85" s="57" t="s">
        <v>10431</v>
      </c>
      <c r="F85" s="57" t="s">
        <v>10652</v>
      </c>
      <c r="G85" s="57" t="s">
        <v>10653</v>
      </c>
      <c r="H85" s="57" t="s">
        <v>10943</v>
      </c>
      <c r="I85" s="57" t="s">
        <v>10577</v>
      </c>
      <c r="J85" s="57" t="s">
        <v>10944</v>
      </c>
      <c r="K85" s="57" t="s">
        <v>10795</v>
      </c>
    </row>
    <row r="86" spans="1:11" ht="60" customHeight="1">
      <c r="A86" s="57" t="s">
        <v>10945</v>
      </c>
      <c r="B86" s="57" t="s">
        <v>10791</v>
      </c>
      <c r="C86" s="57" t="s">
        <v>10946</v>
      </c>
      <c r="D86" s="57" t="s">
        <v>10623</v>
      </c>
      <c r="E86" s="57" t="s">
        <v>10431</v>
      </c>
      <c r="F86" s="57" t="s">
        <v>10652</v>
      </c>
      <c r="G86" s="57" t="s">
        <v>10653</v>
      </c>
      <c r="H86" s="57" t="s">
        <v>10947</v>
      </c>
      <c r="I86" s="57" t="s">
        <v>10577</v>
      </c>
      <c r="J86" s="57" t="s">
        <v>10948</v>
      </c>
      <c r="K86" s="57" t="s">
        <v>10795</v>
      </c>
    </row>
    <row r="87" spans="1:11" ht="60" customHeight="1">
      <c r="A87" s="57" t="s">
        <v>10949</v>
      </c>
      <c r="B87" s="57" t="s">
        <v>10791</v>
      </c>
      <c r="C87" s="57" t="s">
        <v>10950</v>
      </c>
      <c r="D87" s="57" t="s">
        <v>10623</v>
      </c>
      <c r="E87" s="57" t="s">
        <v>10431</v>
      </c>
      <c r="F87" s="57" t="s">
        <v>10652</v>
      </c>
      <c r="G87" s="57" t="s">
        <v>10653</v>
      </c>
      <c r="H87" s="57" t="s">
        <v>10951</v>
      </c>
      <c r="I87" s="57" t="s">
        <v>10577</v>
      </c>
      <c r="J87" s="57" t="s">
        <v>10952</v>
      </c>
      <c r="K87" s="57" t="s">
        <v>10795</v>
      </c>
    </row>
    <row r="88" spans="1:11" ht="60" customHeight="1">
      <c r="A88" s="57" t="s">
        <v>10953</v>
      </c>
      <c r="B88" s="57" t="s">
        <v>10791</v>
      </c>
      <c r="C88" s="57" t="s">
        <v>10954</v>
      </c>
      <c r="D88" s="57" t="s">
        <v>10623</v>
      </c>
      <c r="E88" s="57" t="s">
        <v>10431</v>
      </c>
      <c r="F88" s="57" t="s">
        <v>10657</v>
      </c>
      <c r="G88" s="57" t="s">
        <v>10658</v>
      </c>
      <c r="H88" s="57" t="s">
        <v>10955</v>
      </c>
      <c r="I88" s="57" t="s">
        <v>10577</v>
      </c>
      <c r="J88" s="57" t="s">
        <v>10956</v>
      </c>
      <c r="K88" s="57" t="s">
        <v>10795</v>
      </c>
    </row>
    <row r="89" spans="1:11" ht="60" customHeight="1">
      <c r="A89" s="57" t="s">
        <v>10957</v>
      </c>
      <c r="B89" s="57" t="s">
        <v>10791</v>
      </c>
      <c r="C89" s="57" t="s">
        <v>10958</v>
      </c>
      <c r="D89" s="57" t="s">
        <v>10623</v>
      </c>
      <c r="E89" s="57" t="s">
        <v>10431</v>
      </c>
      <c r="F89" s="57" t="s">
        <v>10657</v>
      </c>
      <c r="G89" s="57" t="s">
        <v>10658</v>
      </c>
      <c r="H89" s="57" t="s">
        <v>10959</v>
      </c>
      <c r="I89" s="57" t="s">
        <v>10577</v>
      </c>
      <c r="J89" s="57" t="s">
        <v>10960</v>
      </c>
      <c r="K89" s="57" t="s">
        <v>10795</v>
      </c>
    </row>
    <row r="90" spans="1:11" ht="60" customHeight="1">
      <c r="A90" s="57" t="s">
        <v>10961</v>
      </c>
      <c r="B90" s="57" t="s">
        <v>10791</v>
      </c>
      <c r="C90" s="57" t="s">
        <v>10962</v>
      </c>
      <c r="D90" s="57" t="s">
        <v>10623</v>
      </c>
      <c r="E90" s="57" t="s">
        <v>10431</v>
      </c>
      <c r="F90" s="57" t="s">
        <v>10657</v>
      </c>
      <c r="G90" s="57" t="s">
        <v>10658</v>
      </c>
      <c r="H90" s="57" t="s">
        <v>10963</v>
      </c>
      <c r="I90" s="57" t="s">
        <v>10577</v>
      </c>
      <c r="J90" s="57" t="s">
        <v>10964</v>
      </c>
      <c r="K90" s="57" t="s">
        <v>10795</v>
      </c>
    </row>
    <row r="91" spans="1:11" ht="60" customHeight="1">
      <c r="A91" s="57" t="s">
        <v>10965</v>
      </c>
      <c r="B91" s="57" t="s">
        <v>10791</v>
      </c>
      <c r="C91" s="57" t="s">
        <v>10966</v>
      </c>
      <c r="D91" s="57" t="s">
        <v>10623</v>
      </c>
      <c r="E91" s="57" t="s">
        <v>10431</v>
      </c>
      <c r="F91" s="57" t="s">
        <v>10657</v>
      </c>
      <c r="G91" s="57" t="s">
        <v>10658</v>
      </c>
      <c r="H91" s="57" t="s">
        <v>10967</v>
      </c>
      <c r="I91" s="57" t="s">
        <v>10577</v>
      </c>
      <c r="J91" s="57" t="s">
        <v>10968</v>
      </c>
      <c r="K91" s="57" t="s">
        <v>10795</v>
      </c>
    </row>
    <row r="92" spans="1:11" ht="60" customHeight="1">
      <c r="A92" s="57" t="s">
        <v>10969</v>
      </c>
      <c r="B92" s="57" t="s">
        <v>10791</v>
      </c>
      <c r="C92" s="57" t="s">
        <v>10970</v>
      </c>
      <c r="D92" s="57" t="s">
        <v>10623</v>
      </c>
      <c r="E92" s="57" t="s">
        <v>10431</v>
      </c>
      <c r="F92" s="57" t="s">
        <v>10662</v>
      </c>
      <c r="G92" s="57" t="s">
        <v>10663</v>
      </c>
      <c r="H92" s="57" t="s">
        <v>10971</v>
      </c>
      <c r="I92" s="57" t="s">
        <v>10577</v>
      </c>
      <c r="J92" s="57" t="s">
        <v>10972</v>
      </c>
      <c r="K92" s="57" t="s">
        <v>10795</v>
      </c>
    </row>
    <row r="93" spans="1:11" ht="60" customHeight="1">
      <c r="A93" s="57" t="s">
        <v>10973</v>
      </c>
      <c r="B93" s="57" t="s">
        <v>10845</v>
      </c>
      <c r="C93" s="57" t="s">
        <v>10974</v>
      </c>
      <c r="D93" s="57" t="s">
        <v>10623</v>
      </c>
      <c r="E93" s="57" t="s">
        <v>10431</v>
      </c>
      <c r="F93" s="57" t="s">
        <v>10667</v>
      </c>
      <c r="G93" s="57" t="s">
        <v>10668</v>
      </c>
      <c r="H93" s="57" t="s">
        <v>10975</v>
      </c>
      <c r="I93" s="57" t="s">
        <v>10577</v>
      </c>
      <c r="J93" s="57" t="s">
        <v>10976</v>
      </c>
      <c r="K93" s="57" t="s">
        <v>10795</v>
      </c>
    </row>
    <row r="94" spans="1:11" ht="60" customHeight="1">
      <c r="A94" s="57" t="s">
        <v>10977</v>
      </c>
      <c r="B94" s="57" t="s">
        <v>10791</v>
      </c>
      <c r="C94" s="57" t="s">
        <v>10978</v>
      </c>
      <c r="D94" s="57" t="s">
        <v>10623</v>
      </c>
      <c r="E94" s="57" t="s">
        <v>10431</v>
      </c>
      <c r="F94" s="57" t="s">
        <v>10672</v>
      </c>
      <c r="G94" s="57" t="s">
        <v>10673</v>
      </c>
      <c r="H94" s="57" t="s">
        <v>10979</v>
      </c>
      <c r="I94" s="57" t="s">
        <v>10577</v>
      </c>
      <c r="J94" s="57" t="s">
        <v>10980</v>
      </c>
      <c r="K94" s="57" t="s">
        <v>10795</v>
      </c>
    </row>
    <row r="95" spans="1:11" ht="60" customHeight="1">
      <c r="A95" s="57" t="s">
        <v>10981</v>
      </c>
      <c r="B95" s="57" t="s">
        <v>10791</v>
      </c>
      <c r="C95" s="57" t="s">
        <v>10982</v>
      </c>
      <c r="D95" s="57" t="s">
        <v>10623</v>
      </c>
      <c r="E95" s="57" t="s">
        <v>10431</v>
      </c>
      <c r="F95" s="57" t="s">
        <v>10677</v>
      </c>
      <c r="G95" s="57" t="s">
        <v>10678</v>
      </c>
      <c r="H95" s="57" t="s">
        <v>10983</v>
      </c>
      <c r="I95" s="57" t="s">
        <v>10577</v>
      </c>
      <c r="J95" s="57" t="s">
        <v>10984</v>
      </c>
      <c r="K95" s="57" t="s">
        <v>10795</v>
      </c>
    </row>
    <row r="96" spans="1:11" ht="60" customHeight="1">
      <c r="A96" s="57" t="s">
        <v>10985</v>
      </c>
      <c r="B96" s="57" t="s">
        <v>10791</v>
      </c>
      <c r="C96" s="57" t="s">
        <v>10986</v>
      </c>
      <c r="D96" s="57" t="s">
        <v>10623</v>
      </c>
      <c r="E96" s="57" t="s">
        <v>10431</v>
      </c>
      <c r="F96" s="57" t="s">
        <v>10677</v>
      </c>
      <c r="G96" s="57" t="s">
        <v>10678</v>
      </c>
      <c r="H96" s="57" t="s">
        <v>10987</v>
      </c>
      <c r="I96" s="57" t="s">
        <v>10577</v>
      </c>
      <c r="J96" s="57" t="s">
        <v>10988</v>
      </c>
      <c r="K96" s="57" t="s">
        <v>10795</v>
      </c>
    </row>
    <row r="97" spans="1:11" ht="60" customHeight="1">
      <c r="A97" s="57" t="s">
        <v>10989</v>
      </c>
      <c r="B97" s="57" t="s">
        <v>10791</v>
      </c>
      <c r="C97" s="57" t="s">
        <v>10990</v>
      </c>
      <c r="D97" s="57" t="s">
        <v>10623</v>
      </c>
      <c r="E97" s="57" t="s">
        <v>10431</v>
      </c>
      <c r="F97" s="57" t="s">
        <v>10682</v>
      </c>
      <c r="G97" s="57" t="s">
        <v>10683</v>
      </c>
      <c r="H97" s="57" t="s">
        <v>10991</v>
      </c>
      <c r="I97" s="57" t="s">
        <v>10577</v>
      </c>
      <c r="J97" s="57" t="s">
        <v>10992</v>
      </c>
      <c r="K97" s="57" t="s">
        <v>10795</v>
      </c>
    </row>
    <row r="98" spans="1:11" ht="60" customHeight="1">
      <c r="A98" s="57" t="s">
        <v>10993</v>
      </c>
      <c r="B98" s="57" t="s">
        <v>10791</v>
      </c>
      <c r="C98" s="57" t="s">
        <v>10994</v>
      </c>
      <c r="D98" s="57" t="s">
        <v>10623</v>
      </c>
      <c r="E98" s="57" t="s">
        <v>10431</v>
      </c>
      <c r="F98" s="57" t="s">
        <v>10682</v>
      </c>
      <c r="G98" s="57" t="s">
        <v>10683</v>
      </c>
      <c r="H98" s="57" t="s">
        <v>10995</v>
      </c>
      <c r="I98" s="57" t="s">
        <v>10577</v>
      </c>
      <c r="J98" s="57" t="s">
        <v>10996</v>
      </c>
      <c r="K98" s="57" t="s">
        <v>10795</v>
      </c>
    </row>
    <row r="99" spans="1:11" ht="60" customHeight="1">
      <c r="A99" s="57" t="s">
        <v>10997</v>
      </c>
      <c r="B99" s="57" t="s">
        <v>10791</v>
      </c>
      <c r="C99" s="57" t="s">
        <v>10998</v>
      </c>
      <c r="D99" s="57" t="s">
        <v>10623</v>
      </c>
      <c r="E99" s="57" t="s">
        <v>10431</v>
      </c>
      <c r="F99" s="57" t="s">
        <v>10687</v>
      </c>
      <c r="G99" s="57" t="s">
        <v>10688</v>
      </c>
      <c r="H99" s="57" t="s">
        <v>10999</v>
      </c>
      <c r="I99" s="57" t="s">
        <v>10577</v>
      </c>
      <c r="J99" s="57" t="s">
        <v>11000</v>
      </c>
      <c r="K99" s="57" t="s">
        <v>10795</v>
      </c>
    </row>
    <row r="100" spans="1:11" ht="60" customHeight="1">
      <c r="A100" s="57" t="s">
        <v>11001</v>
      </c>
      <c r="B100" s="57" t="s">
        <v>10791</v>
      </c>
      <c r="C100" s="57" t="s">
        <v>11002</v>
      </c>
      <c r="D100" s="57" t="s">
        <v>10623</v>
      </c>
      <c r="E100" s="57" t="s">
        <v>10431</v>
      </c>
      <c r="F100" s="57" t="s">
        <v>10687</v>
      </c>
      <c r="G100" s="57" t="s">
        <v>10688</v>
      </c>
      <c r="H100" s="57" t="s">
        <v>11003</v>
      </c>
      <c r="I100" s="57" t="s">
        <v>10577</v>
      </c>
      <c r="J100" s="57" t="s">
        <v>11004</v>
      </c>
      <c r="K100" s="57" t="s">
        <v>10795</v>
      </c>
    </row>
    <row r="101" spans="1:11" ht="60" customHeight="1">
      <c r="A101" s="57" t="s">
        <v>11005</v>
      </c>
      <c r="B101" s="57" t="s">
        <v>10791</v>
      </c>
      <c r="C101" s="57" t="s">
        <v>11006</v>
      </c>
      <c r="D101" s="57" t="s">
        <v>1058</v>
      </c>
      <c r="E101" s="57" t="s">
        <v>240</v>
      </c>
      <c r="F101" s="57" t="s">
        <v>10692</v>
      </c>
      <c r="G101" s="57" t="s">
        <v>10693</v>
      </c>
      <c r="H101" s="57" t="s">
        <v>11007</v>
      </c>
      <c r="I101" s="57" t="s">
        <v>10577</v>
      </c>
      <c r="J101" s="57" t="s">
        <v>11008</v>
      </c>
      <c r="K101" s="57" t="s">
        <v>10795</v>
      </c>
    </row>
    <row r="102" spans="1:11" ht="60" customHeight="1">
      <c r="A102" s="57" t="s">
        <v>11009</v>
      </c>
      <c r="B102" s="57" t="s">
        <v>10791</v>
      </c>
      <c r="C102" s="57" t="s">
        <v>11010</v>
      </c>
      <c r="D102" s="57" t="s">
        <v>1058</v>
      </c>
      <c r="E102" s="57" t="s">
        <v>240</v>
      </c>
      <c r="F102" s="57" t="s">
        <v>10697</v>
      </c>
      <c r="G102" s="57" t="s">
        <v>10698</v>
      </c>
      <c r="H102" s="57" t="s">
        <v>11011</v>
      </c>
      <c r="I102" s="57" t="s">
        <v>10577</v>
      </c>
      <c r="J102" s="57" t="s">
        <v>11012</v>
      </c>
      <c r="K102" s="57" t="s">
        <v>10795</v>
      </c>
    </row>
    <row r="103" spans="1:11" ht="60" customHeight="1">
      <c r="A103" s="57" t="s">
        <v>11013</v>
      </c>
      <c r="B103" s="57" t="s">
        <v>10791</v>
      </c>
      <c r="C103" s="57" t="s">
        <v>11014</v>
      </c>
      <c r="D103" s="57" t="s">
        <v>1058</v>
      </c>
      <c r="E103" s="57" t="s">
        <v>240</v>
      </c>
      <c r="F103" s="57" t="s">
        <v>227</v>
      </c>
      <c r="G103" s="57" t="s">
        <v>10702</v>
      </c>
      <c r="H103" s="57" t="s">
        <v>11015</v>
      </c>
      <c r="I103" s="57" t="s">
        <v>10577</v>
      </c>
      <c r="J103" s="57" t="s">
        <v>11016</v>
      </c>
      <c r="K103" s="57" t="s">
        <v>10795</v>
      </c>
    </row>
    <row r="104" spans="1:11" ht="60" customHeight="1">
      <c r="A104" s="57" t="s">
        <v>11017</v>
      </c>
      <c r="B104" s="57" t="s">
        <v>10791</v>
      </c>
      <c r="C104" s="57" t="s">
        <v>11018</v>
      </c>
      <c r="D104" s="57" t="s">
        <v>1058</v>
      </c>
      <c r="E104" s="57" t="s">
        <v>240</v>
      </c>
      <c r="F104" s="57" t="s">
        <v>227</v>
      </c>
      <c r="G104" s="57" t="s">
        <v>10702</v>
      </c>
      <c r="H104" s="57" t="s">
        <v>11019</v>
      </c>
      <c r="I104" s="57" t="s">
        <v>10577</v>
      </c>
      <c r="J104" s="57" t="s">
        <v>11020</v>
      </c>
      <c r="K104" s="57" t="s">
        <v>10795</v>
      </c>
    </row>
    <row r="105" spans="1:11" ht="60" customHeight="1">
      <c r="A105" s="57" t="s">
        <v>11021</v>
      </c>
      <c r="B105" s="57" t="s">
        <v>10791</v>
      </c>
      <c r="C105" s="57" t="s">
        <v>11022</v>
      </c>
      <c r="D105" s="57" t="s">
        <v>1058</v>
      </c>
      <c r="E105" s="57" t="s">
        <v>240</v>
      </c>
      <c r="F105" s="57" t="s">
        <v>235</v>
      </c>
      <c r="G105" s="57" t="s">
        <v>10706</v>
      </c>
      <c r="H105" s="57" t="s">
        <v>11023</v>
      </c>
      <c r="I105" s="57" t="s">
        <v>10577</v>
      </c>
      <c r="J105" s="57" t="s">
        <v>11024</v>
      </c>
      <c r="K105" s="57" t="s">
        <v>10795</v>
      </c>
    </row>
    <row r="106" spans="1:11" ht="60" customHeight="1">
      <c r="A106" s="57" t="s">
        <v>11025</v>
      </c>
      <c r="B106" s="57" t="s">
        <v>10791</v>
      </c>
      <c r="C106" s="57" t="s">
        <v>11026</v>
      </c>
      <c r="D106" s="57" t="s">
        <v>10623</v>
      </c>
      <c r="E106" s="57" t="s">
        <v>10431</v>
      </c>
      <c r="F106" s="57" t="s">
        <v>10711</v>
      </c>
      <c r="G106" s="57" t="s">
        <v>10712</v>
      </c>
      <c r="H106" s="57" t="s">
        <v>11027</v>
      </c>
      <c r="I106" s="57" t="s">
        <v>10577</v>
      </c>
      <c r="J106" s="57" t="s">
        <v>11028</v>
      </c>
      <c r="K106" s="57" t="s">
        <v>10795</v>
      </c>
    </row>
    <row r="107" spans="1:11" ht="60" customHeight="1">
      <c r="A107" s="57" t="s">
        <v>11029</v>
      </c>
      <c r="B107" s="57" t="s">
        <v>10791</v>
      </c>
      <c r="C107" s="57" t="s">
        <v>11030</v>
      </c>
      <c r="D107" s="57" t="s">
        <v>10623</v>
      </c>
      <c r="E107" s="57" t="s">
        <v>10431</v>
      </c>
      <c r="F107" s="57" t="s">
        <v>10711</v>
      </c>
      <c r="G107" s="57" t="s">
        <v>10712</v>
      </c>
      <c r="H107" s="57" t="s">
        <v>11031</v>
      </c>
      <c r="I107" s="57" t="s">
        <v>10577</v>
      </c>
      <c r="J107" s="57" t="s">
        <v>11032</v>
      </c>
      <c r="K107" s="57" t="s">
        <v>10795</v>
      </c>
    </row>
    <row r="108" spans="1:11" ht="60" customHeight="1">
      <c r="A108" s="57" t="s">
        <v>11033</v>
      </c>
      <c r="B108" s="57" t="s">
        <v>10791</v>
      </c>
      <c r="C108" s="57" t="s">
        <v>11034</v>
      </c>
      <c r="D108" s="57" t="s">
        <v>10623</v>
      </c>
      <c r="E108" s="57" t="s">
        <v>10431</v>
      </c>
      <c r="F108" s="57" t="s">
        <v>10717</v>
      </c>
      <c r="G108" s="57" t="s">
        <v>10718</v>
      </c>
      <c r="H108" s="57" t="s">
        <v>11035</v>
      </c>
      <c r="I108" s="57" t="s">
        <v>10577</v>
      </c>
      <c r="J108" s="57" t="s">
        <v>11036</v>
      </c>
      <c r="K108" s="57" t="s">
        <v>10795</v>
      </c>
    </row>
    <row r="109" spans="1:11" ht="60" customHeight="1">
      <c r="A109" s="57" t="s">
        <v>11037</v>
      </c>
      <c r="B109" s="57" t="s">
        <v>10791</v>
      </c>
      <c r="C109" s="57" t="s">
        <v>11038</v>
      </c>
      <c r="D109" s="57" t="s">
        <v>10623</v>
      </c>
      <c r="E109" s="57" t="s">
        <v>10431</v>
      </c>
      <c r="F109" s="57" t="s">
        <v>10717</v>
      </c>
      <c r="G109" s="57" t="s">
        <v>10718</v>
      </c>
      <c r="H109" s="57" t="s">
        <v>11039</v>
      </c>
      <c r="I109" s="57" t="s">
        <v>10577</v>
      </c>
      <c r="J109" s="57" t="s">
        <v>11040</v>
      </c>
      <c r="K109" s="57" t="s">
        <v>10795</v>
      </c>
    </row>
    <row r="110" spans="1:11" ht="60" customHeight="1">
      <c r="A110" s="57" t="s">
        <v>11041</v>
      </c>
      <c r="B110" s="57" t="s">
        <v>10791</v>
      </c>
      <c r="C110" s="57" t="s">
        <v>11042</v>
      </c>
      <c r="D110" s="57" t="s">
        <v>1058</v>
      </c>
      <c r="E110" s="57" t="s">
        <v>240</v>
      </c>
      <c r="F110" s="57" t="s">
        <v>229</v>
      </c>
      <c r="G110" s="57" t="s">
        <v>10723</v>
      </c>
      <c r="H110" s="57" t="s">
        <v>11043</v>
      </c>
      <c r="I110" s="57" t="s">
        <v>10577</v>
      </c>
      <c r="J110" s="57" t="s">
        <v>11044</v>
      </c>
      <c r="K110" s="57" t="s">
        <v>10795</v>
      </c>
    </row>
    <row r="111" spans="1:11" ht="60" customHeight="1">
      <c r="A111" s="57" t="s">
        <v>11045</v>
      </c>
      <c r="B111" s="57" t="s">
        <v>10791</v>
      </c>
      <c r="C111" s="57" t="s">
        <v>11046</v>
      </c>
      <c r="D111" s="57" t="s">
        <v>1058</v>
      </c>
      <c r="E111" s="57" t="s">
        <v>240</v>
      </c>
      <c r="F111" s="57" t="s">
        <v>229</v>
      </c>
      <c r="G111" s="57" t="s">
        <v>10723</v>
      </c>
      <c r="H111" s="57" t="s">
        <v>11047</v>
      </c>
      <c r="I111" s="57" t="s">
        <v>10577</v>
      </c>
      <c r="J111" s="57" t="s">
        <v>11048</v>
      </c>
      <c r="K111" s="57" t="s">
        <v>10795</v>
      </c>
    </row>
    <row r="112" spans="1:11" ht="60" customHeight="1">
      <c r="A112" s="57" t="s">
        <v>11049</v>
      </c>
      <c r="B112" s="57" t="s">
        <v>10791</v>
      </c>
      <c r="C112" s="57" t="s">
        <v>11050</v>
      </c>
      <c r="D112" s="57" t="s">
        <v>1058</v>
      </c>
      <c r="E112" s="57" t="s">
        <v>240</v>
      </c>
      <c r="F112" s="57" t="s">
        <v>195</v>
      </c>
      <c r="G112" s="57" t="s">
        <v>10728</v>
      </c>
      <c r="H112" s="57" t="s">
        <v>11051</v>
      </c>
      <c r="I112" s="57" t="s">
        <v>10577</v>
      </c>
      <c r="J112" s="57" t="s">
        <v>11052</v>
      </c>
      <c r="K112" s="57" t="s">
        <v>10795</v>
      </c>
    </row>
    <row r="113" spans="1:11" ht="60" customHeight="1">
      <c r="A113" s="57" t="s">
        <v>11053</v>
      </c>
      <c r="B113" s="57" t="s">
        <v>10845</v>
      </c>
      <c r="C113" s="57" t="s">
        <v>11054</v>
      </c>
      <c r="D113" s="57" t="s">
        <v>1058</v>
      </c>
      <c r="E113" s="57" t="s">
        <v>240</v>
      </c>
      <c r="F113" s="57" t="s">
        <v>195</v>
      </c>
      <c r="G113" s="57" t="s">
        <v>10728</v>
      </c>
      <c r="H113" s="57" t="s">
        <v>11055</v>
      </c>
      <c r="I113" s="57" t="s">
        <v>10577</v>
      </c>
      <c r="J113" s="57" t="s">
        <v>11056</v>
      </c>
      <c r="K113" s="57" t="s">
        <v>10795</v>
      </c>
    </row>
    <row r="114" spans="1:11" ht="60" customHeight="1">
      <c r="A114" s="57" t="s">
        <v>11057</v>
      </c>
      <c r="B114" s="57" t="s">
        <v>10791</v>
      </c>
      <c r="C114" s="57" t="s">
        <v>11058</v>
      </c>
      <c r="D114" s="57" t="s">
        <v>1058</v>
      </c>
      <c r="E114" s="57" t="s">
        <v>240</v>
      </c>
      <c r="F114" s="57" t="s">
        <v>185</v>
      </c>
      <c r="G114" s="57" t="s">
        <v>10732</v>
      </c>
      <c r="H114" s="57" t="s">
        <v>11059</v>
      </c>
      <c r="I114" s="57" t="s">
        <v>10577</v>
      </c>
      <c r="J114" s="57" t="s">
        <v>11060</v>
      </c>
      <c r="K114" s="57" t="s">
        <v>10795</v>
      </c>
    </row>
    <row r="115" spans="1:11" ht="60" customHeight="1">
      <c r="A115" s="57" t="s">
        <v>11061</v>
      </c>
      <c r="B115" s="57" t="s">
        <v>10791</v>
      </c>
      <c r="C115" s="57" t="s">
        <v>11062</v>
      </c>
      <c r="D115" s="57" t="s">
        <v>1058</v>
      </c>
      <c r="E115" s="57" t="s">
        <v>240</v>
      </c>
      <c r="F115" s="57" t="s">
        <v>185</v>
      </c>
      <c r="G115" s="57" t="s">
        <v>10732</v>
      </c>
      <c r="H115" s="57" t="s">
        <v>11063</v>
      </c>
      <c r="I115" s="57" t="s">
        <v>10577</v>
      </c>
      <c r="J115" s="57" t="s">
        <v>11064</v>
      </c>
      <c r="K115" s="57" t="s">
        <v>10795</v>
      </c>
    </row>
    <row r="116" spans="1:11" ht="60" customHeight="1">
      <c r="A116" s="57" t="s">
        <v>11065</v>
      </c>
      <c r="B116" s="57" t="s">
        <v>10791</v>
      </c>
      <c r="C116" s="57" t="s">
        <v>11066</v>
      </c>
      <c r="D116" s="57" t="s">
        <v>10623</v>
      </c>
      <c r="E116" s="57" t="s">
        <v>10431</v>
      </c>
      <c r="F116" s="57" t="s">
        <v>10472</v>
      </c>
      <c r="G116" s="57" t="s">
        <v>10736</v>
      </c>
      <c r="H116" s="57" t="s">
        <v>11067</v>
      </c>
      <c r="I116" s="57" t="s">
        <v>10577</v>
      </c>
      <c r="J116" s="57" t="s">
        <v>11068</v>
      </c>
      <c r="K116" s="57" t="s">
        <v>10795</v>
      </c>
    </row>
    <row r="117" spans="1:11" ht="60" customHeight="1">
      <c r="A117" s="57" t="s">
        <v>11069</v>
      </c>
      <c r="B117" s="57" t="s">
        <v>10791</v>
      </c>
      <c r="C117" s="57" t="s">
        <v>11070</v>
      </c>
      <c r="D117" s="57" t="s">
        <v>10623</v>
      </c>
      <c r="E117" s="57" t="s">
        <v>10431</v>
      </c>
      <c r="F117" s="57" t="s">
        <v>10472</v>
      </c>
      <c r="G117" s="57" t="s">
        <v>10736</v>
      </c>
      <c r="H117" s="57" t="s">
        <v>11071</v>
      </c>
      <c r="I117" s="57" t="s">
        <v>10577</v>
      </c>
      <c r="J117" s="57" t="s">
        <v>11072</v>
      </c>
      <c r="K117" s="57" t="s">
        <v>10795</v>
      </c>
    </row>
    <row r="118" spans="1:11" ht="60" customHeight="1">
      <c r="A118" s="57" t="s">
        <v>11073</v>
      </c>
      <c r="B118" s="57" t="s">
        <v>10791</v>
      </c>
      <c r="C118" s="57" t="s">
        <v>11074</v>
      </c>
      <c r="D118" s="57" t="s">
        <v>10623</v>
      </c>
      <c r="E118" s="57" t="s">
        <v>10431</v>
      </c>
      <c r="F118" s="57" t="s">
        <v>10472</v>
      </c>
      <c r="G118" s="57" t="s">
        <v>10736</v>
      </c>
      <c r="H118" s="57" t="s">
        <v>11075</v>
      </c>
      <c r="I118" s="57" t="s">
        <v>10577</v>
      </c>
      <c r="J118" s="57" t="s">
        <v>11076</v>
      </c>
      <c r="K118" s="57" t="s">
        <v>10795</v>
      </c>
    </row>
    <row r="119" spans="1:11" ht="60" customHeight="1">
      <c r="A119" s="57" t="s">
        <v>11077</v>
      </c>
      <c r="B119" s="57" t="s">
        <v>10791</v>
      </c>
      <c r="C119" s="57" t="s">
        <v>11078</v>
      </c>
      <c r="D119" s="57" t="s">
        <v>10623</v>
      </c>
      <c r="E119" s="57" t="s">
        <v>10431</v>
      </c>
      <c r="F119" s="57" t="s">
        <v>10740</v>
      </c>
      <c r="G119" s="57" t="s">
        <v>10741</v>
      </c>
      <c r="H119" s="57" t="s">
        <v>11079</v>
      </c>
      <c r="I119" s="57" t="s">
        <v>10577</v>
      </c>
      <c r="J119" s="57" t="s">
        <v>11080</v>
      </c>
      <c r="K119" s="57" t="s">
        <v>10795</v>
      </c>
    </row>
    <row r="120" spans="1:11" ht="60" customHeight="1">
      <c r="A120" s="57" t="s">
        <v>11081</v>
      </c>
      <c r="B120" s="57" t="s">
        <v>10791</v>
      </c>
      <c r="C120" s="57" t="s">
        <v>11082</v>
      </c>
      <c r="D120" s="57" t="s">
        <v>10623</v>
      </c>
      <c r="E120" s="57" t="s">
        <v>10431</v>
      </c>
      <c r="F120" s="57" t="s">
        <v>10740</v>
      </c>
      <c r="G120" s="57" t="s">
        <v>10745</v>
      </c>
      <c r="H120" s="57" t="s">
        <v>11083</v>
      </c>
      <c r="I120" s="57" t="s">
        <v>10577</v>
      </c>
      <c r="J120" s="57" t="s">
        <v>11084</v>
      </c>
      <c r="K120" s="57" t="s">
        <v>10795</v>
      </c>
    </row>
    <row r="121" spans="1:11" ht="60" customHeight="1">
      <c r="A121" s="57" t="s">
        <v>11085</v>
      </c>
      <c r="B121" s="57" t="s">
        <v>10791</v>
      </c>
      <c r="C121" s="57" t="s">
        <v>11086</v>
      </c>
      <c r="D121" s="57" t="s">
        <v>10623</v>
      </c>
      <c r="E121" s="57" t="s">
        <v>10431</v>
      </c>
      <c r="F121" s="57" t="s">
        <v>10749</v>
      </c>
      <c r="G121" s="57" t="s">
        <v>10750</v>
      </c>
      <c r="H121" s="57" t="s">
        <v>11087</v>
      </c>
      <c r="I121" s="57" t="s">
        <v>10577</v>
      </c>
      <c r="J121" s="57" t="s">
        <v>11088</v>
      </c>
      <c r="K121" s="57" t="s">
        <v>10795</v>
      </c>
    </row>
    <row r="122" spans="1:11" ht="60" customHeight="1">
      <c r="A122" s="57" t="s">
        <v>11089</v>
      </c>
      <c r="B122" s="57" t="s">
        <v>10791</v>
      </c>
      <c r="C122" s="57" t="s">
        <v>11090</v>
      </c>
      <c r="D122" s="57" t="s">
        <v>10623</v>
      </c>
      <c r="E122" s="57" t="s">
        <v>10431</v>
      </c>
      <c r="F122" s="57" t="s">
        <v>10749</v>
      </c>
      <c r="G122" s="57" t="s">
        <v>10750</v>
      </c>
      <c r="H122" s="57" t="s">
        <v>11091</v>
      </c>
      <c r="I122" s="57" t="s">
        <v>10577</v>
      </c>
      <c r="J122" s="57" t="s">
        <v>11092</v>
      </c>
      <c r="K122" s="57" t="s">
        <v>10795</v>
      </c>
    </row>
    <row r="123" spans="1:11" ht="60" customHeight="1">
      <c r="A123" s="57" t="s">
        <v>11093</v>
      </c>
      <c r="B123" s="57" t="s">
        <v>10791</v>
      </c>
      <c r="C123" s="57" t="s">
        <v>11094</v>
      </c>
      <c r="D123" s="57" t="s">
        <v>10623</v>
      </c>
      <c r="E123" s="57" t="s">
        <v>10431</v>
      </c>
      <c r="F123" s="57" t="s">
        <v>10749</v>
      </c>
      <c r="G123" s="57" t="s">
        <v>10750</v>
      </c>
      <c r="H123" s="57" t="s">
        <v>11095</v>
      </c>
      <c r="I123" s="57" t="s">
        <v>10577</v>
      </c>
      <c r="J123" s="57" t="s">
        <v>11096</v>
      </c>
      <c r="K123" s="57" t="s">
        <v>10795</v>
      </c>
    </row>
    <row r="124" spans="1:11" ht="60" customHeight="1">
      <c r="A124" s="57" t="s">
        <v>11097</v>
      </c>
      <c r="B124" s="57" t="s">
        <v>10791</v>
      </c>
      <c r="C124" s="57" t="s">
        <v>11098</v>
      </c>
      <c r="D124" s="57" t="s">
        <v>1058</v>
      </c>
      <c r="E124" s="57" t="s">
        <v>240</v>
      </c>
      <c r="F124" s="57" t="s">
        <v>186</v>
      </c>
      <c r="G124" s="57" t="s">
        <v>10754</v>
      </c>
      <c r="H124" s="57" t="s">
        <v>11099</v>
      </c>
      <c r="I124" s="57" t="s">
        <v>10577</v>
      </c>
      <c r="J124" s="57" t="s">
        <v>11100</v>
      </c>
      <c r="K124" s="57" t="s">
        <v>10795</v>
      </c>
    </row>
    <row r="125" spans="1:11" ht="60" customHeight="1">
      <c r="A125" s="57" t="s">
        <v>11101</v>
      </c>
      <c r="B125" s="57" t="s">
        <v>10791</v>
      </c>
      <c r="C125" s="57" t="s">
        <v>11102</v>
      </c>
      <c r="D125" s="57" t="s">
        <v>1058</v>
      </c>
      <c r="E125" s="57" t="s">
        <v>240</v>
      </c>
      <c r="F125" s="57" t="s">
        <v>186</v>
      </c>
      <c r="G125" s="57" t="s">
        <v>10758</v>
      </c>
      <c r="H125" s="57" t="s">
        <v>11103</v>
      </c>
      <c r="I125" s="57" t="s">
        <v>10577</v>
      </c>
      <c r="J125" s="57" t="s">
        <v>11104</v>
      </c>
      <c r="K125" s="57" t="s">
        <v>10795</v>
      </c>
    </row>
    <row r="126" spans="1:11" ht="60" customHeight="1">
      <c r="A126" s="57" t="s">
        <v>11105</v>
      </c>
      <c r="B126" s="57" t="s">
        <v>10791</v>
      </c>
      <c r="C126" s="57" t="s">
        <v>11106</v>
      </c>
      <c r="D126" s="57" t="s">
        <v>10623</v>
      </c>
      <c r="E126" s="57" t="s">
        <v>10431</v>
      </c>
      <c r="F126" s="57" t="s">
        <v>10762</v>
      </c>
      <c r="G126" s="57" t="s">
        <v>10763</v>
      </c>
      <c r="H126" s="57" t="s">
        <v>11107</v>
      </c>
      <c r="I126" s="57" t="s">
        <v>10577</v>
      </c>
      <c r="J126" s="57" t="s">
        <v>11108</v>
      </c>
      <c r="K126" s="57" t="s">
        <v>10795</v>
      </c>
    </row>
    <row r="127" spans="1:11" ht="60" customHeight="1">
      <c r="A127" s="57" t="s">
        <v>11109</v>
      </c>
      <c r="B127" s="57" t="s">
        <v>10791</v>
      </c>
      <c r="C127" s="57" t="s">
        <v>11110</v>
      </c>
      <c r="D127" s="57" t="s">
        <v>10623</v>
      </c>
      <c r="E127" s="57" t="s">
        <v>10431</v>
      </c>
      <c r="F127" s="57" t="s">
        <v>10762</v>
      </c>
      <c r="G127" s="57" t="s">
        <v>10763</v>
      </c>
      <c r="H127" s="57" t="s">
        <v>11111</v>
      </c>
      <c r="I127" s="57" t="s">
        <v>10577</v>
      </c>
      <c r="J127" s="57" t="s">
        <v>11112</v>
      </c>
      <c r="K127" s="57" t="s">
        <v>10795</v>
      </c>
    </row>
    <row r="128" spans="1:11" ht="60" customHeight="1">
      <c r="A128" s="57" t="s">
        <v>11113</v>
      </c>
      <c r="B128" s="57" t="s">
        <v>10791</v>
      </c>
      <c r="C128" s="57" t="s">
        <v>11114</v>
      </c>
      <c r="D128" s="57" t="s">
        <v>1058</v>
      </c>
      <c r="E128" s="57" t="s">
        <v>240</v>
      </c>
      <c r="F128" s="57" t="s">
        <v>188</v>
      </c>
      <c r="G128" s="57" t="s">
        <v>10767</v>
      </c>
      <c r="H128" s="57" t="s">
        <v>11115</v>
      </c>
      <c r="I128" s="57" t="s">
        <v>10577</v>
      </c>
      <c r="J128" s="57" t="s">
        <v>11116</v>
      </c>
      <c r="K128" s="57" t="s">
        <v>10795</v>
      </c>
    </row>
    <row r="129" spans="1:11" ht="60" customHeight="1">
      <c r="A129" s="57" t="s">
        <v>11117</v>
      </c>
      <c r="B129" s="57" t="s">
        <v>10791</v>
      </c>
      <c r="C129" s="57" t="s">
        <v>11118</v>
      </c>
      <c r="D129" s="57" t="s">
        <v>1058</v>
      </c>
      <c r="E129" s="57" t="s">
        <v>240</v>
      </c>
      <c r="F129" s="57" t="s">
        <v>187</v>
      </c>
      <c r="G129" s="57" t="s">
        <v>10771</v>
      </c>
      <c r="H129" s="57" t="s">
        <v>11119</v>
      </c>
      <c r="I129" s="57" t="s">
        <v>10577</v>
      </c>
      <c r="J129" s="57" t="s">
        <v>11120</v>
      </c>
      <c r="K129" s="57" t="s">
        <v>10795</v>
      </c>
    </row>
    <row r="130" spans="1:11" ht="60" customHeight="1">
      <c r="A130" s="57" t="s">
        <v>11121</v>
      </c>
      <c r="B130" s="57" t="s">
        <v>10791</v>
      </c>
      <c r="C130" s="57" t="s">
        <v>11122</v>
      </c>
      <c r="D130" s="57" t="s">
        <v>1058</v>
      </c>
      <c r="E130" s="57" t="s">
        <v>240</v>
      </c>
      <c r="F130" s="57" t="s">
        <v>187</v>
      </c>
      <c r="G130" s="57" t="s">
        <v>10771</v>
      </c>
      <c r="H130" s="57" t="s">
        <v>11123</v>
      </c>
      <c r="I130" s="57" t="s">
        <v>10577</v>
      </c>
      <c r="J130" s="57" t="s">
        <v>11124</v>
      </c>
      <c r="K130" s="57" t="s">
        <v>10795</v>
      </c>
    </row>
    <row r="131" spans="1:11" ht="60" customHeight="1">
      <c r="A131" s="57" t="s">
        <v>11125</v>
      </c>
      <c r="B131" s="57" t="s">
        <v>10791</v>
      </c>
      <c r="C131" s="57" t="s">
        <v>11126</v>
      </c>
      <c r="D131" s="57" t="s">
        <v>1058</v>
      </c>
      <c r="E131" s="57" t="s">
        <v>240</v>
      </c>
      <c r="F131" s="57" t="s">
        <v>187</v>
      </c>
      <c r="G131" s="57" t="s">
        <v>10771</v>
      </c>
      <c r="H131" s="57" t="s">
        <v>11127</v>
      </c>
      <c r="I131" s="57" t="s">
        <v>10577</v>
      </c>
      <c r="J131" s="57" t="s">
        <v>11128</v>
      </c>
      <c r="K131" s="57" t="s">
        <v>10795</v>
      </c>
    </row>
    <row r="132" spans="1:11" ht="60" customHeight="1">
      <c r="A132" s="57" t="s">
        <v>11129</v>
      </c>
      <c r="B132" s="57" t="s">
        <v>10845</v>
      </c>
      <c r="C132" s="57" t="s">
        <v>11130</v>
      </c>
      <c r="D132" s="57" t="s">
        <v>449</v>
      </c>
      <c r="E132" s="57" t="s">
        <v>238</v>
      </c>
      <c r="F132" s="57" t="s">
        <v>10581</v>
      </c>
      <c r="G132" s="57" t="s">
        <v>10777</v>
      </c>
      <c r="H132" s="57" t="s">
        <v>11131</v>
      </c>
      <c r="I132" s="57" t="s">
        <v>10577</v>
      </c>
      <c r="J132" s="57" t="s">
        <v>11132</v>
      </c>
      <c r="K132" s="57" t="s">
        <v>10795</v>
      </c>
    </row>
    <row r="133" spans="1:11" ht="60" customHeight="1">
      <c r="A133" s="57" t="s">
        <v>11133</v>
      </c>
      <c r="B133" s="57" t="s">
        <v>10791</v>
      </c>
      <c r="C133" s="57" t="s">
        <v>11134</v>
      </c>
      <c r="D133" s="57" t="s">
        <v>1058</v>
      </c>
      <c r="E133" s="57" t="s">
        <v>240</v>
      </c>
      <c r="F133" s="57" t="s">
        <v>194</v>
      </c>
      <c r="G133" s="57" t="s">
        <v>10783</v>
      </c>
      <c r="H133" s="57" t="s">
        <v>11135</v>
      </c>
      <c r="I133" s="57" t="s">
        <v>10577</v>
      </c>
      <c r="J133" s="57" t="s">
        <v>11136</v>
      </c>
      <c r="K133" s="57" t="s">
        <v>10795</v>
      </c>
    </row>
    <row r="134" spans="1:11" ht="60" customHeight="1">
      <c r="A134" s="57" t="s">
        <v>11137</v>
      </c>
      <c r="B134" s="57" t="s">
        <v>10845</v>
      </c>
      <c r="C134" s="57" t="s">
        <v>11138</v>
      </c>
      <c r="D134" s="57" t="s">
        <v>1058</v>
      </c>
      <c r="E134" s="57" t="s">
        <v>240</v>
      </c>
      <c r="F134" s="57" t="s">
        <v>194</v>
      </c>
      <c r="G134" s="57" t="s">
        <v>10789</v>
      </c>
      <c r="H134" s="57" t="s">
        <v>11139</v>
      </c>
      <c r="I134" s="57" t="s">
        <v>10577</v>
      </c>
      <c r="J134" s="57" t="s">
        <v>11140</v>
      </c>
      <c r="K134" s="57" t="s">
        <v>10795</v>
      </c>
    </row>
    <row r="135" spans="1:11" ht="60" customHeight="1">
      <c r="A135" s="57" t="s">
        <v>11141</v>
      </c>
      <c r="B135" s="57" t="s">
        <v>11142</v>
      </c>
      <c r="C135" s="57" t="s">
        <v>11143</v>
      </c>
      <c r="D135" s="57" t="s">
        <v>10623</v>
      </c>
      <c r="E135" s="57" t="s">
        <v>10431</v>
      </c>
      <c r="F135" s="57" t="s">
        <v>11144</v>
      </c>
      <c r="G135" s="57" t="s">
        <v>11145</v>
      </c>
      <c r="H135" s="57" t="s">
        <v>11141</v>
      </c>
      <c r="I135" s="57" t="s">
        <v>10577</v>
      </c>
      <c r="J135" s="57" t="s">
        <v>11146</v>
      </c>
      <c r="K135" s="57" t="s">
        <v>10779</v>
      </c>
    </row>
    <row r="136" spans="1:11" ht="60" customHeight="1">
      <c r="A136" s="57" t="s">
        <v>11147</v>
      </c>
      <c r="B136" s="57" t="s">
        <v>11142</v>
      </c>
      <c r="C136" s="57" t="s">
        <v>11148</v>
      </c>
      <c r="D136" s="57" t="s">
        <v>10623</v>
      </c>
      <c r="E136" s="57" t="s">
        <v>10431</v>
      </c>
      <c r="F136" s="57" t="s">
        <v>11144</v>
      </c>
      <c r="G136" s="57" t="s">
        <v>11145</v>
      </c>
      <c r="H136" s="57" t="s">
        <v>11147</v>
      </c>
      <c r="I136" s="57" t="s">
        <v>10577</v>
      </c>
      <c r="J136" s="57" t="s">
        <v>11146</v>
      </c>
      <c r="K136" s="57" t="s">
        <v>10779</v>
      </c>
    </row>
    <row r="137" spans="1:11" ht="60" customHeight="1">
      <c r="A137" s="57" t="s">
        <v>11149</v>
      </c>
      <c r="B137" s="57" t="s">
        <v>11142</v>
      </c>
      <c r="C137" s="57" t="s">
        <v>11150</v>
      </c>
      <c r="D137" s="57" t="s">
        <v>10623</v>
      </c>
      <c r="E137" s="57" t="s">
        <v>10431</v>
      </c>
      <c r="F137" s="57" t="s">
        <v>11144</v>
      </c>
      <c r="G137" s="57" t="s">
        <v>11145</v>
      </c>
      <c r="H137" s="57" t="s">
        <v>11149</v>
      </c>
      <c r="I137" s="57" t="s">
        <v>10577</v>
      </c>
      <c r="J137" s="57" t="s">
        <v>11146</v>
      </c>
      <c r="K137" s="57" t="s">
        <v>10779</v>
      </c>
    </row>
    <row r="138" spans="1:11" ht="60" customHeight="1">
      <c r="A138" s="57" t="s">
        <v>11151</v>
      </c>
      <c r="B138" s="57" t="s">
        <v>11142</v>
      </c>
      <c r="C138" s="57" t="s">
        <v>11152</v>
      </c>
      <c r="D138" s="57" t="s">
        <v>10623</v>
      </c>
      <c r="E138" s="57" t="s">
        <v>10431</v>
      </c>
      <c r="F138" s="57" t="s">
        <v>11144</v>
      </c>
      <c r="G138" s="57" t="s">
        <v>11153</v>
      </c>
      <c r="H138" s="57" t="s">
        <v>11151</v>
      </c>
      <c r="I138" s="57" t="s">
        <v>10577</v>
      </c>
      <c r="J138" s="57" t="s">
        <v>11146</v>
      </c>
      <c r="K138" s="57" t="s">
        <v>10779</v>
      </c>
    </row>
    <row r="139" spans="1:11" ht="60" customHeight="1">
      <c r="A139" s="57" t="s">
        <v>11154</v>
      </c>
      <c r="B139" s="57" t="s">
        <v>11142</v>
      </c>
      <c r="C139" s="57" t="s">
        <v>11155</v>
      </c>
      <c r="D139" s="57" t="s">
        <v>10623</v>
      </c>
      <c r="E139" s="57" t="s">
        <v>10431</v>
      </c>
      <c r="F139" s="57" t="s">
        <v>11144</v>
      </c>
      <c r="G139" s="57" t="s">
        <v>11153</v>
      </c>
      <c r="H139" s="57" t="s">
        <v>11154</v>
      </c>
      <c r="I139" s="57" t="s">
        <v>10577</v>
      </c>
      <c r="J139" s="57" t="s">
        <v>11146</v>
      </c>
      <c r="K139" s="57" t="s">
        <v>10779</v>
      </c>
    </row>
    <row r="140" spans="1:11" ht="60" customHeight="1">
      <c r="A140" s="57" t="s">
        <v>11156</v>
      </c>
      <c r="B140" s="57" t="s">
        <v>11142</v>
      </c>
      <c r="C140" s="57" t="s">
        <v>11157</v>
      </c>
      <c r="D140" s="57" t="s">
        <v>10623</v>
      </c>
      <c r="E140" s="57" t="s">
        <v>10431</v>
      </c>
      <c r="F140" s="57" t="s">
        <v>11144</v>
      </c>
      <c r="G140" s="57" t="s">
        <v>11153</v>
      </c>
      <c r="H140" s="57" t="s">
        <v>11156</v>
      </c>
      <c r="I140" s="57" t="s">
        <v>10577</v>
      </c>
      <c r="J140" s="57" t="s">
        <v>11146</v>
      </c>
      <c r="K140" s="57" t="s">
        <v>10779</v>
      </c>
    </row>
    <row r="141" spans="1:11" ht="60" customHeight="1">
      <c r="A141" s="57" t="s">
        <v>11158</v>
      </c>
      <c r="B141" s="57" t="s">
        <v>11142</v>
      </c>
      <c r="C141" s="57" t="s">
        <v>11159</v>
      </c>
      <c r="D141" s="57" t="s">
        <v>10623</v>
      </c>
      <c r="E141" s="57" t="s">
        <v>10431</v>
      </c>
      <c r="F141" s="57" t="s">
        <v>11144</v>
      </c>
      <c r="G141" s="57" t="s">
        <v>11153</v>
      </c>
      <c r="H141" s="57" t="s">
        <v>11158</v>
      </c>
      <c r="I141" s="57" t="s">
        <v>10577</v>
      </c>
      <c r="J141" s="57" t="s">
        <v>11146</v>
      </c>
      <c r="K141" s="57" t="s">
        <v>10779</v>
      </c>
    </row>
    <row r="142" spans="1:11" ht="60" customHeight="1">
      <c r="A142" s="57" t="s">
        <v>11160</v>
      </c>
      <c r="B142" s="57" t="s">
        <v>11142</v>
      </c>
      <c r="C142" s="57" t="s">
        <v>11161</v>
      </c>
      <c r="D142" s="57" t="s">
        <v>10623</v>
      </c>
      <c r="E142" s="57" t="s">
        <v>10431</v>
      </c>
      <c r="F142" s="57" t="s">
        <v>11144</v>
      </c>
      <c r="G142" s="57" t="s">
        <v>11153</v>
      </c>
      <c r="H142" s="57" t="s">
        <v>11160</v>
      </c>
      <c r="I142" s="57" t="s">
        <v>10577</v>
      </c>
      <c r="J142" s="57" t="s">
        <v>11146</v>
      </c>
      <c r="K142" s="57" t="s">
        <v>10779</v>
      </c>
    </row>
    <row r="143" spans="1:11" ht="60" customHeight="1">
      <c r="A143" s="57" t="s">
        <v>11162</v>
      </c>
      <c r="B143" s="57" t="s">
        <v>11142</v>
      </c>
      <c r="C143" s="57" t="s">
        <v>11163</v>
      </c>
      <c r="D143" s="57" t="s">
        <v>10623</v>
      </c>
      <c r="E143" s="57" t="s">
        <v>10431</v>
      </c>
      <c r="F143" s="57" t="s">
        <v>11144</v>
      </c>
      <c r="G143" s="57" t="s">
        <v>11153</v>
      </c>
      <c r="H143" s="57" t="s">
        <v>11162</v>
      </c>
      <c r="I143" s="57" t="s">
        <v>10577</v>
      </c>
      <c r="J143" s="57" t="s">
        <v>11146</v>
      </c>
      <c r="K143" s="57" t="s">
        <v>10779</v>
      </c>
    </row>
    <row r="144" spans="1:11" ht="60" customHeight="1">
      <c r="A144" s="57" t="s">
        <v>11164</v>
      </c>
      <c r="B144" s="57" t="s">
        <v>11142</v>
      </c>
      <c r="C144" s="57" t="s">
        <v>11165</v>
      </c>
      <c r="D144" s="57" t="s">
        <v>10623</v>
      </c>
      <c r="E144" s="57" t="s">
        <v>10431</v>
      </c>
      <c r="F144" s="57" t="s">
        <v>11144</v>
      </c>
      <c r="G144" s="57" t="s">
        <v>11153</v>
      </c>
      <c r="H144" s="57" t="s">
        <v>11164</v>
      </c>
      <c r="I144" s="57" t="s">
        <v>10577</v>
      </c>
      <c r="J144" s="57" t="s">
        <v>11146</v>
      </c>
      <c r="K144" s="57" t="s">
        <v>10779</v>
      </c>
    </row>
    <row r="145" spans="1:11" ht="60" customHeight="1">
      <c r="A145" s="57" t="s">
        <v>11166</v>
      </c>
      <c r="B145" s="57" t="s">
        <v>11142</v>
      </c>
      <c r="C145" s="57" t="s">
        <v>11167</v>
      </c>
      <c r="D145" s="57" t="s">
        <v>10623</v>
      </c>
      <c r="E145" s="57" t="s">
        <v>10431</v>
      </c>
      <c r="F145" s="57" t="s">
        <v>11144</v>
      </c>
      <c r="G145" s="57" t="s">
        <v>11153</v>
      </c>
      <c r="H145" s="57" t="s">
        <v>11166</v>
      </c>
      <c r="I145" s="57" t="s">
        <v>10577</v>
      </c>
      <c r="J145" s="57" t="s">
        <v>11146</v>
      </c>
      <c r="K145" s="57" t="s">
        <v>10779</v>
      </c>
    </row>
    <row r="146" spans="1:11" ht="60" customHeight="1">
      <c r="A146" s="57" t="s">
        <v>11168</v>
      </c>
      <c r="B146" s="57" t="s">
        <v>11142</v>
      </c>
      <c r="C146" s="57" t="s">
        <v>11169</v>
      </c>
      <c r="D146" s="57" t="s">
        <v>10623</v>
      </c>
      <c r="E146" s="57" t="s">
        <v>10431</v>
      </c>
      <c r="F146" s="57" t="s">
        <v>11144</v>
      </c>
      <c r="G146" s="57" t="s">
        <v>11153</v>
      </c>
      <c r="H146" s="57" t="s">
        <v>11168</v>
      </c>
      <c r="I146" s="57" t="s">
        <v>10577</v>
      </c>
      <c r="J146" s="57" t="s">
        <v>11146</v>
      </c>
      <c r="K146" s="57" t="s">
        <v>10779</v>
      </c>
    </row>
    <row r="147" spans="1:11" ht="60" customHeight="1">
      <c r="A147" s="57" t="s">
        <v>11170</v>
      </c>
      <c r="B147" s="57" t="s">
        <v>11142</v>
      </c>
      <c r="C147" s="57" t="s">
        <v>11171</v>
      </c>
      <c r="D147" s="57" t="s">
        <v>10623</v>
      </c>
      <c r="E147" s="57" t="s">
        <v>10431</v>
      </c>
      <c r="F147" s="57" t="s">
        <v>11144</v>
      </c>
      <c r="G147" s="57" t="s">
        <v>11153</v>
      </c>
      <c r="H147" s="57" t="s">
        <v>11170</v>
      </c>
      <c r="I147" s="57" t="s">
        <v>10577</v>
      </c>
      <c r="J147" s="57" t="s">
        <v>11146</v>
      </c>
      <c r="K147" s="57" t="s">
        <v>10779</v>
      </c>
    </row>
    <row r="148" spans="1:11" ht="60" customHeight="1">
      <c r="A148" s="57" t="s">
        <v>11172</v>
      </c>
      <c r="B148" s="57" t="s">
        <v>11142</v>
      </c>
      <c r="C148" s="57" t="s">
        <v>11173</v>
      </c>
      <c r="D148" s="57" t="s">
        <v>10623</v>
      </c>
      <c r="E148" s="57" t="s">
        <v>10431</v>
      </c>
      <c r="F148" s="57" t="s">
        <v>11144</v>
      </c>
      <c r="G148" s="57" t="s">
        <v>11153</v>
      </c>
      <c r="H148" s="57" t="s">
        <v>11172</v>
      </c>
      <c r="I148" s="57" t="s">
        <v>10577</v>
      </c>
      <c r="J148" s="57" t="s">
        <v>11146</v>
      </c>
      <c r="K148" s="57" t="s">
        <v>10779</v>
      </c>
    </row>
    <row r="149" spans="1:11" ht="60" customHeight="1">
      <c r="A149" s="57" t="s">
        <v>11174</v>
      </c>
      <c r="B149" s="57" t="s">
        <v>11142</v>
      </c>
      <c r="C149" s="57" t="s">
        <v>11175</v>
      </c>
      <c r="D149" s="57" t="s">
        <v>10623</v>
      </c>
      <c r="E149" s="57" t="s">
        <v>10431</v>
      </c>
      <c r="F149" s="57" t="s">
        <v>11144</v>
      </c>
      <c r="G149" s="57" t="s">
        <v>11153</v>
      </c>
      <c r="H149" s="57" t="s">
        <v>11174</v>
      </c>
      <c r="I149" s="57" t="s">
        <v>10577</v>
      </c>
      <c r="J149" s="57" t="s">
        <v>11146</v>
      </c>
      <c r="K149" s="57" t="s">
        <v>10779</v>
      </c>
    </row>
    <row r="150" spans="1:11" ht="60" customHeight="1">
      <c r="A150" s="57" t="s">
        <v>11176</v>
      </c>
      <c r="B150" s="57" t="s">
        <v>11142</v>
      </c>
      <c r="C150" s="57" t="s">
        <v>11177</v>
      </c>
      <c r="D150" s="57" t="s">
        <v>10623</v>
      </c>
      <c r="E150" s="57" t="s">
        <v>10431</v>
      </c>
      <c r="F150" s="57" t="s">
        <v>11144</v>
      </c>
      <c r="G150" s="57" t="s">
        <v>11153</v>
      </c>
      <c r="H150" s="57" t="s">
        <v>11176</v>
      </c>
      <c r="I150" s="57" t="s">
        <v>10577</v>
      </c>
      <c r="J150" s="57" t="s">
        <v>11146</v>
      </c>
      <c r="K150" s="57" t="s">
        <v>10779</v>
      </c>
    </row>
    <row r="151" spans="1:11" ht="60" customHeight="1">
      <c r="A151" s="57" t="s">
        <v>11178</v>
      </c>
      <c r="B151" s="57" t="s">
        <v>11142</v>
      </c>
      <c r="C151" s="57" t="s">
        <v>11179</v>
      </c>
      <c r="D151" s="57" t="s">
        <v>10623</v>
      </c>
      <c r="E151" s="57" t="s">
        <v>10431</v>
      </c>
      <c r="F151" s="57" t="s">
        <v>11144</v>
      </c>
      <c r="G151" s="57" t="s">
        <v>11180</v>
      </c>
      <c r="H151" s="57" t="s">
        <v>11178</v>
      </c>
      <c r="I151" s="57" t="s">
        <v>10577</v>
      </c>
      <c r="J151" s="57" t="s">
        <v>11146</v>
      </c>
      <c r="K151" s="57" t="s">
        <v>10779</v>
      </c>
    </row>
    <row r="152" spans="1:11" ht="60" customHeight="1">
      <c r="A152" s="57" t="s">
        <v>11181</v>
      </c>
      <c r="B152" s="57" t="s">
        <v>11142</v>
      </c>
      <c r="C152" s="57" t="s">
        <v>11182</v>
      </c>
      <c r="D152" s="57" t="s">
        <v>10623</v>
      </c>
      <c r="E152" s="57" t="s">
        <v>10431</v>
      </c>
      <c r="F152" s="57" t="s">
        <v>11144</v>
      </c>
      <c r="G152" s="57" t="s">
        <v>11180</v>
      </c>
      <c r="H152" s="57" t="s">
        <v>11181</v>
      </c>
      <c r="I152" s="57" t="s">
        <v>10577</v>
      </c>
      <c r="J152" s="57" t="s">
        <v>11146</v>
      </c>
      <c r="K152" s="57" t="s">
        <v>10779</v>
      </c>
    </row>
    <row r="153" spans="1:11" ht="60" customHeight="1">
      <c r="A153" s="57" t="s">
        <v>11183</v>
      </c>
      <c r="B153" s="57" t="s">
        <v>11142</v>
      </c>
      <c r="C153" s="57" t="s">
        <v>11184</v>
      </c>
      <c r="D153" s="57" t="s">
        <v>10623</v>
      </c>
      <c r="E153" s="57" t="s">
        <v>10431</v>
      </c>
      <c r="F153" s="57" t="s">
        <v>11144</v>
      </c>
      <c r="G153" s="57" t="s">
        <v>11180</v>
      </c>
      <c r="H153" s="57" t="s">
        <v>11183</v>
      </c>
      <c r="I153" s="57" t="s">
        <v>10577</v>
      </c>
      <c r="J153" s="57" t="s">
        <v>11146</v>
      </c>
      <c r="K153" s="57" t="s">
        <v>10779</v>
      </c>
    </row>
    <row r="154" spans="1:11" ht="60" customHeight="1">
      <c r="A154" s="57" t="s">
        <v>11185</v>
      </c>
      <c r="B154" s="57" t="s">
        <v>11142</v>
      </c>
      <c r="C154" s="57" t="s">
        <v>11186</v>
      </c>
      <c r="D154" s="57" t="s">
        <v>10623</v>
      </c>
      <c r="E154" s="57" t="s">
        <v>10431</v>
      </c>
      <c r="F154" s="57" t="s">
        <v>11144</v>
      </c>
      <c r="G154" s="57" t="s">
        <v>11180</v>
      </c>
      <c r="H154" s="57" t="s">
        <v>11185</v>
      </c>
      <c r="I154" s="57" t="s">
        <v>10577</v>
      </c>
      <c r="J154" s="57" t="s">
        <v>11146</v>
      </c>
      <c r="K154" s="57" t="s">
        <v>10779</v>
      </c>
    </row>
    <row r="155" spans="1:11" ht="60" customHeight="1">
      <c r="A155" s="57" t="s">
        <v>11187</v>
      </c>
      <c r="B155" s="57" t="s">
        <v>11142</v>
      </c>
      <c r="C155" s="57" t="s">
        <v>11188</v>
      </c>
      <c r="D155" s="57" t="s">
        <v>10623</v>
      </c>
      <c r="E155" s="57" t="s">
        <v>10431</v>
      </c>
      <c r="F155" s="57" t="s">
        <v>11144</v>
      </c>
      <c r="G155" s="57" t="s">
        <v>11180</v>
      </c>
      <c r="H155" s="57" t="s">
        <v>11187</v>
      </c>
      <c r="I155" s="57" t="s">
        <v>10577</v>
      </c>
      <c r="J155" s="57" t="s">
        <v>11146</v>
      </c>
      <c r="K155" s="57" t="s">
        <v>10779</v>
      </c>
    </row>
    <row r="156" spans="1:11" ht="60" customHeight="1">
      <c r="A156" s="57" t="s">
        <v>11189</v>
      </c>
      <c r="B156" s="57" t="s">
        <v>11142</v>
      </c>
      <c r="C156" s="57" t="s">
        <v>11190</v>
      </c>
      <c r="D156" s="57" t="s">
        <v>10623</v>
      </c>
      <c r="E156" s="57" t="s">
        <v>10431</v>
      </c>
      <c r="F156" s="57" t="s">
        <v>11144</v>
      </c>
      <c r="G156" s="57" t="s">
        <v>11180</v>
      </c>
      <c r="H156" s="57" t="s">
        <v>11189</v>
      </c>
      <c r="I156" s="57" t="s">
        <v>10577</v>
      </c>
      <c r="J156" s="57" t="s">
        <v>11146</v>
      </c>
      <c r="K156" s="57" t="s">
        <v>10779</v>
      </c>
    </row>
    <row r="157" spans="1:11" ht="60" customHeight="1">
      <c r="A157" s="57" t="s">
        <v>11191</v>
      </c>
      <c r="B157" s="57" t="s">
        <v>11142</v>
      </c>
      <c r="C157" s="57" t="s">
        <v>11192</v>
      </c>
      <c r="D157" s="57" t="s">
        <v>10623</v>
      </c>
      <c r="E157" s="57" t="s">
        <v>10431</v>
      </c>
      <c r="F157" s="57" t="s">
        <v>11144</v>
      </c>
      <c r="G157" s="57" t="s">
        <v>11180</v>
      </c>
      <c r="H157" s="57" t="s">
        <v>11191</v>
      </c>
      <c r="I157" s="57" t="s">
        <v>10577</v>
      </c>
      <c r="J157" s="57" t="s">
        <v>11146</v>
      </c>
      <c r="K157" s="57" t="s">
        <v>10779</v>
      </c>
    </row>
    <row r="158" spans="1:11" ht="60" customHeight="1">
      <c r="A158" s="57" t="s">
        <v>11193</v>
      </c>
      <c r="B158" s="57" t="s">
        <v>11142</v>
      </c>
      <c r="C158" s="57" t="s">
        <v>11194</v>
      </c>
      <c r="D158" s="57" t="s">
        <v>10623</v>
      </c>
      <c r="E158" s="57" t="s">
        <v>10431</v>
      </c>
      <c r="F158" s="57" t="s">
        <v>11144</v>
      </c>
      <c r="G158" s="57" t="s">
        <v>11195</v>
      </c>
      <c r="H158" s="57" t="s">
        <v>11193</v>
      </c>
      <c r="I158" s="57" t="s">
        <v>10577</v>
      </c>
      <c r="J158" s="57" t="s">
        <v>11146</v>
      </c>
      <c r="K158" s="57" t="s">
        <v>10779</v>
      </c>
    </row>
    <row r="159" spans="1:11" ht="60" customHeight="1">
      <c r="A159" s="57" t="s">
        <v>11196</v>
      </c>
      <c r="B159" s="57" t="s">
        <v>11142</v>
      </c>
      <c r="C159" s="57" t="s">
        <v>11197</v>
      </c>
      <c r="D159" s="57" t="s">
        <v>10623</v>
      </c>
      <c r="E159" s="57" t="s">
        <v>10431</v>
      </c>
      <c r="F159" s="57" t="s">
        <v>11144</v>
      </c>
      <c r="G159" s="57" t="s">
        <v>11195</v>
      </c>
      <c r="H159" s="57" t="s">
        <v>11196</v>
      </c>
      <c r="I159" s="57" t="s">
        <v>10577</v>
      </c>
      <c r="J159" s="57" t="s">
        <v>11146</v>
      </c>
      <c r="K159" s="57" t="s">
        <v>10779</v>
      </c>
    </row>
    <row r="160" spans="1:11" ht="60" customHeight="1">
      <c r="A160" s="57" t="s">
        <v>11198</v>
      </c>
      <c r="B160" s="57" t="s">
        <v>11142</v>
      </c>
      <c r="C160" s="57" t="s">
        <v>11199</v>
      </c>
      <c r="D160" s="57" t="s">
        <v>10623</v>
      </c>
      <c r="E160" s="57" t="s">
        <v>10431</v>
      </c>
      <c r="F160" s="57" t="s">
        <v>11144</v>
      </c>
      <c r="G160" s="57" t="s">
        <v>11195</v>
      </c>
      <c r="H160" s="57" t="s">
        <v>11198</v>
      </c>
      <c r="I160" s="57" t="s">
        <v>10577</v>
      </c>
      <c r="J160" s="57" t="s">
        <v>11146</v>
      </c>
      <c r="K160" s="57" t="s">
        <v>10779</v>
      </c>
    </row>
    <row r="161" spans="1:11" ht="60" customHeight="1">
      <c r="A161" s="57" t="s">
        <v>11200</v>
      </c>
      <c r="B161" s="57" t="s">
        <v>11142</v>
      </c>
      <c r="C161" s="57" t="s">
        <v>11201</v>
      </c>
      <c r="D161" s="57" t="s">
        <v>10623</v>
      </c>
      <c r="E161" s="57" t="s">
        <v>10431</v>
      </c>
      <c r="F161" s="57" t="s">
        <v>11144</v>
      </c>
      <c r="G161" s="57" t="s">
        <v>11195</v>
      </c>
      <c r="H161" s="57" t="s">
        <v>11200</v>
      </c>
      <c r="I161" s="57" t="s">
        <v>10577</v>
      </c>
      <c r="J161" s="57" t="s">
        <v>11146</v>
      </c>
      <c r="K161" s="57" t="s">
        <v>10779</v>
      </c>
    </row>
    <row r="162" spans="1:11" ht="60" customHeight="1">
      <c r="A162" s="57" t="s">
        <v>11202</v>
      </c>
      <c r="B162" s="57" t="s">
        <v>11142</v>
      </c>
      <c r="C162" s="57" t="s">
        <v>11203</v>
      </c>
      <c r="D162" s="57" t="s">
        <v>10623</v>
      </c>
      <c r="E162" s="57" t="s">
        <v>10431</v>
      </c>
      <c r="F162" s="57" t="s">
        <v>11144</v>
      </c>
      <c r="G162" s="57" t="s">
        <v>11195</v>
      </c>
      <c r="H162" s="57" t="s">
        <v>11202</v>
      </c>
      <c r="I162" s="57" t="s">
        <v>10577</v>
      </c>
      <c r="J162" s="57" t="s">
        <v>11146</v>
      </c>
      <c r="K162" s="57" t="s">
        <v>10779</v>
      </c>
    </row>
    <row r="163" spans="1:11" ht="60" customHeight="1">
      <c r="A163" s="57" t="s">
        <v>11204</v>
      </c>
      <c r="B163" s="57" t="s">
        <v>11142</v>
      </c>
      <c r="C163" s="57" t="s">
        <v>11205</v>
      </c>
      <c r="D163" s="57" t="s">
        <v>10623</v>
      </c>
      <c r="E163" s="57" t="s">
        <v>10431</v>
      </c>
      <c r="F163" s="57" t="s">
        <v>11144</v>
      </c>
      <c r="G163" s="57" t="s">
        <v>11195</v>
      </c>
      <c r="H163" s="57" t="s">
        <v>11204</v>
      </c>
      <c r="I163" s="57" t="s">
        <v>10577</v>
      </c>
      <c r="J163" s="57" t="s">
        <v>11146</v>
      </c>
      <c r="K163" s="57" t="s">
        <v>10779</v>
      </c>
    </row>
    <row r="164" spans="1:11" ht="60" customHeight="1">
      <c r="A164" s="57" t="s">
        <v>11206</v>
      </c>
      <c r="B164" s="57" t="s">
        <v>11142</v>
      </c>
      <c r="C164" s="57" t="s">
        <v>11207</v>
      </c>
      <c r="D164" s="57" t="s">
        <v>10623</v>
      </c>
      <c r="E164" s="57" t="s">
        <v>10431</v>
      </c>
      <c r="F164" s="57" t="s">
        <v>11144</v>
      </c>
      <c r="G164" s="57" t="s">
        <v>11195</v>
      </c>
      <c r="H164" s="57" t="s">
        <v>11206</v>
      </c>
      <c r="I164" s="57" t="s">
        <v>10577</v>
      </c>
      <c r="J164" s="57" t="s">
        <v>11146</v>
      </c>
      <c r="K164" s="57" t="s">
        <v>10779</v>
      </c>
    </row>
    <row r="165" spans="1:11" ht="60" customHeight="1">
      <c r="A165" s="57" t="s">
        <v>11208</v>
      </c>
      <c r="B165" s="57" t="s">
        <v>11142</v>
      </c>
      <c r="C165" s="57" t="s">
        <v>11209</v>
      </c>
      <c r="D165" s="57" t="s">
        <v>10623</v>
      </c>
      <c r="E165" s="57" t="s">
        <v>10431</v>
      </c>
      <c r="F165" s="57" t="s">
        <v>11144</v>
      </c>
      <c r="G165" s="57" t="s">
        <v>11195</v>
      </c>
      <c r="H165" s="57" t="s">
        <v>11208</v>
      </c>
      <c r="I165" s="57" t="s">
        <v>10577</v>
      </c>
      <c r="J165" s="57" t="s">
        <v>11146</v>
      </c>
      <c r="K165" s="57" t="s">
        <v>10779</v>
      </c>
    </row>
    <row r="166" spans="1:11" ht="60" customHeight="1">
      <c r="A166" s="57" t="s">
        <v>11210</v>
      </c>
      <c r="B166" s="57" t="s">
        <v>11142</v>
      </c>
      <c r="C166" s="57" t="s">
        <v>11211</v>
      </c>
      <c r="D166" s="57" t="s">
        <v>10623</v>
      </c>
      <c r="E166" s="57" t="s">
        <v>10431</v>
      </c>
      <c r="F166" s="57" t="s">
        <v>11144</v>
      </c>
      <c r="G166" s="57" t="s">
        <v>11195</v>
      </c>
      <c r="H166" s="57" t="s">
        <v>11210</v>
      </c>
      <c r="I166" s="57" t="s">
        <v>10577</v>
      </c>
      <c r="J166" s="57" t="s">
        <v>11146</v>
      </c>
      <c r="K166" s="57" t="s">
        <v>10779</v>
      </c>
    </row>
    <row r="167" spans="1:11" ht="60" customHeight="1">
      <c r="A167" s="57" t="s">
        <v>11212</v>
      </c>
      <c r="B167" s="57" t="s">
        <v>11213</v>
      </c>
      <c r="C167" s="57" t="s">
        <v>11214</v>
      </c>
      <c r="D167" s="57" t="s">
        <v>10623</v>
      </c>
      <c r="E167" s="57" t="s">
        <v>10431</v>
      </c>
      <c r="F167" s="57" t="s">
        <v>11144</v>
      </c>
      <c r="G167" s="57" t="s">
        <v>11215</v>
      </c>
      <c r="H167" s="57" t="s">
        <v>11212</v>
      </c>
      <c r="I167" s="57" t="s">
        <v>10577</v>
      </c>
      <c r="J167" s="57" t="s">
        <v>11216</v>
      </c>
      <c r="K167" s="57" t="s">
        <v>10779</v>
      </c>
    </row>
    <row r="168" spans="1:11" ht="60" customHeight="1">
      <c r="A168" s="57" t="s">
        <v>11217</v>
      </c>
      <c r="B168" s="57" t="s">
        <v>11213</v>
      </c>
      <c r="C168" s="57" t="s">
        <v>11218</v>
      </c>
      <c r="D168" s="57" t="s">
        <v>10623</v>
      </c>
      <c r="E168" s="57" t="s">
        <v>10431</v>
      </c>
      <c r="F168" s="57" t="s">
        <v>11144</v>
      </c>
      <c r="G168" s="57" t="s">
        <v>11215</v>
      </c>
      <c r="H168" s="57" t="s">
        <v>11217</v>
      </c>
      <c r="I168" s="57" t="s">
        <v>10577</v>
      </c>
      <c r="J168" s="57" t="s">
        <v>11216</v>
      </c>
      <c r="K168" s="57" t="s">
        <v>10779</v>
      </c>
    </row>
    <row r="169" spans="1:11" ht="60" customHeight="1">
      <c r="A169" s="57" t="s">
        <v>11219</v>
      </c>
      <c r="B169" s="57" t="s">
        <v>11213</v>
      </c>
      <c r="C169" s="57" t="s">
        <v>11220</v>
      </c>
      <c r="D169" s="57" t="s">
        <v>10623</v>
      </c>
      <c r="E169" s="57" t="s">
        <v>10431</v>
      </c>
      <c r="F169" s="57" t="s">
        <v>11144</v>
      </c>
      <c r="G169" s="57" t="s">
        <v>11215</v>
      </c>
      <c r="H169" s="57" t="s">
        <v>11219</v>
      </c>
      <c r="I169" s="57" t="s">
        <v>10577</v>
      </c>
      <c r="J169" s="57" t="s">
        <v>11216</v>
      </c>
      <c r="K169" s="57" t="s">
        <v>10779</v>
      </c>
    </row>
    <row r="170" spans="1:11" ht="60" customHeight="1">
      <c r="A170" s="57" t="s">
        <v>11221</v>
      </c>
      <c r="B170" s="57" t="s">
        <v>11213</v>
      </c>
      <c r="C170" s="57" t="s">
        <v>11222</v>
      </c>
      <c r="D170" s="57" t="s">
        <v>10623</v>
      </c>
      <c r="E170" s="57" t="s">
        <v>10431</v>
      </c>
      <c r="F170" s="57" t="s">
        <v>11144</v>
      </c>
      <c r="G170" s="57" t="s">
        <v>11215</v>
      </c>
      <c r="H170" s="57" t="s">
        <v>11221</v>
      </c>
      <c r="I170" s="57" t="s">
        <v>10577</v>
      </c>
      <c r="J170" s="57" t="s">
        <v>11216</v>
      </c>
      <c r="K170" s="57" t="s">
        <v>10779</v>
      </c>
    </row>
    <row r="171" spans="1:11" ht="60" customHeight="1">
      <c r="A171" s="57" t="s">
        <v>11223</v>
      </c>
      <c r="B171" s="57" t="s">
        <v>11213</v>
      </c>
      <c r="C171" s="57" t="s">
        <v>11224</v>
      </c>
      <c r="D171" s="57" t="s">
        <v>10623</v>
      </c>
      <c r="E171" s="57" t="s">
        <v>10431</v>
      </c>
      <c r="F171" s="57" t="s">
        <v>11144</v>
      </c>
      <c r="G171" s="57" t="s">
        <v>11215</v>
      </c>
      <c r="H171" s="57" t="s">
        <v>11223</v>
      </c>
      <c r="I171" s="57" t="s">
        <v>10577</v>
      </c>
      <c r="J171" s="57" t="s">
        <v>11216</v>
      </c>
      <c r="K171" s="57" t="s">
        <v>10779</v>
      </c>
    </row>
    <row r="172" spans="1:11" ht="60" customHeight="1">
      <c r="A172" s="57" t="s">
        <v>11225</v>
      </c>
      <c r="B172" s="57" t="s">
        <v>11142</v>
      </c>
      <c r="C172" s="57" t="s">
        <v>11226</v>
      </c>
      <c r="D172" s="57" t="s">
        <v>10623</v>
      </c>
      <c r="E172" s="57" t="s">
        <v>10431</v>
      </c>
      <c r="F172" s="57" t="s">
        <v>11144</v>
      </c>
      <c r="G172" s="57" t="s">
        <v>11227</v>
      </c>
      <c r="H172" s="57" t="s">
        <v>11225</v>
      </c>
      <c r="I172" s="57" t="s">
        <v>10577</v>
      </c>
      <c r="J172" s="57" t="s">
        <v>11146</v>
      </c>
      <c r="K172" s="57" t="s">
        <v>10779</v>
      </c>
    </row>
    <row r="173" spans="1:11" ht="60" customHeight="1">
      <c r="A173" s="57" t="s">
        <v>11228</v>
      </c>
      <c r="B173" s="57" t="s">
        <v>11142</v>
      </c>
      <c r="C173" s="57" t="s">
        <v>815</v>
      </c>
      <c r="D173" s="57" t="s">
        <v>10623</v>
      </c>
      <c r="E173" s="57" t="s">
        <v>10431</v>
      </c>
      <c r="F173" s="57" t="s">
        <v>11144</v>
      </c>
      <c r="G173" s="57" t="s">
        <v>11227</v>
      </c>
      <c r="H173" s="57" t="s">
        <v>11228</v>
      </c>
      <c r="I173" s="57" t="s">
        <v>10577</v>
      </c>
      <c r="J173" s="57" t="s">
        <v>11146</v>
      </c>
      <c r="K173" s="57" t="s">
        <v>10779</v>
      </c>
    </row>
    <row r="174" spans="1:11" ht="60" customHeight="1">
      <c r="A174" s="57" t="s">
        <v>11229</v>
      </c>
      <c r="B174" s="57" t="s">
        <v>11142</v>
      </c>
      <c r="C174" s="57" t="s">
        <v>11230</v>
      </c>
      <c r="D174" s="57" t="s">
        <v>10623</v>
      </c>
      <c r="E174" s="57" t="s">
        <v>10431</v>
      </c>
      <c r="F174" s="57" t="s">
        <v>11144</v>
      </c>
      <c r="G174" s="57" t="s">
        <v>11227</v>
      </c>
      <c r="H174" s="57" t="s">
        <v>11229</v>
      </c>
      <c r="I174" s="57" t="s">
        <v>10577</v>
      </c>
      <c r="J174" s="57" t="s">
        <v>11146</v>
      </c>
      <c r="K174" s="57" t="s">
        <v>10779</v>
      </c>
    </row>
    <row r="175" spans="1:11" ht="60" customHeight="1">
      <c r="A175" s="57" t="s">
        <v>11231</v>
      </c>
      <c r="B175" s="57" t="s">
        <v>11142</v>
      </c>
      <c r="C175" s="57" t="s">
        <v>11232</v>
      </c>
      <c r="D175" s="57" t="s">
        <v>10623</v>
      </c>
      <c r="E175" s="57" t="s">
        <v>10431</v>
      </c>
      <c r="F175" s="57" t="s">
        <v>11144</v>
      </c>
      <c r="G175" s="57" t="s">
        <v>11227</v>
      </c>
      <c r="H175" s="57" t="s">
        <v>11231</v>
      </c>
      <c r="I175" s="57" t="s">
        <v>10577</v>
      </c>
      <c r="J175" s="57" t="s">
        <v>11146</v>
      </c>
      <c r="K175" s="57" t="s">
        <v>10779</v>
      </c>
    </row>
    <row r="176" spans="1:11" ht="60" customHeight="1">
      <c r="A176" s="57" t="s">
        <v>11233</v>
      </c>
      <c r="B176" s="57" t="s">
        <v>11142</v>
      </c>
      <c r="C176" s="57" t="s">
        <v>11234</v>
      </c>
      <c r="D176" s="57" t="s">
        <v>10623</v>
      </c>
      <c r="E176" s="57" t="s">
        <v>10431</v>
      </c>
      <c r="F176" s="57" t="s">
        <v>11144</v>
      </c>
      <c r="G176" s="57" t="s">
        <v>11227</v>
      </c>
      <c r="H176" s="57" t="s">
        <v>11233</v>
      </c>
      <c r="I176" s="57" t="s">
        <v>10577</v>
      </c>
      <c r="J176" s="57" t="s">
        <v>11146</v>
      </c>
      <c r="K176" s="57" t="s">
        <v>10779</v>
      </c>
    </row>
    <row r="177" spans="1:11" ht="60" customHeight="1">
      <c r="A177" s="57" t="s">
        <v>11235</v>
      </c>
      <c r="B177" s="57" t="s">
        <v>11142</v>
      </c>
      <c r="C177" s="57" t="s">
        <v>11236</v>
      </c>
      <c r="D177" s="57" t="s">
        <v>10623</v>
      </c>
      <c r="E177" s="57" t="s">
        <v>10431</v>
      </c>
      <c r="F177" s="57" t="s">
        <v>11144</v>
      </c>
      <c r="G177" s="57" t="s">
        <v>11227</v>
      </c>
      <c r="H177" s="57" t="s">
        <v>11235</v>
      </c>
      <c r="I177" s="57" t="s">
        <v>10577</v>
      </c>
      <c r="J177" s="57" t="s">
        <v>11146</v>
      </c>
      <c r="K177" s="57" t="s">
        <v>10779</v>
      </c>
    </row>
    <row r="178" spans="1:11" ht="60" customHeight="1">
      <c r="A178" s="57" t="s">
        <v>11237</v>
      </c>
      <c r="B178" s="57" t="s">
        <v>11142</v>
      </c>
      <c r="C178" s="57" t="s">
        <v>11238</v>
      </c>
      <c r="D178" s="57" t="s">
        <v>10623</v>
      </c>
      <c r="E178" s="57" t="s">
        <v>10431</v>
      </c>
      <c r="F178" s="57" t="s">
        <v>11144</v>
      </c>
      <c r="G178" s="57" t="s">
        <v>11227</v>
      </c>
      <c r="H178" s="57" t="s">
        <v>11237</v>
      </c>
      <c r="I178" s="57" t="s">
        <v>10577</v>
      </c>
      <c r="J178" s="57" t="s">
        <v>11146</v>
      </c>
      <c r="K178" s="57" t="s">
        <v>10779</v>
      </c>
    </row>
    <row r="179" spans="1:11" ht="60" customHeight="1">
      <c r="A179" s="57" t="s">
        <v>11239</v>
      </c>
      <c r="B179" s="57" t="s">
        <v>11142</v>
      </c>
      <c r="C179" s="57" t="s">
        <v>11240</v>
      </c>
      <c r="D179" s="57" t="s">
        <v>1058</v>
      </c>
      <c r="E179" s="57" t="s">
        <v>240</v>
      </c>
      <c r="F179" s="57" t="s">
        <v>11241</v>
      </c>
      <c r="G179" s="57" t="s">
        <v>11242</v>
      </c>
      <c r="H179" s="57" t="s">
        <v>11239</v>
      </c>
      <c r="I179" s="57" t="s">
        <v>10577</v>
      </c>
      <c r="J179" s="57" t="s">
        <v>11146</v>
      </c>
      <c r="K179" s="57" t="s">
        <v>10779</v>
      </c>
    </row>
    <row r="180" spans="1:11" ht="60" customHeight="1">
      <c r="A180" s="57" t="s">
        <v>11243</v>
      </c>
      <c r="B180" s="57" t="s">
        <v>11142</v>
      </c>
      <c r="C180" s="57" t="s">
        <v>11244</v>
      </c>
      <c r="D180" s="57" t="s">
        <v>1058</v>
      </c>
      <c r="E180" s="57" t="s">
        <v>240</v>
      </c>
      <c r="F180" s="57" t="s">
        <v>11241</v>
      </c>
      <c r="G180" s="57" t="s">
        <v>11242</v>
      </c>
      <c r="H180" s="57" t="s">
        <v>11243</v>
      </c>
      <c r="I180" s="57" t="s">
        <v>10577</v>
      </c>
      <c r="J180" s="57" t="s">
        <v>11146</v>
      </c>
      <c r="K180" s="57" t="s">
        <v>10779</v>
      </c>
    </row>
    <row r="181" spans="1:11" ht="60" customHeight="1">
      <c r="A181" s="57" t="s">
        <v>11245</v>
      </c>
      <c r="B181" s="57" t="s">
        <v>11142</v>
      </c>
      <c r="C181" s="57" t="s">
        <v>11246</v>
      </c>
      <c r="D181" s="57" t="s">
        <v>1058</v>
      </c>
      <c r="E181" s="57" t="s">
        <v>240</v>
      </c>
      <c r="F181" s="57" t="s">
        <v>11241</v>
      </c>
      <c r="G181" s="57" t="s">
        <v>11242</v>
      </c>
      <c r="H181" s="57" t="s">
        <v>11245</v>
      </c>
      <c r="I181" s="57" t="s">
        <v>10577</v>
      </c>
      <c r="J181" s="57" t="s">
        <v>11146</v>
      </c>
      <c r="K181" s="57" t="s">
        <v>10779</v>
      </c>
    </row>
    <row r="182" spans="1:11" ht="60" customHeight="1">
      <c r="A182" s="57" t="s">
        <v>11247</v>
      </c>
      <c r="B182" s="57" t="s">
        <v>11142</v>
      </c>
      <c r="C182" s="57" t="s">
        <v>11248</v>
      </c>
      <c r="D182" s="57" t="s">
        <v>1058</v>
      </c>
      <c r="E182" s="57" t="s">
        <v>240</v>
      </c>
      <c r="F182" s="57" t="s">
        <v>11241</v>
      </c>
      <c r="G182" s="57" t="s">
        <v>11242</v>
      </c>
      <c r="H182" s="57" t="s">
        <v>11247</v>
      </c>
      <c r="I182" s="57" t="s">
        <v>10577</v>
      </c>
      <c r="J182" s="57" t="s">
        <v>11146</v>
      </c>
      <c r="K182" s="57" t="s">
        <v>10779</v>
      </c>
    </row>
    <row r="183" spans="1:11" ht="60" customHeight="1">
      <c r="A183" s="57" t="s">
        <v>11249</v>
      </c>
      <c r="B183" s="57" t="s">
        <v>11142</v>
      </c>
      <c r="C183" s="57" t="s">
        <v>11250</v>
      </c>
      <c r="D183" s="57" t="s">
        <v>1058</v>
      </c>
      <c r="E183" s="57" t="s">
        <v>240</v>
      </c>
      <c r="F183" s="57" t="s">
        <v>11241</v>
      </c>
      <c r="G183" s="57" t="s">
        <v>11242</v>
      </c>
      <c r="H183" s="57" t="s">
        <v>11249</v>
      </c>
      <c r="I183" s="57" t="s">
        <v>10577</v>
      </c>
      <c r="J183" s="57" t="s">
        <v>11146</v>
      </c>
      <c r="K183" s="57" t="s">
        <v>10779</v>
      </c>
    </row>
    <row r="184" spans="1:11" ht="60" customHeight="1">
      <c r="A184" s="57" t="s">
        <v>11251</v>
      </c>
      <c r="B184" s="57" t="s">
        <v>11142</v>
      </c>
      <c r="C184" s="57" t="s">
        <v>11252</v>
      </c>
      <c r="D184" s="57" t="s">
        <v>1058</v>
      </c>
      <c r="E184" s="57" t="s">
        <v>240</v>
      </c>
      <c r="F184" s="57" t="s">
        <v>11241</v>
      </c>
      <c r="G184" s="57" t="s">
        <v>11242</v>
      </c>
      <c r="H184" s="57" t="s">
        <v>11251</v>
      </c>
      <c r="I184" s="57" t="s">
        <v>10577</v>
      </c>
      <c r="J184" s="57" t="s">
        <v>11146</v>
      </c>
      <c r="K184" s="57" t="s">
        <v>10779</v>
      </c>
    </row>
    <row r="185" spans="1:11" ht="60" customHeight="1">
      <c r="A185" s="57" t="s">
        <v>11253</v>
      </c>
      <c r="B185" s="57" t="s">
        <v>11142</v>
      </c>
      <c r="C185" s="57" t="s">
        <v>11254</v>
      </c>
      <c r="D185" s="57" t="s">
        <v>1058</v>
      </c>
      <c r="E185" s="57" t="s">
        <v>240</v>
      </c>
      <c r="F185" s="57" t="s">
        <v>11241</v>
      </c>
      <c r="G185" s="57" t="s">
        <v>11242</v>
      </c>
      <c r="H185" s="57" t="s">
        <v>11253</v>
      </c>
      <c r="I185" s="57" t="s">
        <v>10577</v>
      </c>
      <c r="J185" s="57" t="s">
        <v>11146</v>
      </c>
      <c r="K185" s="57" t="s">
        <v>10779</v>
      </c>
    </row>
    <row r="186" spans="1:11" ht="60" customHeight="1">
      <c r="A186" s="57" t="s">
        <v>11255</v>
      </c>
      <c r="B186" s="57" t="s">
        <v>11142</v>
      </c>
      <c r="C186" s="57" t="s">
        <v>11256</v>
      </c>
      <c r="D186" s="57" t="s">
        <v>1058</v>
      </c>
      <c r="E186" s="57" t="s">
        <v>240</v>
      </c>
      <c r="F186" s="57" t="s">
        <v>11241</v>
      </c>
      <c r="G186" s="57" t="s">
        <v>11242</v>
      </c>
      <c r="H186" s="57" t="s">
        <v>11255</v>
      </c>
      <c r="I186" s="57" t="s">
        <v>10577</v>
      </c>
      <c r="J186" s="57" t="s">
        <v>11146</v>
      </c>
      <c r="K186" s="57" t="s">
        <v>10779</v>
      </c>
    </row>
    <row r="187" spans="1:11" ht="60" customHeight="1">
      <c r="A187" s="57" t="s">
        <v>11257</v>
      </c>
      <c r="B187" s="57" t="s">
        <v>11142</v>
      </c>
      <c r="C187" s="57" t="s">
        <v>11258</v>
      </c>
      <c r="D187" s="57" t="s">
        <v>1058</v>
      </c>
      <c r="E187" s="57" t="s">
        <v>240</v>
      </c>
      <c r="F187" s="57" t="s">
        <v>11241</v>
      </c>
      <c r="G187" s="57" t="s">
        <v>11259</v>
      </c>
      <c r="H187" s="57" t="s">
        <v>11257</v>
      </c>
      <c r="I187" s="57" t="s">
        <v>10577</v>
      </c>
      <c r="J187" s="57" t="s">
        <v>11146</v>
      </c>
      <c r="K187" s="57" t="s">
        <v>10779</v>
      </c>
    </row>
    <row r="188" spans="1:11" ht="60" customHeight="1">
      <c r="A188" s="57" t="s">
        <v>11260</v>
      </c>
      <c r="B188" s="57" t="s">
        <v>11142</v>
      </c>
      <c r="C188" s="57" t="s">
        <v>11261</v>
      </c>
      <c r="D188" s="57" t="s">
        <v>1058</v>
      </c>
      <c r="E188" s="57" t="s">
        <v>240</v>
      </c>
      <c r="F188" s="57" t="s">
        <v>11241</v>
      </c>
      <c r="G188" s="57" t="s">
        <v>11259</v>
      </c>
      <c r="H188" s="57" t="s">
        <v>11260</v>
      </c>
      <c r="I188" s="57" t="s">
        <v>10577</v>
      </c>
      <c r="J188" s="57" t="s">
        <v>11146</v>
      </c>
      <c r="K188" s="57" t="s">
        <v>10779</v>
      </c>
    </row>
    <row r="189" spans="1:11" ht="60" customHeight="1">
      <c r="A189" s="57" t="s">
        <v>11262</v>
      </c>
      <c r="B189" s="57" t="s">
        <v>11142</v>
      </c>
      <c r="C189" s="57" t="s">
        <v>11263</v>
      </c>
      <c r="D189" s="57" t="s">
        <v>1058</v>
      </c>
      <c r="E189" s="57" t="s">
        <v>240</v>
      </c>
      <c r="F189" s="57" t="s">
        <v>11241</v>
      </c>
      <c r="G189" s="57" t="s">
        <v>11259</v>
      </c>
      <c r="H189" s="57" t="s">
        <v>11262</v>
      </c>
      <c r="I189" s="57" t="s">
        <v>10577</v>
      </c>
      <c r="J189" s="57" t="s">
        <v>11146</v>
      </c>
      <c r="K189" s="57" t="s">
        <v>10779</v>
      </c>
    </row>
    <row r="190" spans="1:11" ht="60" customHeight="1">
      <c r="A190" s="57" t="s">
        <v>11264</v>
      </c>
      <c r="B190" s="57" t="s">
        <v>11142</v>
      </c>
      <c r="C190" s="57" t="s">
        <v>11265</v>
      </c>
      <c r="D190" s="57" t="s">
        <v>1058</v>
      </c>
      <c r="E190" s="57" t="s">
        <v>240</v>
      </c>
      <c r="F190" s="57" t="s">
        <v>11241</v>
      </c>
      <c r="G190" s="57" t="s">
        <v>11259</v>
      </c>
      <c r="H190" s="57" t="s">
        <v>11264</v>
      </c>
      <c r="I190" s="57" t="s">
        <v>10577</v>
      </c>
      <c r="J190" s="57" t="s">
        <v>11146</v>
      </c>
      <c r="K190" s="57" t="s">
        <v>10779</v>
      </c>
    </row>
    <row r="191" spans="1:11" ht="60" customHeight="1">
      <c r="A191" s="57" t="s">
        <v>11266</v>
      </c>
      <c r="B191" s="57" t="s">
        <v>11142</v>
      </c>
      <c r="C191" s="57" t="s">
        <v>11267</v>
      </c>
      <c r="D191" s="57" t="s">
        <v>1058</v>
      </c>
      <c r="E191" s="57" t="s">
        <v>240</v>
      </c>
      <c r="F191" s="57" t="s">
        <v>11241</v>
      </c>
      <c r="G191" s="57" t="s">
        <v>11259</v>
      </c>
      <c r="H191" s="57" t="s">
        <v>11266</v>
      </c>
      <c r="I191" s="57" t="s">
        <v>10577</v>
      </c>
      <c r="J191" s="57" t="s">
        <v>11146</v>
      </c>
      <c r="K191" s="57" t="s">
        <v>10779</v>
      </c>
    </row>
    <row r="192" spans="1:11" ht="60" customHeight="1">
      <c r="A192" s="57" t="s">
        <v>11268</v>
      </c>
      <c r="B192" s="57" t="s">
        <v>11142</v>
      </c>
      <c r="C192" s="57" t="s">
        <v>11269</v>
      </c>
      <c r="D192" s="57" t="s">
        <v>1058</v>
      </c>
      <c r="E192" s="57" t="s">
        <v>240</v>
      </c>
      <c r="F192" s="57" t="s">
        <v>11241</v>
      </c>
      <c r="G192" s="57" t="s">
        <v>11259</v>
      </c>
      <c r="H192" s="57" t="s">
        <v>11268</v>
      </c>
      <c r="I192" s="57" t="s">
        <v>10577</v>
      </c>
      <c r="J192" s="57" t="s">
        <v>11146</v>
      </c>
      <c r="K192" s="57" t="s">
        <v>10779</v>
      </c>
    </row>
    <row r="193" spans="1:11" ht="60" customHeight="1">
      <c r="A193" s="57" t="s">
        <v>11270</v>
      </c>
      <c r="B193" s="57" t="s">
        <v>11142</v>
      </c>
      <c r="C193" s="57" t="s">
        <v>11271</v>
      </c>
      <c r="D193" s="57" t="s">
        <v>1058</v>
      </c>
      <c r="E193" s="57" t="s">
        <v>240</v>
      </c>
      <c r="F193" s="57" t="s">
        <v>11241</v>
      </c>
      <c r="G193" s="57" t="s">
        <v>11259</v>
      </c>
      <c r="H193" s="57" t="s">
        <v>11270</v>
      </c>
      <c r="I193" s="57" t="s">
        <v>10577</v>
      </c>
      <c r="J193" s="57" t="s">
        <v>11146</v>
      </c>
      <c r="K193" s="57" t="s">
        <v>10779</v>
      </c>
    </row>
    <row r="194" spans="1:11" ht="60" customHeight="1">
      <c r="A194" s="57" t="s">
        <v>11272</v>
      </c>
      <c r="B194" s="57" t="s">
        <v>11142</v>
      </c>
      <c r="C194" s="57" t="s">
        <v>11273</v>
      </c>
      <c r="D194" s="57" t="s">
        <v>1058</v>
      </c>
      <c r="E194" s="57" t="s">
        <v>240</v>
      </c>
      <c r="F194" s="57" t="s">
        <v>11241</v>
      </c>
      <c r="G194" s="57" t="s">
        <v>11259</v>
      </c>
      <c r="H194" s="57" t="s">
        <v>11272</v>
      </c>
      <c r="I194" s="57" t="s">
        <v>10577</v>
      </c>
      <c r="J194" s="57" t="s">
        <v>11146</v>
      </c>
      <c r="K194" s="57" t="s">
        <v>10779</v>
      </c>
    </row>
    <row r="195" spans="1:11" ht="60" customHeight="1">
      <c r="A195" s="57" t="s">
        <v>11274</v>
      </c>
      <c r="B195" s="57" t="s">
        <v>11142</v>
      </c>
      <c r="C195" s="57" t="s">
        <v>9429</v>
      </c>
      <c r="D195" s="57" t="s">
        <v>1058</v>
      </c>
      <c r="E195" s="57" t="s">
        <v>240</v>
      </c>
      <c r="F195" s="57" t="s">
        <v>11241</v>
      </c>
      <c r="G195" s="57" t="s">
        <v>11259</v>
      </c>
      <c r="H195" s="57" t="s">
        <v>11274</v>
      </c>
      <c r="I195" s="57" t="s">
        <v>10577</v>
      </c>
      <c r="J195" s="57" t="s">
        <v>11146</v>
      </c>
      <c r="K195" s="57" t="s">
        <v>10779</v>
      </c>
    </row>
    <row r="196" spans="1:11" ht="60" customHeight="1">
      <c r="A196" s="57" t="s">
        <v>11275</v>
      </c>
      <c r="B196" s="57" t="s">
        <v>11142</v>
      </c>
      <c r="C196" s="57" t="s">
        <v>11276</v>
      </c>
      <c r="D196" s="57" t="s">
        <v>1058</v>
      </c>
      <c r="E196" s="57" t="s">
        <v>240</v>
      </c>
      <c r="F196" s="57" t="s">
        <v>11241</v>
      </c>
      <c r="G196" s="57" t="s">
        <v>11259</v>
      </c>
      <c r="H196" s="57" t="s">
        <v>11275</v>
      </c>
      <c r="I196" s="57" t="s">
        <v>10577</v>
      </c>
      <c r="J196" s="57" t="s">
        <v>11146</v>
      </c>
      <c r="K196" s="57" t="s">
        <v>10779</v>
      </c>
    </row>
    <row r="197" spans="1:11" ht="60" customHeight="1">
      <c r="A197" s="57" t="s">
        <v>11277</v>
      </c>
      <c r="B197" s="57" t="s">
        <v>11142</v>
      </c>
      <c r="C197" s="57" t="s">
        <v>11278</v>
      </c>
      <c r="D197" s="57" t="s">
        <v>1058</v>
      </c>
      <c r="E197" s="57" t="s">
        <v>240</v>
      </c>
      <c r="F197" s="57" t="s">
        <v>11241</v>
      </c>
      <c r="G197" s="57" t="s">
        <v>11279</v>
      </c>
      <c r="H197" s="57" t="s">
        <v>11277</v>
      </c>
      <c r="I197" s="57" t="s">
        <v>10577</v>
      </c>
      <c r="J197" s="57" t="s">
        <v>11146</v>
      </c>
      <c r="K197" s="57" t="s">
        <v>10779</v>
      </c>
    </row>
    <row r="198" spans="1:11" ht="60" customHeight="1">
      <c r="A198" s="57" t="s">
        <v>11280</v>
      </c>
      <c r="B198" s="57" t="s">
        <v>11142</v>
      </c>
      <c r="C198" s="57" t="s">
        <v>11281</v>
      </c>
      <c r="D198" s="57" t="s">
        <v>1058</v>
      </c>
      <c r="E198" s="57" t="s">
        <v>240</v>
      </c>
      <c r="F198" s="57" t="s">
        <v>11241</v>
      </c>
      <c r="G198" s="57" t="s">
        <v>11279</v>
      </c>
      <c r="H198" s="57" t="s">
        <v>11280</v>
      </c>
      <c r="I198" s="57" t="s">
        <v>10577</v>
      </c>
      <c r="J198" s="57" t="s">
        <v>11146</v>
      </c>
      <c r="K198" s="57" t="s">
        <v>10779</v>
      </c>
    </row>
    <row r="199" spans="1:11" ht="60" customHeight="1">
      <c r="A199" s="57" t="s">
        <v>11282</v>
      </c>
      <c r="B199" s="57" t="s">
        <v>11142</v>
      </c>
      <c r="C199" s="57" t="s">
        <v>11283</v>
      </c>
      <c r="D199" s="57" t="s">
        <v>1058</v>
      </c>
      <c r="E199" s="57" t="s">
        <v>240</v>
      </c>
      <c r="F199" s="57" t="s">
        <v>11241</v>
      </c>
      <c r="G199" s="57" t="s">
        <v>11279</v>
      </c>
      <c r="H199" s="57" t="s">
        <v>11282</v>
      </c>
      <c r="I199" s="57" t="s">
        <v>10577</v>
      </c>
      <c r="J199" s="57" t="s">
        <v>11146</v>
      </c>
      <c r="K199" s="57" t="s">
        <v>10779</v>
      </c>
    </row>
    <row r="200" spans="1:11" ht="60" customHeight="1">
      <c r="A200" s="57" t="s">
        <v>11284</v>
      </c>
      <c r="B200" s="57" t="s">
        <v>11142</v>
      </c>
      <c r="C200" s="57" t="s">
        <v>11285</v>
      </c>
      <c r="D200" s="57" t="s">
        <v>1058</v>
      </c>
      <c r="E200" s="57" t="s">
        <v>240</v>
      </c>
      <c r="F200" s="57" t="s">
        <v>11241</v>
      </c>
      <c r="G200" s="57" t="s">
        <v>11279</v>
      </c>
      <c r="H200" s="57" t="s">
        <v>11284</v>
      </c>
      <c r="I200" s="57" t="s">
        <v>10577</v>
      </c>
      <c r="J200" s="57" t="s">
        <v>11146</v>
      </c>
      <c r="K200" s="57" t="s">
        <v>10779</v>
      </c>
    </row>
    <row r="201" spans="1:11" ht="60" customHeight="1">
      <c r="A201" s="57" t="s">
        <v>11286</v>
      </c>
      <c r="B201" s="57" t="s">
        <v>11142</v>
      </c>
      <c r="C201" s="57" t="s">
        <v>11287</v>
      </c>
      <c r="D201" s="57" t="s">
        <v>1058</v>
      </c>
      <c r="E201" s="57" t="s">
        <v>240</v>
      </c>
      <c r="F201" s="57" t="s">
        <v>11241</v>
      </c>
      <c r="G201" s="57" t="s">
        <v>11279</v>
      </c>
      <c r="H201" s="57" t="s">
        <v>11286</v>
      </c>
      <c r="I201" s="57" t="s">
        <v>10577</v>
      </c>
      <c r="J201" s="57" t="s">
        <v>11146</v>
      </c>
      <c r="K201" s="57" t="s">
        <v>10779</v>
      </c>
    </row>
    <row r="202" spans="1:11" ht="60" customHeight="1">
      <c r="A202" s="57" t="s">
        <v>11288</v>
      </c>
      <c r="B202" s="57" t="s">
        <v>11142</v>
      </c>
      <c r="C202" s="57" t="s">
        <v>11289</v>
      </c>
      <c r="D202" s="57" t="s">
        <v>1058</v>
      </c>
      <c r="E202" s="57" t="s">
        <v>240</v>
      </c>
      <c r="F202" s="57" t="s">
        <v>11241</v>
      </c>
      <c r="G202" s="57" t="s">
        <v>11290</v>
      </c>
      <c r="H202" s="57" t="s">
        <v>11288</v>
      </c>
      <c r="I202" s="57" t="s">
        <v>10577</v>
      </c>
      <c r="J202" s="57" t="s">
        <v>11146</v>
      </c>
      <c r="K202" s="57" t="s">
        <v>10779</v>
      </c>
    </row>
    <row r="203" spans="1:11" ht="60" customHeight="1">
      <c r="A203" s="57" t="s">
        <v>11291</v>
      </c>
      <c r="B203" s="57" t="s">
        <v>11142</v>
      </c>
      <c r="C203" s="57" t="s">
        <v>11292</v>
      </c>
      <c r="D203" s="57" t="s">
        <v>1058</v>
      </c>
      <c r="E203" s="57" t="s">
        <v>240</v>
      </c>
      <c r="F203" s="57" t="s">
        <v>11241</v>
      </c>
      <c r="G203" s="57" t="s">
        <v>11290</v>
      </c>
      <c r="H203" s="57" t="s">
        <v>11291</v>
      </c>
      <c r="I203" s="57" t="s">
        <v>10577</v>
      </c>
      <c r="J203" s="57" t="s">
        <v>11146</v>
      </c>
      <c r="K203" s="57" t="s">
        <v>10779</v>
      </c>
    </row>
    <row r="204" spans="1:11" ht="60" customHeight="1">
      <c r="A204" s="57" t="s">
        <v>11293</v>
      </c>
      <c r="B204" s="57" t="s">
        <v>11142</v>
      </c>
      <c r="C204" s="57" t="s">
        <v>11294</v>
      </c>
      <c r="D204" s="57" t="s">
        <v>1058</v>
      </c>
      <c r="E204" s="57" t="s">
        <v>240</v>
      </c>
      <c r="F204" s="57" t="s">
        <v>11241</v>
      </c>
      <c r="G204" s="57" t="s">
        <v>11290</v>
      </c>
      <c r="H204" s="57" t="s">
        <v>11293</v>
      </c>
      <c r="I204" s="57" t="s">
        <v>10577</v>
      </c>
      <c r="J204" s="57" t="s">
        <v>11146</v>
      </c>
      <c r="K204" s="57" t="s">
        <v>10779</v>
      </c>
    </row>
    <row r="205" spans="1:11" ht="60" customHeight="1">
      <c r="A205" s="57" t="s">
        <v>11295</v>
      </c>
      <c r="B205" s="57" t="s">
        <v>11142</v>
      </c>
      <c r="C205" s="57" t="s">
        <v>11296</v>
      </c>
      <c r="D205" s="57" t="s">
        <v>1058</v>
      </c>
      <c r="E205" s="57" t="s">
        <v>240</v>
      </c>
      <c r="F205" s="57" t="s">
        <v>11241</v>
      </c>
      <c r="G205" s="57" t="s">
        <v>11290</v>
      </c>
      <c r="H205" s="57" t="s">
        <v>11295</v>
      </c>
      <c r="I205" s="57" t="s">
        <v>10577</v>
      </c>
      <c r="J205" s="57" t="s">
        <v>11146</v>
      </c>
      <c r="K205" s="57" t="s">
        <v>10779</v>
      </c>
    </row>
    <row r="206" spans="1:11" ht="60" customHeight="1">
      <c r="A206" s="57" t="s">
        <v>11297</v>
      </c>
      <c r="B206" s="57" t="s">
        <v>11142</v>
      </c>
      <c r="C206" s="57" t="s">
        <v>11298</v>
      </c>
      <c r="D206" s="57" t="s">
        <v>1058</v>
      </c>
      <c r="E206" s="57" t="s">
        <v>240</v>
      </c>
      <c r="F206" s="57" t="s">
        <v>11241</v>
      </c>
      <c r="G206" s="57" t="s">
        <v>11290</v>
      </c>
      <c r="H206" s="57" t="s">
        <v>11297</v>
      </c>
      <c r="I206" s="57" t="s">
        <v>10577</v>
      </c>
      <c r="J206" s="57" t="s">
        <v>11146</v>
      </c>
      <c r="K206" s="57" t="s">
        <v>10779</v>
      </c>
    </row>
    <row r="207" spans="1:11" ht="60" customHeight="1">
      <c r="A207" s="57" t="s">
        <v>11299</v>
      </c>
      <c r="B207" s="57" t="s">
        <v>11300</v>
      </c>
      <c r="C207" s="57" t="s">
        <v>11301</v>
      </c>
      <c r="D207" s="57" t="s">
        <v>10623</v>
      </c>
      <c r="E207" s="57" t="s">
        <v>10431</v>
      </c>
      <c r="F207" s="57" t="s">
        <v>11144</v>
      </c>
      <c r="G207" s="57" t="s">
        <v>11302</v>
      </c>
      <c r="H207" s="57" t="s">
        <v>11299</v>
      </c>
      <c r="I207" s="57" t="s">
        <v>10577</v>
      </c>
      <c r="J207" s="57" t="s">
        <v>11303</v>
      </c>
      <c r="K207" s="57" t="s">
        <v>10779</v>
      </c>
    </row>
    <row r="208" spans="1:11" ht="60" customHeight="1">
      <c r="A208" s="57" t="s">
        <v>11304</v>
      </c>
      <c r="B208" s="57" t="s">
        <v>11300</v>
      </c>
      <c r="C208" s="57" t="s">
        <v>9071</v>
      </c>
      <c r="D208" s="57" t="s">
        <v>10623</v>
      </c>
      <c r="E208" s="57" t="s">
        <v>10431</v>
      </c>
      <c r="F208" s="57" t="s">
        <v>11144</v>
      </c>
      <c r="G208" s="57" t="s">
        <v>11302</v>
      </c>
      <c r="H208" s="57" t="s">
        <v>11304</v>
      </c>
      <c r="I208" s="57" t="s">
        <v>10577</v>
      </c>
      <c r="J208" s="57" t="s">
        <v>11303</v>
      </c>
      <c r="K208" s="57" t="s">
        <v>10779</v>
      </c>
    </row>
    <row r="209" spans="1:11" ht="60" customHeight="1">
      <c r="A209" s="57" t="s">
        <v>11305</v>
      </c>
      <c r="B209" s="57" t="s">
        <v>11300</v>
      </c>
      <c r="C209" s="57" t="s">
        <v>11306</v>
      </c>
      <c r="D209" s="57" t="s">
        <v>10623</v>
      </c>
      <c r="E209" s="57" t="s">
        <v>10431</v>
      </c>
      <c r="F209" s="57" t="s">
        <v>11144</v>
      </c>
      <c r="G209" s="57" t="s">
        <v>11302</v>
      </c>
      <c r="H209" s="57" t="s">
        <v>11305</v>
      </c>
      <c r="I209" s="57" t="s">
        <v>10577</v>
      </c>
      <c r="J209" s="57" t="s">
        <v>11303</v>
      </c>
      <c r="K209" s="57" t="s">
        <v>10779</v>
      </c>
    </row>
    <row r="210" spans="1:11" ht="60" customHeight="1">
      <c r="A210" s="57" t="s">
        <v>11307</v>
      </c>
      <c r="B210" s="57" t="s">
        <v>11300</v>
      </c>
      <c r="C210" s="57" t="s">
        <v>11308</v>
      </c>
      <c r="D210" s="57" t="s">
        <v>1058</v>
      </c>
      <c r="E210" s="57" t="s">
        <v>240</v>
      </c>
      <c r="F210" s="57" t="s">
        <v>11241</v>
      </c>
      <c r="G210" s="57" t="s">
        <v>11302</v>
      </c>
      <c r="H210" s="57" t="s">
        <v>11307</v>
      </c>
      <c r="I210" s="57" t="s">
        <v>10577</v>
      </c>
      <c r="J210" s="57" t="s">
        <v>11303</v>
      </c>
      <c r="K210" s="57" t="s">
        <v>10779</v>
      </c>
    </row>
    <row r="211" spans="1:11" ht="60" customHeight="1">
      <c r="A211" s="57" t="s">
        <v>11309</v>
      </c>
      <c r="B211" s="57" t="s">
        <v>11300</v>
      </c>
      <c r="C211" s="57" t="s">
        <v>11310</v>
      </c>
      <c r="D211" s="57" t="s">
        <v>1058</v>
      </c>
      <c r="E211" s="57" t="s">
        <v>240</v>
      </c>
      <c r="F211" s="57" t="s">
        <v>11241</v>
      </c>
      <c r="G211" s="57" t="s">
        <v>11302</v>
      </c>
      <c r="H211" s="57" t="s">
        <v>11309</v>
      </c>
      <c r="I211" s="57" t="s">
        <v>10577</v>
      </c>
      <c r="J211" s="57" t="s">
        <v>11303</v>
      </c>
      <c r="K211" s="57" t="s">
        <v>10779</v>
      </c>
    </row>
    <row r="212" spans="1:11" ht="60" customHeight="1">
      <c r="A212" s="57" t="s">
        <v>11311</v>
      </c>
      <c r="B212" s="57" t="s">
        <v>11300</v>
      </c>
      <c r="C212" s="57" t="s">
        <v>11312</v>
      </c>
      <c r="D212" s="57" t="s">
        <v>1058</v>
      </c>
      <c r="E212" s="57" t="s">
        <v>240</v>
      </c>
      <c r="F212" s="57" t="s">
        <v>11241</v>
      </c>
      <c r="G212" s="57" t="s">
        <v>11302</v>
      </c>
      <c r="H212" s="57" t="s">
        <v>11311</v>
      </c>
      <c r="I212" s="57" t="s">
        <v>10577</v>
      </c>
      <c r="J212" s="57" t="s">
        <v>11303</v>
      </c>
      <c r="K212" s="57" t="s">
        <v>10779</v>
      </c>
    </row>
    <row r="213" spans="1:11" ht="60" customHeight="1">
      <c r="A213" s="57" t="s">
        <v>11313</v>
      </c>
      <c r="B213" s="57" t="s">
        <v>11300</v>
      </c>
      <c r="C213" s="57" t="s">
        <v>9369</v>
      </c>
      <c r="D213" s="57" t="s">
        <v>1058</v>
      </c>
      <c r="E213" s="57" t="s">
        <v>240</v>
      </c>
      <c r="F213" s="57" t="s">
        <v>11241</v>
      </c>
      <c r="G213" s="57" t="s">
        <v>11302</v>
      </c>
      <c r="H213" s="57" t="s">
        <v>11313</v>
      </c>
      <c r="I213" s="57" t="s">
        <v>10577</v>
      </c>
      <c r="J213" s="57" t="s">
        <v>11303</v>
      </c>
      <c r="K213" s="57" t="s">
        <v>10779</v>
      </c>
    </row>
    <row r="214" spans="1:11" ht="60" customHeight="1">
      <c r="A214" s="57" t="s">
        <v>11314</v>
      </c>
      <c r="B214" s="57" t="s">
        <v>11300</v>
      </c>
      <c r="C214" s="57" t="s">
        <v>11315</v>
      </c>
      <c r="D214" s="57" t="s">
        <v>1058</v>
      </c>
      <c r="E214" s="57" t="s">
        <v>240</v>
      </c>
      <c r="F214" s="57" t="s">
        <v>11241</v>
      </c>
      <c r="G214" s="57" t="s">
        <v>11302</v>
      </c>
      <c r="H214" s="57" t="s">
        <v>11314</v>
      </c>
      <c r="I214" s="57" t="s">
        <v>10577</v>
      </c>
      <c r="J214" s="57" t="s">
        <v>11303</v>
      </c>
      <c r="K214" s="57" t="s">
        <v>10779</v>
      </c>
    </row>
    <row r="215" spans="1:11" ht="60" customHeight="1">
      <c r="A215" s="57" t="s">
        <v>11316</v>
      </c>
      <c r="B215" s="57" t="s">
        <v>11300</v>
      </c>
      <c r="C215" s="57" t="s">
        <v>11317</v>
      </c>
      <c r="D215" s="57" t="s">
        <v>1058</v>
      </c>
      <c r="E215" s="57" t="s">
        <v>240</v>
      </c>
      <c r="F215" s="57" t="s">
        <v>11241</v>
      </c>
      <c r="G215" s="57" t="s">
        <v>11302</v>
      </c>
      <c r="H215" s="57" t="s">
        <v>11316</v>
      </c>
      <c r="I215" s="57" t="s">
        <v>10577</v>
      </c>
      <c r="J215" s="57" t="s">
        <v>11303</v>
      </c>
      <c r="K215" s="57" t="s">
        <v>10779</v>
      </c>
    </row>
    <row r="216" spans="1:11" ht="60" customHeight="1">
      <c r="A216" s="57" t="s">
        <v>11318</v>
      </c>
      <c r="B216" s="57" t="s">
        <v>11300</v>
      </c>
      <c r="C216" s="57" t="s">
        <v>9438</v>
      </c>
      <c r="D216" s="57" t="s">
        <v>1058</v>
      </c>
      <c r="E216" s="57" t="s">
        <v>240</v>
      </c>
      <c r="F216" s="57" t="s">
        <v>11241</v>
      </c>
      <c r="G216" s="57" t="s">
        <v>11302</v>
      </c>
      <c r="H216" s="57" t="s">
        <v>11318</v>
      </c>
      <c r="I216" s="57" t="s">
        <v>10577</v>
      </c>
      <c r="J216" s="57" t="s">
        <v>11303</v>
      </c>
      <c r="K216" s="57" t="s">
        <v>10779</v>
      </c>
    </row>
    <row r="217" spans="1:11" ht="60" customHeight="1">
      <c r="A217" s="57" t="s">
        <v>11319</v>
      </c>
      <c r="B217" s="57" t="s">
        <v>11320</v>
      </c>
      <c r="C217" s="57" t="s">
        <v>11321</v>
      </c>
      <c r="D217" s="57" t="s">
        <v>10623</v>
      </c>
      <c r="E217" s="57" t="s">
        <v>10431</v>
      </c>
      <c r="F217" s="57" t="s">
        <v>11144</v>
      </c>
      <c r="G217" s="57" t="s">
        <v>11322</v>
      </c>
      <c r="H217" s="57" t="s">
        <v>11319</v>
      </c>
      <c r="I217" s="57" t="s">
        <v>10577</v>
      </c>
      <c r="J217" s="57" t="s">
        <v>11323</v>
      </c>
      <c r="K217" s="57" t="s">
        <v>10779</v>
      </c>
    </row>
    <row r="218" spans="1:11" ht="60" customHeight="1">
      <c r="A218" s="57" t="s">
        <v>11324</v>
      </c>
      <c r="B218" s="57" t="s">
        <v>11320</v>
      </c>
      <c r="C218" s="57" t="s">
        <v>11152</v>
      </c>
      <c r="D218" s="57" t="s">
        <v>10623</v>
      </c>
      <c r="E218" s="57" t="s">
        <v>10431</v>
      </c>
      <c r="F218" s="57" t="s">
        <v>11144</v>
      </c>
      <c r="G218" s="57" t="s">
        <v>11322</v>
      </c>
      <c r="H218" s="57" t="s">
        <v>11324</v>
      </c>
      <c r="I218" s="57" t="s">
        <v>10577</v>
      </c>
      <c r="J218" s="57" t="s">
        <v>11325</v>
      </c>
      <c r="K218" s="57" t="s">
        <v>10779</v>
      </c>
    </row>
    <row r="219" spans="1:11" ht="60" customHeight="1">
      <c r="A219" s="57" t="s">
        <v>11326</v>
      </c>
      <c r="B219" s="57" t="s">
        <v>11320</v>
      </c>
      <c r="C219" s="57" t="s">
        <v>11155</v>
      </c>
      <c r="D219" s="57" t="s">
        <v>10623</v>
      </c>
      <c r="E219" s="57" t="s">
        <v>10431</v>
      </c>
      <c r="F219" s="57" t="s">
        <v>11144</v>
      </c>
      <c r="G219" s="57" t="s">
        <v>11322</v>
      </c>
      <c r="H219" s="57" t="s">
        <v>11326</v>
      </c>
      <c r="I219" s="57" t="s">
        <v>10577</v>
      </c>
      <c r="J219" s="57" t="s">
        <v>11327</v>
      </c>
      <c r="K219" s="57" t="s">
        <v>10779</v>
      </c>
    </row>
    <row r="220" spans="1:11" ht="60" customHeight="1">
      <c r="A220" s="57" t="s">
        <v>11328</v>
      </c>
      <c r="B220" s="57" t="s">
        <v>11320</v>
      </c>
      <c r="C220" s="57" t="s">
        <v>11157</v>
      </c>
      <c r="D220" s="57" t="s">
        <v>10623</v>
      </c>
      <c r="E220" s="57" t="s">
        <v>10431</v>
      </c>
      <c r="F220" s="57" t="s">
        <v>11144</v>
      </c>
      <c r="G220" s="57" t="s">
        <v>11322</v>
      </c>
      <c r="H220" s="57" t="s">
        <v>11328</v>
      </c>
      <c r="I220" s="57" t="s">
        <v>10577</v>
      </c>
      <c r="J220" s="57" t="s">
        <v>11329</v>
      </c>
      <c r="K220" s="57" t="s">
        <v>10779</v>
      </c>
    </row>
    <row r="221" spans="1:11" ht="60" customHeight="1">
      <c r="A221" s="57" t="s">
        <v>11330</v>
      </c>
      <c r="B221" s="57" t="s">
        <v>11320</v>
      </c>
      <c r="C221" s="57" t="s">
        <v>11161</v>
      </c>
      <c r="D221" s="57" t="s">
        <v>10623</v>
      </c>
      <c r="E221" s="57" t="s">
        <v>10431</v>
      </c>
      <c r="F221" s="57" t="s">
        <v>11144</v>
      </c>
      <c r="G221" s="57" t="s">
        <v>11322</v>
      </c>
      <c r="H221" s="57" t="s">
        <v>11330</v>
      </c>
      <c r="I221" s="57" t="s">
        <v>10577</v>
      </c>
      <c r="J221" s="57" t="s">
        <v>11331</v>
      </c>
      <c r="K221" s="57" t="s">
        <v>10779</v>
      </c>
    </row>
    <row r="222" spans="1:11" ht="60" customHeight="1">
      <c r="A222" s="57" t="s">
        <v>11332</v>
      </c>
      <c r="B222" s="57" t="s">
        <v>11320</v>
      </c>
      <c r="C222" s="57" t="s">
        <v>11173</v>
      </c>
      <c r="D222" s="57" t="s">
        <v>10623</v>
      </c>
      <c r="E222" s="57" t="s">
        <v>10431</v>
      </c>
      <c r="F222" s="57" t="s">
        <v>11144</v>
      </c>
      <c r="G222" s="57" t="s">
        <v>11322</v>
      </c>
      <c r="H222" s="57" t="s">
        <v>11332</v>
      </c>
      <c r="I222" s="57" t="s">
        <v>10577</v>
      </c>
      <c r="J222" s="57" t="s">
        <v>11333</v>
      </c>
      <c r="K222" s="57" t="s">
        <v>10779</v>
      </c>
    </row>
    <row r="223" spans="1:11" ht="60" customHeight="1">
      <c r="A223" s="57" t="s">
        <v>11334</v>
      </c>
      <c r="B223" s="57" t="s">
        <v>11320</v>
      </c>
      <c r="C223" s="57" t="s">
        <v>11335</v>
      </c>
      <c r="D223" s="57" t="s">
        <v>10623</v>
      </c>
      <c r="E223" s="57" t="s">
        <v>10431</v>
      </c>
      <c r="F223" s="57" t="s">
        <v>11144</v>
      </c>
      <c r="G223" s="57" t="s">
        <v>11322</v>
      </c>
      <c r="H223" s="57" t="s">
        <v>11334</v>
      </c>
      <c r="I223" s="57" t="s">
        <v>10577</v>
      </c>
      <c r="J223" s="57" t="s">
        <v>11336</v>
      </c>
      <c r="K223" s="57" t="s">
        <v>10779</v>
      </c>
    </row>
    <row r="224" spans="1:11" ht="60" customHeight="1">
      <c r="A224" s="57" t="s">
        <v>11337</v>
      </c>
      <c r="B224" s="57" t="s">
        <v>11320</v>
      </c>
      <c r="C224" s="57" t="s">
        <v>11165</v>
      </c>
      <c r="D224" s="57" t="s">
        <v>10623</v>
      </c>
      <c r="E224" s="57" t="s">
        <v>10431</v>
      </c>
      <c r="F224" s="57" t="s">
        <v>11144</v>
      </c>
      <c r="G224" s="57" t="s">
        <v>11322</v>
      </c>
      <c r="H224" s="57" t="s">
        <v>11337</v>
      </c>
      <c r="I224" s="57" t="s">
        <v>10577</v>
      </c>
      <c r="J224" s="57" t="s">
        <v>11338</v>
      </c>
      <c r="K224" s="57" t="s">
        <v>10779</v>
      </c>
    </row>
    <row r="225" spans="1:11" ht="60" customHeight="1">
      <c r="A225" s="57" t="s">
        <v>11339</v>
      </c>
      <c r="B225" s="57" t="s">
        <v>11320</v>
      </c>
      <c r="C225" s="57" t="s">
        <v>11340</v>
      </c>
      <c r="D225" s="57" t="s">
        <v>10623</v>
      </c>
      <c r="E225" s="57" t="s">
        <v>10431</v>
      </c>
      <c r="F225" s="57" t="s">
        <v>11144</v>
      </c>
      <c r="G225" s="57" t="s">
        <v>11322</v>
      </c>
      <c r="H225" s="57" t="s">
        <v>11339</v>
      </c>
      <c r="I225" s="57" t="s">
        <v>10577</v>
      </c>
      <c r="J225" s="57" t="s">
        <v>11341</v>
      </c>
      <c r="K225" s="57" t="s">
        <v>10779</v>
      </c>
    </row>
    <row r="226" spans="1:11" ht="60" customHeight="1">
      <c r="A226" s="57" t="s">
        <v>11342</v>
      </c>
      <c r="B226" s="57" t="s">
        <v>11320</v>
      </c>
      <c r="C226" s="57" t="s">
        <v>11343</v>
      </c>
      <c r="D226" s="57" t="s">
        <v>10623</v>
      </c>
      <c r="E226" s="57" t="s">
        <v>10431</v>
      </c>
      <c r="F226" s="57" t="s">
        <v>11144</v>
      </c>
      <c r="G226" s="57" t="s">
        <v>11322</v>
      </c>
      <c r="H226" s="57" t="s">
        <v>11342</v>
      </c>
      <c r="I226" s="57" t="s">
        <v>10577</v>
      </c>
      <c r="J226" s="57" t="s">
        <v>11344</v>
      </c>
      <c r="K226" s="57" t="s">
        <v>10779</v>
      </c>
    </row>
    <row r="227" spans="1:11" ht="60" customHeight="1">
      <c r="A227" s="57" t="s">
        <v>11345</v>
      </c>
      <c r="B227" s="57" t="s">
        <v>11320</v>
      </c>
      <c r="C227" s="57" t="s">
        <v>11346</v>
      </c>
      <c r="D227" s="57" t="s">
        <v>1058</v>
      </c>
      <c r="E227" s="57" t="s">
        <v>240</v>
      </c>
      <c r="F227" s="57" t="s">
        <v>11347</v>
      </c>
      <c r="G227" s="57" t="s">
        <v>11322</v>
      </c>
      <c r="H227" s="57" t="s">
        <v>11345</v>
      </c>
      <c r="I227" s="57" t="s">
        <v>10577</v>
      </c>
      <c r="J227" s="57" t="s">
        <v>11348</v>
      </c>
      <c r="K227" s="57" t="s">
        <v>10779</v>
      </c>
    </row>
    <row r="228" spans="1:11" ht="60" customHeight="1">
      <c r="A228" s="57" t="s">
        <v>11349</v>
      </c>
      <c r="B228" s="57" t="s">
        <v>11320</v>
      </c>
      <c r="C228" s="57" t="s">
        <v>11276</v>
      </c>
      <c r="D228" s="57" t="s">
        <v>1058</v>
      </c>
      <c r="E228" s="57" t="s">
        <v>240</v>
      </c>
      <c r="F228" s="57" t="s">
        <v>11347</v>
      </c>
      <c r="G228" s="57" t="s">
        <v>11322</v>
      </c>
      <c r="H228" s="57" t="s">
        <v>11349</v>
      </c>
      <c r="I228" s="57" t="s">
        <v>10577</v>
      </c>
      <c r="J228" s="57" t="s">
        <v>11350</v>
      </c>
      <c r="K228" s="57" t="s">
        <v>10779</v>
      </c>
    </row>
    <row r="229" spans="1:11" ht="60" customHeight="1">
      <c r="A229" s="57" t="s">
        <v>11351</v>
      </c>
      <c r="B229" s="57" t="s">
        <v>11320</v>
      </c>
      <c r="C229" s="57" t="s">
        <v>9396</v>
      </c>
      <c r="D229" s="57" t="s">
        <v>1058</v>
      </c>
      <c r="E229" s="57" t="s">
        <v>240</v>
      </c>
      <c r="F229" s="57" t="s">
        <v>11347</v>
      </c>
      <c r="G229" s="57" t="s">
        <v>11322</v>
      </c>
      <c r="H229" s="57" t="s">
        <v>11351</v>
      </c>
      <c r="I229" s="57" t="s">
        <v>10577</v>
      </c>
      <c r="J229" s="57" t="s">
        <v>11352</v>
      </c>
      <c r="K229" s="57" t="s">
        <v>10779</v>
      </c>
    </row>
    <row r="230" spans="1:11" ht="60" customHeight="1">
      <c r="A230" s="57" t="s">
        <v>11353</v>
      </c>
      <c r="B230" s="57" t="s">
        <v>11320</v>
      </c>
      <c r="C230" s="57" t="s">
        <v>9074</v>
      </c>
      <c r="D230" s="57" t="s">
        <v>1058</v>
      </c>
      <c r="E230" s="57" t="s">
        <v>240</v>
      </c>
      <c r="F230" s="57" t="s">
        <v>11347</v>
      </c>
      <c r="G230" s="57" t="s">
        <v>11322</v>
      </c>
      <c r="H230" s="57" t="s">
        <v>11353</v>
      </c>
      <c r="I230" s="57" t="s">
        <v>10577</v>
      </c>
      <c r="J230" s="57" t="s">
        <v>11354</v>
      </c>
      <c r="K230" s="57" t="s">
        <v>10779</v>
      </c>
    </row>
    <row r="231" spans="1:11" ht="60" customHeight="1">
      <c r="A231" s="57" t="s">
        <v>11355</v>
      </c>
      <c r="B231" s="57" t="s">
        <v>11320</v>
      </c>
      <c r="C231" s="57" t="s">
        <v>11356</v>
      </c>
      <c r="D231" s="57" t="s">
        <v>10623</v>
      </c>
      <c r="E231" s="57" t="s">
        <v>10431</v>
      </c>
      <c r="F231" s="57" t="s">
        <v>11144</v>
      </c>
      <c r="G231" s="57" t="s">
        <v>11322</v>
      </c>
      <c r="H231" s="57" t="s">
        <v>11355</v>
      </c>
      <c r="I231" s="57" t="s">
        <v>10577</v>
      </c>
      <c r="J231" s="57" t="s">
        <v>11357</v>
      </c>
      <c r="K231" s="57" t="s">
        <v>10779</v>
      </c>
    </row>
    <row r="232" spans="1:11" ht="60" customHeight="1">
      <c r="A232" s="57" t="s">
        <v>11358</v>
      </c>
      <c r="B232" s="57" t="s">
        <v>11320</v>
      </c>
      <c r="C232" s="57" t="s">
        <v>8508</v>
      </c>
      <c r="D232" s="57" t="s">
        <v>10623</v>
      </c>
      <c r="E232" s="57" t="s">
        <v>10431</v>
      </c>
      <c r="F232" s="57" t="s">
        <v>11144</v>
      </c>
      <c r="G232" s="57" t="s">
        <v>11322</v>
      </c>
      <c r="H232" s="57" t="s">
        <v>11358</v>
      </c>
      <c r="I232" s="57" t="s">
        <v>10577</v>
      </c>
      <c r="J232" s="57" t="s">
        <v>11359</v>
      </c>
      <c r="K232" s="57" t="s">
        <v>10779</v>
      </c>
    </row>
    <row r="233" spans="1:11" ht="60" customHeight="1">
      <c r="A233" s="57" t="s">
        <v>11360</v>
      </c>
      <c r="B233" s="57" t="s">
        <v>11361</v>
      </c>
      <c r="C233" s="57" t="s">
        <v>11362</v>
      </c>
      <c r="D233" s="57" t="s">
        <v>10623</v>
      </c>
      <c r="E233" s="57" t="s">
        <v>10431</v>
      </c>
      <c r="F233" s="57" t="s">
        <v>11363</v>
      </c>
      <c r="G233" s="57" t="s">
        <v>11364</v>
      </c>
      <c r="H233" s="57" t="s">
        <v>11360</v>
      </c>
      <c r="I233" s="57" t="s">
        <v>10577</v>
      </c>
      <c r="J233" s="57" t="s">
        <v>11365</v>
      </c>
      <c r="K233" s="57" t="s">
        <v>11366</v>
      </c>
    </row>
    <row r="234" spans="1:11" ht="60" customHeight="1">
      <c r="A234" s="57" t="s">
        <v>11367</v>
      </c>
      <c r="B234" s="57" t="s">
        <v>11361</v>
      </c>
      <c r="C234" s="57" t="s">
        <v>11368</v>
      </c>
      <c r="D234" s="57" t="s">
        <v>10623</v>
      </c>
      <c r="E234" s="57" t="s">
        <v>10431</v>
      </c>
      <c r="F234" s="57" t="s">
        <v>11363</v>
      </c>
      <c r="G234" s="57" t="s">
        <v>11364</v>
      </c>
      <c r="H234" s="57" t="s">
        <v>11367</v>
      </c>
      <c r="I234" s="57" t="s">
        <v>10577</v>
      </c>
      <c r="J234" s="57" t="s">
        <v>11365</v>
      </c>
      <c r="K234" s="57" t="s">
        <v>11366</v>
      </c>
    </row>
    <row r="235" spans="1:11" ht="60" customHeight="1">
      <c r="A235" s="57" t="s">
        <v>11369</v>
      </c>
      <c r="B235" s="57" t="s">
        <v>11361</v>
      </c>
      <c r="C235" s="57" t="s">
        <v>11370</v>
      </c>
      <c r="D235" s="57" t="s">
        <v>10623</v>
      </c>
      <c r="E235" s="57" t="s">
        <v>10431</v>
      </c>
      <c r="F235" s="57" t="s">
        <v>11363</v>
      </c>
      <c r="G235" s="57" t="s">
        <v>11364</v>
      </c>
      <c r="H235" s="57" t="s">
        <v>11369</v>
      </c>
      <c r="I235" s="57" t="s">
        <v>10577</v>
      </c>
      <c r="J235" s="57" t="s">
        <v>11365</v>
      </c>
      <c r="K235" s="57" t="s">
        <v>11366</v>
      </c>
    </row>
    <row r="236" spans="1:11" ht="60" customHeight="1">
      <c r="A236" s="57" t="s">
        <v>11371</v>
      </c>
      <c r="B236" s="57" t="s">
        <v>11361</v>
      </c>
      <c r="C236" s="57" t="s">
        <v>11372</v>
      </c>
      <c r="D236" s="57" t="s">
        <v>10623</v>
      </c>
      <c r="E236" s="57" t="s">
        <v>10431</v>
      </c>
      <c r="F236" s="57" t="s">
        <v>11363</v>
      </c>
      <c r="G236" s="57" t="s">
        <v>11364</v>
      </c>
      <c r="H236" s="57" t="s">
        <v>11371</v>
      </c>
      <c r="I236" s="57" t="s">
        <v>10577</v>
      </c>
      <c r="J236" s="57" t="s">
        <v>11365</v>
      </c>
      <c r="K236" s="57" t="s">
        <v>11366</v>
      </c>
    </row>
    <row r="237" spans="1:11" ht="60" customHeight="1">
      <c r="A237" s="57" t="s">
        <v>11373</v>
      </c>
      <c r="B237" s="57" t="s">
        <v>11361</v>
      </c>
      <c r="C237" s="57" t="s">
        <v>11374</v>
      </c>
      <c r="D237" s="57" t="s">
        <v>10623</v>
      </c>
      <c r="E237" s="57" t="s">
        <v>10431</v>
      </c>
      <c r="F237" s="57" t="s">
        <v>11363</v>
      </c>
      <c r="G237" s="57" t="s">
        <v>11364</v>
      </c>
      <c r="H237" s="57" t="s">
        <v>11373</v>
      </c>
      <c r="I237" s="57" t="s">
        <v>10577</v>
      </c>
      <c r="J237" s="57" t="s">
        <v>11365</v>
      </c>
      <c r="K237" s="57" t="s">
        <v>11366</v>
      </c>
    </row>
    <row r="238" spans="1:11" ht="60" customHeight="1">
      <c r="A238" s="57" t="s">
        <v>11375</v>
      </c>
      <c r="B238" s="57" t="s">
        <v>11361</v>
      </c>
      <c r="C238" s="57" t="s">
        <v>11376</v>
      </c>
      <c r="D238" s="57" t="s">
        <v>10623</v>
      </c>
      <c r="E238" s="57" t="s">
        <v>10431</v>
      </c>
      <c r="F238" s="57" t="s">
        <v>11363</v>
      </c>
      <c r="G238" s="57" t="s">
        <v>11364</v>
      </c>
      <c r="H238" s="57" t="s">
        <v>11375</v>
      </c>
      <c r="I238" s="57" t="s">
        <v>10577</v>
      </c>
      <c r="J238" s="57" t="s">
        <v>11365</v>
      </c>
      <c r="K238" s="57" t="s">
        <v>11366</v>
      </c>
    </row>
    <row r="239" spans="1:11" ht="60" customHeight="1">
      <c r="A239" s="57" t="s">
        <v>11377</v>
      </c>
      <c r="B239" s="57" t="s">
        <v>11361</v>
      </c>
      <c r="C239" s="57" t="s">
        <v>11378</v>
      </c>
      <c r="D239" s="57" t="s">
        <v>1058</v>
      </c>
      <c r="E239" s="57" t="s">
        <v>240</v>
      </c>
      <c r="F239" s="57" t="s">
        <v>11347</v>
      </c>
      <c r="G239" s="57" t="s">
        <v>11364</v>
      </c>
      <c r="H239" s="57" t="s">
        <v>11377</v>
      </c>
      <c r="I239" s="57" t="s">
        <v>10577</v>
      </c>
      <c r="J239" s="57" t="s">
        <v>11365</v>
      </c>
      <c r="K239" s="57" t="s">
        <v>11366</v>
      </c>
    </row>
    <row r="240" spans="1:11" ht="60" customHeight="1">
      <c r="A240" s="57" t="s">
        <v>11379</v>
      </c>
      <c r="B240" s="57" t="s">
        <v>11361</v>
      </c>
      <c r="C240" s="57" t="s">
        <v>11380</v>
      </c>
      <c r="D240" s="57" t="s">
        <v>1058</v>
      </c>
      <c r="E240" s="57" t="s">
        <v>240</v>
      </c>
      <c r="F240" s="57" t="s">
        <v>11347</v>
      </c>
      <c r="G240" s="57" t="s">
        <v>11364</v>
      </c>
      <c r="H240" s="57" t="s">
        <v>11379</v>
      </c>
      <c r="I240" s="57" t="s">
        <v>10577</v>
      </c>
      <c r="J240" s="57" t="s">
        <v>11365</v>
      </c>
      <c r="K240" s="57" t="s">
        <v>11366</v>
      </c>
    </row>
    <row r="241" spans="1:11" ht="60" customHeight="1">
      <c r="A241" s="57" t="s">
        <v>11381</v>
      </c>
      <c r="B241" s="57" t="s">
        <v>11361</v>
      </c>
      <c r="C241" s="57" t="s">
        <v>11382</v>
      </c>
      <c r="D241" s="57" t="s">
        <v>10623</v>
      </c>
      <c r="E241" s="57" t="s">
        <v>10431</v>
      </c>
      <c r="F241" s="57" t="s">
        <v>11363</v>
      </c>
      <c r="G241" s="57" t="s">
        <v>11364</v>
      </c>
      <c r="H241" s="57" t="s">
        <v>11381</v>
      </c>
      <c r="I241" s="57" t="s">
        <v>10577</v>
      </c>
      <c r="J241" s="57" t="s">
        <v>11365</v>
      </c>
      <c r="K241" s="57" t="s">
        <v>11366</v>
      </c>
    </row>
    <row r="242" spans="1:11" ht="60" customHeight="1">
      <c r="A242" s="57" t="s">
        <v>11383</v>
      </c>
      <c r="B242" s="57" t="s">
        <v>11361</v>
      </c>
      <c r="C242" s="57" t="s">
        <v>11384</v>
      </c>
      <c r="D242" s="57" t="s">
        <v>10623</v>
      </c>
      <c r="E242" s="57" t="s">
        <v>10431</v>
      </c>
      <c r="F242" s="57" t="s">
        <v>11363</v>
      </c>
      <c r="G242" s="57" t="s">
        <v>11364</v>
      </c>
      <c r="H242" s="57" t="s">
        <v>11383</v>
      </c>
      <c r="I242" s="57" t="s">
        <v>10577</v>
      </c>
      <c r="J242" s="57" t="s">
        <v>11365</v>
      </c>
      <c r="K242" s="57" t="s">
        <v>11366</v>
      </c>
    </row>
    <row r="243" spans="1:11" ht="60" customHeight="1">
      <c r="A243" s="57" t="s">
        <v>11385</v>
      </c>
      <c r="B243" s="57" t="s">
        <v>11361</v>
      </c>
      <c r="C243" s="57" t="s">
        <v>11386</v>
      </c>
      <c r="D243" s="57" t="s">
        <v>10623</v>
      </c>
      <c r="E243" s="57" t="s">
        <v>10431</v>
      </c>
      <c r="F243" s="57" t="s">
        <v>11363</v>
      </c>
      <c r="G243" s="57" t="s">
        <v>11364</v>
      </c>
      <c r="H243" s="57" t="s">
        <v>11385</v>
      </c>
      <c r="I243" s="57" t="s">
        <v>10577</v>
      </c>
      <c r="J243" s="57" t="s">
        <v>11365</v>
      </c>
      <c r="K243" s="57" t="s">
        <v>11366</v>
      </c>
    </row>
    <row r="244" spans="1:11" ht="60" customHeight="1">
      <c r="A244" s="57" t="s">
        <v>11387</v>
      </c>
      <c r="B244" s="57" t="s">
        <v>11388</v>
      </c>
      <c r="C244" s="57" t="s">
        <v>11389</v>
      </c>
      <c r="D244" s="57" t="s">
        <v>10623</v>
      </c>
      <c r="E244" s="57" t="s">
        <v>10431</v>
      </c>
      <c r="F244" s="57" t="s">
        <v>11390</v>
      </c>
      <c r="G244" s="57" t="s">
        <v>11391</v>
      </c>
      <c r="H244" s="57" t="s">
        <v>11385</v>
      </c>
      <c r="I244" s="57" t="s">
        <v>10577</v>
      </c>
      <c r="J244" s="57" t="s">
        <v>11392</v>
      </c>
      <c r="K244" s="57" t="s">
        <v>10779</v>
      </c>
    </row>
    <row r="245" spans="1:11" ht="60" customHeight="1">
      <c r="A245" s="57" t="s">
        <v>11393</v>
      </c>
      <c r="B245" s="57" t="s">
        <v>11388</v>
      </c>
      <c r="C245" s="57" t="s">
        <v>11394</v>
      </c>
      <c r="D245" s="57" t="s">
        <v>10623</v>
      </c>
      <c r="E245" s="57" t="s">
        <v>10431</v>
      </c>
      <c r="F245" s="57" t="s">
        <v>11390</v>
      </c>
      <c r="G245" s="57" t="s">
        <v>11391</v>
      </c>
      <c r="H245" s="57" t="s">
        <v>11385</v>
      </c>
      <c r="I245" s="57" t="s">
        <v>10577</v>
      </c>
      <c r="J245" s="57" t="s">
        <v>11392</v>
      </c>
      <c r="K245" s="57" t="s">
        <v>10779</v>
      </c>
    </row>
    <row r="246" spans="1:11" ht="60" customHeight="1">
      <c r="A246" s="57" t="s">
        <v>11395</v>
      </c>
      <c r="B246" s="57" t="s">
        <v>11388</v>
      </c>
      <c r="C246" s="57" t="s">
        <v>11396</v>
      </c>
      <c r="D246" s="57" t="s">
        <v>10623</v>
      </c>
      <c r="E246" s="57" t="s">
        <v>10431</v>
      </c>
      <c r="F246" s="57" t="s">
        <v>11390</v>
      </c>
      <c r="G246" s="57" t="s">
        <v>11391</v>
      </c>
      <c r="H246" s="57" t="s">
        <v>11385</v>
      </c>
      <c r="I246" s="57" t="s">
        <v>10577</v>
      </c>
      <c r="J246" s="57" t="s">
        <v>11392</v>
      </c>
      <c r="K246" s="57" t="s">
        <v>10779</v>
      </c>
    </row>
    <row r="247" spans="1:11" ht="60" customHeight="1">
      <c r="A247" s="57" t="s">
        <v>11397</v>
      </c>
      <c r="B247" s="57" t="s">
        <v>11388</v>
      </c>
      <c r="C247" s="57" t="s">
        <v>11398</v>
      </c>
      <c r="D247" s="57" t="s">
        <v>10623</v>
      </c>
      <c r="E247" s="57" t="s">
        <v>10431</v>
      </c>
      <c r="F247" s="57" t="s">
        <v>11390</v>
      </c>
      <c r="G247" s="57" t="s">
        <v>11391</v>
      </c>
      <c r="H247" s="57" t="s">
        <v>11385</v>
      </c>
      <c r="I247" s="57" t="s">
        <v>10577</v>
      </c>
      <c r="J247" s="57" t="s">
        <v>11392</v>
      </c>
      <c r="K247" s="57" t="s">
        <v>10779</v>
      </c>
    </row>
    <row r="248" spans="1:11" ht="60" customHeight="1">
      <c r="A248" s="57" t="s">
        <v>11399</v>
      </c>
      <c r="B248" s="57" t="s">
        <v>11388</v>
      </c>
      <c r="C248" s="57" t="s">
        <v>11400</v>
      </c>
      <c r="D248" s="57" t="s">
        <v>10623</v>
      </c>
      <c r="E248" s="57" t="s">
        <v>10431</v>
      </c>
      <c r="F248" s="57" t="s">
        <v>11390</v>
      </c>
      <c r="G248" s="57" t="s">
        <v>11391</v>
      </c>
      <c r="H248" s="57" t="s">
        <v>11385</v>
      </c>
      <c r="I248" s="57" t="s">
        <v>10577</v>
      </c>
      <c r="J248" s="57" t="s">
        <v>11392</v>
      </c>
      <c r="K248" s="57" t="s">
        <v>10779</v>
      </c>
    </row>
    <row r="249" spans="1:11" ht="60" customHeight="1">
      <c r="A249" s="57" t="s">
        <v>11401</v>
      </c>
      <c r="B249" s="57" t="s">
        <v>11388</v>
      </c>
      <c r="C249" s="57" t="s">
        <v>11402</v>
      </c>
      <c r="D249" s="57" t="s">
        <v>10623</v>
      </c>
      <c r="E249" s="57" t="s">
        <v>10431</v>
      </c>
      <c r="F249" s="57" t="s">
        <v>11390</v>
      </c>
      <c r="G249" s="57" t="s">
        <v>11391</v>
      </c>
      <c r="H249" s="57" t="s">
        <v>11385</v>
      </c>
      <c r="I249" s="57" t="s">
        <v>10577</v>
      </c>
      <c r="J249" s="57" t="s">
        <v>11392</v>
      </c>
      <c r="K249" s="57" t="s">
        <v>10779</v>
      </c>
    </row>
    <row r="250" spans="1:11" ht="60" customHeight="1">
      <c r="A250" s="57" t="s">
        <v>11403</v>
      </c>
      <c r="B250" s="57" t="s">
        <v>11388</v>
      </c>
      <c r="C250" s="57" t="s">
        <v>11404</v>
      </c>
      <c r="D250" s="57" t="s">
        <v>10623</v>
      </c>
      <c r="E250" s="57" t="s">
        <v>10431</v>
      </c>
      <c r="F250" s="57" t="s">
        <v>11390</v>
      </c>
      <c r="G250" s="57" t="s">
        <v>11391</v>
      </c>
      <c r="H250" s="57" t="s">
        <v>11385</v>
      </c>
      <c r="I250" s="57" t="s">
        <v>10577</v>
      </c>
      <c r="J250" s="57" t="s">
        <v>11392</v>
      </c>
      <c r="K250" s="57" t="s">
        <v>10779</v>
      </c>
    </row>
    <row r="251" spans="1:11" ht="60" customHeight="1">
      <c r="A251" s="57" t="s">
        <v>11405</v>
      </c>
      <c r="B251" s="57" t="s">
        <v>11388</v>
      </c>
      <c r="C251" s="57" t="s">
        <v>11406</v>
      </c>
      <c r="D251" s="57" t="s">
        <v>10623</v>
      </c>
      <c r="E251" s="57" t="s">
        <v>10431</v>
      </c>
      <c r="F251" s="57" t="s">
        <v>11390</v>
      </c>
      <c r="G251" s="57" t="s">
        <v>11391</v>
      </c>
      <c r="H251" s="57" t="s">
        <v>11385</v>
      </c>
      <c r="I251" s="57" t="s">
        <v>10577</v>
      </c>
      <c r="J251" s="57" t="s">
        <v>11392</v>
      </c>
      <c r="K251" s="57" t="s">
        <v>10779</v>
      </c>
    </row>
    <row r="252" spans="1:11" ht="60" customHeight="1">
      <c r="A252" s="57" t="s">
        <v>11407</v>
      </c>
      <c r="B252" s="57" t="s">
        <v>11388</v>
      </c>
      <c r="C252" s="57" t="s">
        <v>11408</v>
      </c>
      <c r="D252" s="57" t="s">
        <v>10623</v>
      </c>
      <c r="E252" s="57" t="s">
        <v>10431</v>
      </c>
      <c r="F252" s="57" t="s">
        <v>11390</v>
      </c>
      <c r="G252" s="57" t="s">
        <v>11391</v>
      </c>
      <c r="H252" s="57" t="s">
        <v>11385</v>
      </c>
      <c r="I252" s="57" t="s">
        <v>10577</v>
      </c>
      <c r="J252" s="57" t="s">
        <v>11392</v>
      </c>
      <c r="K252" s="57" t="s">
        <v>10779</v>
      </c>
    </row>
    <row r="253" spans="1:11" ht="60" customHeight="1">
      <c r="A253" s="57" t="s">
        <v>11409</v>
      </c>
      <c r="B253" s="57" t="s">
        <v>11388</v>
      </c>
      <c r="C253" s="57" t="s">
        <v>11410</v>
      </c>
      <c r="D253" s="57" t="s">
        <v>10623</v>
      </c>
      <c r="E253" s="57" t="s">
        <v>10431</v>
      </c>
      <c r="F253" s="57" t="s">
        <v>11390</v>
      </c>
      <c r="G253" s="57" t="s">
        <v>11391</v>
      </c>
      <c r="H253" s="57" t="s">
        <v>11385</v>
      </c>
      <c r="I253" s="57" t="s">
        <v>10577</v>
      </c>
      <c r="J253" s="57" t="s">
        <v>11392</v>
      </c>
      <c r="K253" s="57" t="s">
        <v>10779</v>
      </c>
    </row>
    <row r="254" spans="1:11" ht="60" customHeight="1">
      <c r="A254" s="57" t="s">
        <v>11411</v>
      </c>
      <c r="B254" s="57" t="s">
        <v>11388</v>
      </c>
      <c r="C254" s="57" t="s">
        <v>11412</v>
      </c>
      <c r="D254" s="57" t="s">
        <v>10623</v>
      </c>
      <c r="E254" s="57" t="s">
        <v>10431</v>
      </c>
      <c r="F254" s="57" t="s">
        <v>11390</v>
      </c>
      <c r="G254" s="57" t="s">
        <v>11391</v>
      </c>
      <c r="H254" s="57" t="s">
        <v>11385</v>
      </c>
      <c r="I254" s="57" t="s">
        <v>10577</v>
      </c>
      <c r="J254" s="57" t="s">
        <v>11392</v>
      </c>
      <c r="K254" s="57" t="s">
        <v>10779</v>
      </c>
    </row>
    <row r="255" spans="1:11" ht="60" customHeight="1">
      <c r="A255" s="57" t="s">
        <v>11413</v>
      </c>
      <c r="B255" s="57" t="s">
        <v>11388</v>
      </c>
      <c r="C255" s="57" t="s">
        <v>11414</v>
      </c>
      <c r="D255" s="57" t="s">
        <v>10623</v>
      </c>
      <c r="E255" s="57" t="s">
        <v>10431</v>
      </c>
      <c r="F255" s="57" t="s">
        <v>11390</v>
      </c>
      <c r="G255" s="57" t="s">
        <v>11391</v>
      </c>
      <c r="H255" s="57" t="s">
        <v>11385</v>
      </c>
      <c r="I255" s="57" t="s">
        <v>10577</v>
      </c>
      <c r="J255" s="57" t="s">
        <v>11392</v>
      </c>
      <c r="K255" s="57" t="s">
        <v>10779</v>
      </c>
    </row>
    <row r="256" spans="1:11" ht="60" customHeight="1">
      <c r="A256" s="57" t="s">
        <v>11415</v>
      </c>
      <c r="B256" s="57" t="s">
        <v>11388</v>
      </c>
      <c r="C256" s="57" t="s">
        <v>11416</v>
      </c>
      <c r="D256" s="57" t="s">
        <v>10623</v>
      </c>
      <c r="E256" s="57" t="s">
        <v>10431</v>
      </c>
      <c r="F256" s="57" t="s">
        <v>11390</v>
      </c>
      <c r="G256" s="57" t="s">
        <v>11391</v>
      </c>
      <c r="H256" s="57" t="s">
        <v>11385</v>
      </c>
      <c r="I256" s="57" t="s">
        <v>10577</v>
      </c>
      <c r="J256" s="57" t="s">
        <v>11392</v>
      </c>
      <c r="K256" s="57" t="s">
        <v>10779</v>
      </c>
    </row>
    <row r="257" spans="1:11" ht="60" customHeight="1">
      <c r="A257" s="57" t="s">
        <v>11417</v>
      </c>
      <c r="B257" s="57" t="s">
        <v>11388</v>
      </c>
      <c r="C257" s="57" t="s">
        <v>11418</v>
      </c>
      <c r="D257" s="57" t="s">
        <v>10623</v>
      </c>
      <c r="E257" s="57" t="s">
        <v>10431</v>
      </c>
      <c r="F257" s="57" t="s">
        <v>11390</v>
      </c>
      <c r="G257" s="57" t="s">
        <v>11391</v>
      </c>
      <c r="H257" s="57" t="s">
        <v>11385</v>
      </c>
      <c r="I257" s="57" t="s">
        <v>10577</v>
      </c>
      <c r="J257" s="57" t="s">
        <v>11392</v>
      </c>
      <c r="K257" s="57" t="s">
        <v>10779</v>
      </c>
    </row>
    <row r="258" spans="1:11" ht="60" customHeight="1">
      <c r="A258" s="57" t="s">
        <v>11419</v>
      </c>
      <c r="B258" s="57" t="s">
        <v>11388</v>
      </c>
      <c r="C258" s="57" t="s">
        <v>11420</v>
      </c>
      <c r="D258" s="57" t="s">
        <v>10623</v>
      </c>
      <c r="E258" s="57" t="s">
        <v>10431</v>
      </c>
      <c r="F258" s="57" t="s">
        <v>11390</v>
      </c>
      <c r="G258" s="57" t="s">
        <v>11391</v>
      </c>
      <c r="H258" s="57" t="s">
        <v>11385</v>
      </c>
      <c r="I258" s="57" t="s">
        <v>10577</v>
      </c>
      <c r="J258" s="57" t="s">
        <v>11392</v>
      </c>
      <c r="K258" s="57" t="s">
        <v>10779</v>
      </c>
    </row>
    <row r="259" spans="1:11" ht="60" customHeight="1">
      <c r="A259" s="57" t="s">
        <v>11421</v>
      </c>
      <c r="B259" s="57" t="s">
        <v>11388</v>
      </c>
      <c r="C259" s="57" t="s">
        <v>11422</v>
      </c>
      <c r="D259" s="57" t="s">
        <v>10623</v>
      </c>
      <c r="E259" s="57" t="s">
        <v>10431</v>
      </c>
      <c r="F259" s="57" t="s">
        <v>11390</v>
      </c>
      <c r="G259" s="57" t="s">
        <v>11391</v>
      </c>
      <c r="H259" s="57" t="s">
        <v>11385</v>
      </c>
      <c r="I259" s="57" t="s">
        <v>10577</v>
      </c>
      <c r="J259" s="57" t="s">
        <v>11392</v>
      </c>
      <c r="K259" s="57" t="s">
        <v>10779</v>
      </c>
    </row>
    <row r="260" spans="1:11" ht="60" customHeight="1">
      <c r="A260" s="57" t="s">
        <v>11423</v>
      </c>
      <c r="B260" s="57" t="s">
        <v>11388</v>
      </c>
      <c r="C260" s="57" t="s">
        <v>11424</v>
      </c>
      <c r="D260" s="57" t="s">
        <v>10623</v>
      </c>
      <c r="E260" s="57" t="s">
        <v>10431</v>
      </c>
      <c r="F260" s="57" t="s">
        <v>11390</v>
      </c>
      <c r="G260" s="57" t="s">
        <v>11391</v>
      </c>
      <c r="H260" s="57" t="s">
        <v>11385</v>
      </c>
      <c r="I260" s="57" t="s">
        <v>10577</v>
      </c>
      <c r="J260" s="57" t="s">
        <v>11392</v>
      </c>
      <c r="K260" s="57" t="s">
        <v>10779</v>
      </c>
    </row>
    <row r="261" spans="1:11" ht="60" customHeight="1">
      <c r="A261" s="57" t="s">
        <v>11425</v>
      </c>
      <c r="B261" s="57" t="s">
        <v>11388</v>
      </c>
      <c r="C261" s="57" t="s">
        <v>11426</v>
      </c>
      <c r="D261" s="57" t="s">
        <v>10623</v>
      </c>
      <c r="E261" s="57" t="s">
        <v>10431</v>
      </c>
      <c r="F261" s="57" t="s">
        <v>11390</v>
      </c>
      <c r="G261" s="57" t="s">
        <v>11391</v>
      </c>
      <c r="H261" s="57" t="s">
        <v>11385</v>
      </c>
      <c r="I261" s="57" t="s">
        <v>10577</v>
      </c>
      <c r="J261" s="57" t="s">
        <v>11392</v>
      </c>
      <c r="K261" s="57" t="s">
        <v>10779</v>
      </c>
    </row>
    <row r="262" spans="1:11" ht="60" customHeight="1">
      <c r="A262" s="57" t="s">
        <v>11427</v>
      </c>
      <c r="B262" s="57" t="s">
        <v>11388</v>
      </c>
      <c r="C262" s="57" t="s">
        <v>11428</v>
      </c>
      <c r="D262" s="57" t="s">
        <v>10623</v>
      </c>
      <c r="E262" s="57" t="s">
        <v>10431</v>
      </c>
      <c r="F262" s="57" t="s">
        <v>11390</v>
      </c>
      <c r="G262" s="57" t="s">
        <v>11391</v>
      </c>
      <c r="H262" s="57" t="s">
        <v>11385</v>
      </c>
      <c r="I262" s="57" t="s">
        <v>10577</v>
      </c>
      <c r="J262" s="57" t="s">
        <v>11392</v>
      </c>
      <c r="K262" s="57" t="s">
        <v>10779</v>
      </c>
    </row>
    <row r="263" spans="1:11" ht="60" customHeight="1">
      <c r="A263" s="57" t="s">
        <v>11429</v>
      </c>
      <c r="B263" s="57" t="s">
        <v>11388</v>
      </c>
      <c r="C263" s="57" t="s">
        <v>11430</v>
      </c>
      <c r="D263" s="57" t="s">
        <v>10623</v>
      </c>
      <c r="E263" s="57" t="s">
        <v>10431</v>
      </c>
      <c r="F263" s="57" t="s">
        <v>11390</v>
      </c>
      <c r="G263" s="57" t="s">
        <v>11391</v>
      </c>
      <c r="H263" s="57" t="s">
        <v>11385</v>
      </c>
      <c r="I263" s="57" t="s">
        <v>10577</v>
      </c>
      <c r="J263" s="57" t="s">
        <v>11392</v>
      </c>
      <c r="K263" s="57" t="s">
        <v>10779</v>
      </c>
    </row>
    <row r="264" spans="1:11" ht="60" customHeight="1">
      <c r="A264" s="57" t="s">
        <v>11431</v>
      </c>
      <c r="B264" s="57" t="s">
        <v>11388</v>
      </c>
      <c r="C264" s="57" t="s">
        <v>11432</v>
      </c>
      <c r="D264" s="57" t="s">
        <v>10623</v>
      </c>
      <c r="E264" s="57" t="s">
        <v>10431</v>
      </c>
      <c r="F264" s="57" t="s">
        <v>11390</v>
      </c>
      <c r="G264" s="57" t="s">
        <v>11391</v>
      </c>
      <c r="H264" s="57" t="s">
        <v>11385</v>
      </c>
      <c r="I264" s="57" t="s">
        <v>10577</v>
      </c>
      <c r="J264" s="57" t="s">
        <v>11392</v>
      </c>
      <c r="K264" s="57" t="s">
        <v>10779</v>
      </c>
    </row>
    <row r="265" spans="1:11" ht="60" customHeight="1">
      <c r="A265" s="57" t="s">
        <v>11433</v>
      </c>
      <c r="B265" s="57" t="s">
        <v>11388</v>
      </c>
      <c r="C265" s="57" t="s">
        <v>11434</v>
      </c>
      <c r="D265" s="57" t="s">
        <v>10623</v>
      </c>
      <c r="E265" s="57" t="s">
        <v>10431</v>
      </c>
      <c r="F265" s="57" t="s">
        <v>11390</v>
      </c>
      <c r="G265" s="57" t="s">
        <v>11391</v>
      </c>
      <c r="H265" s="57" t="s">
        <v>11385</v>
      </c>
      <c r="I265" s="57" t="s">
        <v>10577</v>
      </c>
      <c r="J265" s="57" t="s">
        <v>11392</v>
      </c>
      <c r="K265" s="57" t="s">
        <v>10779</v>
      </c>
    </row>
    <row r="266" spans="1:11" ht="60" customHeight="1">
      <c r="A266" s="57" t="s">
        <v>11435</v>
      </c>
      <c r="B266" s="57" t="s">
        <v>11436</v>
      </c>
      <c r="C266" s="57" t="s">
        <v>11437</v>
      </c>
      <c r="D266" s="57" t="s">
        <v>449</v>
      </c>
      <c r="E266" s="57" t="s">
        <v>239</v>
      </c>
      <c r="F266" s="57" t="s">
        <v>11438</v>
      </c>
      <c r="G266" s="57" t="s">
        <v>11439</v>
      </c>
      <c r="H266" s="57" t="s">
        <v>11440</v>
      </c>
      <c r="I266" s="57" t="s">
        <v>11441</v>
      </c>
      <c r="J266" s="57" t="s">
        <v>11442</v>
      </c>
      <c r="K266" s="57" t="s">
        <v>11443</v>
      </c>
    </row>
    <row r="267" spans="1:11" ht="60" customHeight="1">
      <c r="A267" s="57" t="s">
        <v>11444</v>
      </c>
      <c r="B267" s="57" t="s">
        <v>11436</v>
      </c>
      <c r="C267" s="57" t="s">
        <v>11445</v>
      </c>
      <c r="D267" s="57" t="s">
        <v>449</v>
      </c>
      <c r="E267" s="57" t="s">
        <v>239</v>
      </c>
      <c r="F267" s="57" t="s">
        <v>106</v>
      </c>
      <c r="G267" s="57" t="s">
        <v>11446</v>
      </c>
      <c r="H267" s="57" t="s">
        <v>11440</v>
      </c>
      <c r="I267" s="57" t="s">
        <v>11441</v>
      </c>
      <c r="J267" s="57" t="s">
        <v>11447</v>
      </c>
      <c r="K267" s="57" t="s">
        <v>11443</v>
      </c>
    </row>
    <row r="268" spans="1:11" ht="60" customHeight="1">
      <c r="A268" s="57" t="s">
        <v>11448</v>
      </c>
      <c r="B268" s="57" t="s">
        <v>11436</v>
      </c>
      <c r="C268" s="57" t="s">
        <v>11449</v>
      </c>
      <c r="D268" s="57" t="s">
        <v>449</v>
      </c>
      <c r="E268" s="57" t="s">
        <v>239</v>
      </c>
      <c r="F268" s="57" t="s">
        <v>106</v>
      </c>
      <c r="G268" s="57" t="s">
        <v>11450</v>
      </c>
      <c r="H268" s="57" t="s">
        <v>11440</v>
      </c>
      <c r="I268" s="57" t="s">
        <v>11441</v>
      </c>
      <c r="J268" s="57" t="s">
        <v>11451</v>
      </c>
      <c r="K268" s="57" t="s">
        <v>11443</v>
      </c>
    </row>
    <row r="269" spans="1:11" ht="60" customHeight="1">
      <c r="A269" s="57" t="s">
        <v>11452</v>
      </c>
      <c r="B269" s="57" t="s">
        <v>11436</v>
      </c>
      <c r="C269" s="57" t="s">
        <v>11453</v>
      </c>
      <c r="D269" s="57" t="s">
        <v>449</v>
      </c>
      <c r="E269" s="57" t="s">
        <v>239</v>
      </c>
      <c r="F269" s="57" t="s">
        <v>11454</v>
      </c>
      <c r="G269" s="57" t="s">
        <v>11455</v>
      </c>
      <c r="H269" s="57" t="s">
        <v>11440</v>
      </c>
      <c r="I269" s="57" t="s">
        <v>11441</v>
      </c>
      <c r="J269" s="57" t="s">
        <v>11456</v>
      </c>
      <c r="K269" s="57" t="s">
        <v>11443</v>
      </c>
    </row>
    <row r="270" spans="1:11" ht="60" customHeight="1">
      <c r="A270" s="57" t="s">
        <v>11457</v>
      </c>
      <c r="B270" s="57" t="s">
        <v>11436</v>
      </c>
      <c r="C270" s="57" t="s">
        <v>11458</v>
      </c>
      <c r="D270" s="57" t="s">
        <v>449</v>
      </c>
      <c r="E270" s="57" t="s">
        <v>239</v>
      </c>
      <c r="F270" s="57" t="s">
        <v>107</v>
      </c>
      <c r="G270" s="57" t="s">
        <v>11455</v>
      </c>
      <c r="H270" s="57" t="s">
        <v>11440</v>
      </c>
      <c r="I270" s="57" t="s">
        <v>11441</v>
      </c>
      <c r="J270" s="57" t="s">
        <v>11459</v>
      </c>
      <c r="K270" s="57" t="s">
        <v>11443</v>
      </c>
    </row>
    <row r="271" spans="1:11" ht="60" customHeight="1">
      <c r="A271" s="57" t="s">
        <v>11460</v>
      </c>
      <c r="B271" s="57" t="s">
        <v>11436</v>
      </c>
      <c r="C271" s="57" t="s">
        <v>11461</v>
      </c>
      <c r="D271" s="57" t="s">
        <v>449</v>
      </c>
      <c r="E271" s="57" t="s">
        <v>239</v>
      </c>
      <c r="F271" s="57" t="s">
        <v>10617</v>
      </c>
      <c r="G271" s="57" t="s">
        <v>11462</v>
      </c>
      <c r="H271" s="57" t="s">
        <v>11440</v>
      </c>
      <c r="I271" s="57" t="s">
        <v>11441</v>
      </c>
      <c r="J271" s="57" t="s">
        <v>11463</v>
      </c>
      <c r="K271" s="57" t="s">
        <v>11443</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71"/>
  <sheetViews>
    <sheetView workbookViewId="0"/>
  </sheetViews>
  <sheetFormatPr defaultRowHeight="14.25"/>
  <cols>
    <col min="1" max="1" width="24" customWidth="1"/>
    <col min="2" max="2" width="12" customWidth="1"/>
    <col min="3" max="3" width="40" customWidth="1"/>
    <col min="4" max="4" width="24" customWidth="1"/>
    <col min="5" max="5" width="32" customWidth="1"/>
    <col min="6" max="6" width="34" customWidth="1"/>
    <col min="7" max="7" width="40" customWidth="1"/>
    <col min="8" max="8" width="20" customWidth="1"/>
    <col min="9" max="9" width="24" customWidth="1"/>
    <col min="10" max="10" width="28" customWidth="1"/>
    <col min="11" max="11" width="40" customWidth="1"/>
  </cols>
  <sheetData>
    <row r="1" spans="1:11" ht="30" customHeight="1">
      <c r="A1" s="56" t="s">
        <v>11464</v>
      </c>
      <c r="B1" s="56" t="s">
        <v>11465</v>
      </c>
      <c r="C1" s="56" t="s">
        <v>11466</v>
      </c>
      <c r="D1" s="56" t="s">
        <v>1591</v>
      </c>
      <c r="E1" s="56" t="s">
        <v>11467</v>
      </c>
      <c r="F1" s="56" t="s">
        <v>11468</v>
      </c>
      <c r="G1" s="56" t="s">
        <v>11321</v>
      </c>
      <c r="H1" s="56" t="s">
        <v>10564</v>
      </c>
      <c r="I1" s="56" t="s">
        <v>10565</v>
      </c>
      <c r="J1" s="56" t="s">
        <v>11469</v>
      </c>
      <c r="K1" s="56" t="s">
        <v>11470</v>
      </c>
    </row>
    <row r="2" spans="1:11" ht="60" customHeight="1">
      <c r="A2" s="57" t="s">
        <v>11471</v>
      </c>
      <c r="B2" s="57" t="s">
        <v>1967</v>
      </c>
      <c r="C2" s="57" t="s">
        <v>11472</v>
      </c>
      <c r="D2" s="57" t="s">
        <v>11473</v>
      </c>
      <c r="E2" s="57" t="s">
        <v>11474</v>
      </c>
      <c r="F2" s="57" t="s">
        <v>11475</v>
      </c>
      <c r="G2" s="57" t="s">
        <v>10575</v>
      </c>
      <c r="H2" s="57" t="s">
        <v>449</v>
      </c>
      <c r="I2" s="57" t="s">
        <v>238</v>
      </c>
      <c r="J2" s="57" t="s">
        <v>11476</v>
      </c>
      <c r="K2" s="57" t="s">
        <v>11477</v>
      </c>
    </row>
    <row r="3" spans="1:11" ht="60" customHeight="1">
      <c r="A3" s="57" t="s">
        <v>11478</v>
      </c>
      <c r="B3" s="57" t="s">
        <v>1967</v>
      </c>
      <c r="C3" s="57" t="s">
        <v>11479</v>
      </c>
      <c r="D3" s="57" t="s">
        <v>11480</v>
      </c>
      <c r="E3" s="57" t="s">
        <v>11481</v>
      </c>
      <c r="F3" s="57" t="s">
        <v>11475</v>
      </c>
      <c r="G3" s="57" t="s">
        <v>10575</v>
      </c>
      <c r="H3" s="57" t="s">
        <v>449</v>
      </c>
      <c r="I3" s="57" t="s">
        <v>238</v>
      </c>
      <c r="J3" s="57" t="s">
        <v>11476</v>
      </c>
      <c r="K3" s="57" t="s">
        <v>11477</v>
      </c>
    </row>
    <row r="4" spans="1:11" ht="60" customHeight="1">
      <c r="A4" s="57" t="s">
        <v>11482</v>
      </c>
      <c r="B4" s="57" t="s">
        <v>1967</v>
      </c>
      <c r="C4" s="57" t="s">
        <v>11483</v>
      </c>
      <c r="D4" s="57" t="s">
        <v>11484</v>
      </c>
      <c r="E4" s="57" t="s">
        <v>11485</v>
      </c>
      <c r="F4" s="57" t="s">
        <v>11486</v>
      </c>
      <c r="G4" s="57" t="s">
        <v>10575</v>
      </c>
      <c r="H4" s="57" t="s">
        <v>449</v>
      </c>
      <c r="I4" s="57" t="s">
        <v>238</v>
      </c>
      <c r="J4" s="57" t="s">
        <v>11476</v>
      </c>
      <c r="K4" s="57" t="s">
        <v>11477</v>
      </c>
    </row>
    <row r="5" spans="1:11" ht="60" customHeight="1">
      <c r="A5" s="57" t="s">
        <v>11487</v>
      </c>
      <c r="B5" s="57" t="s">
        <v>1967</v>
      </c>
      <c r="C5" s="57" t="s">
        <v>11488</v>
      </c>
      <c r="D5" s="57" t="s">
        <v>11473</v>
      </c>
      <c r="E5" s="57" t="s">
        <v>11489</v>
      </c>
      <c r="F5" s="57" t="s">
        <v>11490</v>
      </c>
      <c r="G5" s="57" t="s">
        <v>10575</v>
      </c>
      <c r="H5" s="57" t="s">
        <v>449</v>
      </c>
      <c r="I5" s="57" t="s">
        <v>238</v>
      </c>
      <c r="J5" s="57" t="s">
        <v>11476</v>
      </c>
      <c r="K5" s="57" t="s">
        <v>11477</v>
      </c>
    </row>
    <row r="6" spans="1:11" ht="60" customHeight="1">
      <c r="A6" s="57" t="s">
        <v>11491</v>
      </c>
      <c r="B6" s="57" t="s">
        <v>1967</v>
      </c>
      <c r="C6" s="57" t="s">
        <v>11492</v>
      </c>
      <c r="D6" s="57" t="s">
        <v>11493</v>
      </c>
      <c r="E6" s="57" t="s">
        <v>11494</v>
      </c>
      <c r="F6" s="57" t="s">
        <v>11475</v>
      </c>
      <c r="G6" s="57" t="s">
        <v>10575</v>
      </c>
      <c r="H6" s="57" t="s">
        <v>449</v>
      </c>
      <c r="I6" s="57" t="s">
        <v>238</v>
      </c>
      <c r="J6" s="57" t="s">
        <v>11476</v>
      </c>
      <c r="K6" s="57" t="s">
        <v>11477</v>
      </c>
    </row>
    <row r="7" spans="1:11" ht="60" customHeight="1">
      <c r="A7" s="57" t="s">
        <v>11495</v>
      </c>
      <c r="B7" s="57" t="s">
        <v>5953</v>
      </c>
      <c r="C7" s="57" t="s">
        <v>11496</v>
      </c>
      <c r="D7" s="57" t="s">
        <v>11497</v>
      </c>
      <c r="E7" s="57" t="s">
        <v>11498</v>
      </c>
      <c r="F7" s="57" t="s">
        <v>11499</v>
      </c>
      <c r="G7" s="57" t="s">
        <v>10582</v>
      </c>
      <c r="H7" s="57" t="s">
        <v>449</v>
      </c>
      <c r="I7" s="57" t="s">
        <v>238</v>
      </c>
      <c r="J7" s="57" t="s">
        <v>11476</v>
      </c>
      <c r="K7" s="57" t="s">
        <v>11477</v>
      </c>
    </row>
    <row r="8" spans="1:11" ht="60" customHeight="1">
      <c r="A8" s="57" t="s">
        <v>11500</v>
      </c>
      <c r="B8" s="57" t="s">
        <v>5953</v>
      </c>
      <c r="C8" s="57" t="s">
        <v>11501</v>
      </c>
      <c r="D8" s="57" t="s">
        <v>11502</v>
      </c>
      <c r="E8" s="57" t="s">
        <v>11503</v>
      </c>
      <c r="F8" s="57" t="s">
        <v>11475</v>
      </c>
      <c r="G8" s="57" t="s">
        <v>10582</v>
      </c>
      <c r="H8" s="57" t="s">
        <v>449</v>
      </c>
      <c r="I8" s="57" t="s">
        <v>238</v>
      </c>
      <c r="J8" s="57" t="s">
        <v>11476</v>
      </c>
      <c r="K8" s="57" t="s">
        <v>11477</v>
      </c>
    </row>
    <row r="9" spans="1:11" ht="60" customHeight="1">
      <c r="A9" s="57" t="s">
        <v>11504</v>
      </c>
      <c r="B9" s="57" t="s">
        <v>5953</v>
      </c>
      <c r="C9" s="57" t="s">
        <v>11505</v>
      </c>
      <c r="D9" s="57" t="s">
        <v>11506</v>
      </c>
      <c r="E9" s="57" t="s">
        <v>11507</v>
      </c>
      <c r="F9" s="57" t="s">
        <v>11508</v>
      </c>
      <c r="G9" s="57" t="s">
        <v>10582</v>
      </c>
      <c r="H9" s="57" t="s">
        <v>449</v>
      </c>
      <c r="I9" s="57" t="s">
        <v>238</v>
      </c>
      <c r="J9" s="57" t="s">
        <v>11476</v>
      </c>
      <c r="K9" s="57" t="s">
        <v>11477</v>
      </c>
    </row>
    <row r="10" spans="1:11" ht="60" customHeight="1">
      <c r="A10" s="57" t="s">
        <v>11509</v>
      </c>
      <c r="B10" s="57" t="s">
        <v>5953</v>
      </c>
      <c r="C10" s="57" t="s">
        <v>11510</v>
      </c>
      <c r="D10" s="57" t="s">
        <v>11511</v>
      </c>
      <c r="E10" s="57" t="s">
        <v>11512</v>
      </c>
      <c r="F10" s="57" t="s">
        <v>11513</v>
      </c>
      <c r="G10" s="57" t="s">
        <v>10582</v>
      </c>
      <c r="H10" s="57" t="s">
        <v>449</v>
      </c>
      <c r="I10" s="57" t="s">
        <v>238</v>
      </c>
      <c r="J10" s="57" t="s">
        <v>11476</v>
      </c>
      <c r="K10" s="57" t="s">
        <v>11477</v>
      </c>
    </row>
    <row r="11" spans="1:11" ht="60" customHeight="1">
      <c r="A11" s="57" t="s">
        <v>11514</v>
      </c>
      <c r="B11" s="57" t="s">
        <v>5953</v>
      </c>
      <c r="C11" s="57" t="s">
        <v>11515</v>
      </c>
      <c r="D11" s="57" t="s">
        <v>11516</v>
      </c>
      <c r="E11" s="57" t="s">
        <v>11517</v>
      </c>
      <c r="F11" s="57" t="s">
        <v>11475</v>
      </c>
      <c r="G11" s="57" t="s">
        <v>10582</v>
      </c>
      <c r="H11" s="57" t="s">
        <v>449</v>
      </c>
      <c r="I11" s="57" t="s">
        <v>238</v>
      </c>
      <c r="J11" s="57" t="s">
        <v>11476</v>
      </c>
      <c r="K11" s="57" t="s">
        <v>11477</v>
      </c>
    </row>
    <row r="12" spans="1:11" ht="60" customHeight="1">
      <c r="A12" s="57" t="s">
        <v>11518</v>
      </c>
      <c r="B12" s="57" t="s">
        <v>10585</v>
      </c>
      <c r="C12" s="57" t="s">
        <v>11515</v>
      </c>
      <c r="D12" s="57" t="s">
        <v>11519</v>
      </c>
      <c r="E12" s="57" t="s">
        <v>11520</v>
      </c>
      <c r="F12" s="57" t="s">
        <v>11475</v>
      </c>
      <c r="G12" s="57" t="s">
        <v>10588</v>
      </c>
      <c r="H12" s="57" t="s">
        <v>449</v>
      </c>
      <c r="I12" s="57" t="s">
        <v>238</v>
      </c>
      <c r="J12" s="57" t="s">
        <v>11476</v>
      </c>
      <c r="K12" s="57" t="s">
        <v>11477</v>
      </c>
    </row>
    <row r="13" spans="1:11" ht="60" customHeight="1">
      <c r="A13" s="57" t="s">
        <v>11521</v>
      </c>
      <c r="B13" s="57" t="s">
        <v>10585</v>
      </c>
      <c r="C13" s="57" t="s">
        <v>11522</v>
      </c>
      <c r="D13" s="57" t="s">
        <v>11523</v>
      </c>
      <c r="E13" s="57" t="s">
        <v>11524</v>
      </c>
      <c r="F13" s="57" t="s">
        <v>11525</v>
      </c>
      <c r="G13" s="57" t="s">
        <v>10588</v>
      </c>
      <c r="H13" s="57" t="s">
        <v>449</v>
      </c>
      <c r="I13" s="57" t="s">
        <v>238</v>
      </c>
      <c r="J13" s="57" t="s">
        <v>11476</v>
      </c>
      <c r="K13" s="57" t="s">
        <v>11477</v>
      </c>
    </row>
    <row r="14" spans="1:11" ht="60" customHeight="1">
      <c r="A14" s="57" t="s">
        <v>11526</v>
      </c>
      <c r="B14" s="57" t="s">
        <v>10585</v>
      </c>
      <c r="C14" s="57" t="s">
        <v>11527</v>
      </c>
      <c r="D14" s="57" t="s">
        <v>11516</v>
      </c>
      <c r="E14" s="57" t="s">
        <v>11528</v>
      </c>
      <c r="F14" s="57" t="s">
        <v>11529</v>
      </c>
      <c r="G14" s="57" t="s">
        <v>10588</v>
      </c>
      <c r="H14" s="57" t="s">
        <v>449</v>
      </c>
      <c r="I14" s="57" t="s">
        <v>238</v>
      </c>
      <c r="J14" s="57" t="s">
        <v>11476</v>
      </c>
      <c r="K14" s="57" t="s">
        <v>11477</v>
      </c>
    </row>
    <row r="15" spans="1:11" ht="60" customHeight="1">
      <c r="A15" s="57" t="s">
        <v>11530</v>
      </c>
      <c r="B15" s="57" t="s">
        <v>10585</v>
      </c>
      <c r="C15" s="57" t="s">
        <v>11531</v>
      </c>
      <c r="D15" s="57" t="s">
        <v>11473</v>
      </c>
      <c r="E15" s="57" t="s">
        <v>11532</v>
      </c>
      <c r="F15" s="57" t="s">
        <v>11475</v>
      </c>
      <c r="G15" s="57" t="s">
        <v>10588</v>
      </c>
      <c r="H15" s="57" t="s">
        <v>449</v>
      </c>
      <c r="I15" s="57" t="s">
        <v>238</v>
      </c>
      <c r="J15" s="57" t="s">
        <v>11476</v>
      </c>
      <c r="K15" s="57" t="s">
        <v>11477</v>
      </c>
    </row>
    <row r="16" spans="1:11" ht="60" customHeight="1">
      <c r="A16" s="57" t="s">
        <v>11533</v>
      </c>
      <c r="B16" s="57" t="s">
        <v>10585</v>
      </c>
      <c r="C16" s="57" t="s">
        <v>11479</v>
      </c>
      <c r="D16" s="57" t="s">
        <v>11480</v>
      </c>
      <c r="E16" s="57" t="s">
        <v>11534</v>
      </c>
      <c r="F16" s="57" t="s">
        <v>11475</v>
      </c>
      <c r="G16" s="57" t="s">
        <v>10588</v>
      </c>
      <c r="H16" s="57" t="s">
        <v>449</v>
      </c>
      <c r="I16" s="57" t="s">
        <v>238</v>
      </c>
      <c r="J16" s="57" t="s">
        <v>11476</v>
      </c>
      <c r="K16" s="57" t="s">
        <v>11477</v>
      </c>
    </row>
    <row r="17" spans="1:11" ht="60" customHeight="1">
      <c r="A17" s="57" t="s">
        <v>11535</v>
      </c>
      <c r="B17" s="57" t="s">
        <v>10585</v>
      </c>
      <c r="C17" s="57" t="s">
        <v>11536</v>
      </c>
      <c r="D17" s="57" t="s">
        <v>11537</v>
      </c>
      <c r="E17" s="57" t="s">
        <v>11534</v>
      </c>
      <c r="F17" s="57" t="s">
        <v>11538</v>
      </c>
      <c r="G17" s="57" t="s">
        <v>10588</v>
      </c>
      <c r="H17" s="57" t="s">
        <v>449</v>
      </c>
      <c r="I17" s="57" t="s">
        <v>238</v>
      </c>
      <c r="J17" s="57" t="s">
        <v>11476</v>
      </c>
      <c r="K17" s="57" t="s">
        <v>11477</v>
      </c>
    </row>
    <row r="18" spans="1:11" ht="60" customHeight="1">
      <c r="A18" s="57" t="s">
        <v>11539</v>
      </c>
      <c r="B18" s="57" t="s">
        <v>10585</v>
      </c>
      <c r="C18" s="57" t="s">
        <v>11540</v>
      </c>
      <c r="D18" s="57" t="s">
        <v>11537</v>
      </c>
      <c r="E18" s="57" t="s">
        <v>11534</v>
      </c>
      <c r="F18" s="57" t="s">
        <v>11475</v>
      </c>
      <c r="G18" s="57" t="s">
        <v>10588</v>
      </c>
      <c r="H18" s="57" t="s">
        <v>449</v>
      </c>
      <c r="I18" s="57" t="s">
        <v>238</v>
      </c>
      <c r="J18" s="57" t="s">
        <v>11476</v>
      </c>
      <c r="K18" s="57" t="s">
        <v>11477</v>
      </c>
    </row>
    <row r="19" spans="1:11" ht="60" customHeight="1">
      <c r="A19" s="57" t="s">
        <v>11541</v>
      </c>
      <c r="B19" s="57" t="s">
        <v>10585</v>
      </c>
      <c r="C19" s="57" t="s">
        <v>11542</v>
      </c>
      <c r="D19" s="57" t="s">
        <v>11473</v>
      </c>
      <c r="E19" s="57" t="s">
        <v>11534</v>
      </c>
      <c r="F19" s="57" t="s">
        <v>11543</v>
      </c>
      <c r="G19" s="57" t="s">
        <v>10588</v>
      </c>
      <c r="H19" s="57" t="s">
        <v>449</v>
      </c>
      <c r="I19" s="57" t="s">
        <v>238</v>
      </c>
      <c r="J19" s="57" t="s">
        <v>11476</v>
      </c>
      <c r="K19" s="57" t="s">
        <v>11477</v>
      </c>
    </row>
    <row r="20" spans="1:11" ht="60" customHeight="1">
      <c r="A20" s="57" t="s">
        <v>11544</v>
      </c>
      <c r="B20" s="57" t="s">
        <v>10585</v>
      </c>
      <c r="C20" s="57" t="s">
        <v>11545</v>
      </c>
      <c r="D20" s="57" t="s">
        <v>11546</v>
      </c>
      <c r="E20" s="57" t="s">
        <v>11547</v>
      </c>
      <c r="F20" s="57" t="s">
        <v>11475</v>
      </c>
      <c r="G20" s="57" t="s">
        <v>10588</v>
      </c>
      <c r="H20" s="57" t="s">
        <v>449</v>
      </c>
      <c r="I20" s="57" t="s">
        <v>238</v>
      </c>
      <c r="J20" s="57" t="s">
        <v>11476</v>
      </c>
      <c r="K20" s="57" t="s">
        <v>11477</v>
      </c>
    </row>
    <row r="21" spans="1:11" ht="60" customHeight="1">
      <c r="A21" s="57" t="s">
        <v>11548</v>
      </c>
      <c r="B21" s="57" t="s">
        <v>10585</v>
      </c>
      <c r="C21" s="57" t="s">
        <v>11549</v>
      </c>
      <c r="D21" s="57" t="s">
        <v>11516</v>
      </c>
      <c r="E21" s="57" t="s">
        <v>11550</v>
      </c>
      <c r="F21" s="57" t="s">
        <v>11551</v>
      </c>
      <c r="G21" s="57" t="s">
        <v>10588</v>
      </c>
      <c r="H21" s="57" t="s">
        <v>449</v>
      </c>
      <c r="I21" s="57" t="s">
        <v>238</v>
      </c>
      <c r="J21" s="57" t="s">
        <v>11476</v>
      </c>
      <c r="K21" s="57" t="s">
        <v>11477</v>
      </c>
    </row>
    <row r="22" spans="1:11" ht="60" customHeight="1">
      <c r="A22" s="57" t="s">
        <v>11552</v>
      </c>
      <c r="B22" s="57" t="s">
        <v>10585</v>
      </c>
      <c r="C22" s="57" t="s">
        <v>11553</v>
      </c>
      <c r="D22" s="57" t="s">
        <v>11554</v>
      </c>
      <c r="E22" s="57" t="s">
        <v>11555</v>
      </c>
      <c r="F22" s="57" t="s">
        <v>11556</v>
      </c>
      <c r="G22" s="57" t="s">
        <v>10588</v>
      </c>
      <c r="H22" s="57" t="s">
        <v>449</v>
      </c>
      <c r="I22" s="57" t="s">
        <v>238</v>
      </c>
      <c r="J22" s="57" t="s">
        <v>11476</v>
      </c>
      <c r="K22" s="57" t="s">
        <v>11477</v>
      </c>
    </row>
    <row r="23" spans="1:11" ht="60" customHeight="1">
      <c r="A23" s="57" t="s">
        <v>11557</v>
      </c>
      <c r="B23" s="57" t="s">
        <v>10585</v>
      </c>
      <c r="C23" s="57" t="s">
        <v>11558</v>
      </c>
      <c r="D23" s="57" t="s">
        <v>11559</v>
      </c>
      <c r="E23" s="57" t="s">
        <v>11560</v>
      </c>
      <c r="F23" s="57" t="s">
        <v>11561</v>
      </c>
      <c r="G23" s="57" t="s">
        <v>10588</v>
      </c>
      <c r="H23" s="57" t="s">
        <v>449</v>
      </c>
      <c r="I23" s="57" t="s">
        <v>238</v>
      </c>
      <c r="J23" s="57" t="s">
        <v>11476</v>
      </c>
      <c r="K23" s="57" t="s">
        <v>11477</v>
      </c>
    </row>
    <row r="24" spans="1:11" ht="60" customHeight="1">
      <c r="A24" s="57" t="s">
        <v>11562</v>
      </c>
      <c r="B24" s="57" t="s">
        <v>10591</v>
      </c>
      <c r="C24" s="57" t="s">
        <v>11563</v>
      </c>
      <c r="D24" s="57" t="s">
        <v>11537</v>
      </c>
      <c r="E24" s="57" t="s">
        <v>11564</v>
      </c>
      <c r="F24" s="57" t="s">
        <v>11565</v>
      </c>
      <c r="G24" s="57" t="s">
        <v>10594</v>
      </c>
      <c r="H24" s="57" t="s">
        <v>449</v>
      </c>
      <c r="I24" s="57" t="s">
        <v>238</v>
      </c>
      <c r="J24" s="57" t="s">
        <v>11476</v>
      </c>
      <c r="K24" s="57" t="s">
        <v>11477</v>
      </c>
    </row>
    <row r="25" spans="1:11" ht="60" customHeight="1">
      <c r="A25" s="57" t="s">
        <v>11566</v>
      </c>
      <c r="B25" s="57" t="s">
        <v>10591</v>
      </c>
      <c r="C25" s="57" t="s">
        <v>11567</v>
      </c>
      <c r="D25" s="57" t="s">
        <v>11568</v>
      </c>
      <c r="E25" s="57" t="s">
        <v>11569</v>
      </c>
      <c r="F25" s="57" t="s">
        <v>11570</v>
      </c>
      <c r="G25" s="57" t="s">
        <v>10594</v>
      </c>
      <c r="H25" s="57" t="s">
        <v>449</v>
      </c>
      <c r="I25" s="57" t="s">
        <v>238</v>
      </c>
      <c r="J25" s="57" t="s">
        <v>11476</v>
      </c>
      <c r="K25" s="57" t="s">
        <v>11477</v>
      </c>
    </row>
    <row r="26" spans="1:11" ht="60" customHeight="1">
      <c r="A26" s="57" t="s">
        <v>11571</v>
      </c>
      <c r="B26" s="57" t="s">
        <v>10591</v>
      </c>
      <c r="C26" s="57" t="s">
        <v>11572</v>
      </c>
      <c r="D26" s="57" t="s">
        <v>11554</v>
      </c>
      <c r="E26" s="57" t="s">
        <v>11573</v>
      </c>
      <c r="F26" s="57" t="s">
        <v>11574</v>
      </c>
      <c r="G26" s="57" t="s">
        <v>10594</v>
      </c>
      <c r="H26" s="57" t="s">
        <v>449</v>
      </c>
      <c r="I26" s="57" t="s">
        <v>238</v>
      </c>
      <c r="J26" s="57" t="s">
        <v>11476</v>
      </c>
      <c r="K26" s="57" t="s">
        <v>11477</v>
      </c>
    </row>
    <row r="27" spans="1:11" ht="60" customHeight="1">
      <c r="A27" s="57" t="s">
        <v>11575</v>
      </c>
      <c r="B27" s="57" t="s">
        <v>10591</v>
      </c>
      <c r="C27" s="57" t="s">
        <v>11576</v>
      </c>
      <c r="D27" s="57" t="s">
        <v>11516</v>
      </c>
      <c r="E27" s="57" t="s">
        <v>11577</v>
      </c>
      <c r="F27" s="57" t="s">
        <v>11578</v>
      </c>
      <c r="G27" s="57" t="s">
        <v>10594</v>
      </c>
      <c r="H27" s="57" t="s">
        <v>449</v>
      </c>
      <c r="I27" s="57" t="s">
        <v>238</v>
      </c>
      <c r="J27" s="57" t="s">
        <v>11476</v>
      </c>
      <c r="K27" s="57" t="s">
        <v>11477</v>
      </c>
    </row>
    <row r="28" spans="1:11" ht="60" customHeight="1">
      <c r="A28" s="57" t="s">
        <v>11579</v>
      </c>
      <c r="B28" s="57" t="s">
        <v>10591</v>
      </c>
      <c r="C28" s="57" t="s">
        <v>11580</v>
      </c>
      <c r="D28" s="57" t="s">
        <v>11581</v>
      </c>
      <c r="E28" s="57" t="s">
        <v>11582</v>
      </c>
      <c r="F28" s="57" t="s">
        <v>11583</v>
      </c>
      <c r="G28" s="57" t="s">
        <v>10594</v>
      </c>
      <c r="H28" s="57" t="s">
        <v>449</v>
      </c>
      <c r="I28" s="57" t="s">
        <v>238</v>
      </c>
      <c r="J28" s="57" t="s">
        <v>11476</v>
      </c>
      <c r="K28" s="57" t="s">
        <v>11477</v>
      </c>
    </row>
    <row r="29" spans="1:11" ht="60" customHeight="1">
      <c r="A29" s="57" t="s">
        <v>11584</v>
      </c>
      <c r="B29" s="57" t="s">
        <v>10597</v>
      </c>
      <c r="C29" s="57" t="s">
        <v>11585</v>
      </c>
      <c r="D29" s="57" t="s">
        <v>11586</v>
      </c>
      <c r="E29" s="57" t="s">
        <v>11587</v>
      </c>
      <c r="F29" s="57" t="s">
        <v>11475</v>
      </c>
      <c r="G29" s="57" t="s">
        <v>10600</v>
      </c>
      <c r="H29" s="57" t="s">
        <v>449</v>
      </c>
      <c r="I29" s="57" t="s">
        <v>238</v>
      </c>
      <c r="J29" s="57" t="s">
        <v>11476</v>
      </c>
      <c r="K29" s="57" t="s">
        <v>11477</v>
      </c>
    </row>
    <row r="30" spans="1:11" ht="60" customHeight="1">
      <c r="A30" s="57" t="s">
        <v>11588</v>
      </c>
      <c r="B30" s="57" t="s">
        <v>10597</v>
      </c>
      <c r="C30" s="57" t="s">
        <v>11589</v>
      </c>
      <c r="D30" s="57" t="s">
        <v>11590</v>
      </c>
      <c r="E30" s="57" t="s">
        <v>11591</v>
      </c>
      <c r="F30" s="57" t="s">
        <v>11592</v>
      </c>
      <c r="G30" s="57" t="s">
        <v>10600</v>
      </c>
      <c r="H30" s="57" t="s">
        <v>449</v>
      </c>
      <c r="I30" s="57" t="s">
        <v>238</v>
      </c>
      <c r="J30" s="57" t="s">
        <v>11476</v>
      </c>
      <c r="K30" s="57" t="s">
        <v>11477</v>
      </c>
    </row>
    <row r="31" spans="1:11" ht="60" customHeight="1">
      <c r="A31" s="57" t="s">
        <v>11593</v>
      </c>
      <c r="B31" s="57" t="s">
        <v>10597</v>
      </c>
      <c r="C31" s="57" t="s">
        <v>11594</v>
      </c>
      <c r="D31" s="57" t="s">
        <v>11595</v>
      </c>
      <c r="E31" s="57" t="s">
        <v>11596</v>
      </c>
      <c r="F31" s="57" t="s">
        <v>11592</v>
      </c>
      <c r="G31" s="57" t="s">
        <v>10600</v>
      </c>
      <c r="H31" s="57" t="s">
        <v>449</v>
      </c>
      <c r="I31" s="57" t="s">
        <v>238</v>
      </c>
      <c r="J31" s="57" t="s">
        <v>11476</v>
      </c>
      <c r="K31" s="57" t="s">
        <v>11477</v>
      </c>
    </row>
    <row r="32" spans="1:11" ht="60" customHeight="1">
      <c r="A32" s="57" t="s">
        <v>11597</v>
      </c>
      <c r="B32" s="57" t="s">
        <v>10597</v>
      </c>
      <c r="C32" s="57" t="s">
        <v>11598</v>
      </c>
      <c r="D32" s="57" t="s">
        <v>11599</v>
      </c>
      <c r="E32" s="57" t="s">
        <v>11600</v>
      </c>
      <c r="F32" s="57" t="s">
        <v>11592</v>
      </c>
      <c r="G32" s="57" t="s">
        <v>10600</v>
      </c>
      <c r="H32" s="57" t="s">
        <v>449</v>
      </c>
      <c r="I32" s="57" t="s">
        <v>238</v>
      </c>
      <c r="J32" s="57" t="s">
        <v>11476</v>
      </c>
      <c r="K32" s="57" t="s">
        <v>11477</v>
      </c>
    </row>
    <row r="33" spans="1:11" ht="60" customHeight="1">
      <c r="A33" s="57" t="s">
        <v>11601</v>
      </c>
      <c r="B33" s="57" t="s">
        <v>10597</v>
      </c>
      <c r="C33" s="57" t="s">
        <v>11602</v>
      </c>
      <c r="D33" s="57" t="s">
        <v>11554</v>
      </c>
      <c r="E33" s="57" t="s">
        <v>11603</v>
      </c>
      <c r="F33" s="57" t="s">
        <v>11604</v>
      </c>
      <c r="G33" s="57" t="s">
        <v>10600</v>
      </c>
      <c r="H33" s="57" t="s">
        <v>449</v>
      </c>
      <c r="I33" s="57" t="s">
        <v>238</v>
      </c>
      <c r="J33" s="57" t="s">
        <v>11476</v>
      </c>
      <c r="K33" s="57" t="s">
        <v>11477</v>
      </c>
    </row>
    <row r="34" spans="1:11" ht="60" customHeight="1">
      <c r="A34" s="57" t="s">
        <v>11605</v>
      </c>
      <c r="B34" s="57" t="s">
        <v>10603</v>
      </c>
      <c r="C34" s="57" t="s">
        <v>11606</v>
      </c>
      <c r="D34" s="57" t="s">
        <v>11554</v>
      </c>
      <c r="E34" s="57" t="s">
        <v>11607</v>
      </c>
      <c r="F34" s="57" t="s">
        <v>11608</v>
      </c>
      <c r="G34" s="57" t="s">
        <v>10606</v>
      </c>
      <c r="H34" s="57" t="s">
        <v>449</v>
      </c>
      <c r="I34" s="57" t="s">
        <v>238</v>
      </c>
      <c r="J34" s="57" t="s">
        <v>11476</v>
      </c>
      <c r="K34" s="57" t="s">
        <v>11477</v>
      </c>
    </row>
    <row r="35" spans="1:11" ht="60" customHeight="1">
      <c r="A35" s="57" t="s">
        <v>11609</v>
      </c>
      <c r="B35" s="57" t="s">
        <v>10603</v>
      </c>
      <c r="C35" s="57" t="s">
        <v>11610</v>
      </c>
      <c r="D35" s="57" t="s">
        <v>11568</v>
      </c>
      <c r="E35" s="57" t="s">
        <v>11611</v>
      </c>
      <c r="F35" s="57" t="s">
        <v>11475</v>
      </c>
      <c r="G35" s="57" t="s">
        <v>10606</v>
      </c>
      <c r="H35" s="57" t="s">
        <v>449</v>
      </c>
      <c r="I35" s="57" t="s">
        <v>238</v>
      </c>
      <c r="J35" s="57" t="s">
        <v>11476</v>
      </c>
      <c r="K35" s="57" t="s">
        <v>11477</v>
      </c>
    </row>
    <row r="36" spans="1:11" ht="60" customHeight="1">
      <c r="A36" s="57" t="s">
        <v>11612</v>
      </c>
      <c r="B36" s="57" t="s">
        <v>10603</v>
      </c>
      <c r="C36" s="57" t="s">
        <v>11613</v>
      </c>
      <c r="D36" s="57" t="s">
        <v>11516</v>
      </c>
      <c r="E36" s="57" t="s">
        <v>11614</v>
      </c>
      <c r="F36" s="57" t="s">
        <v>11615</v>
      </c>
      <c r="G36" s="57" t="s">
        <v>10606</v>
      </c>
      <c r="H36" s="57" t="s">
        <v>449</v>
      </c>
      <c r="I36" s="57" t="s">
        <v>238</v>
      </c>
      <c r="J36" s="57" t="s">
        <v>11476</v>
      </c>
      <c r="K36" s="57" t="s">
        <v>11477</v>
      </c>
    </row>
    <row r="37" spans="1:11" ht="60" customHeight="1">
      <c r="A37" s="57" t="s">
        <v>11616</v>
      </c>
      <c r="B37" s="57" t="s">
        <v>10603</v>
      </c>
      <c r="C37" s="57" t="s">
        <v>11617</v>
      </c>
      <c r="D37" s="57" t="s">
        <v>11537</v>
      </c>
      <c r="E37" s="57" t="s">
        <v>11618</v>
      </c>
      <c r="F37" s="57" t="s">
        <v>11619</v>
      </c>
      <c r="G37" s="57" t="s">
        <v>10606</v>
      </c>
      <c r="H37" s="57" t="s">
        <v>449</v>
      </c>
      <c r="I37" s="57" t="s">
        <v>238</v>
      </c>
      <c r="J37" s="57" t="s">
        <v>11476</v>
      </c>
      <c r="K37" s="57" t="s">
        <v>11477</v>
      </c>
    </row>
    <row r="38" spans="1:11" ht="60" customHeight="1">
      <c r="A38" s="57" t="s">
        <v>11620</v>
      </c>
      <c r="B38" s="57" t="s">
        <v>10603</v>
      </c>
      <c r="C38" s="57" t="s">
        <v>11621</v>
      </c>
      <c r="D38" s="57" t="s">
        <v>11622</v>
      </c>
      <c r="E38" s="57" t="s">
        <v>11618</v>
      </c>
      <c r="F38" s="57" t="s">
        <v>11623</v>
      </c>
      <c r="G38" s="57" t="s">
        <v>10606</v>
      </c>
      <c r="H38" s="57" t="s">
        <v>449</v>
      </c>
      <c r="I38" s="57" t="s">
        <v>238</v>
      </c>
      <c r="J38" s="57" t="s">
        <v>11476</v>
      </c>
      <c r="K38" s="57" t="s">
        <v>11477</v>
      </c>
    </row>
    <row r="39" spans="1:11" ht="60" customHeight="1">
      <c r="A39" s="57" t="s">
        <v>11624</v>
      </c>
      <c r="B39" s="57" t="s">
        <v>10603</v>
      </c>
      <c r="C39" s="57" t="s">
        <v>11625</v>
      </c>
      <c r="D39" s="57" t="s">
        <v>11554</v>
      </c>
      <c r="E39" s="57" t="s">
        <v>11626</v>
      </c>
      <c r="F39" s="57" t="s">
        <v>11627</v>
      </c>
      <c r="G39" s="57" t="s">
        <v>10606</v>
      </c>
      <c r="H39" s="57" t="s">
        <v>449</v>
      </c>
      <c r="I39" s="57" t="s">
        <v>238</v>
      </c>
      <c r="J39" s="57" t="s">
        <v>11476</v>
      </c>
      <c r="K39" s="57" t="s">
        <v>11477</v>
      </c>
    </row>
    <row r="40" spans="1:11" ht="60" customHeight="1">
      <c r="A40" s="57" t="s">
        <v>11628</v>
      </c>
      <c r="B40" s="57" t="s">
        <v>10609</v>
      </c>
      <c r="C40" s="57" t="s">
        <v>11629</v>
      </c>
      <c r="D40" s="57" t="s">
        <v>11537</v>
      </c>
      <c r="E40" s="57" t="s">
        <v>11630</v>
      </c>
      <c r="F40" s="57" t="s">
        <v>11475</v>
      </c>
      <c r="G40" s="57" t="s">
        <v>10612</v>
      </c>
      <c r="H40" s="57" t="s">
        <v>449</v>
      </c>
      <c r="I40" s="57" t="s">
        <v>238</v>
      </c>
      <c r="J40" s="57" t="s">
        <v>11476</v>
      </c>
      <c r="K40" s="57" t="s">
        <v>11477</v>
      </c>
    </row>
    <row r="41" spans="1:11" ht="60" customHeight="1">
      <c r="A41" s="57" t="s">
        <v>11631</v>
      </c>
      <c r="B41" s="57" t="s">
        <v>10609</v>
      </c>
      <c r="C41" s="57" t="s">
        <v>11632</v>
      </c>
      <c r="D41" s="57" t="s">
        <v>11633</v>
      </c>
      <c r="E41" s="57" t="s">
        <v>11634</v>
      </c>
      <c r="F41" s="57" t="s">
        <v>11635</v>
      </c>
      <c r="G41" s="57" t="s">
        <v>10612</v>
      </c>
      <c r="H41" s="57" t="s">
        <v>449</v>
      </c>
      <c r="I41" s="57" t="s">
        <v>238</v>
      </c>
      <c r="J41" s="57" t="s">
        <v>11476</v>
      </c>
      <c r="K41" s="57" t="s">
        <v>11477</v>
      </c>
    </row>
    <row r="42" spans="1:11" ht="60" customHeight="1">
      <c r="A42" s="57" t="s">
        <v>11636</v>
      </c>
      <c r="B42" s="57" t="s">
        <v>10609</v>
      </c>
      <c r="C42" s="57" t="s">
        <v>11637</v>
      </c>
      <c r="D42" s="57" t="s">
        <v>11638</v>
      </c>
      <c r="E42" s="57" t="s">
        <v>11634</v>
      </c>
      <c r="F42" s="57" t="s">
        <v>11639</v>
      </c>
      <c r="G42" s="57" t="s">
        <v>10612</v>
      </c>
      <c r="H42" s="57" t="s">
        <v>449</v>
      </c>
      <c r="I42" s="57" t="s">
        <v>238</v>
      </c>
      <c r="J42" s="57" t="s">
        <v>11476</v>
      </c>
      <c r="K42" s="57" t="s">
        <v>11477</v>
      </c>
    </row>
    <row r="43" spans="1:11" ht="60" customHeight="1">
      <c r="A43" s="57" t="s">
        <v>11640</v>
      </c>
      <c r="B43" s="57" t="s">
        <v>10609</v>
      </c>
      <c r="C43" s="57" t="s">
        <v>11641</v>
      </c>
      <c r="D43" s="57" t="s">
        <v>11642</v>
      </c>
      <c r="E43" s="57" t="s">
        <v>11634</v>
      </c>
      <c r="F43" s="57" t="s">
        <v>11643</v>
      </c>
      <c r="G43" s="57" t="s">
        <v>10612</v>
      </c>
      <c r="H43" s="57" t="s">
        <v>449</v>
      </c>
      <c r="I43" s="57" t="s">
        <v>238</v>
      </c>
      <c r="J43" s="57" t="s">
        <v>11476</v>
      </c>
      <c r="K43" s="57" t="s">
        <v>11477</v>
      </c>
    </row>
    <row r="44" spans="1:11" ht="60" customHeight="1">
      <c r="A44" s="57" t="s">
        <v>11644</v>
      </c>
      <c r="B44" s="57" t="s">
        <v>10609</v>
      </c>
      <c r="C44" s="57" t="s">
        <v>11645</v>
      </c>
      <c r="D44" s="57" t="s">
        <v>11646</v>
      </c>
      <c r="E44" s="57" t="s">
        <v>11647</v>
      </c>
      <c r="F44" s="57" t="s">
        <v>11475</v>
      </c>
      <c r="G44" s="57" t="s">
        <v>10612</v>
      </c>
      <c r="H44" s="57" t="s">
        <v>449</v>
      </c>
      <c r="I44" s="57" t="s">
        <v>238</v>
      </c>
      <c r="J44" s="57" t="s">
        <v>11476</v>
      </c>
      <c r="K44" s="57" t="s">
        <v>11477</v>
      </c>
    </row>
    <row r="45" spans="1:11" ht="60" customHeight="1">
      <c r="A45" s="57" t="s">
        <v>11648</v>
      </c>
      <c r="B45" s="57" t="s">
        <v>10615</v>
      </c>
      <c r="C45" s="57" t="s">
        <v>11649</v>
      </c>
      <c r="D45" s="57" t="s">
        <v>11650</v>
      </c>
      <c r="E45" s="57" t="s">
        <v>11651</v>
      </c>
      <c r="F45" s="57" t="s">
        <v>11651</v>
      </c>
      <c r="G45" s="57" t="s">
        <v>10618</v>
      </c>
      <c r="H45" s="57" t="s">
        <v>449</v>
      </c>
      <c r="I45" s="57" t="s">
        <v>238</v>
      </c>
      <c r="J45" s="57" t="s">
        <v>11652</v>
      </c>
      <c r="K45" s="57" t="s">
        <v>11653</v>
      </c>
    </row>
    <row r="46" spans="1:11" ht="60" customHeight="1">
      <c r="A46" s="57" t="s">
        <v>11654</v>
      </c>
      <c r="B46" s="57" t="s">
        <v>10621</v>
      </c>
      <c r="C46" s="57" t="s">
        <v>11655</v>
      </c>
      <c r="D46" s="57" t="s">
        <v>11656</v>
      </c>
      <c r="E46" s="57" t="s">
        <v>11657</v>
      </c>
      <c r="F46" s="57" t="s">
        <v>11658</v>
      </c>
      <c r="G46" s="57" t="s">
        <v>10625</v>
      </c>
      <c r="H46" s="57" t="s">
        <v>10623</v>
      </c>
      <c r="I46" s="57" t="s">
        <v>10431</v>
      </c>
      <c r="J46" s="57" t="s">
        <v>11476</v>
      </c>
      <c r="K46" s="57" t="s">
        <v>11477</v>
      </c>
    </row>
    <row r="47" spans="1:11" ht="60" customHeight="1">
      <c r="A47" s="57" t="s">
        <v>11659</v>
      </c>
      <c r="B47" s="57" t="s">
        <v>10621</v>
      </c>
      <c r="C47" s="57" t="s">
        <v>11660</v>
      </c>
      <c r="D47" s="57" t="s">
        <v>11559</v>
      </c>
      <c r="E47" s="57" t="s">
        <v>11661</v>
      </c>
      <c r="F47" s="57" t="s">
        <v>11662</v>
      </c>
      <c r="G47" s="57" t="s">
        <v>10625</v>
      </c>
      <c r="H47" s="57" t="s">
        <v>10623</v>
      </c>
      <c r="I47" s="57" t="s">
        <v>10431</v>
      </c>
      <c r="J47" s="57" t="s">
        <v>11476</v>
      </c>
      <c r="K47" s="57" t="s">
        <v>11477</v>
      </c>
    </row>
    <row r="48" spans="1:11" ht="60" customHeight="1">
      <c r="A48" s="57" t="s">
        <v>11663</v>
      </c>
      <c r="B48" s="57" t="s">
        <v>10621</v>
      </c>
      <c r="C48" s="57" t="s">
        <v>11664</v>
      </c>
      <c r="D48" s="57" t="s">
        <v>11665</v>
      </c>
      <c r="E48" s="57" t="s">
        <v>11666</v>
      </c>
      <c r="F48" s="57" t="s">
        <v>11475</v>
      </c>
      <c r="G48" s="57" t="s">
        <v>10625</v>
      </c>
      <c r="H48" s="57" t="s">
        <v>10623</v>
      </c>
      <c r="I48" s="57" t="s">
        <v>10431</v>
      </c>
      <c r="J48" s="57" t="s">
        <v>11476</v>
      </c>
      <c r="K48" s="57" t="s">
        <v>11477</v>
      </c>
    </row>
    <row r="49" spans="1:11" ht="60" customHeight="1">
      <c r="A49" s="57" t="s">
        <v>11667</v>
      </c>
      <c r="B49" s="57" t="s">
        <v>10621</v>
      </c>
      <c r="C49" s="57" t="s">
        <v>11668</v>
      </c>
      <c r="D49" s="57" t="s">
        <v>11516</v>
      </c>
      <c r="E49" s="57" t="s">
        <v>11669</v>
      </c>
      <c r="F49" s="57" t="s">
        <v>11670</v>
      </c>
      <c r="G49" s="57" t="s">
        <v>10625</v>
      </c>
      <c r="H49" s="57" t="s">
        <v>10623</v>
      </c>
      <c r="I49" s="57" t="s">
        <v>10431</v>
      </c>
      <c r="J49" s="57" t="s">
        <v>11476</v>
      </c>
      <c r="K49" s="57" t="s">
        <v>11477</v>
      </c>
    </row>
    <row r="50" spans="1:11" ht="60" customHeight="1">
      <c r="A50" s="57" t="s">
        <v>11671</v>
      </c>
      <c r="B50" s="57" t="s">
        <v>10621</v>
      </c>
      <c r="C50" s="57" t="s">
        <v>11672</v>
      </c>
      <c r="D50" s="57" t="s">
        <v>11516</v>
      </c>
      <c r="E50" s="57" t="s">
        <v>11669</v>
      </c>
      <c r="F50" s="57" t="s">
        <v>11670</v>
      </c>
      <c r="G50" s="57" t="s">
        <v>10625</v>
      </c>
      <c r="H50" s="57" t="s">
        <v>10623</v>
      </c>
      <c r="I50" s="57" t="s">
        <v>10431</v>
      </c>
      <c r="J50" s="57" t="s">
        <v>11476</v>
      </c>
      <c r="K50" s="57" t="s">
        <v>11477</v>
      </c>
    </row>
    <row r="51" spans="1:11" ht="60" customHeight="1">
      <c r="A51" s="57" t="s">
        <v>11673</v>
      </c>
      <c r="B51" s="57" t="s">
        <v>10621</v>
      </c>
      <c r="C51" s="57" t="s">
        <v>11674</v>
      </c>
      <c r="D51" s="57" t="s">
        <v>11554</v>
      </c>
      <c r="E51" s="57" t="s">
        <v>11669</v>
      </c>
      <c r="F51" s="57" t="s">
        <v>11675</v>
      </c>
      <c r="G51" s="57" t="s">
        <v>10625</v>
      </c>
      <c r="H51" s="57" t="s">
        <v>10623</v>
      </c>
      <c r="I51" s="57" t="s">
        <v>10431</v>
      </c>
      <c r="J51" s="57" t="s">
        <v>11476</v>
      </c>
      <c r="K51" s="57" t="s">
        <v>11477</v>
      </c>
    </row>
    <row r="52" spans="1:11" ht="60" customHeight="1">
      <c r="A52" s="57" t="s">
        <v>11676</v>
      </c>
      <c r="B52" s="57" t="s">
        <v>10621</v>
      </c>
      <c r="C52" s="57" t="s">
        <v>11677</v>
      </c>
      <c r="D52" s="57" t="s">
        <v>11559</v>
      </c>
      <c r="E52" s="57" t="s">
        <v>11678</v>
      </c>
      <c r="F52" s="57" t="s">
        <v>11679</v>
      </c>
      <c r="G52" s="57" t="s">
        <v>10625</v>
      </c>
      <c r="H52" s="57" t="s">
        <v>10623</v>
      </c>
      <c r="I52" s="57" t="s">
        <v>10431</v>
      </c>
      <c r="J52" s="57" t="s">
        <v>11476</v>
      </c>
      <c r="K52" s="57" t="s">
        <v>11477</v>
      </c>
    </row>
    <row r="53" spans="1:11" ht="60" customHeight="1">
      <c r="A53" s="57" t="s">
        <v>11680</v>
      </c>
      <c r="B53" s="57" t="s">
        <v>10621</v>
      </c>
      <c r="C53" s="57" t="s">
        <v>11681</v>
      </c>
      <c r="D53" s="57" t="s">
        <v>11682</v>
      </c>
      <c r="E53" s="57" t="s">
        <v>11683</v>
      </c>
      <c r="F53" s="57" t="s">
        <v>11475</v>
      </c>
      <c r="G53" s="57" t="s">
        <v>10625</v>
      </c>
      <c r="H53" s="57" t="s">
        <v>10623</v>
      </c>
      <c r="I53" s="57" t="s">
        <v>10431</v>
      </c>
      <c r="J53" s="57" t="s">
        <v>11476</v>
      </c>
      <c r="K53" s="57" t="s">
        <v>11477</v>
      </c>
    </row>
    <row r="54" spans="1:11" ht="60" customHeight="1">
      <c r="A54" s="57" t="s">
        <v>11684</v>
      </c>
      <c r="B54" s="57" t="s">
        <v>10621</v>
      </c>
      <c r="C54" s="57" t="s">
        <v>11685</v>
      </c>
      <c r="D54" s="57" t="s">
        <v>11686</v>
      </c>
      <c r="E54" s="57" t="s">
        <v>11687</v>
      </c>
      <c r="F54" s="57" t="s">
        <v>11688</v>
      </c>
      <c r="G54" s="57" t="s">
        <v>10625</v>
      </c>
      <c r="H54" s="57" t="s">
        <v>10623</v>
      </c>
      <c r="I54" s="57" t="s">
        <v>10431</v>
      </c>
      <c r="J54" s="57" t="s">
        <v>11476</v>
      </c>
      <c r="K54" s="57" t="s">
        <v>11477</v>
      </c>
    </row>
    <row r="55" spans="1:11" ht="60" customHeight="1">
      <c r="A55" s="57" t="s">
        <v>11689</v>
      </c>
      <c r="B55" s="57" t="s">
        <v>10621</v>
      </c>
      <c r="C55" s="57" t="s">
        <v>11690</v>
      </c>
      <c r="D55" s="57" t="s">
        <v>11691</v>
      </c>
      <c r="E55" s="57" t="s">
        <v>11692</v>
      </c>
      <c r="F55" s="57" t="s">
        <v>11693</v>
      </c>
      <c r="G55" s="57" t="s">
        <v>10625</v>
      </c>
      <c r="H55" s="57" t="s">
        <v>10623</v>
      </c>
      <c r="I55" s="57" t="s">
        <v>10431</v>
      </c>
      <c r="J55" s="57" t="s">
        <v>11476</v>
      </c>
      <c r="K55" s="57" t="s">
        <v>11477</v>
      </c>
    </row>
    <row r="56" spans="1:11" ht="60" customHeight="1">
      <c r="A56" s="57" t="s">
        <v>11694</v>
      </c>
      <c r="B56" s="57" t="s">
        <v>6118</v>
      </c>
      <c r="C56" s="57" t="s">
        <v>11695</v>
      </c>
      <c r="D56" s="57" t="s">
        <v>11537</v>
      </c>
      <c r="E56" s="57" t="s">
        <v>11696</v>
      </c>
      <c r="F56" s="57" t="s">
        <v>11475</v>
      </c>
      <c r="G56" s="57" t="s">
        <v>10629</v>
      </c>
      <c r="H56" s="57" t="s">
        <v>449</v>
      </c>
      <c r="I56" s="57" t="s">
        <v>238</v>
      </c>
      <c r="J56" s="57" t="s">
        <v>11476</v>
      </c>
      <c r="K56" s="57" t="s">
        <v>11477</v>
      </c>
    </row>
    <row r="57" spans="1:11" ht="60" customHeight="1">
      <c r="A57" s="57" t="s">
        <v>11697</v>
      </c>
      <c r="B57" s="57" t="s">
        <v>6118</v>
      </c>
      <c r="C57" s="57" t="s">
        <v>11698</v>
      </c>
      <c r="D57" s="57" t="s">
        <v>11516</v>
      </c>
      <c r="E57" s="57" t="s">
        <v>11517</v>
      </c>
      <c r="F57" s="57" t="s">
        <v>11699</v>
      </c>
      <c r="G57" s="57" t="s">
        <v>10629</v>
      </c>
      <c r="H57" s="57" t="s">
        <v>449</v>
      </c>
      <c r="I57" s="57" t="s">
        <v>238</v>
      </c>
      <c r="J57" s="57" t="s">
        <v>11476</v>
      </c>
      <c r="K57" s="57" t="s">
        <v>11477</v>
      </c>
    </row>
    <row r="58" spans="1:11" ht="60" customHeight="1">
      <c r="A58" s="57" t="s">
        <v>11700</v>
      </c>
      <c r="B58" s="57" t="s">
        <v>6118</v>
      </c>
      <c r="C58" s="57" t="s">
        <v>11701</v>
      </c>
      <c r="D58" s="57" t="s">
        <v>11702</v>
      </c>
      <c r="E58" s="57" t="s">
        <v>11703</v>
      </c>
      <c r="F58" s="57" t="s">
        <v>11475</v>
      </c>
      <c r="G58" s="57" t="s">
        <v>10629</v>
      </c>
      <c r="H58" s="57" t="s">
        <v>449</v>
      </c>
      <c r="I58" s="57" t="s">
        <v>238</v>
      </c>
      <c r="J58" s="57" t="s">
        <v>11476</v>
      </c>
      <c r="K58" s="57" t="s">
        <v>11477</v>
      </c>
    </row>
    <row r="59" spans="1:11" ht="60" customHeight="1">
      <c r="A59" s="57" t="s">
        <v>11704</v>
      </c>
      <c r="B59" s="57" t="s">
        <v>6118</v>
      </c>
      <c r="C59" s="57" t="s">
        <v>11705</v>
      </c>
      <c r="D59" s="57" t="s">
        <v>11516</v>
      </c>
      <c r="E59" s="57" t="s">
        <v>11706</v>
      </c>
      <c r="F59" s="57" t="s">
        <v>11707</v>
      </c>
      <c r="G59" s="57" t="s">
        <v>10629</v>
      </c>
      <c r="H59" s="57" t="s">
        <v>449</v>
      </c>
      <c r="I59" s="57" t="s">
        <v>238</v>
      </c>
      <c r="J59" s="57" t="s">
        <v>11476</v>
      </c>
      <c r="K59" s="57" t="s">
        <v>11477</v>
      </c>
    </row>
    <row r="60" spans="1:11" ht="60" customHeight="1">
      <c r="A60" s="57" t="s">
        <v>11708</v>
      </c>
      <c r="B60" s="57" t="s">
        <v>6118</v>
      </c>
      <c r="C60" s="57" t="s">
        <v>11709</v>
      </c>
      <c r="D60" s="57" t="s">
        <v>11710</v>
      </c>
      <c r="E60" s="57" t="s">
        <v>11711</v>
      </c>
      <c r="F60" s="57" t="s">
        <v>11712</v>
      </c>
      <c r="G60" s="57" t="s">
        <v>10629</v>
      </c>
      <c r="H60" s="57" t="s">
        <v>449</v>
      </c>
      <c r="I60" s="57" t="s">
        <v>238</v>
      </c>
      <c r="J60" s="57" t="s">
        <v>11476</v>
      </c>
      <c r="K60" s="57" t="s">
        <v>11477</v>
      </c>
    </row>
    <row r="61" spans="1:11" ht="60" customHeight="1">
      <c r="A61" s="57" t="s">
        <v>11713</v>
      </c>
      <c r="B61" s="57" t="s">
        <v>6118</v>
      </c>
      <c r="C61" s="57" t="s">
        <v>11714</v>
      </c>
      <c r="D61" s="57" t="s">
        <v>11715</v>
      </c>
      <c r="E61" s="57" t="s">
        <v>11716</v>
      </c>
      <c r="F61" s="57" t="s">
        <v>11717</v>
      </c>
      <c r="G61" s="57" t="s">
        <v>10629</v>
      </c>
      <c r="H61" s="57" t="s">
        <v>449</v>
      </c>
      <c r="I61" s="57" t="s">
        <v>238</v>
      </c>
      <c r="J61" s="57" t="s">
        <v>11476</v>
      </c>
      <c r="K61" s="57" t="s">
        <v>11477</v>
      </c>
    </row>
    <row r="62" spans="1:11" ht="60" customHeight="1">
      <c r="A62" s="57" t="s">
        <v>11718</v>
      </c>
      <c r="B62" s="57" t="s">
        <v>6118</v>
      </c>
      <c r="C62" s="57" t="s">
        <v>11719</v>
      </c>
      <c r="D62" s="57" t="s">
        <v>11720</v>
      </c>
      <c r="E62" s="57" t="s">
        <v>11721</v>
      </c>
      <c r="F62" s="57" t="s">
        <v>11578</v>
      </c>
      <c r="G62" s="57" t="s">
        <v>10629</v>
      </c>
      <c r="H62" s="57" t="s">
        <v>449</v>
      </c>
      <c r="I62" s="57" t="s">
        <v>238</v>
      </c>
      <c r="J62" s="57" t="s">
        <v>11476</v>
      </c>
      <c r="K62" s="57" t="s">
        <v>11477</v>
      </c>
    </row>
    <row r="63" spans="1:11" ht="60" customHeight="1">
      <c r="A63" s="57" t="s">
        <v>11722</v>
      </c>
      <c r="B63" s="57" t="s">
        <v>6118</v>
      </c>
      <c r="C63" s="57" t="s">
        <v>11723</v>
      </c>
      <c r="D63" s="57" t="s">
        <v>11516</v>
      </c>
      <c r="E63" s="57" t="s">
        <v>11716</v>
      </c>
      <c r="F63" s="57" t="s">
        <v>11724</v>
      </c>
      <c r="G63" s="57" t="s">
        <v>10629</v>
      </c>
      <c r="H63" s="57" t="s">
        <v>449</v>
      </c>
      <c r="I63" s="57" t="s">
        <v>238</v>
      </c>
      <c r="J63" s="57" t="s">
        <v>11476</v>
      </c>
      <c r="K63" s="57" t="s">
        <v>11477</v>
      </c>
    </row>
    <row r="64" spans="1:11" ht="60" customHeight="1">
      <c r="A64" s="57" t="s">
        <v>11725</v>
      </c>
      <c r="B64" s="57" t="s">
        <v>6124</v>
      </c>
      <c r="C64" s="57" t="s">
        <v>11726</v>
      </c>
      <c r="D64" s="57" t="s">
        <v>11650</v>
      </c>
      <c r="E64" s="57" t="s">
        <v>11651</v>
      </c>
      <c r="F64" s="57" t="s">
        <v>11651</v>
      </c>
      <c r="G64" s="57" t="s">
        <v>10634</v>
      </c>
      <c r="H64" s="57" t="s">
        <v>449</v>
      </c>
      <c r="I64" s="57" t="s">
        <v>238</v>
      </c>
      <c r="J64" s="57" t="s">
        <v>11652</v>
      </c>
      <c r="K64" s="57" t="s">
        <v>11653</v>
      </c>
    </row>
    <row r="65" spans="1:11" ht="60" customHeight="1">
      <c r="A65" s="57" t="s">
        <v>11727</v>
      </c>
      <c r="B65" s="57" t="s">
        <v>1971</v>
      </c>
      <c r="C65" s="57" t="s">
        <v>11728</v>
      </c>
      <c r="D65" s="57" t="s">
        <v>11650</v>
      </c>
      <c r="E65" s="57" t="s">
        <v>11651</v>
      </c>
      <c r="F65" s="57" t="s">
        <v>11651</v>
      </c>
      <c r="G65" s="57" t="s">
        <v>10638</v>
      </c>
      <c r="H65" s="57" t="s">
        <v>1058</v>
      </c>
      <c r="I65" s="57" t="s">
        <v>240</v>
      </c>
      <c r="J65" s="57" t="s">
        <v>11652</v>
      </c>
      <c r="K65" s="57" t="s">
        <v>11653</v>
      </c>
    </row>
    <row r="66" spans="1:11" ht="60" customHeight="1">
      <c r="A66" s="57" t="s">
        <v>11729</v>
      </c>
      <c r="B66" s="57" t="s">
        <v>6134</v>
      </c>
      <c r="C66" s="57" t="s">
        <v>11730</v>
      </c>
      <c r="D66" s="57" t="s">
        <v>11473</v>
      </c>
      <c r="E66" s="57" t="s">
        <v>11517</v>
      </c>
      <c r="F66" s="57" t="s">
        <v>11475</v>
      </c>
      <c r="G66" s="57" t="s">
        <v>10643</v>
      </c>
      <c r="H66" s="57" t="s">
        <v>449</v>
      </c>
      <c r="I66" s="57" t="s">
        <v>238</v>
      </c>
      <c r="J66" s="57" t="s">
        <v>11476</v>
      </c>
      <c r="K66" s="57" t="s">
        <v>11477</v>
      </c>
    </row>
    <row r="67" spans="1:11" ht="60" customHeight="1">
      <c r="A67" s="57" t="s">
        <v>11731</v>
      </c>
      <c r="B67" s="57" t="s">
        <v>6134</v>
      </c>
      <c r="C67" s="57" t="s">
        <v>11732</v>
      </c>
      <c r="D67" s="57" t="s">
        <v>11691</v>
      </c>
      <c r="E67" s="57" t="s">
        <v>11733</v>
      </c>
      <c r="F67" s="57" t="s">
        <v>11734</v>
      </c>
      <c r="G67" s="57" t="s">
        <v>10643</v>
      </c>
      <c r="H67" s="57" t="s">
        <v>449</v>
      </c>
      <c r="I67" s="57" t="s">
        <v>238</v>
      </c>
      <c r="J67" s="57" t="s">
        <v>11476</v>
      </c>
      <c r="K67" s="57" t="s">
        <v>11477</v>
      </c>
    </row>
    <row r="68" spans="1:11" ht="60" customHeight="1">
      <c r="A68" s="57" t="s">
        <v>11735</v>
      </c>
      <c r="B68" s="57" t="s">
        <v>6134</v>
      </c>
      <c r="C68" s="57" t="s">
        <v>11736</v>
      </c>
      <c r="D68" s="57" t="s">
        <v>11737</v>
      </c>
      <c r="E68" s="57" t="s">
        <v>11733</v>
      </c>
      <c r="F68" s="57" t="s">
        <v>11734</v>
      </c>
      <c r="G68" s="57" t="s">
        <v>10643</v>
      </c>
      <c r="H68" s="57" t="s">
        <v>449</v>
      </c>
      <c r="I68" s="57" t="s">
        <v>238</v>
      </c>
      <c r="J68" s="57" t="s">
        <v>11476</v>
      </c>
      <c r="K68" s="57" t="s">
        <v>11477</v>
      </c>
    </row>
    <row r="69" spans="1:11" ht="60" customHeight="1">
      <c r="A69" s="57" t="s">
        <v>11738</v>
      </c>
      <c r="B69" s="57" t="s">
        <v>6134</v>
      </c>
      <c r="C69" s="57" t="s">
        <v>11739</v>
      </c>
      <c r="D69" s="57" t="s">
        <v>11665</v>
      </c>
      <c r="E69" s="57" t="s">
        <v>11740</v>
      </c>
      <c r="F69" s="57" t="s">
        <v>11741</v>
      </c>
      <c r="G69" s="57" t="s">
        <v>10643</v>
      </c>
      <c r="H69" s="57" t="s">
        <v>449</v>
      </c>
      <c r="I69" s="57" t="s">
        <v>238</v>
      </c>
      <c r="J69" s="57" t="s">
        <v>11476</v>
      </c>
      <c r="K69" s="57" t="s">
        <v>11477</v>
      </c>
    </row>
    <row r="70" spans="1:11" ht="60" customHeight="1">
      <c r="A70" s="57" t="s">
        <v>11742</v>
      </c>
      <c r="B70" s="57" t="s">
        <v>6134</v>
      </c>
      <c r="C70" s="57" t="s">
        <v>11743</v>
      </c>
      <c r="D70" s="57" t="s">
        <v>11744</v>
      </c>
      <c r="E70" s="57" t="s">
        <v>11745</v>
      </c>
      <c r="F70" s="57" t="s">
        <v>11746</v>
      </c>
      <c r="G70" s="57" t="s">
        <v>10643</v>
      </c>
      <c r="H70" s="57" t="s">
        <v>449</v>
      </c>
      <c r="I70" s="57" t="s">
        <v>238</v>
      </c>
      <c r="J70" s="57" t="s">
        <v>11476</v>
      </c>
      <c r="K70" s="57" t="s">
        <v>11477</v>
      </c>
    </row>
    <row r="71" spans="1:11" ht="60" customHeight="1">
      <c r="A71" s="57" t="s">
        <v>11747</v>
      </c>
      <c r="B71" s="57" t="s">
        <v>6134</v>
      </c>
      <c r="C71" s="57" t="s">
        <v>11748</v>
      </c>
      <c r="D71" s="57" t="s">
        <v>11516</v>
      </c>
      <c r="E71" s="57" t="s">
        <v>11517</v>
      </c>
      <c r="F71" s="57" t="s">
        <v>11475</v>
      </c>
      <c r="G71" s="57" t="s">
        <v>10643</v>
      </c>
      <c r="H71" s="57" t="s">
        <v>449</v>
      </c>
      <c r="I71" s="57" t="s">
        <v>238</v>
      </c>
      <c r="J71" s="57" t="s">
        <v>11476</v>
      </c>
      <c r="K71" s="57" t="s">
        <v>11477</v>
      </c>
    </row>
    <row r="72" spans="1:11" ht="60" customHeight="1">
      <c r="A72" s="57" t="s">
        <v>11749</v>
      </c>
      <c r="B72" s="57" t="s">
        <v>6140</v>
      </c>
      <c r="C72" s="57" t="s">
        <v>11750</v>
      </c>
      <c r="D72" s="57" t="s">
        <v>11473</v>
      </c>
      <c r="E72" s="57" t="s">
        <v>11696</v>
      </c>
      <c r="F72" s="57" t="s">
        <v>11475</v>
      </c>
      <c r="G72" s="57" t="s">
        <v>10647</v>
      </c>
      <c r="H72" s="57" t="s">
        <v>449</v>
      </c>
      <c r="I72" s="57" t="s">
        <v>238</v>
      </c>
      <c r="J72" s="57" t="s">
        <v>11476</v>
      </c>
      <c r="K72" s="57" t="s">
        <v>11477</v>
      </c>
    </row>
    <row r="73" spans="1:11" ht="60" customHeight="1">
      <c r="A73" s="57" t="s">
        <v>11751</v>
      </c>
      <c r="B73" s="57" t="s">
        <v>6140</v>
      </c>
      <c r="C73" s="57" t="s">
        <v>11752</v>
      </c>
      <c r="D73" s="57" t="s">
        <v>11537</v>
      </c>
      <c r="E73" s="57" t="s">
        <v>11696</v>
      </c>
      <c r="F73" s="57" t="s">
        <v>11475</v>
      </c>
      <c r="G73" s="57" t="s">
        <v>10647</v>
      </c>
      <c r="H73" s="57" t="s">
        <v>449</v>
      </c>
      <c r="I73" s="57" t="s">
        <v>238</v>
      </c>
      <c r="J73" s="57" t="s">
        <v>11476</v>
      </c>
      <c r="K73" s="57" t="s">
        <v>11477</v>
      </c>
    </row>
    <row r="74" spans="1:11" ht="60" customHeight="1">
      <c r="A74" s="57" t="s">
        <v>11753</v>
      </c>
      <c r="B74" s="57" t="s">
        <v>6140</v>
      </c>
      <c r="C74" s="57" t="s">
        <v>11754</v>
      </c>
      <c r="D74" s="57" t="s">
        <v>11755</v>
      </c>
      <c r="E74" s="57" t="s">
        <v>11756</v>
      </c>
      <c r="F74" s="57" t="s">
        <v>11475</v>
      </c>
      <c r="G74" s="57" t="s">
        <v>10647</v>
      </c>
      <c r="H74" s="57" t="s">
        <v>449</v>
      </c>
      <c r="I74" s="57" t="s">
        <v>238</v>
      </c>
      <c r="J74" s="57" t="s">
        <v>11476</v>
      </c>
      <c r="K74" s="57" t="s">
        <v>11477</v>
      </c>
    </row>
    <row r="75" spans="1:11" ht="60" customHeight="1">
      <c r="A75" s="57" t="s">
        <v>11757</v>
      </c>
      <c r="B75" s="57" t="s">
        <v>6140</v>
      </c>
      <c r="C75" s="57" t="s">
        <v>11758</v>
      </c>
      <c r="D75" s="57" t="s">
        <v>11665</v>
      </c>
      <c r="E75" s="57" t="s">
        <v>11759</v>
      </c>
      <c r="F75" s="57" t="s">
        <v>11760</v>
      </c>
      <c r="G75" s="57" t="s">
        <v>10647</v>
      </c>
      <c r="H75" s="57" t="s">
        <v>449</v>
      </c>
      <c r="I75" s="57" t="s">
        <v>238</v>
      </c>
      <c r="J75" s="57" t="s">
        <v>11476</v>
      </c>
      <c r="K75" s="57" t="s">
        <v>11477</v>
      </c>
    </row>
    <row r="76" spans="1:11" ht="60" customHeight="1">
      <c r="A76" s="57" t="s">
        <v>11761</v>
      </c>
      <c r="B76" s="57" t="s">
        <v>6140</v>
      </c>
      <c r="C76" s="57" t="s">
        <v>11762</v>
      </c>
      <c r="D76" s="57" t="s">
        <v>11665</v>
      </c>
      <c r="E76" s="57" t="s">
        <v>11759</v>
      </c>
      <c r="F76" s="57" t="s">
        <v>11763</v>
      </c>
      <c r="G76" s="57" t="s">
        <v>10647</v>
      </c>
      <c r="H76" s="57" t="s">
        <v>449</v>
      </c>
      <c r="I76" s="57" t="s">
        <v>238</v>
      </c>
      <c r="J76" s="57" t="s">
        <v>11476</v>
      </c>
      <c r="K76" s="57" t="s">
        <v>11477</v>
      </c>
    </row>
    <row r="77" spans="1:11" ht="60" customHeight="1">
      <c r="A77" s="57" t="s">
        <v>11764</v>
      </c>
      <c r="B77" s="57" t="s">
        <v>6140</v>
      </c>
      <c r="C77" s="57" t="s">
        <v>11765</v>
      </c>
      <c r="D77" s="57" t="s">
        <v>11766</v>
      </c>
      <c r="E77" s="57" t="s">
        <v>11767</v>
      </c>
      <c r="F77" s="57" t="s">
        <v>11768</v>
      </c>
      <c r="G77" s="57" t="s">
        <v>10647</v>
      </c>
      <c r="H77" s="57" t="s">
        <v>449</v>
      </c>
      <c r="I77" s="57" t="s">
        <v>238</v>
      </c>
      <c r="J77" s="57" t="s">
        <v>11476</v>
      </c>
      <c r="K77" s="57" t="s">
        <v>11477</v>
      </c>
    </row>
    <row r="78" spans="1:11" ht="60" customHeight="1">
      <c r="A78" s="57" t="s">
        <v>11769</v>
      </c>
      <c r="B78" s="57" t="s">
        <v>6140</v>
      </c>
      <c r="C78" s="57" t="s">
        <v>11770</v>
      </c>
      <c r="D78" s="57" t="s">
        <v>11771</v>
      </c>
      <c r="E78" s="57" t="s">
        <v>11767</v>
      </c>
      <c r="F78" s="57" t="s">
        <v>11768</v>
      </c>
      <c r="G78" s="57" t="s">
        <v>10647</v>
      </c>
      <c r="H78" s="57" t="s">
        <v>449</v>
      </c>
      <c r="I78" s="57" t="s">
        <v>238</v>
      </c>
      <c r="J78" s="57" t="s">
        <v>11476</v>
      </c>
      <c r="K78" s="57" t="s">
        <v>11477</v>
      </c>
    </row>
    <row r="79" spans="1:11" ht="60" customHeight="1">
      <c r="A79" s="57" t="s">
        <v>11772</v>
      </c>
      <c r="B79" s="57" t="s">
        <v>6140</v>
      </c>
      <c r="C79" s="57" t="s">
        <v>11773</v>
      </c>
      <c r="D79" s="57" t="s">
        <v>11516</v>
      </c>
      <c r="E79" s="57" t="s">
        <v>11767</v>
      </c>
      <c r="F79" s="57" t="s">
        <v>11774</v>
      </c>
      <c r="G79" s="57" t="s">
        <v>10647</v>
      </c>
      <c r="H79" s="57" t="s">
        <v>449</v>
      </c>
      <c r="I79" s="57" t="s">
        <v>238</v>
      </c>
      <c r="J79" s="57" t="s">
        <v>11476</v>
      </c>
      <c r="K79" s="57" t="s">
        <v>11477</v>
      </c>
    </row>
    <row r="80" spans="1:11" ht="60" customHeight="1">
      <c r="A80" s="57" t="s">
        <v>11775</v>
      </c>
      <c r="B80" s="57" t="s">
        <v>6140</v>
      </c>
      <c r="C80" s="57" t="s">
        <v>11776</v>
      </c>
      <c r="D80" s="57" t="s">
        <v>11777</v>
      </c>
      <c r="E80" s="57" t="s">
        <v>11767</v>
      </c>
      <c r="F80" s="57" t="s">
        <v>11778</v>
      </c>
      <c r="G80" s="57" t="s">
        <v>10647</v>
      </c>
      <c r="H80" s="57" t="s">
        <v>449</v>
      </c>
      <c r="I80" s="57" t="s">
        <v>238</v>
      </c>
      <c r="J80" s="57" t="s">
        <v>11476</v>
      </c>
      <c r="K80" s="57" t="s">
        <v>11477</v>
      </c>
    </row>
    <row r="81" spans="1:11" ht="60" customHeight="1">
      <c r="A81" s="57" t="s">
        <v>11779</v>
      </c>
      <c r="B81" s="57" t="s">
        <v>6140</v>
      </c>
      <c r="C81" s="57" t="s">
        <v>11780</v>
      </c>
      <c r="D81" s="57" t="s">
        <v>11511</v>
      </c>
      <c r="E81" s="57" t="s">
        <v>11767</v>
      </c>
      <c r="F81" s="57" t="s">
        <v>11475</v>
      </c>
      <c r="G81" s="57" t="s">
        <v>10647</v>
      </c>
      <c r="H81" s="57" t="s">
        <v>449</v>
      </c>
      <c r="I81" s="57" t="s">
        <v>238</v>
      </c>
      <c r="J81" s="57" t="s">
        <v>11476</v>
      </c>
      <c r="K81" s="57" t="s">
        <v>11477</v>
      </c>
    </row>
    <row r="82" spans="1:11" ht="60" customHeight="1">
      <c r="A82" s="57" t="s">
        <v>11781</v>
      </c>
      <c r="B82" s="57" t="s">
        <v>6140</v>
      </c>
      <c r="C82" s="57" t="s">
        <v>11782</v>
      </c>
      <c r="D82" s="57" t="s">
        <v>11783</v>
      </c>
      <c r="E82" s="57" t="s">
        <v>11696</v>
      </c>
      <c r="F82" s="57" t="s">
        <v>11784</v>
      </c>
      <c r="G82" s="57" t="s">
        <v>10647</v>
      </c>
      <c r="H82" s="57" t="s">
        <v>449</v>
      </c>
      <c r="I82" s="57" t="s">
        <v>238</v>
      </c>
      <c r="J82" s="57" t="s">
        <v>11476</v>
      </c>
      <c r="K82" s="57" t="s">
        <v>11477</v>
      </c>
    </row>
    <row r="83" spans="1:11" ht="60" customHeight="1">
      <c r="A83" s="57" t="s">
        <v>11785</v>
      </c>
      <c r="B83" s="57" t="s">
        <v>6140</v>
      </c>
      <c r="C83" s="57" t="s">
        <v>11786</v>
      </c>
      <c r="D83" s="57" t="s">
        <v>11787</v>
      </c>
      <c r="E83" s="57" t="s">
        <v>11767</v>
      </c>
      <c r="F83" s="57" t="s">
        <v>11788</v>
      </c>
      <c r="G83" s="57" t="s">
        <v>10647</v>
      </c>
      <c r="H83" s="57" t="s">
        <v>449</v>
      </c>
      <c r="I83" s="57" t="s">
        <v>238</v>
      </c>
      <c r="J83" s="57" t="s">
        <v>11476</v>
      </c>
      <c r="K83" s="57" t="s">
        <v>11477</v>
      </c>
    </row>
    <row r="84" spans="1:11" ht="60" customHeight="1">
      <c r="A84" s="57" t="s">
        <v>11789</v>
      </c>
      <c r="B84" s="57" t="s">
        <v>10650</v>
      </c>
      <c r="C84" s="57" t="s">
        <v>11790</v>
      </c>
      <c r="D84" s="57" t="s">
        <v>11537</v>
      </c>
      <c r="E84" s="57" t="s">
        <v>11696</v>
      </c>
      <c r="F84" s="57" t="s">
        <v>11791</v>
      </c>
      <c r="G84" s="57" t="s">
        <v>10653</v>
      </c>
      <c r="H84" s="57" t="s">
        <v>10623</v>
      </c>
      <c r="I84" s="57" t="s">
        <v>10431</v>
      </c>
      <c r="J84" s="57" t="s">
        <v>11476</v>
      </c>
      <c r="K84" s="57" t="s">
        <v>11477</v>
      </c>
    </row>
    <row r="85" spans="1:11" ht="60" customHeight="1">
      <c r="A85" s="57" t="s">
        <v>11792</v>
      </c>
      <c r="B85" s="57" t="s">
        <v>10650</v>
      </c>
      <c r="C85" s="57" t="s">
        <v>11793</v>
      </c>
      <c r="D85" s="57" t="s">
        <v>11794</v>
      </c>
      <c r="E85" s="57" t="s">
        <v>11630</v>
      </c>
      <c r="F85" s="57" t="s">
        <v>11795</v>
      </c>
      <c r="G85" s="57" t="s">
        <v>10653</v>
      </c>
      <c r="H85" s="57" t="s">
        <v>10623</v>
      </c>
      <c r="I85" s="57" t="s">
        <v>10431</v>
      </c>
      <c r="J85" s="57" t="s">
        <v>11476</v>
      </c>
      <c r="K85" s="57" t="s">
        <v>11477</v>
      </c>
    </row>
    <row r="86" spans="1:11" ht="60" customHeight="1">
      <c r="A86" s="57" t="s">
        <v>11796</v>
      </c>
      <c r="B86" s="57" t="s">
        <v>10650</v>
      </c>
      <c r="C86" s="57" t="s">
        <v>11797</v>
      </c>
      <c r="D86" s="57" t="s">
        <v>11516</v>
      </c>
      <c r="E86" s="57" t="s">
        <v>11798</v>
      </c>
      <c r="F86" s="57" t="s">
        <v>11799</v>
      </c>
      <c r="G86" s="57" t="s">
        <v>10653</v>
      </c>
      <c r="H86" s="57" t="s">
        <v>10623</v>
      </c>
      <c r="I86" s="57" t="s">
        <v>10431</v>
      </c>
      <c r="J86" s="57" t="s">
        <v>11476</v>
      </c>
      <c r="K86" s="57" t="s">
        <v>11477</v>
      </c>
    </row>
    <row r="87" spans="1:11" ht="60" customHeight="1">
      <c r="A87" s="57" t="s">
        <v>11800</v>
      </c>
      <c r="B87" s="57" t="s">
        <v>10650</v>
      </c>
      <c r="C87" s="57" t="s">
        <v>11801</v>
      </c>
      <c r="D87" s="57" t="s">
        <v>11802</v>
      </c>
      <c r="E87" s="57" t="s">
        <v>11803</v>
      </c>
      <c r="F87" s="57" t="s">
        <v>11804</v>
      </c>
      <c r="G87" s="57" t="s">
        <v>10653</v>
      </c>
      <c r="H87" s="57" t="s">
        <v>10623</v>
      </c>
      <c r="I87" s="57" t="s">
        <v>10431</v>
      </c>
      <c r="J87" s="57" t="s">
        <v>11476</v>
      </c>
      <c r="K87" s="57" t="s">
        <v>11477</v>
      </c>
    </row>
    <row r="88" spans="1:11" ht="60" customHeight="1">
      <c r="A88" s="57" t="s">
        <v>11805</v>
      </c>
      <c r="B88" s="57" t="s">
        <v>10650</v>
      </c>
      <c r="C88" s="57" t="s">
        <v>11806</v>
      </c>
      <c r="D88" s="57" t="s">
        <v>11559</v>
      </c>
      <c r="E88" s="57" t="s">
        <v>11807</v>
      </c>
      <c r="F88" s="57" t="s">
        <v>11808</v>
      </c>
      <c r="G88" s="57" t="s">
        <v>10653</v>
      </c>
      <c r="H88" s="57" t="s">
        <v>10623</v>
      </c>
      <c r="I88" s="57" t="s">
        <v>10431</v>
      </c>
      <c r="J88" s="57" t="s">
        <v>11476</v>
      </c>
      <c r="K88" s="57" t="s">
        <v>11477</v>
      </c>
    </row>
    <row r="89" spans="1:11" ht="60" customHeight="1">
      <c r="A89" s="57" t="s">
        <v>11809</v>
      </c>
      <c r="B89" s="57" t="s">
        <v>10650</v>
      </c>
      <c r="C89" s="57" t="s">
        <v>11810</v>
      </c>
      <c r="D89" s="57" t="s">
        <v>11811</v>
      </c>
      <c r="E89" s="57" t="s">
        <v>11812</v>
      </c>
      <c r="F89" s="57" t="s">
        <v>11813</v>
      </c>
      <c r="G89" s="57" t="s">
        <v>10653</v>
      </c>
      <c r="H89" s="57" t="s">
        <v>10623</v>
      </c>
      <c r="I89" s="57" t="s">
        <v>10431</v>
      </c>
      <c r="J89" s="57" t="s">
        <v>11476</v>
      </c>
      <c r="K89" s="57" t="s">
        <v>11477</v>
      </c>
    </row>
    <row r="90" spans="1:11" ht="60" customHeight="1">
      <c r="A90" s="57" t="s">
        <v>11814</v>
      </c>
      <c r="B90" s="57" t="s">
        <v>10650</v>
      </c>
      <c r="C90" s="57" t="s">
        <v>11815</v>
      </c>
      <c r="D90" s="57" t="s">
        <v>11816</v>
      </c>
      <c r="E90" s="57" t="s">
        <v>11517</v>
      </c>
      <c r="F90" s="57" t="s">
        <v>11817</v>
      </c>
      <c r="G90" s="57" t="s">
        <v>10653</v>
      </c>
      <c r="H90" s="57" t="s">
        <v>10623</v>
      </c>
      <c r="I90" s="57" t="s">
        <v>10431</v>
      </c>
      <c r="J90" s="57" t="s">
        <v>11476</v>
      </c>
      <c r="K90" s="57" t="s">
        <v>11477</v>
      </c>
    </row>
    <row r="91" spans="1:11" ht="60" customHeight="1">
      <c r="A91" s="57" t="s">
        <v>11818</v>
      </c>
      <c r="B91" s="57" t="s">
        <v>10650</v>
      </c>
      <c r="C91" s="57" t="s">
        <v>11819</v>
      </c>
      <c r="D91" s="57" t="s">
        <v>11691</v>
      </c>
      <c r="E91" s="57" t="s">
        <v>11696</v>
      </c>
      <c r="F91" s="57" t="s">
        <v>11820</v>
      </c>
      <c r="G91" s="57" t="s">
        <v>10653</v>
      </c>
      <c r="H91" s="57" t="s">
        <v>10623</v>
      </c>
      <c r="I91" s="57" t="s">
        <v>10431</v>
      </c>
      <c r="J91" s="57" t="s">
        <v>11476</v>
      </c>
      <c r="K91" s="57" t="s">
        <v>11477</v>
      </c>
    </row>
    <row r="92" spans="1:11" ht="60" customHeight="1">
      <c r="A92" s="57" t="s">
        <v>11821</v>
      </c>
      <c r="B92" s="57" t="s">
        <v>6121</v>
      </c>
      <c r="C92" s="57" t="s">
        <v>11822</v>
      </c>
      <c r="D92" s="57" t="s">
        <v>11554</v>
      </c>
      <c r="E92" s="57" t="s">
        <v>11823</v>
      </c>
      <c r="F92" s="57" t="s">
        <v>11824</v>
      </c>
      <c r="G92" s="57" t="s">
        <v>10658</v>
      </c>
      <c r="H92" s="57" t="s">
        <v>10623</v>
      </c>
      <c r="I92" s="57" t="s">
        <v>10431</v>
      </c>
      <c r="J92" s="57" t="s">
        <v>11476</v>
      </c>
      <c r="K92" s="57" t="s">
        <v>11477</v>
      </c>
    </row>
    <row r="93" spans="1:11" ht="60" customHeight="1">
      <c r="A93" s="57" t="s">
        <v>11825</v>
      </c>
      <c r="B93" s="57" t="s">
        <v>6121</v>
      </c>
      <c r="C93" s="57" t="s">
        <v>11826</v>
      </c>
      <c r="D93" s="57" t="s">
        <v>11554</v>
      </c>
      <c r="E93" s="57" t="s">
        <v>11827</v>
      </c>
      <c r="F93" s="57" t="s">
        <v>11828</v>
      </c>
      <c r="G93" s="57" t="s">
        <v>10658</v>
      </c>
      <c r="H93" s="57" t="s">
        <v>10623</v>
      </c>
      <c r="I93" s="57" t="s">
        <v>10431</v>
      </c>
      <c r="J93" s="57" t="s">
        <v>11476</v>
      </c>
      <c r="K93" s="57" t="s">
        <v>11477</v>
      </c>
    </row>
    <row r="94" spans="1:11" ht="60" customHeight="1">
      <c r="A94" s="57" t="s">
        <v>11829</v>
      </c>
      <c r="B94" s="57" t="s">
        <v>6121</v>
      </c>
      <c r="C94" s="57" t="s">
        <v>11830</v>
      </c>
      <c r="D94" s="57" t="s">
        <v>11831</v>
      </c>
      <c r="E94" s="57" t="s">
        <v>11832</v>
      </c>
      <c r="F94" s="57" t="s">
        <v>11833</v>
      </c>
      <c r="G94" s="57" t="s">
        <v>10658</v>
      </c>
      <c r="H94" s="57" t="s">
        <v>10623</v>
      </c>
      <c r="I94" s="57" t="s">
        <v>10431</v>
      </c>
      <c r="J94" s="57" t="s">
        <v>11476</v>
      </c>
      <c r="K94" s="57" t="s">
        <v>11477</v>
      </c>
    </row>
    <row r="95" spans="1:11" ht="60" customHeight="1">
      <c r="A95" s="57" t="s">
        <v>11834</v>
      </c>
      <c r="B95" s="57" t="s">
        <v>6121</v>
      </c>
      <c r="C95" s="57" t="s">
        <v>11835</v>
      </c>
      <c r="D95" s="57" t="s">
        <v>11473</v>
      </c>
      <c r="E95" s="57" t="s">
        <v>11836</v>
      </c>
      <c r="F95" s="57" t="s">
        <v>11837</v>
      </c>
      <c r="G95" s="57" t="s">
        <v>10658</v>
      </c>
      <c r="H95" s="57" t="s">
        <v>10623</v>
      </c>
      <c r="I95" s="57" t="s">
        <v>10431</v>
      </c>
      <c r="J95" s="57" t="s">
        <v>11476</v>
      </c>
      <c r="K95" s="57" t="s">
        <v>11477</v>
      </c>
    </row>
    <row r="96" spans="1:11" ht="60" customHeight="1">
      <c r="A96" s="57" t="s">
        <v>11838</v>
      </c>
      <c r="B96" s="57" t="s">
        <v>6121</v>
      </c>
      <c r="C96" s="57" t="s">
        <v>11839</v>
      </c>
      <c r="D96" s="57" t="s">
        <v>11691</v>
      </c>
      <c r="E96" s="57" t="s">
        <v>11840</v>
      </c>
      <c r="F96" s="57" t="s">
        <v>11841</v>
      </c>
      <c r="G96" s="57" t="s">
        <v>10658</v>
      </c>
      <c r="H96" s="57" t="s">
        <v>10623</v>
      </c>
      <c r="I96" s="57" t="s">
        <v>10431</v>
      </c>
      <c r="J96" s="57" t="s">
        <v>11476</v>
      </c>
      <c r="K96" s="57" t="s">
        <v>11477</v>
      </c>
    </row>
    <row r="97" spans="1:11" ht="60" customHeight="1">
      <c r="A97" s="57" t="s">
        <v>11842</v>
      </c>
      <c r="B97" s="57" t="s">
        <v>6121</v>
      </c>
      <c r="C97" s="57" t="s">
        <v>11843</v>
      </c>
      <c r="D97" s="57" t="s">
        <v>11537</v>
      </c>
      <c r="E97" s="57" t="s">
        <v>11844</v>
      </c>
      <c r="F97" s="57" t="s">
        <v>11845</v>
      </c>
      <c r="G97" s="57" t="s">
        <v>10658</v>
      </c>
      <c r="H97" s="57" t="s">
        <v>10623</v>
      </c>
      <c r="I97" s="57" t="s">
        <v>10431</v>
      </c>
      <c r="J97" s="57" t="s">
        <v>11476</v>
      </c>
      <c r="K97" s="57" t="s">
        <v>11477</v>
      </c>
    </row>
    <row r="98" spans="1:11" ht="60" customHeight="1">
      <c r="A98" s="57" t="s">
        <v>11846</v>
      </c>
      <c r="B98" s="57" t="s">
        <v>6121</v>
      </c>
      <c r="C98" s="57" t="s">
        <v>11847</v>
      </c>
      <c r="D98" s="57" t="s">
        <v>11848</v>
      </c>
      <c r="E98" s="57" t="s">
        <v>11849</v>
      </c>
      <c r="F98" s="57" t="s">
        <v>11850</v>
      </c>
      <c r="G98" s="57" t="s">
        <v>10658</v>
      </c>
      <c r="H98" s="57" t="s">
        <v>10623</v>
      </c>
      <c r="I98" s="57" t="s">
        <v>10431</v>
      </c>
      <c r="J98" s="57" t="s">
        <v>11476</v>
      </c>
      <c r="K98" s="57" t="s">
        <v>11477</v>
      </c>
    </row>
    <row r="99" spans="1:11" ht="60" customHeight="1">
      <c r="A99" s="57" t="s">
        <v>11851</v>
      </c>
      <c r="B99" s="57" t="s">
        <v>6121</v>
      </c>
      <c r="C99" s="57" t="s">
        <v>11852</v>
      </c>
      <c r="D99" s="57" t="s">
        <v>11516</v>
      </c>
      <c r="E99" s="57" t="s">
        <v>11853</v>
      </c>
      <c r="F99" s="57" t="s">
        <v>11854</v>
      </c>
      <c r="G99" s="57" t="s">
        <v>10658</v>
      </c>
      <c r="H99" s="57" t="s">
        <v>10623</v>
      </c>
      <c r="I99" s="57" t="s">
        <v>10431</v>
      </c>
      <c r="J99" s="57" t="s">
        <v>11476</v>
      </c>
      <c r="K99" s="57" t="s">
        <v>11477</v>
      </c>
    </row>
    <row r="100" spans="1:11" ht="60" customHeight="1">
      <c r="A100" s="57" t="s">
        <v>11855</v>
      </c>
      <c r="B100" s="57" t="s">
        <v>6121</v>
      </c>
      <c r="C100" s="57" t="s">
        <v>11856</v>
      </c>
      <c r="D100" s="57" t="s">
        <v>11857</v>
      </c>
      <c r="E100" s="57" t="s">
        <v>11858</v>
      </c>
      <c r="F100" s="57" t="s">
        <v>11859</v>
      </c>
      <c r="G100" s="57" t="s">
        <v>10658</v>
      </c>
      <c r="H100" s="57" t="s">
        <v>10623</v>
      </c>
      <c r="I100" s="57" t="s">
        <v>10431</v>
      </c>
      <c r="J100" s="57" t="s">
        <v>11476</v>
      </c>
      <c r="K100" s="57" t="s">
        <v>11477</v>
      </c>
    </row>
    <row r="101" spans="1:11" ht="60" customHeight="1">
      <c r="A101" s="57" t="s">
        <v>11860</v>
      </c>
      <c r="B101" s="57" t="s">
        <v>6121</v>
      </c>
      <c r="C101" s="57" t="s">
        <v>11861</v>
      </c>
      <c r="D101" s="57" t="s">
        <v>11862</v>
      </c>
      <c r="E101" s="57" t="s">
        <v>11863</v>
      </c>
      <c r="F101" s="57" t="s">
        <v>11475</v>
      </c>
      <c r="G101" s="57" t="s">
        <v>10658</v>
      </c>
      <c r="H101" s="57" t="s">
        <v>10623</v>
      </c>
      <c r="I101" s="57" t="s">
        <v>10431</v>
      </c>
      <c r="J101" s="57" t="s">
        <v>11476</v>
      </c>
      <c r="K101" s="57" t="s">
        <v>11477</v>
      </c>
    </row>
    <row r="102" spans="1:11" ht="60" customHeight="1">
      <c r="A102" s="57" t="s">
        <v>11864</v>
      </c>
      <c r="B102" s="57" t="s">
        <v>6121</v>
      </c>
      <c r="C102" s="57" t="s">
        <v>11865</v>
      </c>
      <c r="D102" s="57" t="s">
        <v>11516</v>
      </c>
      <c r="E102" s="57" t="s">
        <v>11853</v>
      </c>
      <c r="F102" s="57" t="s">
        <v>11866</v>
      </c>
      <c r="G102" s="57" t="s">
        <v>10658</v>
      </c>
      <c r="H102" s="57" t="s">
        <v>10623</v>
      </c>
      <c r="I102" s="57" t="s">
        <v>10431</v>
      </c>
      <c r="J102" s="57" t="s">
        <v>11476</v>
      </c>
      <c r="K102" s="57" t="s">
        <v>11477</v>
      </c>
    </row>
    <row r="103" spans="1:11" ht="60" customHeight="1">
      <c r="A103" s="57" t="s">
        <v>11867</v>
      </c>
      <c r="B103" s="57" t="s">
        <v>6121</v>
      </c>
      <c r="C103" s="57" t="s">
        <v>11553</v>
      </c>
      <c r="D103" s="57" t="s">
        <v>11554</v>
      </c>
      <c r="E103" s="57" t="s">
        <v>11868</v>
      </c>
      <c r="F103" s="57" t="s">
        <v>11866</v>
      </c>
      <c r="G103" s="57" t="s">
        <v>10658</v>
      </c>
      <c r="H103" s="57" t="s">
        <v>10623</v>
      </c>
      <c r="I103" s="57" t="s">
        <v>10431</v>
      </c>
      <c r="J103" s="57" t="s">
        <v>11476</v>
      </c>
      <c r="K103" s="57" t="s">
        <v>11477</v>
      </c>
    </row>
    <row r="104" spans="1:11" ht="60" customHeight="1">
      <c r="A104" s="57" t="s">
        <v>11869</v>
      </c>
      <c r="B104" s="57" t="s">
        <v>6127</v>
      </c>
      <c r="C104" s="57" t="s">
        <v>11870</v>
      </c>
      <c r="D104" s="57" t="s">
        <v>11554</v>
      </c>
      <c r="E104" s="57" t="s">
        <v>11823</v>
      </c>
      <c r="F104" s="57" t="s">
        <v>11871</v>
      </c>
      <c r="G104" s="57" t="s">
        <v>10663</v>
      </c>
      <c r="H104" s="57" t="s">
        <v>10623</v>
      </c>
      <c r="I104" s="57" t="s">
        <v>10431</v>
      </c>
      <c r="J104" s="57" t="s">
        <v>11476</v>
      </c>
      <c r="K104" s="57" t="s">
        <v>11477</v>
      </c>
    </row>
    <row r="105" spans="1:11" ht="60" customHeight="1">
      <c r="A105" s="57" t="s">
        <v>11872</v>
      </c>
      <c r="B105" s="57" t="s">
        <v>6127</v>
      </c>
      <c r="C105" s="57" t="s">
        <v>11873</v>
      </c>
      <c r="D105" s="57" t="s">
        <v>11874</v>
      </c>
      <c r="E105" s="57" t="s">
        <v>11756</v>
      </c>
      <c r="F105" s="57" t="s">
        <v>11875</v>
      </c>
      <c r="G105" s="57" t="s">
        <v>10663</v>
      </c>
      <c r="H105" s="57" t="s">
        <v>10623</v>
      </c>
      <c r="I105" s="57" t="s">
        <v>10431</v>
      </c>
      <c r="J105" s="57" t="s">
        <v>11476</v>
      </c>
      <c r="K105" s="57" t="s">
        <v>11477</v>
      </c>
    </row>
    <row r="106" spans="1:11" ht="60" customHeight="1">
      <c r="A106" s="57" t="s">
        <v>11876</v>
      </c>
      <c r="B106" s="57" t="s">
        <v>6127</v>
      </c>
      <c r="C106" s="57" t="s">
        <v>11877</v>
      </c>
      <c r="D106" s="57" t="s">
        <v>11878</v>
      </c>
      <c r="E106" s="57" t="s">
        <v>11756</v>
      </c>
      <c r="F106" s="57" t="s">
        <v>11879</v>
      </c>
      <c r="G106" s="57" t="s">
        <v>10663</v>
      </c>
      <c r="H106" s="57" t="s">
        <v>10623</v>
      </c>
      <c r="I106" s="57" t="s">
        <v>10431</v>
      </c>
      <c r="J106" s="57" t="s">
        <v>11476</v>
      </c>
      <c r="K106" s="57" t="s">
        <v>11477</v>
      </c>
    </row>
    <row r="107" spans="1:11" ht="60" customHeight="1">
      <c r="A107" s="57" t="s">
        <v>11880</v>
      </c>
      <c r="B107" s="57" t="s">
        <v>6127</v>
      </c>
      <c r="C107" s="57" t="s">
        <v>11881</v>
      </c>
      <c r="D107" s="57" t="s">
        <v>11862</v>
      </c>
      <c r="E107" s="57" t="s">
        <v>11756</v>
      </c>
      <c r="F107" s="57" t="s">
        <v>11475</v>
      </c>
      <c r="G107" s="57" t="s">
        <v>10663</v>
      </c>
      <c r="H107" s="57" t="s">
        <v>10623</v>
      </c>
      <c r="I107" s="57" t="s">
        <v>10431</v>
      </c>
      <c r="J107" s="57" t="s">
        <v>11476</v>
      </c>
      <c r="K107" s="57" t="s">
        <v>11477</v>
      </c>
    </row>
    <row r="108" spans="1:11" ht="60" customHeight="1">
      <c r="A108" s="57" t="s">
        <v>11882</v>
      </c>
      <c r="B108" s="57" t="s">
        <v>6127</v>
      </c>
      <c r="C108" s="57" t="s">
        <v>11883</v>
      </c>
      <c r="D108" s="57" t="s">
        <v>11665</v>
      </c>
      <c r="E108" s="57" t="s">
        <v>11884</v>
      </c>
      <c r="F108" s="57" t="s">
        <v>11885</v>
      </c>
      <c r="G108" s="57" t="s">
        <v>10663</v>
      </c>
      <c r="H108" s="57" t="s">
        <v>10623</v>
      </c>
      <c r="I108" s="57" t="s">
        <v>10431</v>
      </c>
      <c r="J108" s="57" t="s">
        <v>11476</v>
      </c>
      <c r="K108" s="57" t="s">
        <v>11477</v>
      </c>
    </row>
    <row r="109" spans="1:11" ht="60" customHeight="1">
      <c r="A109" s="57" t="s">
        <v>11886</v>
      </c>
      <c r="B109" s="57" t="s">
        <v>6127</v>
      </c>
      <c r="C109" s="57" t="s">
        <v>11887</v>
      </c>
      <c r="D109" s="57" t="s">
        <v>11516</v>
      </c>
      <c r="E109" s="57" t="s">
        <v>11888</v>
      </c>
      <c r="F109" s="57" t="s">
        <v>11889</v>
      </c>
      <c r="G109" s="57" t="s">
        <v>10663</v>
      </c>
      <c r="H109" s="57" t="s">
        <v>10623</v>
      </c>
      <c r="I109" s="57" t="s">
        <v>10431</v>
      </c>
      <c r="J109" s="57" t="s">
        <v>11476</v>
      </c>
      <c r="K109" s="57" t="s">
        <v>11477</v>
      </c>
    </row>
    <row r="110" spans="1:11" ht="60" customHeight="1">
      <c r="A110" s="57" t="s">
        <v>11890</v>
      </c>
      <c r="B110" s="57" t="s">
        <v>6127</v>
      </c>
      <c r="C110" s="57" t="s">
        <v>11891</v>
      </c>
      <c r="D110" s="57" t="s">
        <v>11554</v>
      </c>
      <c r="E110" s="57" t="s">
        <v>11892</v>
      </c>
      <c r="F110" s="57" t="s">
        <v>11893</v>
      </c>
      <c r="G110" s="57" t="s">
        <v>10663</v>
      </c>
      <c r="H110" s="57" t="s">
        <v>10623</v>
      </c>
      <c r="I110" s="57" t="s">
        <v>10431</v>
      </c>
      <c r="J110" s="57" t="s">
        <v>11476</v>
      </c>
      <c r="K110" s="57" t="s">
        <v>11477</v>
      </c>
    </row>
    <row r="111" spans="1:11" ht="60" customHeight="1">
      <c r="A111" s="57" t="s">
        <v>11894</v>
      </c>
      <c r="B111" s="57" t="s">
        <v>6127</v>
      </c>
      <c r="C111" s="57" t="s">
        <v>11895</v>
      </c>
      <c r="D111" s="57" t="s">
        <v>11554</v>
      </c>
      <c r="E111" s="57" t="s">
        <v>11896</v>
      </c>
      <c r="F111" s="57" t="s">
        <v>11893</v>
      </c>
      <c r="G111" s="57" t="s">
        <v>10663</v>
      </c>
      <c r="H111" s="57" t="s">
        <v>10623</v>
      </c>
      <c r="I111" s="57" t="s">
        <v>10431</v>
      </c>
      <c r="J111" s="57" t="s">
        <v>11476</v>
      </c>
      <c r="K111" s="57" t="s">
        <v>11477</v>
      </c>
    </row>
    <row r="112" spans="1:11" ht="60" customHeight="1">
      <c r="A112" s="57" t="s">
        <v>11897</v>
      </c>
      <c r="B112" s="57" t="s">
        <v>1974</v>
      </c>
      <c r="C112" s="57" t="s">
        <v>11898</v>
      </c>
      <c r="D112" s="57" t="s">
        <v>11537</v>
      </c>
      <c r="E112" s="57" t="s">
        <v>11630</v>
      </c>
      <c r="F112" s="57" t="s">
        <v>11475</v>
      </c>
      <c r="G112" s="57" t="s">
        <v>10668</v>
      </c>
      <c r="H112" s="57" t="s">
        <v>10623</v>
      </c>
      <c r="I112" s="57" t="s">
        <v>10431</v>
      </c>
      <c r="J112" s="57" t="s">
        <v>11476</v>
      </c>
      <c r="K112" s="57" t="s">
        <v>11477</v>
      </c>
    </row>
    <row r="113" spans="1:11" ht="60" customHeight="1">
      <c r="A113" s="57" t="s">
        <v>11899</v>
      </c>
      <c r="B113" s="57" t="s">
        <v>1974</v>
      </c>
      <c r="C113" s="57" t="s">
        <v>11900</v>
      </c>
      <c r="D113" s="57" t="s">
        <v>11901</v>
      </c>
      <c r="E113" s="57" t="s">
        <v>11902</v>
      </c>
      <c r="F113" s="57" t="s">
        <v>11475</v>
      </c>
      <c r="G113" s="57" t="s">
        <v>10668</v>
      </c>
      <c r="H113" s="57" t="s">
        <v>10623</v>
      </c>
      <c r="I113" s="57" t="s">
        <v>10431</v>
      </c>
      <c r="J113" s="57" t="s">
        <v>11476</v>
      </c>
      <c r="K113" s="57" t="s">
        <v>11477</v>
      </c>
    </row>
    <row r="114" spans="1:11" ht="60" customHeight="1">
      <c r="A114" s="57" t="s">
        <v>11903</v>
      </c>
      <c r="B114" s="57" t="s">
        <v>1974</v>
      </c>
      <c r="C114" s="57" t="s">
        <v>11904</v>
      </c>
      <c r="D114" s="57" t="s">
        <v>11905</v>
      </c>
      <c r="E114" s="57" t="s">
        <v>11906</v>
      </c>
      <c r="F114" s="57" t="s">
        <v>11578</v>
      </c>
      <c r="G114" s="57" t="s">
        <v>10668</v>
      </c>
      <c r="H114" s="57" t="s">
        <v>10623</v>
      </c>
      <c r="I114" s="57" t="s">
        <v>10431</v>
      </c>
      <c r="J114" s="57" t="s">
        <v>11476</v>
      </c>
      <c r="K114" s="57" t="s">
        <v>11477</v>
      </c>
    </row>
    <row r="115" spans="1:11" ht="60" customHeight="1">
      <c r="A115" s="57" t="s">
        <v>11907</v>
      </c>
      <c r="B115" s="57" t="s">
        <v>1974</v>
      </c>
      <c r="C115" s="57" t="s">
        <v>11908</v>
      </c>
      <c r="D115" s="57" t="s">
        <v>11511</v>
      </c>
      <c r="E115" s="57" t="s">
        <v>11905</v>
      </c>
      <c r="F115" s="57" t="s">
        <v>11909</v>
      </c>
      <c r="G115" s="57" t="s">
        <v>10668</v>
      </c>
      <c r="H115" s="57" t="s">
        <v>10623</v>
      </c>
      <c r="I115" s="57" t="s">
        <v>10431</v>
      </c>
      <c r="J115" s="57" t="s">
        <v>11476</v>
      </c>
      <c r="K115" s="57" t="s">
        <v>11477</v>
      </c>
    </row>
    <row r="116" spans="1:11" ht="60" customHeight="1">
      <c r="A116" s="57" t="s">
        <v>11910</v>
      </c>
      <c r="B116" s="57" t="s">
        <v>1974</v>
      </c>
      <c r="C116" s="57" t="s">
        <v>11911</v>
      </c>
      <c r="D116" s="57" t="s">
        <v>11516</v>
      </c>
      <c r="E116" s="57" t="s">
        <v>11517</v>
      </c>
      <c r="F116" s="57" t="s">
        <v>11724</v>
      </c>
      <c r="G116" s="57" t="s">
        <v>10668</v>
      </c>
      <c r="H116" s="57" t="s">
        <v>10623</v>
      </c>
      <c r="I116" s="57" t="s">
        <v>10431</v>
      </c>
      <c r="J116" s="57" t="s">
        <v>11476</v>
      </c>
      <c r="K116" s="57" t="s">
        <v>11477</v>
      </c>
    </row>
    <row r="117" spans="1:11" ht="60" customHeight="1">
      <c r="A117" s="57" t="s">
        <v>11912</v>
      </c>
      <c r="B117" s="57" t="s">
        <v>1974</v>
      </c>
      <c r="C117" s="57" t="s">
        <v>11913</v>
      </c>
      <c r="D117" s="57" t="s">
        <v>11516</v>
      </c>
      <c r="E117" s="57" t="s">
        <v>11914</v>
      </c>
      <c r="F117" s="57" t="s">
        <v>11915</v>
      </c>
      <c r="G117" s="57" t="s">
        <v>10668</v>
      </c>
      <c r="H117" s="57" t="s">
        <v>10623</v>
      </c>
      <c r="I117" s="57" t="s">
        <v>10431</v>
      </c>
      <c r="J117" s="57" t="s">
        <v>11476</v>
      </c>
      <c r="K117" s="57" t="s">
        <v>11477</v>
      </c>
    </row>
    <row r="118" spans="1:11" ht="60" customHeight="1">
      <c r="A118" s="57" t="s">
        <v>11916</v>
      </c>
      <c r="B118" s="57" t="s">
        <v>6137</v>
      </c>
      <c r="C118" s="57" t="s">
        <v>11917</v>
      </c>
      <c r="D118" s="57" t="s">
        <v>11650</v>
      </c>
      <c r="E118" s="57" t="s">
        <v>11651</v>
      </c>
      <c r="F118" s="57" t="s">
        <v>11651</v>
      </c>
      <c r="G118" s="57" t="s">
        <v>10673</v>
      </c>
      <c r="H118" s="57" t="s">
        <v>10623</v>
      </c>
      <c r="I118" s="57" t="s">
        <v>10431</v>
      </c>
      <c r="J118" s="57" t="s">
        <v>11652</v>
      </c>
      <c r="K118" s="57" t="s">
        <v>11653</v>
      </c>
    </row>
    <row r="119" spans="1:11" ht="60" customHeight="1">
      <c r="A119" s="57" t="s">
        <v>11918</v>
      </c>
      <c r="B119" s="57" t="s">
        <v>6143</v>
      </c>
      <c r="C119" s="57" t="s">
        <v>11919</v>
      </c>
      <c r="D119" s="57" t="s">
        <v>11650</v>
      </c>
      <c r="E119" s="57" t="s">
        <v>11651</v>
      </c>
      <c r="F119" s="57" t="s">
        <v>11651</v>
      </c>
      <c r="G119" s="57" t="s">
        <v>10678</v>
      </c>
      <c r="H119" s="57" t="s">
        <v>10623</v>
      </c>
      <c r="I119" s="57" t="s">
        <v>10431</v>
      </c>
      <c r="J119" s="57" t="s">
        <v>11652</v>
      </c>
      <c r="K119" s="57" t="s">
        <v>11653</v>
      </c>
    </row>
    <row r="120" spans="1:11" ht="60" customHeight="1">
      <c r="A120" s="57" t="s">
        <v>11920</v>
      </c>
      <c r="B120" s="57" t="s">
        <v>6149</v>
      </c>
      <c r="C120" s="57" t="s">
        <v>11921</v>
      </c>
      <c r="D120" s="57" t="s">
        <v>11650</v>
      </c>
      <c r="E120" s="57" t="s">
        <v>11651</v>
      </c>
      <c r="F120" s="57" t="s">
        <v>11651</v>
      </c>
      <c r="G120" s="57" t="s">
        <v>10683</v>
      </c>
      <c r="H120" s="57" t="s">
        <v>10623</v>
      </c>
      <c r="I120" s="57" t="s">
        <v>10431</v>
      </c>
      <c r="J120" s="57" t="s">
        <v>11652</v>
      </c>
      <c r="K120" s="57" t="s">
        <v>11653</v>
      </c>
    </row>
    <row r="121" spans="1:11" ht="60" customHeight="1">
      <c r="A121" s="57" t="s">
        <v>11922</v>
      </c>
      <c r="B121" s="57" t="s">
        <v>6155</v>
      </c>
      <c r="C121" s="57" t="s">
        <v>11923</v>
      </c>
      <c r="D121" s="57" t="s">
        <v>11537</v>
      </c>
      <c r="E121" s="57" t="s">
        <v>11696</v>
      </c>
      <c r="F121" s="57" t="s">
        <v>11924</v>
      </c>
      <c r="G121" s="57" t="s">
        <v>10688</v>
      </c>
      <c r="H121" s="57" t="s">
        <v>10623</v>
      </c>
      <c r="I121" s="57" t="s">
        <v>10431</v>
      </c>
      <c r="J121" s="57" t="s">
        <v>11476</v>
      </c>
      <c r="K121" s="57" t="s">
        <v>11477</v>
      </c>
    </row>
    <row r="122" spans="1:11" ht="60" customHeight="1">
      <c r="A122" s="57" t="s">
        <v>11925</v>
      </c>
      <c r="B122" s="57" t="s">
        <v>6155</v>
      </c>
      <c r="C122" s="57" t="s">
        <v>11926</v>
      </c>
      <c r="D122" s="57" t="s">
        <v>11927</v>
      </c>
      <c r="E122" s="57" t="s">
        <v>11928</v>
      </c>
      <c r="F122" s="57" t="s">
        <v>11475</v>
      </c>
      <c r="G122" s="57" t="s">
        <v>10688</v>
      </c>
      <c r="H122" s="57" t="s">
        <v>10623</v>
      </c>
      <c r="I122" s="57" t="s">
        <v>10431</v>
      </c>
      <c r="J122" s="57" t="s">
        <v>11476</v>
      </c>
      <c r="K122" s="57" t="s">
        <v>11477</v>
      </c>
    </row>
    <row r="123" spans="1:11" ht="60" customHeight="1">
      <c r="A123" s="57" t="s">
        <v>11929</v>
      </c>
      <c r="B123" s="57" t="s">
        <v>6155</v>
      </c>
      <c r="C123" s="57" t="s">
        <v>11930</v>
      </c>
      <c r="D123" s="57" t="s">
        <v>11516</v>
      </c>
      <c r="E123" s="57" t="s">
        <v>11517</v>
      </c>
      <c r="F123" s="57" t="s">
        <v>11931</v>
      </c>
      <c r="G123" s="57" t="s">
        <v>10688</v>
      </c>
      <c r="H123" s="57" t="s">
        <v>10623</v>
      </c>
      <c r="I123" s="57" t="s">
        <v>10431</v>
      </c>
      <c r="J123" s="57" t="s">
        <v>11476</v>
      </c>
      <c r="K123" s="57" t="s">
        <v>11477</v>
      </c>
    </row>
    <row r="124" spans="1:11" ht="60" customHeight="1">
      <c r="A124" s="57" t="s">
        <v>11932</v>
      </c>
      <c r="B124" s="57" t="s">
        <v>6155</v>
      </c>
      <c r="C124" s="57" t="s">
        <v>11933</v>
      </c>
      <c r="D124" s="57" t="s">
        <v>11554</v>
      </c>
      <c r="E124" s="57" t="s">
        <v>11934</v>
      </c>
      <c r="F124" s="57" t="s">
        <v>11935</v>
      </c>
      <c r="G124" s="57" t="s">
        <v>10688</v>
      </c>
      <c r="H124" s="57" t="s">
        <v>10623</v>
      </c>
      <c r="I124" s="57" t="s">
        <v>10431</v>
      </c>
      <c r="J124" s="57" t="s">
        <v>11476</v>
      </c>
      <c r="K124" s="57" t="s">
        <v>11477</v>
      </c>
    </row>
    <row r="125" spans="1:11" ht="60" customHeight="1">
      <c r="A125" s="57" t="s">
        <v>11936</v>
      </c>
      <c r="B125" s="57" t="s">
        <v>6155</v>
      </c>
      <c r="C125" s="57" t="s">
        <v>11937</v>
      </c>
      <c r="D125" s="57" t="s">
        <v>11938</v>
      </c>
      <c r="E125" s="57" t="s">
        <v>11934</v>
      </c>
      <c r="F125" s="57" t="s">
        <v>11939</v>
      </c>
      <c r="G125" s="57" t="s">
        <v>10688</v>
      </c>
      <c r="H125" s="57" t="s">
        <v>10623</v>
      </c>
      <c r="I125" s="57" t="s">
        <v>10431</v>
      </c>
      <c r="J125" s="57" t="s">
        <v>11476</v>
      </c>
      <c r="K125" s="57" t="s">
        <v>11477</v>
      </c>
    </row>
    <row r="126" spans="1:11" ht="60" customHeight="1">
      <c r="A126" s="57" t="s">
        <v>11940</v>
      </c>
      <c r="B126" s="57" t="s">
        <v>6155</v>
      </c>
      <c r="C126" s="57" t="s">
        <v>11941</v>
      </c>
      <c r="D126" s="57" t="s">
        <v>11787</v>
      </c>
      <c r="E126" s="57" t="s">
        <v>11934</v>
      </c>
      <c r="F126" s="57" t="s">
        <v>11942</v>
      </c>
      <c r="G126" s="57" t="s">
        <v>10688</v>
      </c>
      <c r="H126" s="57" t="s">
        <v>10623</v>
      </c>
      <c r="I126" s="57" t="s">
        <v>10431</v>
      </c>
      <c r="J126" s="57" t="s">
        <v>11476</v>
      </c>
      <c r="K126" s="57" t="s">
        <v>11477</v>
      </c>
    </row>
    <row r="127" spans="1:11" ht="60" customHeight="1">
      <c r="A127" s="57" t="s">
        <v>11943</v>
      </c>
      <c r="B127" s="57" t="s">
        <v>6155</v>
      </c>
      <c r="C127" s="57" t="s">
        <v>11944</v>
      </c>
      <c r="D127" s="57" t="s">
        <v>11945</v>
      </c>
      <c r="E127" s="57" t="s">
        <v>11946</v>
      </c>
      <c r="F127" s="57" t="s">
        <v>11475</v>
      </c>
      <c r="G127" s="57" t="s">
        <v>10688</v>
      </c>
      <c r="H127" s="57" t="s">
        <v>10623</v>
      </c>
      <c r="I127" s="57" t="s">
        <v>10431</v>
      </c>
      <c r="J127" s="57" t="s">
        <v>11476</v>
      </c>
      <c r="K127" s="57" t="s">
        <v>11477</v>
      </c>
    </row>
    <row r="128" spans="1:11" ht="60" customHeight="1">
      <c r="A128" s="57" t="s">
        <v>11947</v>
      </c>
      <c r="B128" s="57" t="s">
        <v>6155</v>
      </c>
      <c r="C128" s="57" t="s">
        <v>11948</v>
      </c>
      <c r="D128" s="57" t="s">
        <v>11949</v>
      </c>
      <c r="E128" s="57" t="s">
        <v>11934</v>
      </c>
      <c r="F128" s="57" t="s">
        <v>11950</v>
      </c>
      <c r="G128" s="57" t="s">
        <v>10688</v>
      </c>
      <c r="H128" s="57" t="s">
        <v>10623</v>
      </c>
      <c r="I128" s="57" t="s">
        <v>10431</v>
      </c>
      <c r="J128" s="57" t="s">
        <v>11476</v>
      </c>
      <c r="K128" s="57" t="s">
        <v>11477</v>
      </c>
    </row>
    <row r="129" spans="1:11" ht="60" customHeight="1">
      <c r="A129" s="57" t="s">
        <v>11951</v>
      </c>
      <c r="B129" s="57" t="s">
        <v>6155</v>
      </c>
      <c r="C129" s="57" t="s">
        <v>11952</v>
      </c>
      <c r="D129" s="57" t="s">
        <v>11787</v>
      </c>
      <c r="E129" s="57" t="s">
        <v>11934</v>
      </c>
      <c r="F129" s="57" t="s">
        <v>11953</v>
      </c>
      <c r="G129" s="57" t="s">
        <v>10688</v>
      </c>
      <c r="H129" s="57" t="s">
        <v>10623</v>
      </c>
      <c r="I129" s="57" t="s">
        <v>10431</v>
      </c>
      <c r="J129" s="57" t="s">
        <v>11476</v>
      </c>
      <c r="K129" s="57" t="s">
        <v>11477</v>
      </c>
    </row>
    <row r="130" spans="1:11" ht="60" customHeight="1">
      <c r="A130" s="57" t="s">
        <v>11954</v>
      </c>
      <c r="B130" s="57" t="s">
        <v>6155</v>
      </c>
      <c r="C130" s="57" t="s">
        <v>11955</v>
      </c>
      <c r="D130" s="57" t="s">
        <v>11956</v>
      </c>
      <c r="E130" s="57" t="s">
        <v>11957</v>
      </c>
      <c r="F130" s="57" t="s">
        <v>11475</v>
      </c>
      <c r="G130" s="57" t="s">
        <v>10688</v>
      </c>
      <c r="H130" s="57" t="s">
        <v>10623</v>
      </c>
      <c r="I130" s="57" t="s">
        <v>10431</v>
      </c>
      <c r="J130" s="57" t="s">
        <v>11476</v>
      </c>
      <c r="K130" s="57" t="s">
        <v>11477</v>
      </c>
    </row>
    <row r="131" spans="1:11" ht="60" customHeight="1">
      <c r="A131" s="57" t="s">
        <v>11958</v>
      </c>
      <c r="B131" s="57" t="s">
        <v>6155</v>
      </c>
      <c r="C131" s="57" t="s">
        <v>11959</v>
      </c>
      <c r="D131" s="57" t="s">
        <v>11960</v>
      </c>
      <c r="E131" s="57" t="s">
        <v>11961</v>
      </c>
      <c r="F131" s="57" t="s">
        <v>11962</v>
      </c>
      <c r="G131" s="57" t="s">
        <v>10688</v>
      </c>
      <c r="H131" s="57" t="s">
        <v>10623</v>
      </c>
      <c r="I131" s="57" t="s">
        <v>10431</v>
      </c>
      <c r="J131" s="57" t="s">
        <v>11476</v>
      </c>
      <c r="K131" s="57" t="s">
        <v>11477</v>
      </c>
    </row>
    <row r="132" spans="1:11" ht="60" customHeight="1">
      <c r="A132" s="57" t="s">
        <v>11963</v>
      </c>
      <c r="B132" s="57" t="s">
        <v>6155</v>
      </c>
      <c r="C132" s="57" t="s">
        <v>11964</v>
      </c>
      <c r="D132" s="57" t="s">
        <v>11965</v>
      </c>
      <c r="E132" s="57" t="s">
        <v>11494</v>
      </c>
      <c r="F132" s="57" t="s">
        <v>11966</v>
      </c>
      <c r="G132" s="57" t="s">
        <v>10688</v>
      </c>
      <c r="H132" s="57" t="s">
        <v>10623</v>
      </c>
      <c r="I132" s="57" t="s">
        <v>10431</v>
      </c>
      <c r="J132" s="57" t="s">
        <v>11476</v>
      </c>
      <c r="K132" s="57" t="s">
        <v>11477</v>
      </c>
    </row>
    <row r="133" spans="1:11" ht="60" customHeight="1">
      <c r="A133" s="57" t="s">
        <v>11967</v>
      </c>
      <c r="B133" s="57" t="s">
        <v>6155</v>
      </c>
      <c r="C133" s="57" t="s">
        <v>11968</v>
      </c>
      <c r="D133" s="57" t="s">
        <v>11516</v>
      </c>
      <c r="E133" s="57" t="s">
        <v>11969</v>
      </c>
      <c r="F133" s="57" t="s">
        <v>11970</v>
      </c>
      <c r="G133" s="57" t="s">
        <v>10688</v>
      </c>
      <c r="H133" s="57" t="s">
        <v>10623</v>
      </c>
      <c r="I133" s="57" t="s">
        <v>10431</v>
      </c>
      <c r="J133" s="57" t="s">
        <v>11476</v>
      </c>
      <c r="K133" s="57" t="s">
        <v>11477</v>
      </c>
    </row>
    <row r="134" spans="1:11" ht="60" customHeight="1">
      <c r="A134" s="57" t="s">
        <v>11971</v>
      </c>
      <c r="B134" s="57" t="s">
        <v>1980</v>
      </c>
      <c r="C134" s="57" t="s">
        <v>11972</v>
      </c>
      <c r="D134" s="57" t="s">
        <v>11537</v>
      </c>
      <c r="E134" s="57" t="s">
        <v>11696</v>
      </c>
      <c r="F134" s="57" t="s">
        <v>11475</v>
      </c>
      <c r="G134" s="57" t="s">
        <v>10693</v>
      </c>
      <c r="H134" s="57" t="s">
        <v>1058</v>
      </c>
      <c r="I134" s="57" t="s">
        <v>240</v>
      </c>
      <c r="J134" s="57" t="s">
        <v>11476</v>
      </c>
      <c r="K134" s="57" t="s">
        <v>11477</v>
      </c>
    </row>
    <row r="135" spans="1:11" ht="60" customHeight="1">
      <c r="A135" s="57" t="s">
        <v>11973</v>
      </c>
      <c r="B135" s="57" t="s">
        <v>1980</v>
      </c>
      <c r="C135" s="57" t="s">
        <v>11974</v>
      </c>
      <c r="D135" s="57" t="s">
        <v>11537</v>
      </c>
      <c r="E135" s="57" t="s">
        <v>11696</v>
      </c>
      <c r="F135" s="57" t="s">
        <v>11924</v>
      </c>
      <c r="G135" s="57" t="s">
        <v>10693</v>
      </c>
      <c r="H135" s="57" t="s">
        <v>1058</v>
      </c>
      <c r="I135" s="57" t="s">
        <v>240</v>
      </c>
      <c r="J135" s="57" t="s">
        <v>11476</v>
      </c>
      <c r="K135" s="57" t="s">
        <v>11477</v>
      </c>
    </row>
    <row r="136" spans="1:11" ht="60" customHeight="1">
      <c r="A136" s="57" t="s">
        <v>11975</v>
      </c>
      <c r="B136" s="57" t="s">
        <v>1980</v>
      </c>
      <c r="C136" s="57" t="s">
        <v>11976</v>
      </c>
      <c r="D136" s="57" t="s">
        <v>11977</v>
      </c>
      <c r="E136" s="57" t="s">
        <v>11517</v>
      </c>
      <c r="F136" s="57" t="s">
        <v>11475</v>
      </c>
      <c r="G136" s="57" t="s">
        <v>10693</v>
      </c>
      <c r="H136" s="57" t="s">
        <v>1058</v>
      </c>
      <c r="I136" s="57" t="s">
        <v>240</v>
      </c>
      <c r="J136" s="57" t="s">
        <v>11476</v>
      </c>
      <c r="K136" s="57" t="s">
        <v>11477</v>
      </c>
    </row>
    <row r="137" spans="1:11" ht="60" customHeight="1">
      <c r="A137" s="57" t="s">
        <v>11978</v>
      </c>
      <c r="B137" s="57" t="s">
        <v>1980</v>
      </c>
      <c r="C137" s="57" t="s">
        <v>11979</v>
      </c>
      <c r="D137" s="57" t="s">
        <v>11980</v>
      </c>
      <c r="E137" s="57" t="s">
        <v>11981</v>
      </c>
      <c r="F137" s="57" t="s">
        <v>11982</v>
      </c>
      <c r="G137" s="57" t="s">
        <v>10693</v>
      </c>
      <c r="H137" s="57" t="s">
        <v>1058</v>
      </c>
      <c r="I137" s="57" t="s">
        <v>240</v>
      </c>
      <c r="J137" s="57" t="s">
        <v>11476</v>
      </c>
      <c r="K137" s="57" t="s">
        <v>11477</v>
      </c>
    </row>
    <row r="138" spans="1:11" ht="60" customHeight="1">
      <c r="A138" s="57" t="s">
        <v>11983</v>
      </c>
      <c r="B138" s="57" t="s">
        <v>1980</v>
      </c>
      <c r="C138" s="57" t="s">
        <v>11984</v>
      </c>
      <c r="D138" s="57" t="s">
        <v>11985</v>
      </c>
      <c r="E138" s="57" t="s">
        <v>11986</v>
      </c>
      <c r="F138" s="57" t="s">
        <v>11475</v>
      </c>
      <c r="G138" s="57" t="s">
        <v>10693</v>
      </c>
      <c r="H138" s="57" t="s">
        <v>1058</v>
      </c>
      <c r="I138" s="57" t="s">
        <v>240</v>
      </c>
      <c r="J138" s="57" t="s">
        <v>11476</v>
      </c>
      <c r="K138" s="57" t="s">
        <v>11477</v>
      </c>
    </row>
    <row r="139" spans="1:11" ht="60" customHeight="1">
      <c r="A139" s="57" t="s">
        <v>11987</v>
      </c>
      <c r="B139" s="57" t="s">
        <v>1980</v>
      </c>
      <c r="C139" s="57" t="s">
        <v>11988</v>
      </c>
      <c r="D139" s="57" t="s">
        <v>11989</v>
      </c>
      <c r="E139" s="57" t="s">
        <v>11986</v>
      </c>
      <c r="F139" s="57" t="s">
        <v>11475</v>
      </c>
      <c r="G139" s="57" t="s">
        <v>10693</v>
      </c>
      <c r="H139" s="57" t="s">
        <v>1058</v>
      </c>
      <c r="I139" s="57" t="s">
        <v>240</v>
      </c>
      <c r="J139" s="57" t="s">
        <v>11476</v>
      </c>
      <c r="K139" s="57" t="s">
        <v>11477</v>
      </c>
    </row>
    <row r="140" spans="1:11" ht="60" customHeight="1">
      <c r="A140" s="57" t="s">
        <v>11990</v>
      </c>
      <c r="B140" s="57" t="s">
        <v>1980</v>
      </c>
      <c r="C140" s="57" t="s">
        <v>11991</v>
      </c>
      <c r="D140" s="57" t="s">
        <v>11992</v>
      </c>
      <c r="E140" s="57" t="s">
        <v>11993</v>
      </c>
      <c r="F140" s="57" t="s">
        <v>11994</v>
      </c>
      <c r="G140" s="57" t="s">
        <v>10693</v>
      </c>
      <c r="H140" s="57" t="s">
        <v>1058</v>
      </c>
      <c r="I140" s="57" t="s">
        <v>240</v>
      </c>
      <c r="J140" s="57" t="s">
        <v>11476</v>
      </c>
      <c r="K140" s="57" t="s">
        <v>11477</v>
      </c>
    </row>
    <row r="141" spans="1:11" ht="60" customHeight="1">
      <c r="A141" s="57" t="s">
        <v>11995</v>
      </c>
      <c r="B141" s="57" t="s">
        <v>1980</v>
      </c>
      <c r="C141" s="57" t="s">
        <v>11996</v>
      </c>
      <c r="D141" s="57" t="s">
        <v>11997</v>
      </c>
      <c r="E141" s="57" t="s">
        <v>11905</v>
      </c>
      <c r="F141" s="57" t="s">
        <v>11998</v>
      </c>
      <c r="G141" s="57" t="s">
        <v>10693</v>
      </c>
      <c r="H141" s="57" t="s">
        <v>1058</v>
      </c>
      <c r="I141" s="57" t="s">
        <v>240</v>
      </c>
      <c r="J141" s="57" t="s">
        <v>11476</v>
      </c>
      <c r="K141" s="57" t="s">
        <v>11477</v>
      </c>
    </row>
    <row r="142" spans="1:11" ht="60" customHeight="1">
      <c r="A142" s="57" t="s">
        <v>11999</v>
      </c>
      <c r="B142" s="57" t="s">
        <v>1980</v>
      </c>
      <c r="C142" s="57" t="s">
        <v>12000</v>
      </c>
      <c r="D142" s="57" t="s">
        <v>12001</v>
      </c>
      <c r="E142" s="57" t="s">
        <v>12002</v>
      </c>
      <c r="F142" s="57" t="s">
        <v>12003</v>
      </c>
      <c r="G142" s="57" t="s">
        <v>10693</v>
      </c>
      <c r="H142" s="57" t="s">
        <v>1058</v>
      </c>
      <c r="I142" s="57" t="s">
        <v>240</v>
      </c>
      <c r="J142" s="57" t="s">
        <v>11476</v>
      </c>
      <c r="K142" s="57" t="s">
        <v>11477</v>
      </c>
    </row>
    <row r="143" spans="1:11" ht="60" customHeight="1">
      <c r="A143" s="57" t="s">
        <v>12004</v>
      </c>
      <c r="B143" s="57" t="s">
        <v>1980</v>
      </c>
      <c r="C143" s="57" t="s">
        <v>12005</v>
      </c>
      <c r="D143" s="57" t="s">
        <v>12006</v>
      </c>
      <c r="E143" s="57" t="s">
        <v>12007</v>
      </c>
      <c r="F143" s="57" t="s">
        <v>12008</v>
      </c>
      <c r="G143" s="57" t="s">
        <v>10693</v>
      </c>
      <c r="H143" s="57" t="s">
        <v>1058</v>
      </c>
      <c r="I143" s="57" t="s">
        <v>240</v>
      </c>
      <c r="J143" s="57" t="s">
        <v>11476</v>
      </c>
      <c r="K143" s="57" t="s">
        <v>11477</v>
      </c>
    </row>
    <row r="144" spans="1:11" ht="60" customHeight="1">
      <c r="A144" s="57" t="s">
        <v>12009</v>
      </c>
      <c r="B144" s="57" t="s">
        <v>1980</v>
      </c>
      <c r="C144" s="57" t="s">
        <v>12010</v>
      </c>
      <c r="D144" s="57" t="s">
        <v>12011</v>
      </c>
      <c r="E144" s="57" t="s">
        <v>12007</v>
      </c>
      <c r="F144" s="57" t="s">
        <v>12012</v>
      </c>
      <c r="G144" s="57" t="s">
        <v>10693</v>
      </c>
      <c r="H144" s="57" t="s">
        <v>1058</v>
      </c>
      <c r="I144" s="57" t="s">
        <v>240</v>
      </c>
      <c r="J144" s="57" t="s">
        <v>11476</v>
      </c>
      <c r="K144" s="57" t="s">
        <v>11477</v>
      </c>
    </row>
    <row r="145" spans="1:11" ht="60" customHeight="1">
      <c r="A145" s="57" t="s">
        <v>12013</v>
      </c>
      <c r="B145" s="57" t="s">
        <v>1980</v>
      </c>
      <c r="C145" s="57" t="s">
        <v>12014</v>
      </c>
      <c r="D145" s="57" t="s">
        <v>12015</v>
      </c>
      <c r="E145" s="57" t="s">
        <v>11905</v>
      </c>
      <c r="F145" s="57" t="s">
        <v>12016</v>
      </c>
      <c r="G145" s="57" t="s">
        <v>10693</v>
      </c>
      <c r="H145" s="57" t="s">
        <v>1058</v>
      </c>
      <c r="I145" s="57" t="s">
        <v>240</v>
      </c>
      <c r="J145" s="57" t="s">
        <v>11476</v>
      </c>
      <c r="K145" s="57" t="s">
        <v>11477</v>
      </c>
    </row>
    <row r="146" spans="1:11" ht="60" customHeight="1">
      <c r="A146" s="57" t="s">
        <v>12017</v>
      </c>
      <c r="B146" s="57" t="s">
        <v>1980</v>
      </c>
      <c r="C146" s="57" t="s">
        <v>12018</v>
      </c>
      <c r="D146" s="57" t="s">
        <v>11516</v>
      </c>
      <c r="E146" s="57" t="s">
        <v>11914</v>
      </c>
      <c r="F146" s="57" t="s">
        <v>12019</v>
      </c>
      <c r="G146" s="57" t="s">
        <v>10693</v>
      </c>
      <c r="H146" s="57" t="s">
        <v>1058</v>
      </c>
      <c r="I146" s="57" t="s">
        <v>240</v>
      </c>
      <c r="J146" s="57" t="s">
        <v>11476</v>
      </c>
      <c r="K146" s="57" t="s">
        <v>11477</v>
      </c>
    </row>
    <row r="147" spans="1:11" ht="60" customHeight="1">
      <c r="A147" s="57" t="s">
        <v>12020</v>
      </c>
      <c r="B147" s="57" t="s">
        <v>1980</v>
      </c>
      <c r="C147" s="57" t="s">
        <v>12021</v>
      </c>
      <c r="D147" s="57" t="s">
        <v>12022</v>
      </c>
      <c r="E147" s="57" t="s">
        <v>11914</v>
      </c>
      <c r="F147" s="57" t="s">
        <v>12023</v>
      </c>
      <c r="G147" s="57" t="s">
        <v>10693</v>
      </c>
      <c r="H147" s="57" t="s">
        <v>1058</v>
      </c>
      <c r="I147" s="57" t="s">
        <v>240</v>
      </c>
      <c r="J147" s="57" t="s">
        <v>11476</v>
      </c>
      <c r="K147" s="57" t="s">
        <v>11477</v>
      </c>
    </row>
    <row r="148" spans="1:11" ht="60" customHeight="1">
      <c r="A148" s="57" t="s">
        <v>12024</v>
      </c>
      <c r="B148" s="57" t="s">
        <v>1980</v>
      </c>
      <c r="C148" s="57" t="s">
        <v>12025</v>
      </c>
      <c r="D148" s="57" t="s">
        <v>11938</v>
      </c>
      <c r="E148" s="57" t="s">
        <v>12026</v>
      </c>
      <c r="F148" s="57" t="s">
        <v>12027</v>
      </c>
      <c r="G148" s="57" t="s">
        <v>10693</v>
      </c>
      <c r="H148" s="57" t="s">
        <v>1058</v>
      </c>
      <c r="I148" s="57" t="s">
        <v>240</v>
      </c>
      <c r="J148" s="57" t="s">
        <v>11476</v>
      </c>
      <c r="K148" s="57" t="s">
        <v>11477</v>
      </c>
    </row>
    <row r="149" spans="1:11" ht="60" customHeight="1">
      <c r="A149" s="57" t="s">
        <v>12028</v>
      </c>
      <c r="B149" s="57" t="s">
        <v>1980</v>
      </c>
      <c r="C149" s="57" t="s">
        <v>12029</v>
      </c>
      <c r="D149" s="57" t="s">
        <v>12030</v>
      </c>
      <c r="E149" s="57" t="s">
        <v>12026</v>
      </c>
      <c r="F149" s="57" t="s">
        <v>12003</v>
      </c>
      <c r="G149" s="57" t="s">
        <v>10693</v>
      </c>
      <c r="H149" s="57" t="s">
        <v>1058</v>
      </c>
      <c r="I149" s="57" t="s">
        <v>240</v>
      </c>
      <c r="J149" s="57" t="s">
        <v>11476</v>
      </c>
      <c r="K149" s="57" t="s">
        <v>11477</v>
      </c>
    </row>
    <row r="150" spans="1:11" ht="60" customHeight="1">
      <c r="A150" s="57" t="s">
        <v>12031</v>
      </c>
      <c r="B150" s="57" t="s">
        <v>1980</v>
      </c>
      <c r="C150" s="57" t="s">
        <v>12032</v>
      </c>
      <c r="D150" s="57" t="s">
        <v>12033</v>
      </c>
      <c r="E150" s="57" t="s">
        <v>12026</v>
      </c>
      <c r="F150" s="57" t="s">
        <v>12003</v>
      </c>
      <c r="G150" s="57" t="s">
        <v>10693</v>
      </c>
      <c r="H150" s="57" t="s">
        <v>1058</v>
      </c>
      <c r="I150" s="57" t="s">
        <v>240</v>
      </c>
      <c r="J150" s="57" t="s">
        <v>11476</v>
      </c>
      <c r="K150" s="57" t="s">
        <v>11477</v>
      </c>
    </row>
    <row r="151" spans="1:11" ht="60" customHeight="1">
      <c r="A151" s="57" t="s">
        <v>12034</v>
      </c>
      <c r="B151" s="57" t="s">
        <v>1980</v>
      </c>
      <c r="C151" s="57" t="s">
        <v>12035</v>
      </c>
      <c r="D151" s="57" t="s">
        <v>12036</v>
      </c>
      <c r="E151" s="57" t="s">
        <v>12007</v>
      </c>
      <c r="F151" s="57" t="s">
        <v>12037</v>
      </c>
      <c r="G151" s="57" t="s">
        <v>10693</v>
      </c>
      <c r="H151" s="57" t="s">
        <v>1058</v>
      </c>
      <c r="I151" s="57" t="s">
        <v>240</v>
      </c>
      <c r="J151" s="57" t="s">
        <v>11476</v>
      </c>
      <c r="K151" s="57" t="s">
        <v>11477</v>
      </c>
    </row>
    <row r="152" spans="1:11" ht="60" customHeight="1">
      <c r="A152" s="57" t="s">
        <v>12038</v>
      </c>
      <c r="B152" s="57" t="s">
        <v>1980</v>
      </c>
      <c r="C152" s="57" t="s">
        <v>12039</v>
      </c>
      <c r="D152" s="57" t="s">
        <v>12040</v>
      </c>
      <c r="E152" s="57" t="s">
        <v>12007</v>
      </c>
      <c r="F152" s="57" t="s">
        <v>12037</v>
      </c>
      <c r="G152" s="57" t="s">
        <v>10693</v>
      </c>
      <c r="H152" s="57" t="s">
        <v>1058</v>
      </c>
      <c r="I152" s="57" t="s">
        <v>240</v>
      </c>
      <c r="J152" s="57" t="s">
        <v>11476</v>
      </c>
      <c r="K152" s="57" t="s">
        <v>11477</v>
      </c>
    </row>
    <row r="153" spans="1:11" ht="60" customHeight="1">
      <c r="A153" s="57" t="s">
        <v>12041</v>
      </c>
      <c r="B153" s="57" t="s">
        <v>1980</v>
      </c>
      <c r="C153" s="57" t="s">
        <v>12042</v>
      </c>
      <c r="D153" s="57" t="s">
        <v>12043</v>
      </c>
      <c r="E153" s="57" t="s">
        <v>12007</v>
      </c>
      <c r="F153" s="57" t="s">
        <v>12044</v>
      </c>
      <c r="G153" s="57" t="s">
        <v>10693</v>
      </c>
      <c r="H153" s="57" t="s">
        <v>1058</v>
      </c>
      <c r="I153" s="57" t="s">
        <v>240</v>
      </c>
      <c r="J153" s="57" t="s">
        <v>11476</v>
      </c>
      <c r="K153" s="57" t="s">
        <v>11477</v>
      </c>
    </row>
    <row r="154" spans="1:11" ht="60" customHeight="1">
      <c r="A154" s="57" t="s">
        <v>12045</v>
      </c>
      <c r="B154" s="57" t="s">
        <v>1980</v>
      </c>
      <c r="C154" s="57" t="s">
        <v>12046</v>
      </c>
      <c r="D154" s="57" t="s">
        <v>12047</v>
      </c>
      <c r="E154" s="57" t="s">
        <v>11914</v>
      </c>
      <c r="F154" s="57" t="s">
        <v>12048</v>
      </c>
      <c r="G154" s="57" t="s">
        <v>10693</v>
      </c>
      <c r="H154" s="57" t="s">
        <v>1058</v>
      </c>
      <c r="I154" s="57" t="s">
        <v>240</v>
      </c>
      <c r="J154" s="57" t="s">
        <v>11476</v>
      </c>
      <c r="K154" s="57" t="s">
        <v>11477</v>
      </c>
    </row>
    <row r="155" spans="1:11" ht="60" customHeight="1">
      <c r="A155" s="57" t="s">
        <v>12049</v>
      </c>
      <c r="B155" s="57" t="s">
        <v>1980</v>
      </c>
      <c r="C155" s="57" t="s">
        <v>12050</v>
      </c>
      <c r="D155" s="57" t="s">
        <v>12051</v>
      </c>
      <c r="E155" s="57" t="s">
        <v>11914</v>
      </c>
      <c r="F155" s="57" t="s">
        <v>12052</v>
      </c>
      <c r="G155" s="57" t="s">
        <v>10693</v>
      </c>
      <c r="H155" s="57" t="s">
        <v>1058</v>
      </c>
      <c r="I155" s="57" t="s">
        <v>240</v>
      </c>
      <c r="J155" s="57" t="s">
        <v>11476</v>
      </c>
      <c r="K155" s="57" t="s">
        <v>11477</v>
      </c>
    </row>
    <row r="156" spans="1:11" ht="60" customHeight="1">
      <c r="A156" s="57" t="s">
        <v>12053</v>
      </c>
      <c r="B156" s="57" t="s">
        <v>1980</v>
      </c>
      <c r="C156" s="57" t="s">
        <v>12054</v>
      </c>
      <c r="D156" s="57" t="s">
        <v>11511</v>
      </c>
      <c r="E156" s="57" t="s">
        <v>11905</v>
      </c>
      <c r="F156" s="57" t="s">
        <v>11475</v>
      </c>
      <c r="G156" s="57" t="s">
        <v>10693</v>
      </c>
      <c r="H156" s="57" t="s">
        <v>1058</v>
      </c>
      <c r="I156" s="57" t="s">
        <v>240</v>
      </c>
      <c r="J156" s="57" t="s">
        <v>11476</v>
      </c>
      <c r="K156" s="57" t="s">
        <v>11477</v>
      </c>
    </row>
    <row r="157" spans="1:11" ht="60" customHeight="1">
      <c r="A157" s="57" t="s">
        <v>12055</v>
      </c>
      <c r="B157" s="57" t="s">
        <v>1980</v>
      </c>
      <c r="C157" s="57" t="s">
        <v>12056</v>
      </c>
      <c r="D157" s="57" t="s">
        <v>11511</v>
      </c>
      <c r="E157" s="57" t="s">
        <v>11905</v>
      </c>
      <c r="F157" s="57" t="s">
        <v>11475</v>
      </c>
      <c r="G157" s="57" t="s">
        <v>10693</v>
      </c>
      <c r="H157" s="57" t="s">
        <v>1058</v>
      </c>
      <c r="I157" s="57" t="s">
        <v>240</v>
      </c>
      <c r="J157" s="57" t="s">
        <v>11476</v>
      </c>
      <c r="K157" s="57" t="s">
        <v>11477</v>
      </c>
    </row>
    <row r="158" spans="1:11" ht="60" customHeight="1">
      <c r="A158" s="57" t="s">
        <v>12057</v>
      </c>
      <c r="B158" s="57" t="s">
        <v>1988</v>
      </c>
      <c r="C158" s="57" t="s">
        <v>12058</v>
      </c>
      <c r="D158" s="57" t="s">
        <v>11537</v>
      </c>
      <c r="E158" s="57" t="s">
        <v>11696</v>
      </c>
      <c r="F158" s="57" t="s">
        <v>12059</v>
      </c>
      <c r="G158" s="57" t="s">
        <v>10698</v>
      </c>
      <c r="H158" s="57" t="s">
        <v>1058</v>
      </c>
      <c r="I158" s="57" t="s">
        <v>240</v>
      </c>
      <c r="J158" s="57" t="s">
        <v>11476</v>
      </c>
      <c r="K158" s="57" t="s">
        <v>11477</v>
      </c>
    </row>
    <row r="159" spans="1:11" ht="60" customHeight="1">
      <c r="A159" s="57" t="s">
        <v>12060</v>
      </c>
      <c r="B159" s="57" t="s">
        <v>1988</v>
      </c>
      <c r="C159" s="57" t="s">
        <v>12061</v>
      </c>
      <c r="D159" s="57" t="s">
        <v>12062</v>
      </c>
      <c r="E159" s="57" t="s">
        <v>11696</v>
      </c>
      <c r="F159" s="57" t="s">
        <v>12063</v>
      </c>
      <c r="G159" s="57" t="s">
        <v>10698</v>
      </c>
      <c r="H159" s="57" t="s">
        <v>1058</v>
      </c>
      <c r="I159" s="57" t="s">
        <v>240</v>
      </c>
      <c r="J159" s="57" t="s">
        <v>11476</v>
      </c>
      <c r="K159" s="57" t="s">
        <v>11477</v>
      </c>
    </row>
    <row r="160" spans="1:11" ht="60" customHeight="1">
      <c r="A160" s="57" t="s">
        <v>12064</v>
      </c>
      <c r="B160" s="57" t="s">
        <v>1988</v>
      </c>
      <c r="C160" s="57" t="s">
        <v>12065</v>
      </c>
      <c r="D160" s="57" t="s">
        <v>11691</v>
      </c>
      <c r="E160" s="57" t="s">
        <v>11696</v>
      </c>
      <c r="F160" s="57" t="s">
        <v>11475</v>
      </c>
      <c r="G160" s="57" t="s">
        <v>10698</v>
      </c>
      <c r="H160" s="57" t="s">
        <v>1058</v>
      </c>
      <c r="I160" s="57" t="s">
        <v>240</v>
      </c>
      <c r="J160" s="57" t="s">
        <v>11476</v>
      </c>
      <c r="K160" s="57" t="s">
        <v>11477</v>
      </c>
    </row>
    <row r="161" spans="1:11" ht="60" customHeight="1">
      <c r="A161" s="57" t="s">
        <v>12066</v>
      </c>
      <c r="B161" s="57" t="s">
        <v>1988</v>
      </c>
      <c r="C161" s="57" t="s">
        <v>12067</v>
      </c>
      <c r="D161" s="57" t="s">
        <v>11537</v>
      </c>
      <c r="E161" s="57" t="s">
        <v>11696</v>
      </c>
      <c r="F161" s="57" t="s">
        <v>11475</v>
      </c>
      <c r="G161" s="57" t="s">
        <v>10698</v>
      </c>
      <c r="H161" s="57" t="s">
        <v>1058</v>
      </c>
      <c r="I161" s="57" t="s">
        <v>240</v>
      </c>
      <c r="J161" s="57" t="s">
        <v>11476</v>
      </c>
      <c r="K161" s="57" t="s">
        <v>11477</v>
      </c>
    </row>
    <row r="162" spans="1:11" ht="60" customHeight="1">
      <c r="A162" s="57" t="s">
        <v>12068</v>
      </c>
      <c r="B162" s="57" t="s">
        <v>1988</v>
      </c>
      <c r="C162" s="57" t="s">
        <v>12069</v>
      </c>
      <c r="D162" s="57" t="s">
        <v>12070</v>
      </c>
      <c r="E162" s="57" t="s">
        <v>12071</v>
      </c>
      <c r="F162" s="57" t="s">
        <v>11475</v>
      </c>
      <c r="G162" s="57" t="s">
        <v>10698</v>
      </c>
      <c r="H162" s="57" t="s">
        <v>1058</v>
      </c>
      <c r="I162" s="57" t="s">
        <v>240</v>
      </c>
      <c r="J162" s="57" t="s">
        <v>11476</v>
      </c>
      <c r="K162" s="57" t="s">
        <v>11477</v>
      </c>
    </row>
    <row r="163" spans="1:11" ht="60" customHeight="1">
      <c r="A163" s="57" t="s">
        <v>12072</v>
      </c>
      <c r="B163" s="57" t="s">
        <v>1988</v>
      </c>
      <c r="C163" s="57" t="s">
        <v>12073</v>
      </c>
      <c r="D163" s="57" t="s">
        <v>12074</v>
      </c>
      <c r="E163" s="57" t="s">
        <v>12071</v>
      </c>
      <c r="F163" s="57" t="s">
        <v>11475</v>
      </c>
      <c r="G163" s="57" t="s">
        <v>10698</v>
      </c>
      <c r="H163" s="57" t="s">
        <v>1058</v>
      </c>
      <c r="I163" s="57" t="s">
        <v>240</v>
      </c>
      <c r="J163" s="57" t="s">
        <v>11476</v>
      </c>
      <c r="K163" s="57" t="s">
        <v>11477</v>
      </c>
    </row>
    <row r="164" spans="1:11" ht="60" customHeight="1">
      <c r="A164" s="57" t="s">
        <v>12075</v>
      </c>
      <c r="B164" s="57" t="s">
        <v>1988</v>
      </c>
      <c r="C164" s="57" t="s">
        <v>12076</v>
      </c>
      <c r="D164" s="57" t="s">
        <v>12077</v>
      </c>
      <c r="E164" s="57" t="s">
        <v>12078</v>
      </c>
      <c r="F164" s="57" t="s">
        <v>11475</v>
      </c>
      <c r="G164" s="57" t="s">
        <v>10698</v>
      </c>
      <c r="H164" s="57" t="s">
        <v>1058</v>
      </c>
      <c r="I164" s="57" t="s">
        <v>240</v>
      </c>
      <c r="J164" s="57" t="s">
        <v>11476</v>
      </c>
      <c r="K164" s="57" t="s">
        <v>11477</v>
      </c>
    </row>
    <row r="165" spans="1:11" ht="60" customHeight="1">
      <c r="A165" s="57" t="s">
        <v>12079</v>
      </c>
      <c r="B165" s="57" t="s">
        <v>1988</v>
      </c>
      <c r="C165" s="57" t="s">
        <v>12080</v>
      </c>
      <c r="D165" s="57" t="s">
        <v>12081</v>
      </c>
      <c r="E165" s="57" t="s">
        <v>12078</v>
      </c>
      <c r="F165" s="57" t="s">
        <v>12082</v>
      </c>
      <c r="G165" s="57" t="s">
        <v>10698</v>
      </c>
      <c r="H165" s="57" t="s">
        <v>1058</v>
      </c>
      <c r="I165" s="57" t="s">
        <v>240</v>
      </c>
      <c r="J165" s="57" t="s">
        <v>11476</v>
      </c>
      <c r="K165" s="57" t="s">
        <v>11477</v>
      </c>
    </row>
    <row r="166" spans="1:11" ht="60" customHeight="1">
      <c r="A166" s="57" t="s">
        <v>12083</v>
      </c>
      <c r="B166" s="57" t="s">
        <v>1988</v>
      </c>
      <c r="C166" s="57" t="s">
        <v>12084</v>
      </c>
      <c r="D166" s="57" t="s">
        <v>12085</v>
      </c>
      <c r="E166" s="57" t="s">
        <v>12078</v>
      </c>
      <c r="F166" s="57" t="s">
        <v>11475</v>
      </c>
      <c r="G166" s="57" t="s">
        <v>10698</v>
      </c>
      <c r="H166" s="57" t="s">
        <v>1058</v>
      </c>
      <c r="I166" s="57" t="s">
        <v>240</v>
      </c>
      <c r="J166" s="57" t="s">
        <v>11476</v>
      </c>
      <c r="K166" s="57" t="s">
        <v>11477</v>
      </c>
    </row>
    <row r="167" spans="1:11" ht="60" customHeight="1">
      <c r="A167" s="57" t="s">
        <v>12086</v>
      </c>
      <c r="B167" s="57" t="s">
        <v>1988</v>
      </c>
      <c r="C167" s="57" t="s">
        <v>12087</v>
      </c>
      <c r="D167" s="57" t="s">
        <v>12088</v>
      </c>
      <c r="E167" s="57" t="s">
        <v>12089</v>
      </c>
      <c r="F167" s="57" t="s">
        <v>11475</v>
      </c>
      <c r="G167" s="57" t="s">
        <v>10698</v>
      </c>
      <c r="H167" s="57" t="s">
        <v>1058</v>
      </c>
      <c r="I167" s="57" t="s">
        <v>240</v>
      </c>
      <c r="J167" s="57" t="s">
        <v>11476</v>
      </c>
      <c r="K167" s="57" t="s">
        <v>11477</v>
      </c>
    </row>
    <row r="168" spans="1:11" ht="60" customHeight="1">
      <c r="A168" s="57" t="s">
        <v>12090</v>
      </c>
      <c r="B168" s="57" t="s">
        <v>1988</v>
      </c>
      <c r="C168" s="57" t="s">
        <v>12091</v>
      </c>
      <c r="D168" s="57" t="s">
        <v>12092</v>
      </c>
      <c r="E168" s="57" t="s">
        <v>12093</v>
      </c>
      <c r="F168" s="57" t="s">
        <v>11475</v>
      </c>
      <c r="G168" s="57" t="s">
        <v>10698</v>
      </c>
      <c r="H168" s="57" t="s">
        <v>1058</v>
      </c>
      <c r="I168" s="57" t="s">
        <v>240</v>
      </c>
      <c r="J168" s="57" t="s">
        <v>11476</v>
      </c>
      <c r="K168" s="57" t="s">
        <v>11477</v>
      </c>
    </row>
    <row r="169" spans="1:11" ht="60" customHeight="1">
      <c r="A169" s="57" t="s">
        <v>12094</v>
      </c>
      <c r="B169" s="57" t="s">
        <v>1988</v>
      </c>
      <c r="C169" s="57" t="s">
        <v>12095</v>
      </c>
      <c r="D169" s="57" t="s">
        <v>12096</v>
      </c>
      <c r="E169" s="57" t="s">
        <v>12097</v>
      </c>
      <c r="F169" s="57" t="s">
        <v>11475</v>
      </c>
      <c r="G169" s="57" t="s">
        <v>10698</v>
      </c>
      <c r="H169" s="57" t="s">
        <v>1058</v>
      </c>
      <c r="I169" s="57" t="s">
        <v>240</v>
      </c>
      <c r="J169" s="57" t="s">
        <v>11476</v>
      </c>
      <c r="K169" s="57" t="s">
        <v>11477</v>
      </c>
    </row>
    <row r="170" spans="1:11" ht="60" customHeight="1">
      <c r="A170" s="57" t="s">
        <v>12098</v>
      </c>
      <c r="B170" s="57" t="s">
        <v>1988</v>
      </c>
      <c r="C170" s="57" t="s">
        <v>11911</v>
      </c>
      <c r="D170" s="57" t="s">
        <v>11516</v>
      </c>
      <c r="E170" s="57" t="s">
        <v>11517</v>
      </c>
      <c r="F170" s="57" t="s">
        <v>11724</v>
      </c>
      <c r="G170" s="57" t="s">
        <v>10698</v>
      </c>
      <c r="H170" s="57" t="s">
        <v>1058</v>
      </c>
      <c r="I170" s="57" t="s">
        <v>240</v>
      </c>
      <c r="J170" s="57" t="s">
        <v>11476</v>
      </c>
      <c r="K170" s="57" t="s">
        <v>11477</v>
      </c>
    </row>
    <row r="171" spans="1:11" ht="60" customHeight="1">
      <c r="A171" s="57" t="s">
        <v>12099</v>
      </c>
      <c r="B171" s="57" t="s">
        <v>1995</v>
      </c>
      <c r="C171" s="57" t="s">
        <v>12100</v>
      </c>
      <c r="D171" s="57" t="s">
        <v>11554</v>
      </c>
      <c r="E171" s="57" t="s">
        <v>11823</v>
      </c>
      <c r="F171" s="57" t="s">
        <v>11871</v>
      </c>
      <c r="G171" s="57" t="s">
        <v>10702</v>
      </c>
      <c r="H171" s="57" t="s">
        <v>1058</v>
      </c>
      <c r="I171" s="57" t="s">
        <v>240</v>
      </c>
      <c r="J171" s="57" t="s">
        <v>11476</v>
      </c>
      <c r="K171" s="57" t="s">
        <v>11477</v>
      </c>
    </row>
    <row r="172" spans="1:11" ht="60" customHeight="1">
      <c r="A172" s="57" t="s">
        <v>12101</v>
      </c>
      <c r="B172" s="57" t="s">
        <v>1995</v>
      </c>
      <c r="C172" s="57" t="s">
        <v>12102</v>
      </c>
      <c r="D172" s="57" t="s">
        <v>12103</v>
      </c>
      <c r="E172" s="57" t="s">
        <v>12104</v>
      </c>
      <c r="F172" s="57" t="s">
        <v>11475</v>
      </c>
      <c r="G172" s="57" t="s">
        <v>10702</v>
      </c>
      <c r="H172" s="57" t="s">
        <v>1058</v>
      </c>
      <c r="I172" s="57" t="s">
        <v>240</v>
      </c>
      <c r="J172" s="57" t="s">
        <v>11476</v>
      </c>
      <c r="K172" s="57" t="s">
        <v>11477</v>
      </c>
    </row>
    <row r="173" spans="1:11" ht="60" customHeight="1">
      <c r="A173" s="57" t="s">
        <v>12105</v>
      </c>
      <c r="B173" s="57" t="s">
        <v>1995</v>
      </c>
      <c r="C173" s="57" t="s">
        <v>12106</v>
      </c>
      <c r="D173" s="57" t="s">
        <v>12107</v>
      </c>
      <c r="E173" s="57" t="s">
        <v>12104</v>
      </c>
      <c r="F173" s="57" t="s">
        <v>12108</v>
      </c>
      <c r="G173" s="57" t="s">
        <v>10702</v>
      </c>
      <c r="H173" s="57" t="s">
        <v>1058</v>
      </c>
      <c r="I173" s="57" t="s">
        <v>240</v>
      </c>
      <c r="J173" s="57" t="s">
        <v>11476</v>
      </c>
      <c r="K173" s="57" t="s">
        <v>11477</v>
      </c>
    </row>
    <row r="174" spans="1:11" ht="60" customHeight="1">
      <c r="A174" s="57" t="s">
        <v>12109</v>
      </c>
      <c r="B174" s="57" t="s">
        <v>1995</v>
      </c>
      <c r="C174" s="57" t="s">
        <v>12110</v>
      </c>
      <c r="D174" s="57" t="s">
        <v>12111</v>
      </c>
      <c r="E174" s="57" t="s">
        <v>12104</v>
      </c>
      <c r="F174" s="57" t="s">
        <v>11475</v>
      </c>
      <c r="G174" s="57" t="s">
        <v>10702</v>
      </c>
      <c r="H174" s="57" t="s">
        <v>1058</v>
      </c>
      <c r="I174" s="57" t="s">
        <v>240</v>
      </c>
      <c r="J174" s="57" t="s">
        <v>11476</v>
      </c>
      <c r="K174" s="57" t="s">
        <v>11477</v>
      </c>
    </row>
    <row r="175" spans="1:11" ht="60" customHeight="1">
      <c r="A175" s="57" t="s">
        <v>12112</v>
      </c>
      <c r="B175" s="57" t="s">
        <v>1995</v>
      </c>
      <c r="C175" s="57" t="s">
        <v>12113</v>
      </c>
      <c r="D175" s="57" t="s">
        <v>11537</v>
      </c>
      <c r="E175" s="57" t="s">
        <v>12104</v>
      </c>
      <c r="F175" s="57" t="s">
        <v>12114</v>
      </c>
      <c r="G175" s="57" t="s">
        <v>10702</v>
      </c>
      <c r="H175" s="57" t="s">
        <v>1058</v>
      </c>
      <c r="I175" s="57" t="s">
        <v>240</v>
      </c>
      <c r="J175" s="57" t="s">
        <v>11476</v>
      </c>
      <c r="K175" s="57" t="s">
        <v>11477</v>
      </c>
    </row>
    <row r="176" spans="1:11" ht="60" customHeight="1">
      <c r="A176" s="57" t="s">
        <v>12115</v>
      </c>
      <c r="B176" s="57" t="s">
        <v>1995</v>
      </c>
      <c r="C176" s="57" t="s">
        <v>12116</v>
      </c>
      <c r="D176" s="57" t="s">
        <v>11554</v>
      </c>
      <c r="E176" s="57" t="s">
        <v>11892</v>
      </c>
      <c r="F176" s="57" t="s">
        <v>12117</v>
      </c>
      <c r="G176" s="57" t="s">
        <v>10702</v>
      </c>
      <c r="H176" s="57" t="s">
        <v>1058</v>
      </c>
      <c r="I176" s="57" t="s">
        <v>240</v>
      </c>
      <c r="J176" s="57" t="s">
        <v>11476</v>
      </c>
      <c r="K176" s="57" t="s">
        <v>11477</v>
      </c>
    </row>
    <row r="177" spans="1:11" ht="60" customHeight="1">
      <c r="A177" s="57" t="s">
        <v>12118</v>
      </c>
      <c r="B177" s="57" t="s">
        <v>1995</v>
      </c>
      <c r="C177" s="57" t="s">
        <v>11014</v>
      </c>
      <c r="D177" s="57" t="s">
        <v>11516</v>
      </c>
      <c r="E177" s="57" t="s">
        <v>11896</v>
      </c>
      <c r="F177" s="57" t="s">
        <v>12119</v>
      </c>
      <c r="G177" s="57" t="s">
        <v>10702</v>
      </c>
      <c r="H177" s="57" t="s">
        <v>1058</v>
      </c>
      <c r="I177" s="57" t="s">
        <v>240</v>
      </c>
      <c r="J177" s="57" t="s">
        <v>11476</v>
      </c>
      <c r="K177" s="57" t="s">
        <v>11477</v>
      </c>
    </row>
    <row r="178" spans="1:11" ht="60" customHeight="1">
      <c r="A178" s="57" t="s">
        <v>12120</v>
      </c>
      <c r="B178" s="57" t="s">
        <v>1995</v>
      </c>
      <c r="C178" s="57" t="s">
        <v>12121</v>
      </c>
      <c r="D178" s="57" t="s">
        <v>11516</v>
      </c>
      <c r="E178" s="57" t="s">
        <v>12122</v>
      </c>
      <c r="F178" s="57" t="s">
        <v>12123</v>
      </c>
      <c r="G178" s="57" t="s">
        <v>10702</v>
      </c>
      <c r="H178" s="57" t="s">
        <v>1058</v>
      </c>
      <c r="I178" s="57" t="s">
        <v>240</v>
      </c>
      <c r="J178" s="57" t="s">
        <v>11476</v>
      </c>
      <c r="K178" s="57" t="s">
        <v>11477</v>
      </c>
    </row>
    <row r="179" spans="1:11" ht="60" customHeight="1">
      <c r="A179" s="57" t="s">
        <v>12124</v>
      </c>
      <c r="B179" s="57" t="s">
        <v>1995</v>
      </c>
      <c r="C179" s="57" t="s">
        <v>11911</v>
      </c>
      <c r="D179" s="57" t="s">
        <v>11516</v>
      </c>
      <c r="E179" s="57" t="s">
        <v>11517</v>
      </c>
      <c r="F179" s="57" t="s">
        <v>12119</v>
      </c>
      <c r="G179" s="57" t="s">
        <v>10702</v>
      </c>
      <c r="H179" s="57" t="s">
        <v>1058</v>
      </c>
      <c r="I179" s="57" t="s">
        <v>240</v>
      </c>
      <c r="J179" s="57" t="s">
        <v>11476</v>
      </c>
      <c r="K179" s="57" t="s">
        <v>11477</v>
      </c>
    </row>
    <row r="180" spans="1:11" ht="60" customHeight="1">
      <c r="A180" s="57" t="s">
        <v>12125</v>
      </c>
      <c r="B180" s="57" t="s">
        <v>5994</v>
      </c>
      <c r="C180" s="57" t="s">
        <v>12126</v>
      </c>
      <c r="D180" s="57" t="s">
        <v>12127</v>
      </c>
      <c r="E180" s="57" t="s">
        <v>11696</v>
      </c>
      <c r="F180" s="57" t="s">
        <v>12128</v>
      </c>
      <c r="G180" s="57" t="s">
        <v>10706</v>
      </c>
      <c r="H180" s="57" t="s">
        <v>1058</v>
      </c>
      <c r="I180" s="57" t="s">
        <v>240</v>
      </c>
      <c r="J180" s="57" t="s">
        <v>11476</v>
      </c>
      <c r="K180" s="57" t="s">
        <v>11477</v>
      </c>
    </row>
    <row r="181" spans="1:11" ht="60" customHeight="1">
      <c r="A181" s="57" t="s">
        <v>12129</v>
      </c>
      <c r="B181" s="57" t="s">
        <v>5994</v>
      </c>
      <c r="C181" s="57" t="s">
        <v>12130</v>
      </c>
      <c r="D181" s="57" t="s">
        <v>12062</v>
      </c>
      <c r="E181" s="57" t="s">
        <v>11696</v>
      </c>
      <c r="F181" s="57" t="s">
        <v>11475</v>
      </c>
      <c r="G181" s="57" t="s">
        <v>10706</v>
      </c>
      <c r="H181" s="57" t="s">
        <v>1058</v>
      </c>
      <c r="I181" s="57" t="s">
        <v>240</v>
      </c>
      <c r="J181" s="57" t="s">
        <v>11476</v>
      </c>
      <c r="K181" s="57" t="s">
        <v>11477</v>
      </c>
    </row>
    <row r="182" spans="1:11" ht="60" customHeight="1">
      <c r="A182" s="57" t="s">
        <v>12131</v>
      </c>
      <c r="B182" s="57" t="s">
        <v>5994</v>
      </c>
      <c r="C182" s="57" t="s">
        <v>12132</v>
      </c>
      <c r="D182" s="57" t="s">
        <v>12133</v>
      </c>
      <c r="E182" s="57" t="s">
        <v>11696</v>
      </c>
      <c r="F182" s="57" t="s">
        <v>11475</v>
      </c>
      <c r="G182" s="57" t="s">
        <v>10706</v>
      </c>
      <c r="H182" s="57" t="s">
        <v>1058</v>
      </c>
      <c r="I182" s="57" t="s">
        <v>240</v>
      </c>
      <c r="J182" s="57" t="s">
        <v>11476</v>
      </c>
      <c r="K182" s="57" t="s">
        <v>11477</v>
      </c>
    </row>
    <row r="183" spans="1:11" ht="60" customHeight="1">
      <c r="A183" s="57" t="s">
        <v>12134</v>
      </c>
      <c r="B183" s="57" t="s">
        <v>5994</v>
      </c>
      <c r="C183" s="57" t="s">
        <v>12135</v>
      </c>
      <c r="D183" s="57" t="s">
        <v>11755</v>
      </c>
      <c r="E183" s="57" t="s">
        <v>11928</v>
      </c>
      <c r="F183" s="57" t="s">
        <v>11475</v>
      </c>
      <c r="G183" s="57" t="s">
        <v>10706</v>
      </c>
      <c r="H183" s="57" t="s">
        <v>1058</v>
      </c>
      <c r="I183" s="57" t="s">
        <v>240</v>
      </c>
      <c r="J183" s="57" t="s">
        <v>11476</v>
      </c>
      <c r="K183" s="57" t="s">
        <v>11477</v>
      </c>
    </row>
    <row r="184" spans="1:11" ht="60" customHeight="1">
      <c r="A184" s="57" t="s">
        <v>12136</v>
      </c>
      <c r="B184" s="57" t="s">
        <v>5994</v>
      </c>
      <c r="C184" s="57" t="s">
        <v>12137</v>
      </c>
      <c r="D184" s="57" t="s">
        <v>12138</v>
      </c>
      <c r="E184" s="57" t="s">
        <v>11696</v>
      </c>
      <c r="F184" s="57" t="s">
        <v>12139</v>
      </c>
      <c r="G184" s="57" t="s">
        <v>10706</v>
      </c>
      <c r="H184" s="57" t="s">
        <v>1058</v>
      </c>
      <c r="I184" s="57" t="s">
        <v>240</v>
      </c>
      <c r="J184" s="57" t="s">
        <v>11476</v>
      </c>
      <c r="K184" s="57" t="s">
        <v>11477</v>
      </c>
    </row>
    <row r="185" spans="1:11" ht="60" customHeight="1">
      <c r="A185" s="57" t="s">
        <v>12140</v>
      </c>
      <c r="B185" s="57" t="s">
        <v>5994</v>
      </c>
      <c r="C185" s="57" t="s">
        <v>12141</v>
      </c>
      <c r="D185" s="57" t="s">
        <v>12142</v>
      </c>
      <c r="E185" s="57" t="s">
        <v>12143</v>
      </c>
      <c r="F185" s="57" t="s">
        <v>12144</v>
      </c>
      <c r="G185" s="57" t="s">
        <v>10706</v>
      </c>
      <c r="H185" s="57" t="s">
        <v>1058</v>
      </c>
      <c r="I185" s="57" t="s">
        <v>240</v>
      </c>
      <c r="J185" s="57" t="s">
        <v>11476</v>
      </c>
      <c r="K185" s="57" t="s">
        <v>11477</v>
      </c>
    </row>
    <row r="186" spans="1:11" ht="60" customHeight="1">
      <c r="A186" s="57" t="s">
        <v>12145</v>
      </c>
      <c r="B186" s="57" t="s">
        <v>5994</v>
      </c>
      <c r="C186" s="57" t="s">
        <v>12146</v>
      </c>
      <c r="D186" s="57" t="s">
        <v>11516</v>
      </c>
      <c r="E186" s="57" t="s">
        <v>11494</v>
      </c>
      <c r="F186" s="57" t="s">
        <v>12147</v>
      </c>
      <c r="G186" s="57" t="s">
        <v>10706</v>
      </c>
      <c r="H186" s="57" t="s">
        <v>1058</v>
      </c>
      <c r="I186" s="57" t="s">
        <v>240</v>
      </c>
      <c r="J186" s="57" t="s">
        <v>11476</v>
      </c>
      <c r="K186" s="57" t="s">
        <v>11477</v>
      </c>
    </row>
    <row r="187" spans="1:11" ht="60" customHeight="1">
      <c r="A187" s="57" t="s">
        <v>12148</v>
      </c>
      <c r="B187" s="57" t="s">
        <v>5994</v>
      </c>
      <c r="C187" s="57" t="s">
        <v>11911</v>
      </c>
      <c r="D187" s="57" t="s">
        <v>11516</v>
      </c>
      <c r="E187" s="57" t="s">
        <v>11517</v>
      </c>
      <c r="F187" s="57" t="s">
        <v>12119</v>
      </c>
      <c r="G187" s="57" t="s">
        <v>10706</v>
      </c>
      <c r="H187" s="57" t="s">
        <v>1058</v>
      </c>
      <c r="I187" s="57" t="s">
        <v>240</v>
      </c>
      <c r="J187" s="57" t="s">
        <v>11476</v>
      </c>
      <c r="K187" s="57" t="s">
        <v>11477</v>
      </c>
    </row>
    <row r="188" spans="1:11" ht="60" customHeight="1">
      <c r="A188" s="57" t="s">
        <v>12149</v>
      </c>
      <c r="B188" s="57" t="s">
        <v>10709</v>
      </c>
      <c r="C188" s="57" t="s">
        <v>12150</v>
      </c>
      <c r="D188" s="57" t="s">
        <v>11650</v>
      </c>
      <c r="E188" s="57" t="s">
        <v>11651</v>
      </c>
      <c r="F188" s="57" t="s">
        <v>11651</v>
      </c>
      <c r="G188" s="57" t="s">
        <v>10712</v>
      </c>
      <c r="H188" s="57" t="s">
        <v>10623</v>
      </c>
      <c r="I188" s="57" t="s">
        <v>10431</v>
      </c>
      <c r="J188" s="57" t="s">
        <v>11652</v>
      </c>
      <c r="K188" s="57" t="s">
        <v>11653</v>
      </c>
    </row>
    <row r="189" spans="1:11" ht="60" customHeight="1">
      <c r="A189" s="57" t="s">
        <v>12151</v>
      </c>
      <c r="B189" s="57" t="s">
        <v>10715</v>
      </c>
      <c r="C189" s="57" t="s">
        <v>12152</v>
      </c>
      <c r="D189" s="57" t="s">
        <v>11554</v>
      </c>
      <c r="E189" s="57" t="s">
        <v>11517</v>
      </c>
      <c r="F189" s="57" t="s">
        <v>12153</v>
      </c>
      <c r="G189" s="57" t="s">
        <v>10718</v>
      </c>
      <c r="H189" s="57" t="s">
        <v>10623</v>
      </c>
      <c r="I189" s="57" t="s">
        <v>10431</v>
      </c>
      <c r="J189" s="57" t="s">
        <v>11476</v>
      </c>
      <c r="K189" s="57" t="s">
        <v>11477</v>
      </c>
    </row>
    <row r="190" spans="1:11" ht="60" customHeight="1">
      <c r="A190" s="57" t="s">
        <v>12154</v>
      </c>
      <c r="B190" s="57" t="s">
        <v>10715</v>
      </c>
      <c r="C190" s="57" t="s">
        <v>12155</v>
      </c>
      <c r="D190" s="57" t="s">
        <v>12156</v>
      </c>
      <c r="E190" s="57" t="s">
        <v>12157</v>
      </c>
      <c r="F190" s="57" t="s">
        <v>11475</v>
      </c>
      <c r="G190" s="57" t="s">
        <v>10718</v>
      </c>
      <c r="H190" s="57" t="s">
        <v>10623</v>
      </c>
      <c r="I190" s="57" t="s">
        <v>10431</v>
      </c>
      <c r="J190" s="57" t="s">
        <v>11476</v>
      </c>
      <c r="K190" s="57" t="s">
        <v>11477</v>
      </c>
    </row>
    <row r="191" spans="1:11" ht="60" customHeight="1">
      <c r="A191" s="57" t="s">
        <v>12158</v>
      </c>
      <c r="B191" s="57" t="s">
        <v>10715</v>
      </c>
      <c r="C191" s="57" t="s">
        <v>12159</v>
      </c>
      <c r="D191" s="57" t="s">
        <v>12160</v>
      </c>
      <c r="E191" s="57" t="s">
        <v>12157</v>
      </c>
      <c r="F191" s="57" t="s">
        <v>11475</v>
      </c>
      <c r="G191" s="57" t="s">
        <v>10718</v>
      </c>
      <c r="H191" s="57" t="s">
        <v>10623</v>
      </c>
      <c r="I191" s="57" t="s">
        <v>10431</v>
      </c>
      <c r="J191" s="57" t="s">
        <v>11476</v>
      </c>
      <c r="K191" s="57" t="s">
        <v>11477</v>
      </c>
    </row>
    <row r="192" spans="1:11" ht="60" customHeight="1">
      <c r="A192" s="57" t="s">
        <v>12161</v>
      </c>
      <c r="B192" s="57" t="s">
        <v>10715</v>
      </c>
      <c r="C192" s="57" t="s">
        <v>12162</v>
      </c>
      <c r="D192" s="57" t="s">
        <v>12163</v>
      </c>
      <c r="E192" s="57" t="s">
        <v>12157</v>
      </c>
      <c r="F192" s="57" t="s">
        <v>11475</v>
      </c>
      <c r="G192" s="57" t="s">
        <v>10718</v>
      </c>
      <c r="H192" s="57" t="s">
        <v>10623</v>
      </c>
      <c r="I192" s="57" t="s">
        <v>10431</v>
      </c>
      <c r="J192" s="57" t="s">
        <v>11476</v>
      </c>
      <c r="K192" s="57" t="s">
        <v>11477</v>
      </c>
    </row>
    <row r="193" spans="1:11" ht="60" customHeight="1">
      <c r="A193" s="57" t="s">
        <v>12164</v>
      </c>
      <c r="B193" s="57" t="s">
        <v>10715</v>
      </c>
      <c r="C193" s="57" t="s">
        <v>11169</v>
      </c>
      <c r="D193" s="57" t="s">
        <v>12165</v>
      </c>
      <c r="E193" s="57" t="s">
        <v>12157</v>
      </c>
      <c r="F193" s="57" t="s">
        <v>11475</v>
      </c>
      <c r="G193" s="57" t="s">
        <v>10718</v>
      </c>
      <c r="H193" s="57" t="s">
        <v>10623</v>
      </c>
      <c r="I193" s="57" t="s">
        <v>10431</v>
      </c>
      <c r="J193" s="57" t="s">
        <v>11476</v>
      </c>
      <c r="K193" s="57" t="s">
        <v>11477</v>
      </c>
    </row>
    <row r="194" spans="1:11" ht="60" customHeight="1">
      <c r="A194" s="57" t="s">
        <v>12166</v>
      </c>
      <c r="B194" s="57" t="s">
        <v>10715</v>
      </c>
      <c r="C194" s="57" t="s">
        <v>12167</v>
      </c>
      <c r="D194" s="57" t="s">
        <v>12168</v>
      </c>
      <c r="E194" s="57" t="s">
        <v>12157</v>
      </c>
      <c r="F194" s="57" t="s">
        <v>11475</v>
      </c>
      <c r="G194" s="57" t="s">
        <v>10718</v>
      </c>
      <c r="H194" s="57" t="s">
        <v>10623</v>
      </c>
      <c r="I194" s="57" t="s">
        <v>10431</v>
      </c>
      <c r="J194" s="57" t="s">
        <v>11476</v>
      </c>
      <c r="K194" s="57" t="s">
        <v>11477</v>
      </c>
    </row>
    <row r="195" spans="1:11" ht="60" customHeight="1">
      <c r="A195" s="57" t="s">
        <v>12169</v>
      </c>
      <c r="B195" s="57" t="s">
        <v>10715</v>
      </c>
      <c r="C195" s="57" t="s">
        <v>12170</v>
      </c>
      <c r="D195" s="57" t="s">
        <v>11554</v>
      </c>
      <c r="E195" s="57" t="s">
        <v>12171</v>
      </c>
      <c r="F195" s="57" t="s">
        <v>12172</v>
      </c>
      <c r="G195" s="57" t="s">
        <v>10718</v>
      </c>
      <c r="H195" s="57" t="s">
        <v>10623</v>
      </c>
      <c r="I195" s="57" t="s">
        <v>10431</v>
      </c>
      <c r="J195" s="57" t="s">
        <v>11476</v>
      </c>
      <c r="K195" s="57" t="s">
        <v>11477</v>
      </c>
    </row>
    <row r="196" spans="1:11" ht="60" customHeight="1">
      <c r="A196" s="57" t="s">
        <v>12173</v>
      </c>
      <c r="B196" s="57" t="s">
        <v>10715</v>
      </c>
      <c r="C196" s="57" t="s">
        <v>12174</v>
      </c>
      <c r="D196" s="57" t="s">
        <v>11516</v>
      </c>
      <c r="E196" s="57" t="s">
        <v>12175</v>
      </c>
      <c r="F196" s="57" t="s">
        <v>12176</v>
      </c>
      <c r="G196" s="57" t="s">
        <v>10718</v>
      </c>
      <c r="H196" s="57" t="s">
        <v>10623</v>
      </c>
      <c r="I196" s="57" t="s">
        <v>10431</v>
      </c>
      <c r="J196" s="57" t="s">
        <v>11476</v>
      </c>
      <c r="K196" s="57" t="s">
        <v>11477</v>
      </c>
    </row>
    <row r="197" spans="1:11" ht="60" customHeight="1">
      <c r="A197" s="57" t="s">
        <v>12177</v>
      </c>
      <c r="B197" s="57" t="s">
        <v>10715</v>
      </c>
      <c r="C197" s="57" t="s">
        <v>12178</v>
      </c>
      <c r="D197" s="57" t="s">
        <v>11516</v>
      </c>
      <c r="E197" s="57" t="s">
        <v>12179</v>
      </c>
      <c r="F197" s="57" t="s">
        <v>12180</v>
      </c>
      <c r="G197" s="57" t="s">
        <v>10718</v>
      </c>
      <c r="H197" s="57" t="s">
        <v>10623</v>
      </c>
      <c r="I197" s="57" t="s">
        <v>10431</v>
      </c>
      <c r="J197" s="57" t="s">
        <v>11476</v>
      </c>
      <c r="K197" s="57" t="s">
        <v>11477</v>
      </c>
    </row>
    <row r="198" spans="1:11" ht="60" customHeight="1">
      <c r="A198" s="57" t="s">
        <v>12181</v>
      </c>
      <c r="B198" s="57" t="s">
        <v>10721</v>
      </c>
      <c r="C198" s="57" t="s">
        <v>12182</v>
      </c>
      <c r="D198" s="57" t="s">
        <v>11650</v>
      </c>
      <c r="E198" s="57" t="s">
        <v>11651</v>
      </c>
      <c r="F198" s="57" t="s">
        <v>11651</v>
      </c>
      <c r="G198" s="57" t="s">
        <v>10723</v>
      </c>
      <c r="H198" s="57" t="s">
        <v>1058</v>
      </c>
      <c r="I198" s="57" t="s">
        <v>240</v>
      </c>
      <c r="J198" s="57" t="s">
        <v>11652</v>
      </c>
      <c r="K198" s="57" t="s">
        <v>11653</v>
      </c>
    </row>
    <row r="199" spans="1:11" ht="60" customHeight="1">
      <c r="A199" s="57" t="s">
        <v>12183</v>
      </c>
      <c r="B199" s="57" t="s">
        <v>10726</v>
      </c>
      <c r="C199" s="57" t="s">
        <v>12184</v>
      </c>
      <c r="D199" s="57" t="s">
        <v>11650</v>
      </c>
      <c r="E199" s="57" t="s">
        <v>11651</v>
      </c>
      <c r="F199" s="57" t="s">
        <v>11651</v>
      </c>
      <c r="G199" s="57" t="s">
        <v>10728</v>
      </c>
      <c r="H199" s="57" t="s">
        <v>1058</v>
      </c>
      <c r="I199" s="57" t="s">
        <v>240</v>
      </c>
      <c r="J199" s="57" t="s">
        <v>11652</v>
      </c>
      <c r="K199" s="57" t="s">
        <v>11653</v>
      </c>
    </row>
    <row r="200" spans="1:11" ht="60" customHeight="1">
      <c r="A200" s="57" t="s">
        <v>12185</v>
      </c>
      <c r="B200" s="57" t="s">
        <v>5955</v>
      </c>
      <c r="C200" s="57" t="s">
        <v>12186</v>
      </c>
      <c r="D200" s="57" t="s">
        <v>11554</v>
      </c>
      <c r="E200" s="57" t="s">
        <v>11823</v>
      </c>
      <c r="F200" s="57" t="s">
        <v>12187</v>
      </c>
      <c r="G200" s="57" t="s">
        <v>10732</v>
      </c>
      <c r="H200" s="57" t="s">
        <v>1058</v>
      </c>
      <c r="I200" s="57" t="s">
        <v>240</v>
      </c>
      <c r="J200" s="57" t="s">
        <v>11476</v>
      </c>
      <c r="K200" s="57" t="s">
        <v>11477</v>
      </c>
    </row>
    <row r="201" spans="1:11" ht="60" customHeight="1">
      <c r="A201" s="57" t="s">
        <v>12188</v>
      </c>
      <c r="B201" s="57" t="s">
        <v>5955</v>
      </c>
      <c r="C201" s="57" t="s">
        <v>12189</v>
      </c>
      <c r="D201" s="57" t="s">
        <v>12190</v>
      </c>
      <c r="E201" s="57" t="s">
        <v>12191</v>
      </c>
      <c r="F201" s="57" t="s">
        <v>11475</v>
      </c>
      <c r="G201" s="57" t="s">
        <v>10732</v>
      </c>
      <c r="H201" s="57" t="s">
        <v>1058</v>
      </c>
      <c r="I201" s="57" t="s">
        <v>240</v>
      </c>
      <c r="J201" s="57" t="s">
        <v>11476</v>
      </c>
      <c r="K201" s="57" t="s">
        <v>11477</v>
      </c>
    </row>
    <row r="202" spans="1:11" ht="60" customHeight="1">
      <c r="A202" s="57" t="s">
        <v>12192</v>
      </c>
      <c r="B202" s="57" t="s">
        <v>5955</v>
      </c>
      <c r="C202" s="57" t="s">
        <v>12193</v>
      </c>
      <c r="D202" s="57" t="s">
        <v>12194</v>
      </c>
      <c r="E202" s="57" t="s">
        <v>12191</v>
      </c>
      <c r="F202" s="57" t="s">
        <v>11475</v>
      </c>
      <c r="G202" s="57" t="s">
        <v>10732</v>
      </c>
      <c r="H202" s="57" t="s">
        <v>1058</v>
      </c>
      <c r="I202" s="57" t="s">
        <v>240</v>
      </c>
      <c r="J202" s="57" t="s">
        <v>11476</v>
      </c>
      <c r="K202" s="57" t="s">
        <v>11477</v>
      </c>
    </row>
    <row r="203" spans="1:11" ht="60" customHeight="1">
      <c r="A203" s="57" t="s">
        <v>12195</v>
      </c>
      <c r="B203" s="57" t="s">
        <v>5955</v>
      </c>
      <c r="C203" s="57" t="s">
        <v>12196</v>
      </c>
      <c r="D203" s="57" t="s">
        <v>12197</v>
      </c>
      <c r="E203" s="57" t="s">
        <v>12191</v>
      </c>
      <c r="F203" s="57" t="s">
        <v>12198</v>
      </c>
      <c r="G203" s="57" t="s">
        <v>10732</v>
      </c>
      <c r="H203" s="57" t="s">
        <v>1058</v>
      </c>
      <c r="I203" s="57" t="s">
        <v>240</v>
      </c>
      <c r="J203" s="57" t="s">
        <v>11476</v>
      </c>
      <c r="K203" s="57" t="s">
        <v>11477</v>
      </c>
    </row>
    <row r="204" spans="1:11" ht="60" customHeight="1">
      <c r="A204" s="57" t="s">
        <v>12199</v>
      </c>
      <c r="B204" s="57" t="s">
        <v>5955</v>
      </c>
      <c r="C204" s="57" t="s">
        <v>12200</v>
      </c>
      <c r="D204" s="57" t="s">
        <v>12201</v>
      </c>
      <c r="E204" s="57" t="s">
        <v>12191</v>
      </c>
      <c r="F204" s="57" t="s">
        <v>12202</v>
      </c>
      <c r="G204" s="57" t="s">
        <v>10732</v>
      </c>
      <c r="H204" s="57" t="s">
        <v>1058</v>
      </c>
      <c r="I204" s="57" t="s">
        <v>240</v>
      </c>
      <c r="J204" s="57" t="s">
        <v>11476</v>
      </c>
      <c r="K204" s="57" t="s">
        <v>11477</v>
      </c>
    </row>
    <row r="205" spans="1:11" ht="60" customHeight="1">
      <c r="A205" s="57" t="s">
        <v>12203</v>
      </c>
      <c r="B205" s="57" t="s">
        <v>5955</v>
      </c>
      <c r="C205" s="57" t="s">
        <v>12204</v>
      </c>
      <c r="D205" s="57" t="s">
        <v>12205</v>
      </c>
      <c r="E205" s="57" t="s">
        <v>12191</v>
      </c>
      <c r="F205" s="57" t="s">
        <v>11475</v>
      </c>
      <c r="G205" s="57" t="s">
        <v>10732</v>
      </c>
      <c r="H205" s="57" t="s">
        <v>1058</v>
      </c>
      <c r="I205" s="57" t="s">
        <v>240</v>
      </c>
      <c r="J205" s="57" t="s">
        <v>11476</v>
      </c>
      <c r="K205" s="57" t="s">
        <v>11477</v>
      </c>
    </row>
    <row r="206" spans="1:11" ht="60" customHeight="1">
      <c r="A206" s="57" t="s">
        <v>12206</v>
      </c>
      <c r="B206" s="57" t="s">
        <v>5955</v>
      </c>
      <c r="C206" s="57" t="s">
        <v>12207</v>
      </c>
      <c r="D206" s="57" t="s">
        <v>12208</v>
      </c>
      <c r="E206" s="57" t="s">
        <v>12191</v>
      </c>
      <c r="F206" s="57" t="s">
        <v>11475</v>
      </c>
      <c r="G206" s="57" t="s">
        <v>10732</v>
      </c>
      <c r="H206" s="57" t="s">
        <v>1058</v>
      </c>
      <c r="I206" s="57" t="s">
        <v>240</v>
      </c>
      <c r="J206" s="57" t="s">
        <v>11476</v>
      </c>
      <c r="K206" s="57" t="s">
        <v>11477</v>
      </c>
    </row>
    <row r="207" spans="1:11" ht="60" customHeight="1">
      <c r="A207" s="57" t="s">
        <v>12209</v>
      </c>
      <c r="B207" s="57" t="s">
        <v>5955</v>
      </c>
      <c r="C207" s="57" t="s">
        <v>12210</v>
      </c>
      <c r="D207" s="57" t="s">
        <v>12062</v>
      </c>
      <c r="E207" s="57" t="s">
        <v>12191</v>
      </c>
      <c r="F207" s="57" t="s">
        <v>11475</v>
      </c>
      <c r="G207" s="57" t="s">
        <v>10732</v>
      </c>
      <c r="H207" s="57" t="s">
        <v>1058</v>
      </c>
      <c r="I207" s="57" t="s">
        <v>240</v>
      </c>
      <c r="J207" s="57" t="s">
        <v>11476</v>
      </c>
      <c r="K207" s="57" t="s">
        <v>11477</v>
      </c>
    </row>
    <row r="208" spans="1:11" ht="60" customHeight="1">
      <c r="A208" s="57" t="s">
        <v>12211</v>
      </c>
      <c r="B208" s="57" t="s">
        <v>5955</v>
      </c>
      <c r="C208" s="57" t="s">
        <v>12212</v>
      </c>
      <c r="D208" s="57" t="s">
        <v>12213</v>
      </c>
      <c r="E208" s="57" t="s">
        <v>12191</v>
      </c>
      <c r="F208" s="57" t="s">
        <v>11475</v>
      </c>
      <c r="G208" s="57" t="s">
        <v>10732</v>
      </c>
      <c r="H208" s="57" t="s">
        <v>1058</v>
      </c>
      <c r="I208" s="57" t="s">
        <v>240</v>
      </c>
      <c r="J208" s="57" t="s">
        <v>11476</v>
      </c>
      <c r="K208" s="57" t="s">
        <v>11477</v>
      </c>
    </row>
    <row r="209" spans="1:11" ht="60" customHeight="1">
      <c r="A209" s="57" t="s">
        <v>12214</v>
      </c>
      <c r="B209" s="57" t="s">
        <v>5955</v>
      </c>
      <c r="C209" s="57" t="s">
        <v>12215</v>
      </c>
      <c r="D209" s="57" t="s">
        <v>12216</v>
      </c>
      <c r="E209" s="57" t="s">
        <v>12217</v>
      </c>
      <c r="F209" s="57" t="s">
        <v>11475</v>
      </c>
      <c r="G209" s="57" t="s">
        <v>10732</v>
      </c>
      <c r="H209" s="57" t="s">
        <v>1058</v>
      </c>
      <c r="I209" s="57" t="s">
        <v>240</v>
      </c>
      <c r="J209" s="57" t="s">
        <v>11476</v>
      </c>
      <c r="K209" s="57" t="s">
        <v>11477</v>
      </c>
    </row>
    <row r="210" spans="1:11" ht="60" customHeight="1">
      <c r="A210" s="57" t="s">
        <v>12218</v>
      </c>
      <c r="B210" s="57" t="s">
        <v>5955</v>
      </c>
      <c r="C210" s="57" t="s">
        <v>12219</v>
      </c>
      <c r="D210" s="57" t="s">
        <v>11516</v>
      </c>
      <c r="E210" s="57" t="s">
        <v>12220</v>
      </c>
      <c r="F210" s="57" t="s">
        <v>12221</v>
      </c>
      <c r="G210" s="57" t="s">
        <v>10732</v>
      </c>
      <c r="H210" s="57" t="s">
        <v>1058</v>
      </c>
      <c r="I210" s="57" t="s">
        <v>240</v>
      </c>
      <c r="J210" s="57" t="s">
        <v>11476</v>
      </c>
      <c r="K210" s="57" t="s">
        <v>11477</v>
      </c>
    </row>
    <row r="211" spans="1:11" ht="60" customHeight="1">
      <c r="A211" s="57" t="s">
        <v>12222</v>
      </c>
      <c r="B211" s="57" t="s">
        <v>5955</v>
      </c>
      <c r="C211" s="57" t="s">
        <v>12223</v>
      </c>
      <c r="D211" s="57" t="s">
        <v>11554</v>
      </c>
      <c r="E211" s="57" t="s">
        <v>12220</v>
      </c>
      <c r="F211" s="57" t="s">
        <v>12172</v>
      </c>
      <c r="G211" s="57" t="s">
        <v>10732</v>
      </c>
      <c r="H211" s="57" t="s">
        <v>1058</v>
      </c>
      <c r="I211" s="57" t="s">
        <v>240</v>
      </c>
      <c r="J211" s="57" t="s">
        <v>11476</v>
      </c>
      <c r="K211" s="57" t="s">
        <v>11477</v>
      </c>
    </row>
    <row r="212" spans="1:11" ht="60" customHeight="1">
      <c r="A212" s="57" t="s">
        <v>12224</v>
      </c>
      <c r="B212" s="57" t="s">
        <v>5955</v>
      </c>
      <c r="C212" s="57" t="s">
        <v>12225</v>
      </c>
      <c r="D212" s="57" t="s">
        <v>11516</v>
      </c>
      <c r="E212" s="57" t="s">
        <v>12226</v>
      </c>
      <c r="F212" s="57" t="s">
        <v>12227</v>
      </c>
      <c r="G212" s="57" t="s">
        <v>10732</v>
      </c>
      <c r="H212" s="57" t="s">
        <v>1058</v>
      </c>
      <c r="I212" s="57" t="s">
        <v>240</v>
      </c>
      <c r="J212" s="57" t="s">
        <v>11476</v>
      </c>
      <c r="K212" s="57" t="s">
        <v>11477</v>
      </c>
    </row>
    <row r="213" spans="1:11" ht="60" customHeight="1">
      <c r="A213" s="57" t="s">
        <v>12228</v>
      </c>
      <c r="B213" s="57" t="s">
        <v>5955</v>
      </c>
      <c r="C213" s="57" t="s">
        <v>12229</v>
      </c>
      <c r="D213" s="57" t="s">
        <v>11986</v>
      </c>
      <c r="E213" s="57" t="s">
        <v>12230</v>
      </c>
      <c r="F213" s="57" t="s">
        <v>12231</v>
      </c>
      <c r="G213" s="57" t="s">
        <v>10732</v>
      </c>
      <c r="H213" s="57" t="s">
        <v>1058</v>
      </c>
      <c r="I213" s="57" t="s">
        <v>240</v>
      </c>
      <c r="J213" s="57" t="s">
        <v>11476</v>
      </c>
      <c r="K213" s="57" t="s">
        <v>11477</v>
      </c>
    </row>
    <row r="214" spans="1:11" ht="60" customHeight="1">
      <c r="A214" s="57" t="s">
        <v>12232</v>
      </c>
      <c r="B214" s="57" t="s">
        <v>4763</v>
      </c>
      <c r="C214" s="57" t="s">
        <v>12233</v>
      </c>
      <c r="D214" s="57" t="s">
        <v>11650</v>
      </c>
      <c r="E214" s="57" t="s">
        <v>11651</v>
      </c>
      <c r="F214" s="57" t="s">
        <v>11651</v>
      </c>
      <c r="G214" s="57" t="s">
        <v>10736</v>
      </c>
      <c r="H214" s="57" t="s">
        <v>10623</v>
      </c>
      <c r="I214" s="57" t="s">
        <v>10431</v>
      </c>
      <c r="J214" s="57" t="s">
        <v>11652</v>
      </c>
      <c r="K214" s="57" t="s">
        <v>11653</v>
      </c>
    </row>
    <row r="215" spans="1:11" ht="60" customHeight="1">
      <c r="A215" s="57" t="s">
        <v>12234</v>
      </c>
      <c r="B215" s="57" t="s">
        <v>4764</v>
      </c>
      <c r="C215" s="57" t="s">
        <v>12235</v>
      </c>
      <c r="D215" s="57" t="s">
        <v>11650</v>
      </c>
      <c r="E215" s="57" t="s">
        <v>11651</v>
      </c>
      <c r="F215" s="57" t="s">
        <v>11651</v>
      </c>
      <c r="G215" s="57" t="s">
        <v>10741</v>
      </c>
      <c r="H215" s="57" t="s">
        <v>10623</v>
      </c>
      <c r="I215" s="57" t="s">
        <v>10431</v>
      </c>
      <c r="J215" s="57" t="s">
        <v>11652</v>
      </c>
      <c r="K215" s="57" t="s">
        <v>11653</v>
      </c>
    </row>
    <row r="216" spans="1:11" ht="60" customHeight="1">
      <c r="A216" s="57" t="s">
        <v>12236</v>
      </c>
      <c r="B216" s="57" t="s">
        <v>4767</v>
      </c>
      <c r="C216" s="57" t="s">
        <v>12237</v>
      </c>
      <c r="D216" s="57" t="s">
        <v>11650</v>
      </c>
      <c r="E216" s="57" t="s">
        <v>11651</v>
      </c>
      <c r="F216" s="57" t="s">
        <v>11651</v>
      </c>
      <c r="G216" s="57" t="s">
        <v>10745</v>
      </c>
      <c r="H216" s="57" t="s">
        <v>10623</v>
      </c>
      <c r="I216" s="57" t="s">
        <v>10431</v>
      </c>
      <c r="J216" s="57" t="s">
        <v>11652</v>
      </c>
      <c r="K216" s="57" t="s">
        <v>11653</v>
      </c>
    </row>
    <row r="217" spans="1:11" ht="60" customHeight="1">
      <c r="A217" s="57" t="s">
        <v>12238</v>
      </c>
      <c r="B217" s="57" t="s">
        <v>4770</v>
      </c>
      <c r="C217" s="57" t="s">
        <v>11870</v>
      </c>
      <c r="D217" s="57" t="s">
        <v>11554</v>
      </c>
      <c r="E217" s="57" t="s">
        <v>11696</v>
      </c>
      <c r="F217" s="57" t="s">
        <v>12239</v>
      </c>
      <c r="G217" s="57" t="s">
        <v>10750</v>
      </c>
      <c r="H217" s="57" t="s">
        <v>10623</v>
      </c>
      <c r="I217" s="57" t="s">
        <v>10431</v>
      </c>
      <c r="J217" s="57" t="s">
        <v>11476</v>
      </c>
      <c r="K217" s="57" t="s">
        <v>11477</v>
      </c>
    </row>
    <row r="218" spans="1:11" ht="60" customHeight="1">
      <c r="A218" s="57" t="s">
        <v>12240</v>
      </c>
      <c r="B218" s="57" t="s">
        <v>4770</v>
      </c>
      <c r="C218" s="57" t="s">
        <v>12241</v>
      </c>
      <c r="D218" s="57" t="s">
        <v>11691</v>
      </c>
      <c r="E218" s="57" t="s">
        <v>11696</v>
      </c>
      <c r="F218" s="57" t="s">
        <v>11475</v>
      </c>
      <c r="G218" s="57" t="s">
        <v>10750</v>
      </c>
      <c r="H218" s="57" t="s">
        <v>10623</v>
      </c>
      <c r="I218" s="57" t="s">
        <v>10431</v>
      </c>
      <c r="J218" s="57" t="s">
        <v>11476</v>
      </c>
      <c r="K218" s="57" t="s">
        <v>11477</v>
      </c>
    </row>
    <row r="219" spans="1:11" ht="60" customHeight="1">
      <c r="A219" s="57" t="s">
        <v>12242</v>
      </c>
      <c r="B219" s="57" t="s">
        <v>4770</v>
      </c>
      <c r="C219" s="57" t="s">
        <v>12243</v>
      </c>
      <c r="D219" s="57" t="s">
        <v>12244</v>
      </c>
      <c r="E219" s="57" t="s">
        <v>12245</v>
      </c>
      <c r="F219" s="57" t="s">
        <v>12246</v>
      </c>
      <c r="G219" s="57" t="s">
        <v>10750</v>
      </c>
      <c r="H219" s="57" t="s">
        <v>10623</v>
      </c>
      <c r="I219" s="57" t="s">
        <v>10431</v>
      </c>
      <c r="J219" s="57" t="s">
        <v>11476</v>
      </c>
      <c r="K219" s="57" t="s">
        <v>11477</v>
      </c>
    </row>
    <row r="220" spans="1:11" ht="60" customHeight="1">
      <c r="A220" s="57" t="s">
        <v>12247</v>
      </c>
      <c r="B220" s="57" t="s">
        <v>4770</v>
      </c>
      <c r="C220" s="57" t="s">
        <v>12248</v>
      </c>
      <c r="D220" s="57" t="s">
        <v>12249</v>
      </c>
      <c r="E220" s="57" t="s">
        <v>12245</v>
      </c>
      <c r="F220" s="57" t="s">
        <v>12250</v>
      </c>
      <c r="G220" s="57" t="s">
        <v>10750</v>
      </c>
      <c r="H220" s="57" t="s">
        <v>10623</v>
      </c>
      <c r="I220" s="57" t="s">
        <v>10431</v>
      </c>
      <c r="J220" s="57" t="s">
        <v>11476</v>
      </c>
      <c r="K220" s="57" t="s">
        <v>11477</v>
      </c>
    </row>
    <row r="221" spans="1:11" ht="60" customHeight="1">
      <c r="A221" s="57" t="s">
        <v>12251</v>
      </c>
      <c r="B221" s="57" t="s">
        <v>4770</v>
      </c>
      <c r="C221" s="57" t="s">
        <v>12252</v>
      </c>
      <c r="D221" s="57" t="s">
        <v>12253</v>
      </c>
      <c r="E221" s="57" t="s">
        <v>12245</v>
      </c>
      <c r="F221" s="57" t="s">
        <v>12254</v>
      </c>
      <c r="G221" s="57" t="s">
        <v>10750</v>
      </c>
      <c r="H221" s="57" t="s">
        <v>10623</v>
      </c>
      <c r="I221" s="57" t="s">
        <v>10431</v>
      </c>
      <c r="J221" s="57" t="s">
        <v>11476</v>
      </c>
      <c r="K221" s="57" t="s">
        <v>11477</v>
      </c>
    </row>
    <row r="222" spans="1:11" ht="60" customHeight="1">
      <c r="A222" s="57" t="s">
        <v>12255</v>
      </c>
      <c r="B222" s="57" t="s">
        <v>4770</v>
      </c>
      <c r="C222" s="57" t="s">
        <v>12256</v>
      </c>
      <c r="D222" s="57" t="s">
        <v>11511</v>
      </c>
      <c r="E222" s="57" t="s">
        <v>12245</v>
      </c>
      <c r="F222" s="57" t="s">
        <v>12250</v>
      </c>
      <c r="G222" s="57" t="s">
        <v>10750</v>
      </c>
      <c r="H222" s="57" t="s">
        <v>10623</v>
      </c>
      <c r="I222" s="57" t="s">
        <v>10431</v>
      </c>
      <c r="J222" s="57" t="s">
        <v>11476</v>
      </c>
      <c r="K222" s="57" t="s">
        <v>11477</v>
      </c>
    </row>
    <row r="223" spans="1:11" ht="60" customHeight="1">
      <c r="A223" s="57" t="s">
        <v>12257</v>
      </c>
      <c r="B223" s="57" t="s">
        <v>4770</v>
      </c>
      <c r="C223" s="57" t="s">
        <v>11090</v>
      </c>
      <c r="D223" s="57" t="s">
        <v>12258</v>
      </c>
      <c r="E223" s="57" t="s">
        <v>12245</v>
      </c>
      <c r="F223" s="57" t="s">
        <v>12259</v>
      </c>
      <c r="G223" s="57" t="s">
        <v>10750</v>
      </c>
      <c r="H223" s="57" t="s">
        <v>10623</v>
      </c>
      <c r="I223" s="57" t="s">
        <v>10431</v>
      </c>
      <c r="J223" s="57" t="s">
        <v>11476</v>
      </c>
      <c r="K223" s="57" t="s">
        <v>11477</v>
      </c>
    </row>
    <row r="224" spans="1:11" ht="60" customHeight="1">
      <c r="A224" s="57" t="s">
        <v>12260</v>
      </c>
      <c r="B224" s="57" t="s">
        <v>4770</v>
      </c>
      <c r="C224" s="57" t="s">
        <v>12261</v>
      </c>
      <c r="D224" s="57" t="s">
        <v>12262</v>
      </c>
      <c r="E224" s="57" t="s">
        <v>12245</v>
      </c>
      <c r="F224" s="57" t="s">
        <v>12259</v>
      </c>
      <c r="G224" s="57" t="s">
        <v>10750</v>
      </c>
      <c r="H224" s="57" t="s">
        <v>10623</v>
      </c>
      <c r="I224" s="57" t="s">
        <v>10431</v>
      </c>
      <c r="J224" s="57" t="s">
        <v>11476</v>
      </c>
      <c r="K224" s="57" t="s">
        <v>11477</v>
      </c>
    </row>
    <row r="225" spans="1:11" ht="60" customHeight="1">
      <c r="A225" s="57" t="s">
        <v>12263</v>
      </c>
      <c r="B225" s="57" t="s">
        <v>4770</v>
      </c>
      <c r="C225" s="57" t="s">
        <v>12264</v>
      </c>
      <c r="D225" s="57" t="s">
        <v>12265</v>
      </c>
      <c r="E225" s="57" t="s">
        <v>12245</v>
      </c>
      <c r="F225" s="57" t="s">
        <v>12259</v>
      </c>
      <c r="G225" s="57" t="s">
        <v>10750</v>
      </c>
      <c r="H225" s="57" t="s">
        <v>10623</v>
      </c>
      <c r="I225" s="57" t="s">
        <v>10431</v>
      </c>
      <c r="J225" s="57" t="s">
        <v>11476</v>
      </c>
      <c r="K225" s="57" t="s">
        <v>11477</v>
      </c>
    </row>
    <row r="226" spans="1:11" ht="60" customHeight="1">
      <c r="A226" s="57" t="s">
        <v>12266</v>
      </c>
      <c r="B226" s="57" t="s">
        <v>4770</v>
      </c>
      <c r="C226" s="57" t="s">
        <v>12267</v>
      </c>
      <c r="D226" s="57" t="s">
        <v>11633</v>
      </c>
      <c r="E226" s="57" t="s">
        <v>12268</v>
      </c>
      <c r="F226" s="57" t="s">
        <v>12259</v>
      </c>
      <c r="G226" s="57" t="s">
        <v>10750</v>
      </c>
      <c r="H226" s="57" t="s">
        <v>10623</v>
      </c>
      <c r="I226" s="57" t="s">
        <v>10431</v>
      </c>
      <c r="J226" s="57" t="s">
        <v>11476</v>
      </c>
      <c r="K226" s="57" t="s">
        <v>11477</v>
      </c>
    </row>
    <row r="227" spans="1:11" ht="60" customHeight="1">
      <c r="A227" s="57" t="s">
        <v>12269</v>
      </c>
      <c r="B227" s="57" t="s">
        <v>4770</v>
      </c>
      <c r="C227" s="57" t="s">
        <v>12270</v>
      </c>
      <c r="D227" s="57" t="s">
        <v>12271</v>
      </c>
      <c r="E227" s="57" t="s">
        <v>12272</v>
      </c>
      <c r="F227" s="57" t="s">
        <v>12273</v>
      </c>
      <c r="G227" s="57" t="s">
        <v>10750</v>
      </c>
      <c r="H227" s="57" t="s">
        <v>10623</v>
      </c>
      <c r="I227" s="57" t="s">
        <v>10431</v>
      </c>
      <c r="J227" s="57" t="s">
        <v>11476</v>
      </c>
      <c r="K227" s="57" t="s">
        <v>11477</v>
      </c>
    </row>
    <row r="228" spans="1:11" ht="60" customHeight="1">
      <c r="A228" s="57" t="s">
        <v>12274</v>
      </c>
      <c r="B228" s="57" t="s">
        <v>4770</v>
      </c>
      <c r="C228" s="57" t="s">
        <v>12275</v>
      </c>
      <c r="D228" s="57" t="s">
        <v>12276</v>
      </c>
      <c r="E228" s="57" t="s">
        <v>12272</v>
      </c>
      <c r="F228" s="57" t="s">
        <v>12273</v>
      </c>
      <c r="G228" s="57" t="s">
        <v>10750</v>
      </c>
      <c r="H228" s="57" t="s">
        <v>10623</v>
      </c>
      <c r="I228" s="57" t="s">
        <v>10431</v>
      </c>
      <c r="J228" s="57" t="s">
        <v>11476</v>
      </c>
      <c r="K228" s="57" t="s">
        <v>11477</v>
      </c>
    </row>
    <row r="229" spans="1:11" ht="60" customHeight="1">
      <c r="A229" s="57" t="s">
        <v>12277</v>
      </c>
      <c r="B229" s="57" t="s">
        <v>4770</v>
      </c>
      <c r="C229" s="57" t="s">
        <v>12278</v>
      </c>
      <c r="D229" s="57" t="s">
        <v>12279</v>
      </c>
      <c r="E229" s="57" t="s">
        <v>12272</v>
      </c>
      <c r="F229" s="57" t="s">
        <v>12273</v>
      </c>
      <c r="G229" s="57" t="s">
        <v>10750</v>
      </c>
      <c r="H229" s="57" t="s">
        <v>10623</v>
      </c>
      <c r="I229" s="57" t="s">
        <v>10431</v>
      </c>
      <c r="J229" s="57" t="s">
        <v>11476</v>
      </c>
      <c r="K229" s="57" t="s">
        <v>11477</v>
      </c>
    </row>
    <row r="230" spans="1:11" ht="60" customHeight="1">
      <c r="A230" s="57" t="s">
        <v>12280</v>
      </c>
      <c r="B230" s="57" t="s">
        <v>4770</v>
      </c>
      <c r="C230" s="57" t="s">
        <v>12281</v>
      </c>
      <c r="D230" s="57" t="s">
        <v>12282</v>
      </c>
      <c r="E230" s="57" t="s">
        <v>12272</v>
      </c>
      <c r="F230" s="57" t="s">
        <v>12283</v>
      </c>
      <c r="G230" s="57" t="s">
        <v>10750</v>
      </c>
      <c r="H230" s="57" t="s">
        <v>10623</v>
      </c>
      <c r="I230" s="57" t="s">
        <v>10431</v>
      </c>
      <c r="J230" s="57" t="s">
        <v>11476</v>
      </c>
      <c r="K230" s="57" t="s">
        <v>11477</v>
      </c>
    </row>
    <row r="231" spans="1:11" ht="60" customHeight="1">
      <c r="A231" s="57" t="s">
        <v>12284</v>
      </c>
      <c r="B231" s="57" t="s">
        <v>4770</v>
      </c>
      <c r="C231" s="57" t="s">
        <v>12285</v>
      </c>
      <c r="D231" s="57" t="s">
        <v>12286</v>
      </c>
      <c r="E231" s="57" t="s">
        <v>12272</v>
      </c>
      <c r="F231" s="57" t="s">
        <v>12283</v>
      </c>
      <c r="G231" s="57" t="s">
        <v>10750</v>
      </c>
      <c r="H231" s="57" t="s">
        <v>10623</v>
      </c>
      <c r="I231" s="57" t="s">
        <v>10431</v>
      </c>
      <c r="J231" s="57" t="s">
        <v>11476</v>
      </c>
      <c r="K231" s="57" t="s">
        <v>11477</v>
      </c>
    </row>
    <row r="232" spans="1:11" ht="60" customHeight="1">
      <c r="A232" s="57" t="s">
        <v>12287</v>
      </c>
      <c r="B232" s="57" t="s">
        <v>4770</v>
      </c>
      <c r="C232" s="57" t="s">
        <v>12288</v>
      </c>
      <c r="D232" s="57" t="s">
        <v>12289</v>
      </c>
      <c r="E232" s="57" t="s">
        <v>12272</v>
      </c>
      <c r="F232" s="57" t="s">
        <v>12290</v>
      </c>
      <c r="G232" s="57" t="s">
        <v>10750</v>
      </c>
      <c r="H232" s="57" t="s">
        <v>10623</v>
      </c>
      <c r="I232" s="57" t="s">
        <v>10431</v>
      </c>
      <c r="J232" s="57" t="s">
        <v>11476</v>
      </c>
      <c r="K232" s="57" t="s">
        <v>11477</v>
      </c>
    </row>
    <row r="233" spans="1:11" ht="60" customHeight="1">
      <c r="A233" s="57" t="s">
        <v>12291</v>
      </c>
      <c r="B233" s="57" t="s">
        <v>4770</v>
      </c>
      <c r="C233" s="57" t="s">
        <v>12292</v>
      </c>
      <c r="D233" s="57" t="s">
        <v>11516</v>
      </c>
      <c r="E233" s="57" t="s">
        <v>12293</v>
      </c>
      <c r="F233" s="57" t="s">
        <v>12294</v>
      </c>
      <c r="G233" s="57" t="s">
        <v>10750</v>
      </c>
      <c r="H233" s="57" t="s">
        <v>10623</v>
      </c>
      <c r="I233" s="57" t="s">
        <v>10431</v>
      </c>
      <c r="J233" s="57" t="s">
        <v>11476</v>
      </c>
      <c r="K233" s="57" t="s">
        <v>11477</v>
      </c>
    </row>
    <row r="234" spans="1:11" ht="60" customHeight="1">
      <c r="A234" s="57" t="s">
        <v>12295</v>
      </c>
      <c r="B234" s="57" t="s">
        <v>4770</v>
      </c>
      <c r="C234" s="57" t="s">
        <v>12296</v>
      </c>
      <c r="D234" s="57" t="s">
        <v>11516</v>
      </c>
      <c r="E234" s="57" t="s">
        <v>11517</v>
      </c>
      <c r="F234" s="57" t="s">
        <v>12259</v>
      </c>
      <c r="G234" s="57" t="s">
        <v>10750</v>
      </c>
      <c r="H234" s="57" t="s">
        <v>10623</v>
      </c>
      <c r="I234" s="57" t="s">
        <v>10431</v>
      </c>
      <c r="J234" s="57" t="s">
        <v>11476</v>
      </c>
      <c r="K234" s="57" t="s">
        <v>11477</v>
      </c>
    </row>
    <row r="235" spans="1:11" ht="60" customHeight="1">
      <c r="A235" s="57" t="s">
        <v>12297</v>
      </c>
      <c r="B235" s="57" t="s">
        <v>4770</v>
      </c>
      <c r="C235" s="57" t="s">
        <v>12298</v>
      </c>
      <c r="D235" s="57" t="s">
        <v>11516</v>
      </c>
      <c r="E235" s="57" t="s">
        <v>12299</v>
      </c>
      <c r="F235" s="57" t="s">
        <v>11639</v>
      </c>
      <c r="G235" s="57" t="s">
        <v>10750</v>
      </c>
      <c r="H235" s="57" t="s">
        <v>10623</v>
      </c>
      <c r="I235" s="57" t="s">
        <v>10431</v>
      </c>
      <c r="J235" s="57" t="s">
        <v>11476</v>
      </c>
      <c r="K235" s="57" t="s">
        <v>11477</v>
      </c>
    </row>
    <row r="236" spans="1:11" ht="60" customHeight="1">
      <c r="A236" s="57" t="s">
        <v>12300</v>
      </c>
      <c r="B236" s="57" t="s">
        <v>4770</v>
      </c>
      <c r="C236" s="57" t="s">
        <v>12301</v>
      </c>
      <c r="D236" s="57" t="s">
        <v>11787</v>
      </c>
      <c r="E236" s="57" t="s">
        <v>12302</v>
      </c>
      <c r="F236" s="57" t="s">
        <v>12303</v>
      </c>
      <c r="G236" s="57" t="s">
        <v>10750</v>
      </c>
      <c r="H236" s="57" t="s">
        <v>10623</v>
      </c>
      <c r="I236" s="57" t="s">
        <v>10431</v>
      </c>
      <c r="J236" s="57" t="s">
        <v>11476</v>
      </c>
      <c r="K236" s="57" t="s">
        <v>11477</v>
      </c>
    </row>
    <row r="237" spans="1:11" ht="60" customHeight="1">
      <c r="A237" s="57" t="s">
        <v>12304</v>
      </c>
      <c r="B237" s="57" t="s">
        <v>4770</v>
      </c>
      <c r="C237" s="57" t="s">
        <v>12305</v>
      </c>
      <c r="D237" s="57" t="s">
        <v>12306</v>
      </c>
      <c r="E237" s="57" t="s">
        <v>12307</v>
      </c>
      <c r="F237" s="57" t="s">
        <v>12307</v>
      </c>
      <c r="G237" s="57" t="s">
        <v>10750</v>
      </c>
      <c r="H237" s="57" t="s">
        <v>10623</v>
      </c>
      <c r="I237" s="57" t="s">
        <v>10431</v>
      </c>
      <c r="J237" s="57" t="s">
        <v>11476</v>
      </c>
      <c r="K237" s="57" t="s">
        <v>11477</v>
      </c>
    </row>
    <row r="238" spans="1:11" ht="60" customHeight="1">
      <c r="A238" s="57" t="s">
        <v>12308</v>
      </c>
      <c r="B238" s="57" t="s">
        <v>4770</v>
      </c>
      <c r="C238" s="57" t="s">
        <v>12309</v>
      </c>
      <c r="D238" s="57" t="s">
        <v>12310</v>
      </c>
      <c r="E238" s="57" t="s">
        <v>12307</v>
      </c>
      <c r="F238" s="57" t="s">
        <v>12307</v>
      </c>
      <c r="G238" s="57" t="s">
        <v>10750</v>
      </c>
      <c r="H238" s="57" t="s">
        <v>10623</v>
      </c>
      <c r="I238" s="57" t="s">
        <v>10431</v>
      </c>
      <c r="J238" s="57" t="s">
        <v>11476</v>
      </c>
      <c r="K238" s="57" t="s">
        <v>11477</v>
      </c>
    </row>
    <row r="239" spans="1:11" ht="60" customHeight="1">
      <c r="A239" s="57" t="s">
        <v>12311</v>
      </c>
      <c r="B239" s="57" t="s">
        <v>4770</v>
      </c>
      <c r="C239" s="57" t="s">
        <v>12312</v>
      </c>
      <c r="D239" s="57" t="s">
        <v>12313</v>
      </c>
      <c r="E239" s="57" t="s">
        <v>12314</v>
      </c>
      <c r="F239" s="57" t="s">
        <v>12307</v>
      </c>
      <c r="G239" s="57" t="s">
        <v>10750</v>
      </c>
      <c r="H239" s="57" t="s">
        <v>10623</v>
      </c>
      <c r="I239" s="57" t="s">
        <v>10431</v>
      </c>
      <c r="J239" s="57" t="s">
        <v>11476</v>
      </c>
      <c r="K239" s="57" t="s">
        <v>11477</v>
      </c>
    </row>
    <row r="240" spans="1:11" ht="60" customHeight="1">
      <c r="A240" s="57" t="s">
        <v>12315</v>
      </c>
      <c r="B240" s="57" t="s">
        <v>4773</v>
      </c>
      <c r="C240" s="57" t="s">
        <v>12316</v>
      </c>
      <c r="D240" s="57" t="s">
        <v>12317</v>
      </c>
      <c r="E240" s="57" t="s">
        <v>11696</v>
      </c>
      <c r="F240" s="57" t="s">
        <v>12318</v>
      </c>
      <c r="G240" s="57" t="s">
        <v>10754</v>
      </c>
      <c r="H240" s="57" t="s">
        <v>1058</v>
      </c>
      <c r="I240" s="57" t="s">
        <v>240</v>
      </c>
      <c r="J240" s="57" t="s">
        <v>11476</v>
      </c>
      <c r="K240" s="57" t="s">
        <v>11477</v>
      </c>
    </row>
    <row r="241" spans="1:11" ht="60" customHeight="1">
      <c r="A241" s="57" t="s">
        <v>12319</v>
      </c>
      <c r="B241" s="57" t="s">
        <v>4773</v>
      </c>
      <c r="C241" s="57" t="s">
        <v>12320</v>
      </c>
      <c r="D241" s="57" t="s">
        <v>12321</v>
      </c>
      <c r="E241" s="57" t="s">
        <v>11517</v>
      </c>
      <c r="F241" s="57" t="s">
        <v>12322</v>
      </c>
      <c r="G241" s="57" t="s">
        <v>10754</v>
      </c>
      <c r="H241" s="57" t="s">
        <v>1058</v>
      </c>
      <c r="I241" s="57" t="s">
        <v>240</v>
      </c>
      <c r="J241" s="57" t="s">
        <v>11476</v>
      </c>
      <c r="K241" s="57" t="s">
        <v>11477</v>
      </c>
    </row>
    <row r="242" spans="1:11" ht="60" customHeight="1">
      <c r="A242" s="57" t="s">
        <v>12323</v>
      </c>
      <c r="B242" s="57" t="s">
        <v>4773</v>
      </c>
      <c r="C242" s="57" t="s">
        <v>12324</v>
      </c>
      <c r="D242" s="57" t="s">
        <v>12325</v>
      </c>
      <c r="E242" s="57" t="s">
        <v>11630</v>
      </c>
      <c r="F242" s="57" t="s">
        <v>11475</v>
      </c>
      <c r="G242" s="57" t="s">
        <v>10754</v>
      </c>
      <c r="H242" s="57" t="s">
        <v>1058</v>
      </c>
      <c r="I242" s="57" t="s">
        <v>240</v>
      </c>
      <c r="J242" s="57" t="s">
        <v>11476</v>
      </c>
      <c r="K242" s="57" t="s">
        <v>11477</v>
      </c>
    </row>
    <row r="243" spans="1:11" ht="60" customHeight="1">
      <c r="A243" s="57" t="s">
        <v>12326</v>
      </c>
      <c r="B243" s="57" t="s">
        <v>4773</v>
      </c>
      <c r="C243" s="57" t="s">
        <v>12327</v>
      </c>
      <c r="D243" s="57" t="s">
        <v>11473</v>
      </c>
      <c r="E243" s="57" t="s">
        <v>11630</v>
      </c>
      <c r="F243" s="57" t="s">
        <v>11475</v>
      </c>
      <c r="G243" s="57" t="s">
        <v>10754</v>
      </c>
      <c r="H243" s="57" t="s">
        <v>1058</v>
      </c>
      <c r="I243" s="57" t="s">
        <v>240</v>
      </c>
      <c r="J243" s="57" t="s">
        <v>11476</v>
      </c>
      <c r="K243" s="57" t="s">
        <v>11477</v>
      </c>
    </row>
    <row r="244" spans="1:11" ht="60" customHeight="1">
      <c r="A244" s="57" t="s">
        <v>12328</v>
      </c>
      <c r="B244" s="57" t="s">
        <v>4773</v>
      </c>
      <c r="C244" s="57" t="s">
        <v>12329</v>
      </c>
      <c r="D244" s="57" t="s">
        <v>12330</v>
      </c>
      <c r="E244" s="57" t="s">
        <v>12331</v>
      </c>
      <c r="F244" s="57" t="s">
        <v>12332</v>
      </c>
      <c r="G244" s="57" t="s">
        <v>10754</v>
      </c>
      <c r="H244" s="57" t="s">
        <v>1058</v>
      </c>
      <c r="I244" s="57" t="s">
        <v>240</v>
      </c>
      <c r="J244" s="57" t="s">
        <v>11476</v>
      </c>
      <c r="K244" s="57" t="s">
        <v>11477</v>
      </c>
    </row>
    <row r="245" spans="1:11" ht="60" customHeight="1">
      <c r="A245" s="57" t="s">
        <v>12333</v>
      </c>
      <c r="B245" s="57" t="s">
        <v>4773</v>
      </c>
      <c r="C245" s="57" t="s">
        <v>12334</v>
      </c>
      <c r="D245" s="57" t="s">
        <v>12335</v>
      </c>
      <c r="E245" s="57" t="s">
        <v>11969</v>
      </c>
      <c r="F245" s="57" t="s">
        <v>12336</v>
      </c>
      <c r="G245" s="57" t="s">
        <v>10754</v>
      </c>
      <c r="H245" s="57" t="s">
        <v>1058</v>
      </c>
      <c r="I245" s="57" t="s">
        <v>240</v>
      </c>
      <c r="J245" s="57" t="s">
        <v>11476</v>
      </c>
      <c r="K245" s="57" t="s">
        <v>11477</v>
      </c>
    </row>
    <row r="246" spans="1:11" ht="60" customHeight="1">
      <c r="A246" s="57" t="s">
        <v>12337</v>
      </c>
      <c r="B246" s="57" t="s">
        <v>4773</v>
      </c>
      <c r="C246" s="57" t="s">
        <v>12338</v>
      </c>
      <c r="D246" s="57" t="s">
        <v>11511</v>
      </c>
      <c r="E246" s="57" t="s">
        <v>12339</v>
      </c>
      <c r="F246" s="57" t="s">
        <v>12340</v>
      </c>
      <c r="G246" s="57" t="s">
        <v>10754</v>
      </c>
      <c r="H246" s="57" t="s">
        <v>1058</v>
      </c>
      <c r="I246" s="57" t="s">
        <v>240</v>
      </c>
      <c r="J246" s="57" t="s">
        <v>11476</v>
      </c>
      <c r="K246" s="57" t="s">
        <v>11477</v>
      </c>
    </row>
    <row r="247" spans="1:11" ht="60" customHeight="1">
      <c r="A247" s="57" t="s">
        <v>12341</v>
      </c>
      <c r="B247" s="57" t="s">
        <v>4773</v>
      </c>
      <c r="C247" s="57" t="s">
        <v>12342</v>
      </c>
      <c r="D247" s="57" t="s">
        <v>11516</v>
      </c>
      <c r="E247" s="57" t="s">
        <v>11630</v>
      </c>
      <c r="F247" s="57" t="s">
        <v>12343</v>
      </c>
      <c r="G247" s="57" t="s">
        <v>10754</v>
      </c>
      <c r="H247" s="57" t="s">
        <v>1058</v>
      </c>
      <c r="I247" s="57" t="s">
        <v>240</v>
      </c>
      <c r="J247" s="57" t="s">
        <v>11476</v>
      </c>
      <c r="K247" s="57" t="s">
        <v>11477</v>
      </c>
    </row>
    <row r="248" spans="1:11" ht="60" customHeight="1">
      <c r="A248" s="57" t="s">
        <v>12344</v>
      </c>
      <c r="B248" s="57" t="s">
        <v>4773</v>
      </c>
      <c r="C248" s="57" t="s">
        <v>11911</v>
      </c>
      <c r="D248" s="57" t="s">
        <v>11516</v>
      </c>
      <c r="E248" s="57" t="s">
        <v>11517</v>
      </c>
      <c r="F248" s="57" t="s">
        <v>11724</v>
      </c>
      <c r="G248" s="57" t="s">
        <v>10754</v>
      </c>
      <c r="H248" s="57" t="s">
        <v>1058</v>
      </c>
      <c r="I248" s="57" t="s">
        <v>240</v>
      </c>
      <c r="J248" s="57" t="s">
        <v>11476</v>
      </c>
      <c r="K248" s="57" t="s">
        <v>11477</v>
      </c>
    </row>
    <row r="249" spans="1:11" ht="60" customHeight="1">
      <c r="A249" s="57" t="s">
        <v>12345</v>
      </c>
      <c r="B249" s="57" t="s">
        <v>4773</v>
      </c>
      <c r="C249" s="57" t="s">
        <v>12346</v>
      </c>
      <c r="D249" s="57" t="s">
        <v>11568</v>
      </c>
      <c r="E249" s="57" t="s">
        <v>12331</v>
      </c>
      <c r="F249" s="57" t="s">
        <v>11475</v>
      </c>
      <c r="G249" s="57" t="s">
        <v>10754</v>
      </c>
      <c r="H249" s="57" t="s">
        <v>1058</v>
      </c>
      <c r="I249" s="57" t="s">
        <v>240</v>
      </c>
      <c r="J249" s="57" t="s">
        <v>11476</v>
      </c>
      <c r="K249" s="57" t="s">
        <v>11477</v>
      </c>
    </row>
    <row r="250" spans="1:11" ht="60" customHeight="1">
      <c r="A250" s="57" t="s">
        <v>12347</v>
      </c>
      <c r="B250" s="57" t="s">
        <v>4773</v>
      </c>
      <c r="C250" s="57" t="s">
        <v>12348</v>
      </c>
      <c r="D250" s="57" t="s">
        <v>12349</v>
      </c>
      <c r="E250" s="57" t="s">
        <v>11696</v>
      </c>
      <c r="F250" s="57" t="s">
        <v>11475</v>
      </c>
      <c r="G250" s="57" t="s">
        <v>10754</v>
      </c>
      <c r="H250" s="57" t="s">
        <v>1058</v>
      </c>
      <c r="I250" s="57" t="s">
        <v>240</v>
      </c>
      <c r="J250" s="57" t="s">
        <v>11476</v>
      </c>
      <c r="K250" s="57" t="s">
        <v>11477</v>
      </c>
    </row>
    <row r="251" spans="1:11" ht="60" customHeight="1">
      <c r="A251" s="57" t="s">
        <v>12350</v>
      </c>
      <c r="B251" s="57" t="s">
        <v>4776</v>
      </c>
      <c r="C251" s="57" t="s">
        <v>12351</v>
      </c>
      <c r="D251" s="57" t="s">
        <v>11650</v>
      </c>
      <c r="E251" s="57" t="s">
        <v>11651</v>
      </c>
      <c r="F251" s="57" t="s">
        <v>11651</v>
      </c>
      <c r="G251" s="57" t="s">
        <v>10758</v>
      </c>
      <c r="H251" s="57" t="s">
        <v>1058</v>
      </c>
      <c r="I251" s="57" t="s">
        <v>240</v>
      </c>
      <c r="J251" s="57" t="s">
        <v>11652</v>
      </c>
      <c r="K251" s="57" t="s">
        <v>11653</v>
      </c>
    </row>
    <row r="252" spans="1:11" ht="60" customHeight="1">
      <c r="A252" s="57" t="s">
        <v>12352</v>
      </c>
      <c r="B252" s="57" t="s">
        <v>4779</v>
      </c>
      <c r="C252" s="57" t="s">
        <v>12353</v>
      </c>
      <c r="D252" s="57" t="s">
        <v>11650</v>
      </c>
      <c r="E252" s="57" t="s">
        <v>11651</v>
      </c>
      <c r="F252" s="57" t="s">
        <v>11651</v>
      </c>
      <c r="G252" s="57" t="s">
        <v>10763</v>
      </c>
      <c r="H252" s="57" t="s">
        <v>10623</v>
      </c>
      <c r="I252" s="57" t="s">
        <v>10431</v>
      </c>
      <c r="J252" s="57" t="s">
        <v>11652</v>
      </c>
      <c r="K252" s="57" t="s">
        <v>11653</v>
      </c>
    </row>
    <row r="253" spans="1:11" ht="60" customHeight="1">
      <c r="A253" s="57" t="s">
        <v>12354</v>
      </c>
      <c r="B253" s="57" t="s">
        <v>4782</v>
      </c>
      <c r="C253" s="57" t="s">
        <v>12355</v>
      </c>
      <c r="D253" s="57" t="s">
        <v>11650</v>
      </c>
      <c r="E253" s="57" t="s">
        <v>11651</v>
      </c>
      <c r="F253" s="57" t="s">
        <v>11651</v>
      </c>
      <c r="G253" s="57" t="s">
        <v>10767</v>
      </c>
      <c r="H253" s="57" t="s">
        <v>1058</v>
      </c>
      <c r="I253" s="57" t="s">
        <v>240</v>
      </c>
      <c r="J253" s="57" t="s">
        <v>11652</v>
      </c>
      <c r="K253" s="57" t="s">
        <v>11653</v>
      </c>
    </row>
    <row r="254" spans="1:11" ht="60" customHeight="1">
      <c r="A254" s="57" t="s">
        <v>12356</v>
      </c>
      <c r="B254" s="57" t="s">
        <v>4785</v>
      </c>
      <c r="C254" s="57" t="s">
        <v>12357</v>
      </c>
      <c r="D254" s="57" t="s">
        <v>11537</v>
      </c>
      <c r="E254" s="57" t="s">
        <v>12191</v>
      </c>
      <c r="F254" s="57" t="s">
        <v>11578</v>
      </c>
      <c r="G254" s="57" t="s">
        <v>10771</v>
      </c>
      <c r="H254" s="57" t="s">
        <v>1058</v>
      </c>
      <c r="I254" s="57" t="s">
        <v>240</v>
      </c>
      <c r="J254" s="57" t="s">
        <v>11476</v>
      </c>
      <c r="K254" s="57" t="s">
        <v>11477</v>
      </c>
    </row>
    <row r="255" spans="1:11" ht="60" customHeight="1">
      <c r="A255" s="57" t="s">
        <v>12358</v>
      </c>
      <c r="B255" s="57" t="s">
        <v>4785</v>
      </c>
      <c r="C255" s="57" t="s">
        <v>12359</v>
      </c>
      <c r="D255" s="57" t="s">
        <v>12360</v>
      </c>
      <c r="E255" s="57" t="s">
        <v>12191</v>
      </c>
      <c r="F255" s="57" t="s">
        <v>12361</v>
      </c>
      <c r="G255" s="57" t="s">
        <v>10771</v>
      </c>
      <c r="H255" s="57" t="s">
        <v>1058</v>
      </c>
      <c r="I255" s="57" t="s">
        <v>240</v>
      </c>
      <c r="J255" s="57" t="s">
        <v>11476</v>
      </c>
      <c r="K255" s="57" t="s">
        <v>11477</v>
      </c>
    </row>
    <row r="256" spans="1:11" ht="60" customHeight="1">
      <c r="A256" s="57" t="s">
        <v>12362</v>
      </c>
      <c r="B256" s="57" t="s">
        <v>4785</v>
      </c>
      <c r="C256" s="57" t="s">
        <v>12363</v>
      </c>
      <c r="D256" s="57" t="s">
        <v>12313</v>
      </c>
      <c r="E256" s="57" t="s">
        <v>12191</v>
      </c>
      <c r="F256" s="57" t="s">
        <v>11475</v>
      </c>
      <c r="G256" s="57" t="s">
        <v>10771</v>
      </c>
      <c r="H256" s="57" t="s">
        <v>1058</v>
      </c>
      <c r="I256" s="57" t="s">
        <v>240</v>
      </c>
      <c r="J256" s="57" t="s">
        <v>11476</v>
      </c>
      <c r="K256" s="57" t="s">
        <v>11477</v>
      </c>
    </row>
    <row r="257" spans="1:11" ht="60" customHeight="1">
      <c r="A257" s="57" t="s">
        <v>12364</v>
      </c>
      <c r="B257" s="57" t="s">
        <v>4785</v>
      </c>
      <c r="C257" s="57" t="s">
        <v>12365</v>
      </c>
      <c r="D257" s="57" t="s">
        <v>12366</v>
      </c>
      <c r="E257" s="57" t="s">
        <v>12191</v>
      </c>
      <c r="F257" s="57" t="s">
        <v>12367</v>
      </c>
      <c r="G257" s="57" t="s">
        <v>10771</v>
      </c>
      <c r="H257" s="57" t="s">
        <v>1058</v>
      </c>
      <c r="I257" s="57" t="s">
        <v>240</v>
      </c>
      <c r="J257" s="57" t="s">
        <v>11476</v>
      </c>
      <c r="K257" s="57" t="s">
        <v>11477</v>
      </c>
    </row>
    <row r="258" spans="1:11" ht="60" customHeight="1">
      <c r="A258" s="57" t="s">
        <v>12368</v>
      </c>
      <c r="B258" s="57" t="s">
        <v>4785</v>
      </c>
      <c r="C258" s="57" t="s">
        <v>12369</v>
      </c>
      <c r="D258" s="57" t="s">
        <v>12370</v>
      </c>
      <c r="E258" s="57" t="s">
        <v>12191</v>
      </c>
      <c r="F258" s="57" t="s">
        <v>11475</v>
      </c>
      <c r="G258" s="57" t="s">
        <v>10771</v>
      </c>
      <c r="H258" s="57" t="s">
        <v>1058</v>
      </c>
      <c r="I258" s="57" t="s">
        <v>240</v>
      </c>
      <c r="J258" s="57" t="s">
        <v>11476</v>
      </c>
      <c r="K258" s="57" t="s">
        <v>11477</v>
      </c>
    </row>
    <row r="259" spans="1:11" ht="60" customHeight="1">
      <c r="A259" s="57" t="s">
        <v>12371</v>
      </c>
      <c r="B259" s="57" t="s">
        <v>4785</v>
      </c>
      <c r="C259" s="57" t="s">
        <v>12372</v>
      </c>
      <c r="D259" s="57" t="s">
        <v>12360</v>
      </c>
      <c r="E259" s="57" t="s">
        <v>12191</v>
      </c>
      <c r="F259" s="57" t="s">
        <v>11475</v>
      </c>
      <c r="G259" s="57" t="s">
        <v>10771</v>
      </c>
      <c r="H259" s="57" t="s">
        <v>1058</v>
      </c>
      <c r="I259" s="57" t="s">
        <v>240</v>
      </c>
      <c r="J259" s="57" t="s">
        <v>11476</v>
      </c>
      <c r="K259" s="57" t="s">
        <v>11477</v>
      </c>
    </row>
    <row r="260" spans="1:11" ht="60" customHeight="1">
      <c r="A260" s="57" t="s">
        <v>12373</v>
      </c>
      <c r="B260" s="57" t="s">
        <v>4785</v>
      </c>
      <c r="C260" s="57" t="s">
        <v>12374</v>
      </c>
      <c r="D260" s="57" t="s">
        <v>11516</v>
      </c>
      <c r="E260" s="57" t="s">
        <v>12220</v>
      </c>
      <c r="F260" s="57" t="s">
        <v>12375</v>
      </c>
      <c r="G260" s="57" t="s">
        <v>10771</v>
      </c>
      <c r="H260" s="57" t="s">
        <v>1058</v>
      </c>
      <c r="I260" s="57" t="s">
        <v>240</v>
      </c>
      <c r="J260" s="57" t="s">
        <v>11476</v>
      </c>
      <c r="K260" s="57" t="s">
        <v>11477</v>
      </c>
    </row>
    <row r="261" spans="1:11" ht="60" customHeight="1">
      <c r="A261" s="57" t="s">
        <v>12376</v>
      </c>
      <c r="B261" s="57" t="s">
        <v>4785</v>
      </c>
      <c r="C261" s="57" t="s">
        <v>12377</v>
      </c>
      <c r="D261" s="57" t="s">
        <v>11715</v>
      </c>
      <c r="E261" s="57" t="s">
        <v>12220</v>
      </c>
      <c r="F261" s="57" t="s">
        <v>12378</v>
      </c>
      <c r="G261" s="57" t="s">
        <v>10771</v>
      </c>
      <c r="H261" s="57" t="s">
        <v>1058</v>
      </c>
      <c r="I261" s="57" t="s">
        <v>240</v>
      </c>
      <c r="J261" s="57" t="s">
        <v>11476</v>
      </c>
      <c r="K261" s="57" t="s">
        <v>11477</v>
      </c>
    </row>
    <row r="262" spans="1:11" ht="60" customHeight="1">
      <c r="A262" s="57" t="s">
        <v>12379</v>
      </c>
      <c r="B262" s="57" t="s">
        <v>4785</v>
      </c>
      <c r="C262" s="57" t="s">
        <v>12380</v>
      </c>
      <c r="D262" s="57" t="s">
        <v>12381</v>
      </c>
      <c r="E262" s="57" t="s">
        <v>12220</v>
      </c>
      <c r="F262" s="57" t="s">
        <v>12382</v>
      </c>
      <c r="G262" s="57" t="s">
        <v>10771</v>
      </c>
      <c r="H262" s="57" t="s">
        <v>1058</v>
      </c>
      <c r="I262" s="57" t="s">
        <v>240</v>
      </c>
      <c r="J262" s="57" t="s">
        <v>11476</v>
      </c>
      <c r="K262" s="57" t="s">
        <v>11477</v>
      </c>
    </row>
    <row r="263" spans="1:11" ht="60" customHeight="1">
      <c r="A263" s="57" t="s">
        <v>12383</v>
      </c>
      <c r="B263" s="57" t="s">
        <v>4785</v>
      </c>
      <c r="C263" s="57" t="s">
        <v>12384</v>
      </c>
      <c r="D263" s="57" t="s">
        <v>11511</v>
      </c>
      <c r="E263" s="57" t="s">
        <v>11494</v>
      </c>
      <c r="F263" s="57" t="s">
        <v>11475</v>
      </c>
      <c r="G263" s="57" t="s">
        <v>10771</v>
      </c>
      <c r="H263" s="57" t="s">
        <v>1058</v>
      </c>
      <c r="I263" s="57" t="s">
        <v>240</v>
      </c>
      <c r="J263" s="57" t="s">
        <v>11476</v>
      </c>
      <c r="K263" s="57" t="s">
        <v>11477</v>
      </c>
    </row>
    <row r="264" spans="1:11" ht="60" customHeight="1">
      <c r="A264" s="57" t="s">
        <v>12385</v>
      </c>
      <c r="B264" s="57" t="s">
        <v>4785</v>
      </c>
      <c r="C264" s="57" t="s">
        <v>12386</v>
      </c>
      <c r="D264" s="57" t="s">
        <v>11777</v>
      </c>
      <c r="E264" s="57" t="s">
        <v>12191</v>
      </c>
      <c r="F264" s="57" t="s">
        <v>12387</v>
      </c>
      <c r="G264" s="57" t="s">
        <v>10771</v>
      </c>
      <c r="H264" s="57" t="s">
        <v>1058</v>
      </c>
      <c r="I264" s="57" t="s">
        <v>240</v>
      </c>
      <c r="J264" s="57" t="s">
        <v>11476</v>
      </c>
      <c r="K264" s="57" t="s">
        <v>11477</v>
      </c>
    </row>
    <row r="265" spans="1:11" ht="60" customHeight="1">
      <c r="A265" s="57" t="s">
        <v>12388</v>
      </c>
      <c r="B265" s="57" t="s">
        <v>4785</v>
      </c>
      <c r="C265" s="57" t="s">
        <v>12389</v>
      </c>
      <c r="D265" s="57" t="s">
        <v>11787</v>
      </c>
      <c r="E265" s="57" t="s">
        <v>12191</v>
      </c>
      <c r="F265" s="57" t="s">
        <v>12390</v>
      </c>
      <c r="G265" s="57" t="s">
        <v>10771</v>
      </c>
      <c r="H265" s="57" t="s">
        <v>1058</v>
      </c>
      <c r="I265" s="57" t="s">
        <v>240</v>
      </c>
      <c r="J265" s="57" t="s">
        <v>11476</v>
      </c>
      <c r="K265" s="57" t="s">
        <v>11477</v>
      </c>
    </row>
    <row r="266" spans="1:11" ht="60" customHeight="1">
      <c r="A266" s="57" t="s">
        <v>12391</v>
      </c>
      <c r="B266" s="57" t="s">
        <v>10774</v>
      </c>
      <c r="C266" s="57" t="s">
        <v>12392</v>
      </c>
      <c r="D266" s="57" t="s">
        <v>11650</v>
      </c>
      <c r="E266" s="57" t="s">
        <v>11651</v>
      </c>
      <c r="F266" s="57" t="s">
        <v>11651</v>
      </c>
      <c r="G266" s="57" t="s">
        <v>10777</v>
      </c>
      <c r="H266" s="57" t="s">
        <v>449</v>
      </c>
      <c r="I266" s="57" t="s">
        <v>238</v>
      </c>
      <c r="J266" s="57" t="s">
        <v>11652</v>
      </c>
      <c r="K266" s="57" t="s">
        <v>11653</v>
      </c>
    </row>
    <row r="267" spans="1:11" ht="60" customHeight="1">
      <c r="A267" s="57" t="s">
        <v>12393</v>
      </c>
      <c r="B267" s="57" t="s">
        <v>3682</v>
      </c>
      <c r="C267" s="57" t="s">
        <v>12394</v>
      </c>
      <c r="D267" s="57" t="s">
        <v>11650</v>
      </c>
      <c r="E267" s="57" t="s">
        <v>11651</v>
      </c>
      <c r="F267" s="57" t="s">
        <v>11651</v>
      </c>
      <c r="G267" s="57" t="s">
        <v>10781</v>
      </c>
      <c r="H267" s="57" t="s">
        <v>449</v>
      </c>
      <c r="I267" s="57" t="s">
        <v>238</v>
      </c>
      <c r="J267" s="57" t="s">
        <v>11652</v>
      </c>
      <c r="K267" s="57" t="s">
        <v>11653</v>
      </c>
    </row>
    <row r="268" spans="1:11" ht="60" customHeight="1">
      <c r="A268" s="57" t="s">
        <v>12395</v>
      </c>
      <c r="B268" s="57" t="s">
        <v>3687</v>
      </c>
      <c r="C268" s="57" t="s">
        <v>12396</v>
      </c>
      <c r="D268" s="57" t="s">
        <v>11650</v>
      </c>
      <c r="E268" s="57" t="s">
        <v>11651</v>
      </c>
      <c r="F268" s="57" t="s">
        <v>11651</v>
      </c>
      <c r="G268" s="57" t="s">
        <v>10783</v>
      </c>
      <c r="H268" s="57" t="s">
        <v>1058</v>
      </c>
      <c r="I268" s="57" t="s">
        <v>240</v>
      </c>
      <c r="J268" s="57" t="s">
        <v>11652</v>
      </c>
      <c r="K268" s="57" t="s">
        <v>11653</v>
      </c>
    </row>
    <row r="269" spans="1:11" ht="60" customHeight="1">
      <c r="A269" s="57" t="s">
        <v>12397</v>
      </c>
      <c r="B269" s="57" t="s">
        <v>3693</v>
      </c>
      <c r="C269" s="57" t="s">
        <v>12398</v>
      </c>
      <c r="D269" s="57" t="s">
        <v>11650</v>
      </c>
      <c r="E269" s="57" t="s">
        <v>11651</v>
      </c>
      <c r="F269" s="57" t="s">
        <v>11651</v>
      </c>
      <c r="G269" s="57" t="s">
        <v>10785</v>
      </c>
      <c r="H269" s="57" t="s">
        <v>449</v>
      </c>
      <c r="I269" s="57" t="s">
        <v>238</v>
      </c>
      <c r="J269" s="57" t="s">
        <v>11652</v>
      </c>
      <c r="K269" s="57" t="s">
        <v>11653</v>
      </c>
    </row>
    <row r="270" spans="1:11" ht="60" customHeight="1">
      <c r="A270" s="57" t="s">
        <v>12399</v>
      </c>
      <c r="B270" s="57" t="s">
        <v>3699</v>
      </c>
      <c r="C270" s="57" t="s">
        <v>12400</v>
      </c>
      <c r="D270" s="57" t="s">
        <v>11650</v>
      </c>
      <c r="E270" s="57" t="s">
        <v>11651</v>
      </c>
      <c r="F270" s="57" t="s">
        <v>11651</v>
      </c>
      <c r="G270" s="57" t="s">
        <v>10787</v>
      </c>
      <c r="H270" s="57" t="s">
        <v>449</v>
      </c>
      <c r="I270" s="57" t="s">
        <v>238</v>
      </c>
      <c r="J270" s="57" t="s">
        <v>11652</v>
      </c>
      <c r="K270" s="57" t="s">
        <v>11653</v>
      </c>
    </row>
    <row r="271" spans="1:11" ht="60" customHeight="1">
      <c r="A271" s="57" t="s">
        <v>12401</v>
      </c>
      <c r="B271" s="57" t="s">
        <v>3705</v>
      </c>
      <c r="C271" s="57" t="s">
        <v>12402</v>
      </c>
      <c r="D271" s="57" t="s">
        <v>11650</v>
      </c>
      <c r="E271" s="57" t="s">
        <v>11651</v>
      </c>
      <c r="F271" s="57" t="s">
        <v>11651</v>
      </c>
      <c r="G271" s="57" t="s">
        <v>10789</v>
      </c>
      <c r="H271" s="57" t="s">
        <v>1058</v>
      </c>
      <c r="I271" s="57" t="s">
        <v>240</v>
      </c>
      <c r="J271" s="57" t="s">
        <v>11652</v>
      </c>
      <c r="K271" s="57" t="s">
        <v>11653</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9"/>
  <sheetViews>
    <sheetView workbookViewId="0"/>
  </sheetViews>
  <sheetFormatPr defaultRowHeight="14.25"/>
  <cols>
    <col min="1" max="1" width="16" customWidth="1"/>
    <col min="2" max="2" width="28" customWidth="1"/>
    <col min="3" max="3" width="45" customWidth="1"/>
    <col min="4" max="4" width="55" customWidth="1"/>
    <col min="5" max="5" width="44" customWidth="1"/>
  </cols>
  <sheetData>
    <row r="1" spans="1:5" ht="30" customHeight="1">
      <c r="A1" s="56" t="s">
        <v>1599</v>
      </c>
      <c r="B1" s="56" t="s">
        <v>1411</v>
      </c>
      <c r="C1" s="56" t="s">
        <v>1600</v>
      </c>
      <c r="D1" s="56" t="s">
        <v>1601</v>
      </c>
      <c r="E1" s="56" t="s">
        <v>1014</v>
      </c>
    </row>
    <row r="2" spans="1:5" ht="60" customHeight="1">
      <c r="A2" s="57" t="s">
        <v>238</v>
      </c>
      <c r="B2" s="57" t="s">
        <v>1602</v>
      </c>
      <c r="C2" s="57"/>
      <c r="D2" s="57" t="s">
        <v>1603</v>
      </c>
      <c r="E2" s="57" t="s">
        <v>1604</v>
      </c>
    </row>
    <row r="3" spans="1:5" ht="60" customHeight="1">
      <c r="A3" s="57" t="s">
        <v>239</v>
      </c>
      <c r="B3" s="57" t="s">
        <v>1602</v>
      </c>
      <c r="C3" s="57"/>
      <c r="D3" s="57" t="s">
        <v>1605</v>
      </c>
      <c r="E3" s="57" t="s">
        <v>1604</v>
      </c>
    </row>
    <row r="4" spans="1:5" ht="60" customHeight="1">
      <c r="A4" s="57" t="s">
        <v>240</v>
      </c>
      <c r="B4" s="57" t="s">
        <v>1602</v>
      </c>
      <c r="C4" s="57"/>
      <c r="D4" s="57" t="s">
        <v>1606</v>
      </c>
      <c r="E4" s="57" t="s">
        <v>1604</v>
      </c>
    </row>
    <row r="5" spans="1:5" ht="60" customHeight="1">
      <c r="A5" s="57" t="s">
        <v>116</v>
      </c>
      <c r="B5" s="57" t="s">
        <v>12</v>
      </c>
      <c r="C5" s="57" t="s">
        <v>1486</v>
      </c>
      <c r="D5" s="57" t="s">
        <v>1607</v>
      </c>
      <c r="E5" s="57" t="s">
        <v>1608</v>
      </c>
    </row>
    <row r="6" spans="1:5" ht="60" customHeight="1">
      <c r="A6" s="57" t="s">
        <v>194</v>
      </c>
      <c r="B6" s="57" t="s">
        <v>12</v>
      </c>
      <c r="C6" s="57" t="s">
        <v>1065</v>
      </c>
      <c r="D6" s="57" t="s">
        <v>1609</v>
      </c>
      <c r="E6" s="57" t="s">
        <v>1608</v>
      </c>
    </row>
    <row r="7" spans="1:5" ht="60" customHeight="1">
      <c r="A7" s="57" t="s">
        <v>237</v>
      </c>
      <c r="B7" s="57" t="s">
        <v>12</v>
      </c>
      <c r="C7" s="57" t="s">
        <v>1162</v>
      </c>
      <c r="D7" s="57" t="s">
        <v>1610</v>
      </c>
      <c r="E7" s="57" t="s">
        <v>1608</v>
      </c>
    </row>
    <row r="8" spans="1:5" ht="60" customHeight="1">
      <c r="A8" s="57" t="s">
        <v>121</v>
      </c>
      <c r="B8" s="57" t="s">
        <v>39</v>
      </c>
      <c r="C8" s="57" t="s">
        <v>628</v>
      </c>
      <c r="D8" s="57" t="s">
        <v>1611</v>
      </c>
      <c r="E8" s="57" t="s">
        <v>1612</v>
      </c>
    </row>
    <row r="9" spans="1:5" ht="60" customHeight="1">
      <c r="A9" s="57" t="s">
        <v>116</v>
      </c>
      <c r="B9" s="57" t="s">
        <v>8</v>
      </c>
      <c r="C9" s="57" t="s">
        <v>1485</v>
      </c>
      <c r="D9" s="57" t="s">
        <v>1613</v>
      </c>
      <c r="E9" s="57" t="s">
        <v>1614</v>
      </c>
    </row>
    <row r="10" spans="1:5" ht="60" customHeight="1">
      <c r="A10" s="57" t="s">
        <v>194</v>
      </c>
      <c r="B10" s="57" t="s">
        <v>8</v>
      </c>
      <c r="C10" s="57" t="s">
        <v>1120</v>
      </c>
      <c r="D10" s="57" t="s">
        <v>1615</v>
      </c>
      <c r="E10" s="57" t="s">
        <v>1616</v>
      </c>
    </row>
    <row r="11" spans="1:5" ht="60" customHeight="1">
      <c r="A11" s="57" t="s">
        <v>121</v>
      </c>
      <c r="B11" s="57" t="s">
        <v>8</v>
      </c>
      <c r="C11" s="57" t="s">
        <v>1510</v>
      </c>
      <c r="D11" s="57" t="s">
        <v>1617</v>
      </c>
      <c r="E11" s="57" t="s">
        <v>1618</v>
      </c>
    </row>
    <row r="12" spans="1:5" ht="60" customHeight="1">
      <c r="A12" s="57" t="s">
        <v>94</v>
      </c>
      <c r="B12" s="57" t="s">
        <v>37</v>
      </c>
      <c r="C12" s="57" t="s">
        <v>1619</v>
      </c>
      <c r="D12" s="57" t="s">
        <v>1620</v>
      </c>
      <c r="E12" s="57" t="s">
        <v>1621</v>
      </c>
    </row>
    <row r="13" spans="1:5" ht="60" customHeight="1">
      <c r="A13" s="57" t="s">
        <v>161</v>
      </c>
      <c r="B13" s="57" t="s">
        <v>37</v>
      </c>
      <c r="C13" s="57" t="s">
        <v>1619</v>
      </c>
      <c r="D13" s="57" t="s">
        <v>1622</v>
      </c>
      <c r="E13" s="57" t="s">
        <v>1621</v>
      </c>
    </row>
    <row r="14" spans="1:5" ht="60" customHeight="1">
      <c r="A14" s="57" t="s">
        <v>113</v>
      </c>
      <c r="B14" s="57" t="s">
        <v>37</v>
      </c>
      <c r="C14" s="57" t="s">
        <v>1619</v>
      </c>
      <c r="D14" s="57" t="s">
        <v>1623</v>
      </c>
      <c r="E14" s="57" t="s">
        <v>1621</v>
      </c>
    </row>
    <row r="15" spans="1:5" ht="60" customHeight="1">
      <c r="A15" s="57" t="s">
        <v>115</v>
      </c>
      <c r="B15" s="57" t="s">
        <v>37</v>
      </c>
      <c r="C15" s="57" t="s">
        <v>1619</v>
      </c>
      <c r="D15" s="57" t="s">
        <v>1624</v>
      </c>
      <c r="E15" s="57" t="s">
        <v>1621</v>
      </c>
    </row>
    <row r="16" spans="1:5" ht="60" customHeight="1">
      <c r="A16" s="57" t="s">
        <v>91</v>
      </c>
      <c r="B16" s="57" t="s">
        <v>37</v>
      </c>
      <c r="C16" s="57" t="s">
        <v>1619</v>
      </c>
      <c r="D16" s="57" t="s">
        <v>1625</v>
      </c>
      <c r="E16" s="57" t="s">
        <v>1621</v>
      </c>
    </row>
    <row r="17" spans="1:5" ht="60" customHeight="1">
      <c r="A17" s="57" t="s">
        <v>105</v>
      </c>
      <c r="B17" s="57" t="s">
        <v>37</v>
      </c>
      <c r="C17" s="57" t="s">
        <v>1619</v>
      </c>
      <c r="D17" s="57" t="s">
        <v>1626</v>
      </c>
      <c r="E17" s="57" t="s">
        <v>1621</v>
      </c>
    </row>
    <row r="18" spans="1:5" ht="60" customHeight="1">
      <c r="A18" s="57" t="s">
        <v>106</v>
      </c>
      <c r="B18" s="57" t="s">
        <v>37</v>
      </c>
      <c r="C18" s="57" t="s">
        <v>1619</v>
      </c>
      <c r="D18" s="57" t="s">
        <v>1627</v>
      </c>
      <c r="E18" s="57" t="s">
        <v>1621</v>
      </c>
    </row>
    <row r="19" spans="1:5" ht="60" customHeight="1">
      <c r="A19" s="57" t="s">
        <v>107</v>
      </c>
      <c r="B19" s="57" t="s">
        <v>37</v>
      </c>
      <c r="C19" s="57" t="s">
        <v>1619</v>
      </c>
      <c r="D19" s="57" t="s">
        <v>1628</v>
      </c>
      <c r="E19" s="57" t="s">
        <v>1621</v>
      </c>
    </row>
    <row r="20" spans="1:5" ht="60" customHeight="1">
      <c r="A20" s="57" t="s">
        <v>195</v>
      </c>
      <c r="B20" s="57" t="s">
        <v>37</v>
      </c>
      <c r="C20" s="57" t="s">
        <v>1619</v>
      </c>
      <c r="D20" s="57" t="s">
        <v>1629</v>
      </c>
      <c r="E20" s="57" t="s">
        <v>1621</v>
      </c>
    </row>
    <row r="21" spans="1:5" ht="60" customHeight="1">
      <c r="A21" s="57" t="s">
        <v>235</v>
      </c>
      <c r="B21" s="57" t="s">
        <v>37</v>
      </c>
      <c r="C21" s="57" t="s">
        <v>1619</v>
      </c>
      <c r="D21" s="57" t="s">
        <v>1630</v>
      </c>
      <c r="E21" s="57" t="s">
        <v>1621</v>
      </c>
    </row>
    <row r="22" spans="1:5" ht="60" customHeight="1">
      <c r="A22" s="57" t="s">
        <v>157</v>
      </c>
      <c r="B22" s="57" t="s">
        <v>37</v>
      </c>
      <c r="C22" s="57" t="s">
        <v>1619</v>
      </c>
      <c r="D22" s="57" t="s">
        <v>1631</v>
      </c>
      <c r="E22" s="57" t="s">
        <v>1621</v>
      </c>
    </row>
    <row r="23" spans="1:5" ht="60" customHeight="1">
      <c r="A23" s="57" t="s">
        <v>158</v>
      </c>
      <c r="B23" s="57" t="s">
        <v>37</v>
      </c>
      <c r="C23" s="57" t="s">
        <v>1619</v>
      </c>
      <c r="D23" s="57" t="s">
        <v>1632</v>
      </c>
      <c r="E23" s="57" t="s">
        <v>1621</v>
      </c>
    </row>
    <row r="24" spans="1:5" ht="60" customHeight="1">
      <c r="A24" s="57" t="s">
        <v>122</v>
      </c>
      <c r="B24" s="57" t="s">
        <v>37</v>
      </c>
      <c r="C24" s="57" t="s">
        <v>1619</v>
      </c>
      <c r="D24" s="57" t="s">
        <v>1633</v>
      </c>
      <c r="E24" s="57" t="s">
        <v>1621</v>
      </c>
    </row>
    <row r="25" spans="1:5" ht="60" customHeight="1">
      <c r="A25" s="57" t="s">
        <v>123</v>
      </c>
      <c r="B25" s="57" t="s">
        <v>37</v>
      </c>
      <c r="C25" s="57" t="s">
        <v>1619</v>
      </c>
      <c r="D25" s="57" t="s">
        <v>1634</v>
      </c>
      <c r="E25" s="57" t="s">
        <v>1621</v>
      </c>
    </row>
    <row r="26" spans="1:5" ht="60" customHeight="1">
      <c r="A26" s="57" t="s">
        <v>102</v>
      </c>
      <c r="B26" s="57" t="s">
        <v>13</v>
      </c>
      <c r="C26" s="57" t="s">
        <v>1461</v>
      </c>
      <c r="D26" s="57" t="s">
        <v>1635</v>
      </c>
      <c r="E26" s="57" t="s">
        <v>1636</v>
      </c>
    </row>
    <row r="27" spans="1:5" ht="60" customHeight="1">
      <c r="A27" s="57" t="s">
        <v>238</v>
      </c>
      <c r="B27" s="57" t="s">
        <v>13</v>
      </c>
      <c r="C27" s="57"/>
      <c r="D27" s="57" t="s">
        <v>1637</v>
      </c>
      <c r="E27" s="57" t="s">
        <v>1636</v>
      </c>
    </row>
    <row r="28" spans="1:5" ht="60" customHeight="1">
      <c r="A28" s="57" t="s">
        <v>239</v>
      </c>
      <c r="B28" s="57" t="s">
        <v>13</v>
      </c>
      <c r="C28" s="57"/>
      <c r="D28" s="57" t="s">
        <v>116</v>
      </c>
      <c r="E28" s="57" t="s">
        <v>1636</v>
      </c>
    </row>
    <row r="29" spans="1:5" ht="60" customHeight="1">
      <c r="A29" s="57" t="s">
        <v>240</v>
      </c>
      <c r="B29" s="57" t="s">
        <v>13</v>
      </c>
      <c r="C29" s="57"/>
      <c r="D29" s="57" t="s">
        <v>1638</v>
      </c>
      <c r="E29" s="57" t="s">
        <v>1636</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26"/>
  <sheetViews>
    <sheetView workbookViewId="0"/>
  </sheetViews>
  <sheetFormatPr defaultRowHeight="14.25"/>
  <cols>
    <col min="1" max="1" width="28" customWidth="1"/>
    <col min="2" max="2" width="15" customWidth="1"/>
    <col min="3" max="3" width="18" customWidth="1"/>
    <col min="4" max="4" width="24" customWidth="1"/>
    <col min="5" max="5" width="38" customWidth="1"/>
    <col min="6" max="6" width="43" customWidth="1"/>
    <col min="7" max="10" width="13" customWidth="1"/>
  </cols>
  <sheetData>
    <row r="1" spans="1:10" ht="24.95" customHeight="1">
      <c r="A1" s="130" t="s">
        <v>12403</v>
      </c>
      <c r="B1" s="130"/>
      <c r="C1" s="130"/>
      <c r="D1" s="130"/>
      <c r="E1" s="130"/>
      <c r="F1" s="130"/>
      <c r="G1" s="131"/>
      <c r="H1" s="131"/>
      <c r="I1" s="131"/>
      <c r="J1" s="131"/>
    </row>
    <row r="2" spans="1:10" ht="24.95" customHeight="1">
      <c r="A2" s="130"/>
      <c r="B2" s="130"/>
      <c r="C2" s="130"/>
      <c r="D2" s="130"/>
      <c r="E2" s="130"/>
      <c r="F2" s="130"/>
      <c r="G2" s="131"/>
      <c r="H2" s="131"/>
      <c r="I2" s="131"/>
      <c r="J2" s="131"/>
    </row>
    <row r="3" spans="1:10" ht="32.1" customHeight="1">
      <c r="A3" s="132" t="s">
        <v>12404</v>
      </c>
      <c r="B3" s="132"/>
      <c r="C3" s="132"/>
      <c r="D3" s="132"/>
      <c r="E3" s="132"/>
      <c r="F3" s="132"/>
      <c r="G3" s="133"/>
      <c r="H3" s="133"/>
      <c r="I3" s="133"/>
      <c r="J3" s="133"/>
    </row>
    <row r="4" spans="1:10" ht="15">
      <c r="A4" s="58"/>
      <c r="B4" s="58"/>
      <c r="C4" s="58"/>
      <c r="D4" s="58"/>
      <c r="E4" s="58"/>
      <c r="F4" s="58"/>
      <c r="G4" s="59"/>
      <c r="H4" s="59"/>
      <c r="I4" s="59"/>
      <c r="J4" s="59"/>
    </row>
    <row r="5" spans="1:10" ht="30" customHeight="1">
      <c r="A5" s="60" t="s">
        <v>792</v>
      </c>
      <c r="B5" s="60" t="s">
        <v>449</v>
      </c>
      <c r="C5" s="60" t="s">
        <v>1058</v>
      </c>
      <c r="D5" s="60" t="s">
        <v>1392</v>
      </c>
      <c r="E5" s="60" t="s">
        <v>826</v>
      </c>
      <c r="F5" s="58"/>
      <c r="G5" s="59"/>
      <c r="H5" s="59"/>
      <c r="I5" s="59"/>
      <c r="J5" s="59"/>
    </row>
    <row r="6" spans="1:10" ht="27.95" customHeight="1">
      <c r="A6" s="61" t="s">
        <v>1278</v>
      </c>
      <c r="B6" s="61">
        <v>115</v>
      </c>
      <c r="C6" s="61">
        <v>72</v>
      </c>
      <c r="D6" s="61">
        <v>187</v>
      </c>
      <c r="E6" s="61" t="s">
        <v>12405</v>
      </c>
      <c r="F6" s="58"/>
      <c r="G6" s="59"/>
      <c r="H6" s="59"/>
      <c r="I6" s="59"/>
      <c r="J6" s="59"/>
    </row>
    <row r="7" spans="1:10" ht="27.95" customHeight="1">
      <c r="A7" s="61" t="s">
        <v>249</v>
      </c>
      <c r="B7" s="61">
        <v>61</v>
      </c>
      <c r="C7" s="61">
        <v>0</v>
      </c>
      <c r="D7" s="61">
        <v>61</v>
      </c>
      <c r="E7" s="61" t="s">
        <v>1937</v>
      </c>
      <c r="F7" s="58"/>
      <c r="G7" s="59"/>
      <c r="H7" s="59"/>
      <c r="I7" s="59"/>
      <c r="J7" s="59"/>
    </row>
    <row r="8" spans="1:10" ht="27.95" customHeight="1">
      <c r="A8" s="61" t="s">
        <v>1395</v>
      </c>
      <c r="B8" s="61">
        <v>4</v>
      </c>
      <c r="C8" s="61">
        <v>0</v>
      </c>
      <c r="D8" s="61">
        <v>4</v>
      </c>
      <c r="E8" s="61" t="s">
        <v>12406</v>
      </c>
      <c r="F8" s="58"/>
      <c r="G8" s="59"/>
      <c r="H8" s="59"/>
      <c r="I8" s="59"/>
      <c r="J8" s="59"/>
    </row>
    <row r="9" spans="1:10" ht="27.95" customHeight="1">
      <c r="A9" s="61" t="s">
        <v>1397</v>
      </c>
      <c r="B9" s="61">
        <v>50</v>
      </c>
      <c r="C9" s="61">
        <v>72</v>
      </c>
      <c r="D9" s="61">
        <v>122</v>
      </c>
      <c r="E9" s="61" t="s">
        <v>12407</v>
      </c>
      <c r="F9" s="58"/>
      <c r="G9" s="59"/>
      <c r="H9" s="59"/>
      <c r="I9" s="59"/>
      <c r="J9" s="59"/>
    </row>
    <row r="10" spans="1:10" ht="27.95" customHeight="1">
      <c r="A10" s="61" t="s">
        <v>12408</v>
      </c>
      <c r="B10" s="61">
        <v>26</v>
      </c>
      <c r="C10" s="61">
        <v>13</v>
      </c>
      <c r="D10" s="61">
        <v>39</v>
      </c>
      <c r="E10" s="61" t="s">
        <v>12409</v>
      </c>
      <c r="F10" s="58"/>
      <c r="G10" s="59"/>
      <c r="H10" s="59"/>
      <c r="I10" s="59"/>
      <c r="J10" s="59"/>
    </row>
    <row r="11" spans="1:10" ht="15">
      <c r="A11" s="58"/>
      <c r="B11" s="58"/>
      <c r="C11" s="58"/>
      <c r="D11" s="58"/>
      <c r="E11" s="58"/>
      <c r="F11" s="58"/>
      <c r="G11" s="59"/>
      <c r="H11" s="59"/>
      <c r="I11" s="59"/>
      <c r="J11" s="59"/>
    </row>
    <row r="12" spans="1:10" ht="30" customHeight="1">
      <c r="A12" s="60" t="s">
        <v>1639</v>
      </c>
      <c r="B12" s="60" t="s">
        <v>54</v>
      </c>
      <c r="C12" s="60" t="s">
        <v>10565</v>
      </c>
      <c r="D12" s="60" t="s">
        <v>12410</v>
      </c>
      <c r="E12" s="60" t="s">
        <v>10</v>
      </c>
      <c r="F12" s="60" t="s">
        <v>12411</v>
      </c>
      <c r="G12" s="59"/>
      <c r="H12" s="59"/>
      <c r="I12" s="59"/>
      <c r="J12" s="59"/>
    </row>
    <row r="13" spans="1:10" ht="54.95" customHeight="1">
      <c r="A13" s="61" t="s">
        <v>238</v>
      </c>
      <c r="B13" s="61" t="s">
        <v>449</v>
      </c>
      <c r="C13" s="61" t="s">
        <v>491</v>
      </c>
      <c r="D13" s="61" t="s">
        <v>12412</v>
      </c>
      <c r="E13" s="61" t="s">
        <v>537</v>
      </c>
      <c r="F13" s="61" t="s">
        <v>12413</v>
      </c>
      <c r="G13" s="59"/>
      <c r="H13" s="59"/>
      <c r="I13" s="59"/>
      <c r="J13" s="59"/>
    </row>
    <row r="14" spans="1:10" ht="54.95" customHeight="1">
      <c r="A14" s="61" t="s">
        <v>239</v>
      </c>
      <c r="B14" s="61" t="s">
        <v>449</v>
      </c>
      <c r="C14" s="61" t="s">
        <v>491</v>
      </c>
      <c r="D14" s="61" t="s">
        <v>12414</v>
      </c>
      <c r="E14" s="61" t="s">
        <v>537</v>
      </c>
      <c r="F14" s="61" t="s">
        <v>12415</v>
      </c>
      <c r="G14" s="59"/>
      <c r="H14" s="59"/>
      <c r="I14" s="59"/>
      <c r="J14" s="59"/>
    </row>
    <row r="15" spans="1:10" ht="54.95" customHeight="1">
      <c r="A15" s="61" t="s">
        <v>240</v>
      </c>
      <c r="B15" s="61" t="s">
        <v>1058</v>
      </c>
      <c r="C15" s="61" t="s">
        <v>491</v>
      </c>
      <c r="D15" s="61" t="s">
        <v>12412</v>
      </c>
      <c r="E15" s="61" t="s">
        <v>537</v>
      </c>
      <c r="F15" s="61" t="s">
        <v>12416</v>
      </c>
      <c r="G15" s="59"/>
      <c r="H15" s="59"/>
      <c r="I15" s="59"/>
      <c r="J15" s="59"/>
    </row>
    <row r="16" spans="1:10" ht="15">
      <c r="A16" s="58"/>
      <c r="B16" s="58"/>
      <c r="C16" s="58"/>
      <c r="D16" s="58"/>
      <c r="E16" s="58"/>
      <c r="F16" s="58"/>
      <c r="G16" s="59"/>
      <c r="H16" s="59"/>
      <c r="I16" s="59"/>
      <c r="J16" s="59"/>
    </row>
    <row r="17" spans="1:10" ht="39.950000000000003" customHeight="1">
      <c r="A17" s="134" t="s">
        <v>12417</v>
      </c>
      <c r="B17" s="134"/>
      <c r="C17" s="134"/>
      <c r="D17" s="134"/>
      <c r="E17" s="134"/>
      <c r="F17" s="134"/>
      <c r="G17" s="135"/>
      <c r="H17" s="135"/>
      <c r="I17" s="135"/>
      <c r="J17" s="135"/>
    </row>
    <row r="18" spans="1:10" ht="15">
      <c r="A18" s="58"/>
      <c r="B18" s="58"/>
      <c r="C18" s="58"/>
      <c r="D18" s="58"/>
      <c r="E18" s="58"/>
      <c r="F18" s="58"/>
      <c r="G18" s="59"/>
      <c r="H18" s="59"/>
      <c r="I18" s="59"/>
      <c r="J18" s="59"/>
    </row>
    <row r="19" spans="1:10" ht="42" customHeight="1">
      <c r="A19" s="136" t="s">
        <v>12418</v>
      </c>
      <c r="B19" s="136"/>
      <c r="C19" s="136"/>
      <c r="D19" s="136"/>
      <c r="E19" s="136"/>
      <c r="F19" s="136"/>
      <c r="G19" s="120"/>
      <c r="H19" s="120"/>
      <c r="I19" s="120"/>
      <c r="J19" s="120"/>
    </row>
    <row r="20" spans="1:10" ht="15">
      <c r="A20" s="58"/>
      <c r="B20" s="58"/>
      <c r="C20" s="58"/>
      <c r="D20" s="58"/>
      <c r="E20" s="58"/>
      <c r="F20" s="58"/>
      <c r="G20" s="59"/>
      <c r="H20" s="59"/>
      <c r="I20" s="59"/>
      <c r="J20" s="59"/>
    </row>
    <row r="21" spans="1:10" ht="33.950000000000003" customHeight="1">
      <c r="A21" s="136" t="s">
        <v>12419</v>
      </c>
      <c r="B21" s="136"/>
      <c r="C21" s="136"/>
      <c r="D21" s="136"/>
      <c r="E21" s="136"/>
      <c r="F21" s="136"/>
      <c r="G21" s="120"/>
      <c r="H21" s="120"/>
      <c r="I21" s="120"/>
      <c r="J21" s="120"/>
    </row>
    <row r="23" spans="1:10">
      <c r="G23" t="s">
        <v>10</v>
      </c>
      <c r="H23" t="s">
        <v>449</v>
      </c>
      <c r="I23" t="s">
        <v>1058</v>
      </c>
    </row>
    <row r="24" spans="1:10">
      <c r="G24" t="s">
        <v>249</v>
      </c>
      <c r="H24">
        <f t="shared" ref="H24:I26" si="0">B7</f>
        <v>61</v>
      </c>
      <c r="I24">
        <f t="shared" si="0"/>
        <v>0</v>
      </c>
    </row>
    <row r="25" spans="1:10">
      <c r="G25" t="s">
        <v>615</v>
      </c>
      <c r="H25">
        <f t="shared" si="0"/>
        <v>4</v>
      </c>
      <c r="I25">
        <f t="shared" si="0"/>
        <v>0</v>
      </c>
    </row>
    <row r="26" spans="1:10">
      <c r="G26" t="s">
        <v>537</v>
      </c>
      <c r="H26">
        <f t="shared" si="0"/>
        <v>50</v>
      </c>
      <c r="I26">
        <f t="shared" si="0"/>
        <v>72</v>
      </c>
    </row>
  </sheetData>
  <mergeCells count="5">
    <mergeCell ref="A1:J2"/>
    <mergeCell ref="A3:J3"/>
    <mergeCell ref="A17:J17"/>
    <mergeCell ref="A19:J19"/>
    <mergeCell ref="A21:J21"/>
  </mergeCells>
  <conditionalFormatting sqref="E13:E15">
    <cfRule type="expression" dxfId="17" priority="1">
      <formula>E13="Not Started"</formula>
    </cfRule>
    <cfRule type="expression" dxfId="16" priority="2">
      <formula>E13="Done"</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26"/>
  <sheetViews>
    <sheetView workbookViewId="0"/>
  </sheetViews>
  <sheetFormatPr defaultRowHeight="14.25"/>
  <cols>
    <col min="1" max="1" width="16" customWidth="1"/>
    <col min="2" max="2" width="42" customWidth="1"/>
    <col min="3" max="3" width="64" customWidth="1"/>
    <col min="4" max="4" width="62" customWidth="1"/>
  </cols>
  <sheetData>
    <row r="1" spans="1:4" ht="30" customHeight="1">
      <c r="A1" s="63" t="s">
        <v>12420</v>
      </c>
      <c r="B1" s="63" t="s">
        <v>12421</v>
      </c>
      <c r="C1" s="63" t="s">
        <v>12422</v>
      </c>
      <c r="D1" s="63" t="s">
        <v>12423</v>
      </c>
    </row>
    <row r="2" spans="1:4" ht="81.95" customHeight="1">
      <c r="A2" s="32" t="s">
        <v>12424</v>
      </c>
      <c r="B2" s="32" t="s">
        <v>12425</v>
      </c>
      <c r="C2" s="32" t="s">
        <v>12426</v>
      </c>
      <c r="D2" s="32" t="s">
        <v>12427</v>
      </c>
    </row>
    <row r="3" spans="1:4" ht="81.95" customHeight="1">
      <c r="A3" s="32" t="s">
        <v>12428</v>
      </c>
      <c r="B3" s="32" t="s">
        <v>12429</v>
      </c>
      <c r="C3" s="32" t="s">
        <v>12430</v>
      </c>
      <c r="D3" s="32" t="s">
        <v>12431</v>
      </c>
    </row>
    <row r="4" spans="1:4" ht="81.95" customHeight="1">
      <c r="A4" s="32" t="s">
        <v>12432</v>
      </c>
      <c r="B4" s="32" t="s">
        <v>12433</v>
      </c>
      <c r="C4" s="32" t="s">
        <v>12434</v>
      </c>
      <c r="D4" s="32" t="s">
        <v>12435</v>
      </c>
    </row>
    <row r="5" spans="1:4" ht="81.95" customHeight="1">
      <c r="A5" s="32" t="s">
        <v>12436</v>
      </c>
      <c r="B5" s="32" t="s">
        <v>12437</v>
      </c>
      <c r="C5" s="32" t="s">
        <v>12438</v>
      </c>
      <c r="D5" s="32" t="s">
        <v>12439</v>
      </c>
    </row>
    <row r="6" spans="1:4" ht="81.95" customHeight="1">
      <c r="A6" s="32" t="s">
        <v>12440</v>
      </c>
      <c r="B6" s="32" t="s">
        <v>12441</v>
      </c>
      <c r="C6" s="32" t="s">
        <v>12442</v>
      </c>
      <c r="D6" s="32" t="s">
        <v>12443</v>
      </c>
    </row>
    <row r="7" spans="1:4" ht="81.95" customHeight="1">
      <c r="A7" s="32" t="s">
        <v>12444</v>
      </c>
      <c r="B7" s="32" t="s">
        <v>12445</v>
      </c>
      <c r="C7" s="32" t="s">
        <v>12446</v>
      </c>
      <c r="D7" s="32" t="s">
        <v>12447</v>
      </c>
    </row>
    <row r="8" spans="1:4" ht="81.95" customHeight="1">
      <c r="A8" s="32" t="s">
        <v>12448</v>
      </c>
      <c r="B8" s="32" t="s">
        <v>12449</v>
      </c>
      <c r="C8" s="32" t="s">
        <v>12450</v>
      </c>
      <c r="D8" s="32" t="s">
        <v>12451</v>
      </c>
    </row>
    <row r="9" spans="1:4" ht="81.95" customHeight="1">
      <c r="A9" s="32" t="s">
        <v>12452</v>
      </c>
      <c r="B9" s="32" t="s">
        <v>1871</v>
      </c>
      <c r="C9" s="32" t="s">
        <v>12453</v>
      </c>
      <c r="D9" s="32" t="s">
        <v>12454</v>
      </c>
    </row>
    <row r="10" spans="1:4" ht="81.95" customHeight="1">
      <c r="A10" s="32" t="s">
        <v>12455</v>
      </c>
      <c r="B10" s="32" t="s">
        <v>12456</v>
      </c>
      <c r="C10" s="32" t="s">
        <v>12457</v>
      </c>
      <c r="D10" s="32" t="s">
        <v>12458</v>
      </c>
    </row>
    <row r="11" spans="1:4" ht="81.95" customHeight="1">
      <c r="A11" s="32" t="s">
        <v>12459</v>
      </c>
      <c r="B11" s="32" t="s">
        <v>92</v>
      </c>
      <c r="C11" s="32" t="s">
        <v>12460</v>
      </c>
      <c r="D11" s="32" t="s">
        <v>12461</v>
      </c>
    </row>
    <row r="12" spans="1:4" ht="81.95" customHeight="1">
      <c r="A12" s="32" t="s">
        <v>12462</v>
      </c>
      <c r="B12" s="32" t="s">
        <v>12463</v>
      </c>
      <c r="C12" s="32" t="s">
        <v>12464</v>
      </c>
      <c r="D12" s="32" t="s">
        <v>12465</v>
      </c>
    </row>
    <row r="13" spans="1:4" ht="81.95" customHeight="1">
      <c r="A13" s="32" t="s">
        <v>12466</v>
      </c>
      <c r="B13" s="32" t="s">
        <v>12467</v>
      </c>
      <c r="C13" s="32" t="s">
        <v>12468</v>
      </c>
      <c r="D13" s="32" t="s">
        <v>12469</v>
      </c>
    </row>
    <row r="14" spans="1:4" ht="81.95" customHeight="1">
      <c r="A14" s="32" t="s">
        <v>12470</v>
      </c>
      <c r="B14" s="32" t="s">
        <v>12471</v>
      </c>
      <c r="C14" s="32" t="s">
        <v>12472</v>
      </c>
      <c r="D14" s="32" t="s">
        <v>12473</v>
      </c>
    </row>
    <row r="15" spans="1:4" ht="81.95" customHeight="1">
      <c r="A15" s="32" t="s">
        <v>12474</v>
      </c>
      <c r="B15" s="32" t="s">
        <v>12475</v>
      </c>
      <c r="C15" s="32" t="s">
        <v>12476</v>
      </c>
      <c r="D15" s="32" t="s">
        <v>12477</v>
      </c>
    </row>
    <row r="16" spans="1:4" ht="81.95" customHeight="1">
      <c r="A16" s="32" t="s">
        <v>12478</v>
      </c>
      <c r="B16" s="32" t="s">
        <v>12479</v>
      </c>
      <c r="C16" s="32" t="s">
        <v>12480</v>
      </c>
      <c r="D16" s="32" t="s">
        <v>12481</v>
      </c>
    </row>
    <row r="19" spans="1:4" ht="30" customHeight="1">
      <c r="A19" s="62" t="s">
        <v>12482</v>
      </c>
      <c r="B19" s="62" t="s">
        <v>1411</v>
      </c>
      <c r="C19" s="62" t="s">
        <v>12483</v>
      </c>
      <c r="D19" s="62" t="s">
        <v>12484</v>
      </c>
    </row>
    <row r="20" spans="1:4" ht="141.94999999999999" customHeight="1">
      <c r="A20" s="2" t="s">
        <v>238</v>
      </c>
      <c r="B20" s="2" t="s">
        <v>1449</v>
      </c>
      <c r="C20" s="2" t="s">
        <v>12485</v>
      </c>
      <c r="D20" s="2" t="s">
        <v>12486</v>
      </c>
    </row>
    <row r="21" spans="1:4" ht="141.94999999999999" customHeight="1">
      <c r="A21" s="2" t="s">
        <v>238</v>
      </c>
      <c r="B21" s="2" t="s">
        <v>1452</v>
      </c>
      <c r="C21" s="2" t="s">
        <v>12487</v>
      </c>
      <c r="D21" s="2" t="s">
        <v>12488</v>
      </c>
    </row>
    <row r="22" spans="1:4" ht="141.94999999999999" customHeight="1">
      <c r="A22" s="2" t="s">
        <v>239</v>
      </c>
      <c r="B22" s="2" t="s">
        <v>1452</v>
      </c>
      <c r="C22" s="2" t="s">
        <v>12489</v>
      </c>
      <c r="D22" s="2" t="s">
        <v>12490</v>
      </c>
    </row>
    <row r="23" spans="1:4" ht="141.94999999999999" customHeight="1">
      <c r="A23" s="2" t="s">
        <v>240</v>
      </c>
      <c r="B23" s="2" t="s">
        <v>1449</v>
      </c>
      <c r="C23" s="2" t="s">
        <v>12491</v>
      </c>
      <c r="D23" s="2" t="s">
        <v>12492</v>
      </c>
    </row>
    <row r="24" spans="1:4" ht="141.94999999999999" customHeight="1">
      <c r="A24" s="2" t="s">
        <v>240</v>
      </c>
      <c r="B24" s="2" t="s">
        <v>1452</v>
      </c>
      <c r="C24" s="2" t="s">
        <v>12493</v>
      </c>
      <c r="D24" s="2" t="s">
        <v>12494</v>
      </c>
    </row>
    <row r="26" spans="1:4" ht="81.95" customHeight="1">
      <c r="A26" s="2" t="s">
        <v>12495</v>
      </c>
      <c r="B26" s="2" t="s">
        <v>12496</v>
      </c>
      <c r="C26" s="2" t="s">
        <v>12497</v>
      </c>
      <c r="D26" s="2" t="s">
        <v>12498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8"/>
  <sheetViews>
    <sheetView workbookViewId="0"/>
  </sheetViews>
  <sheetFormatPr defaultRowHeight="14.25"/>
  <cols>
    <col min="1" max="1" width="43" customWidth="1"/>
    <col min="2" max="2" width="12" customWidth="1"/>
    <col min="3" max="3" width="16" customWidth="1"/>
    <col min="4" max="4" width="95" customWidth="1"/>
    <col min="6" max="6" width="30" customWidth="1"/>
    <col min="7" max="9" width="15" customWidth="1"/>
  </cols>
  <sheetData>
    <row r="1" spans="1:9" ht="32.1" customHeight="1">
      <c r="A1" s="62" t="s">
        <v>12499</v>
      </c>
      <c r="B1" s="62" t="s">
        <v>1907</v>
      </c>
      <c r="C1" s="62" t="s">
        <v>1908</v>
      </c>
      <c r="D1" s="62" t="s">
        <v>1797</v>
      </c>
      <c r="F1" s="63" t="s">
        <v>7109</v>
      </c>
      <c r="G1" s="63" t="s">
        <v>449</v>
      </c>
      <c r="H1" s="63" t="s">
        <v>1058</v>
      </c>
      <c r="I1" s="63" t="s">
        <v>1392</v>
      </c>
    </row>
    <row r="2" spans="1:9" ht="42" customHeight="1">
      <c r="A2" s="32" t="s">
        <v>12500</v>
      </c>
      <c r="B2" s="32">
        <v>187</v>
      </c>
      <c r="C2" s="32" t="s">
        <v>1911</v>
      </c>
      <c r="D2" s="32" t="s">
        <v>12501</v>
      </c>
      <c r="F2" t="s">
        <v>12502</v>
      </c>
      <c r="G2">
        <f>COUNTIF(Backlog!$B$2:$B$188,"M2")</f>
        <v>115</v>
      </c>
      <c r="H2">
        <f>COUNTIF(Backlog!$B$2:$B$188,"M3")</f>
        <v>72</v>
      </c>
      <c r="I2">
        <f>COUNTA(Backlog!$A$2:$A$188)</f>
        <v>187</v>
      </c>
    </row>
    <row r="3" spans="1:9" ht="42" customHeight="1">
      <c r="A3" s="32" t="s">
        <v>12503</v>
      </c>
      <c r="B3" s="32">
        <v>115</v>
      </c>
      <c r="C3" s="32" t="s">
        <v>1911</v>
      </c>
      <c r="D3" s="32" t="s">
        <v>12501</v>
      </c>
      <c r="F3" t="s">
        <v>249</v>
      </c>
      <c r="G3">
        <f>COUNTIFS(Backlog!$B$2:$B$188,"M2",Backlog!$K$2:$K$188,"Done")</f>
        <v>68</v>
      </c>
      <c r="H3">
        <f>COUNTIFS(Backlog!$B$2:$B$188,"M3",Backlog!$K$2:$K$188,"Done")</f>
        <v>0</v>
      </c>
      <c r="I3">
        <f>COUNTIF(Backlog!$K$2:$K$188,"Done")</f>
        <v>68</v>
      </c>
    </row>
    <row r="4" spans="1:9" ht="42" customHeight="1">
      <c r="A4" s="32" t="s">
        <v>12504</v>
      </c>
      <c r="B4" s="32">
        <v>72</v>
      </c>
      <c r="C4" s="32" t="s">
        <v>1911</v>
      </c>
      <c r="D4" s="32" t="s">
        <v>12501</v>
      </c>
      <c r="F4" t="s">
        <v>12505</v>
      </c>
      <c r="G4">
        <f>COUNTIFS(Backlog!$B$2:$B$188,"M2",Backlog!$K$2:$K$188,"&lt;&gt;Done",Backlog!$AM$2:$AM$188,0)</f>
        <v>18</v>
      </c>
      <c r="H4">
        <f>COUNTIFS(Backlog!$B$2:$B$188,"M3",Backlog!$K$2:$K$188,"&lt;&gt;Done",Backlog!$AM$2:$AM$188,0)</f>
        <v>13</v>
      </c>
      <c r="I4">
        <f>COUNTIFS(Backlog!$K$2:$K$188,"&lt;&gt;Done",Backlog!$AM$2:$AM$188,0)</f>
        <v>31</v>
      </c>
    </row>
    <row r="5" spans="1:9" ht="42" customHeight="1">
      <c r="A5" s="32" t="s">
        <v>249</v>
      </c>
      <c r="B5" s="32">
        <v>62</v>
      </c>
      <c r="C5" s="32" t="s">
        <v>1911</v>
      </c>
      <c r="D5" s="32" t="s">
        <v>12501</v>
      </c>
    </row>
    <row r="6" spans="1:9" ht="42" customHeight="1">
      <c r="A6" s="32" t="s">
        <v>615</v>
      </c>
      <c r="B6" s="32">
        <v>3</v>
      </c>
      <c r="C6" s="32" t="s">
        <v>1911</v>
      </c>
      <c r="D6" s="32" t="s">
        <v>12501</v>
      </c>
    </row>
    <row r="7" spans="1:9" ht="42" customHeight="1">
      <c r="A7" s="32" t="s">
        <v>537</v>
      </c>
      <c r="B7" s="32">
        <v>122</v>
      </c>
      <c r="C7" s="32" t="s">
        <v>1911</v>
      </c>
      <c r="D7" s="32" t="s">
        <v>12501</v>
      </c>
    </row>
    <row r="8" spans="1:9" ht="42" customHeight="1">
      <c r="A8" s="32" t="s">
        <v>12506</v>
      </c>
      <c r="B8" s="32">
        <v>0</v>
      </c>
      <c r="C8" s="32" t="s">
        <v>1911</v>
      </c>
      <c r="D8" s="32" t="s">
        <v>12507</v>
      </c>
    </row>
    <row r="9" spans="1:9" ht="42" customHeight="1">
      <c r="A9" s="32" t="s">
        <v>12508</v>
      </c>
      <c r="B9" s="32">
        <v>0</v>
      </c>
      <c r="C9" s="32" t="s">
        <v>1911</v>
      </c>
      <c r="D9" s="32" t="s">
        <v>12509</v>
      </c>
    </row>
    <row r="10" spans="1:9" ht="42" customHeight="1">
      <c r="A10" s="32" t="s">
        <v>12510</v>
      </c>
      <c r="B10" s="32">
        <v>187</v>
      </c>
      <c r="C10" s="32" t="s">
        <v>1911</v>
      </c>
      <c r="D10" s="32" t="s">
        <v>12511</v>
      </c>
    </row>
    <row r="11" spans="1:9" ht="42" customHeight="1">
      <c r="A11" s="32" t="s">
        <v>12512</v>
      </c>
      <c r="B11" s="32">
        <v>187</v>
      </c>
      <c r="C11" s="32" t="s">
        <v>1911</v>
      </c>
      <c r="D11" s="32" t="s">
        <v>12513</v>
      </c>
    </row>
    <row r="12" spans="1:9" ht="42" customHeight="1">
      <c r="A12" s="32" t="s">
        <v>12514</v>
      </c>
      <c r="B12" s="32">
        <v>5</v>
      </c>
      <c r="C12" s="32" t="s">
        <v>1911</v>
      </c>
      <c r="D12" s="32" t="s">
        <v>12515</v>
      </c>
    </row>
    <row r="13" spans="1:9" ht="42" customHeight="1">
      <c r="A13" s="32" t="s">
        <v>12516</v>
      </c>
      <c r="B13" s="32">
        <v>2</v>
      </c>
      <c r="C13" s="32" t="s">
        <v>1911</v>
      </c>
      <c r="D13" s="32" t="s">
        <v>12517</v>
      </c>
    </row>
    <row r="14" spans="1:9" ht="42" customHeight="1">
      <c r="A14" s="32" t="s">
        <v>12518</v>
      </c>
      <c r="B14" s="32"/>
      <c r="C14" s="32" t="s">
        <v>12519</v>
      </c>
      <c r="D14" s="32" t="s">
        <v>12520</v>
      </c>
    </row>
    <row r="15" spans="1:9" ht="42" customHeight="1">
      <c r="A15" s="32" t="s">
        <v>12521</v>
      </c>
      <c r="B15" s="32">
        <v>87</v>
      </c>
      <c r="C15" s="32" t="s">
        <v>1911</v>
      </c>
      <c r="D15" s="32" t="s">
        <v>12522</v>
      </c>
    </row>
    <row r="16" spans="1:9" ht="42" customHeight="1">
      <c r="A16" s="32" t="s">
        <v>12523</v>
      </c>
      <c r="B16" s="32">
        <v>82</v>
      </c>
      <c r="C16" s="32" t="s">
        <v>1911</v>
      </c>
      <c r="D16" s="32" t="s">
        <v>12524</v>
      </c>
    </row>
    <row r="17" spans="1:4" ht="42" customHeight="1">
      <c r="A17" s="32" t="s">
        <v>12525</v>
      </c>
      <c r="B17" s="32">
        <v>16</v>
      </c>
      <c r="C17" s="32" t="s">
        <v>1911</v>
      </c>
      <c r="D17" s="32" t="s">
        <v>12524</v>
      </c>
    </row>
    <row r="18" spans="1:4" ht="42" customHeight="1">
      <c r="A18" s="32" t="s">
        <v>12526</v>
      </c>
      <c r="B18" s="32"/>
      <c r="C18" s="32" t="s">
        <v>12527</v>
      </c>
      <c r="D18" s="32" t="s">
        <v>12528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88"/>
  <sheetViews>
    <sheetView workbookViewId="0"/>
  </sheetViews>
  <sheetFormatPr defaultRowHeight="14.25"/>
  <cols>
    <col min="1" max="1" width="12" customWidth="1"/>
    <col min="2" max="2" width="13" customWidth="1"/>
    <col min="3" max="3" width="16" customWidth="1"/>
    <col min="4" max="4" width="32" customWidth="1"/>
    <col min="5" max="5" width="48" customWidth="1"/>
    <col min="6" max="6" width="65" customWidth="1"/>
    <col min="7" max="7" width="13" customWidth="1"/>
    <col min="8" max="8" width="28" customWidth="1"/>
    <col min="9" max="9" width="36" customWidth="1"/>
    <col min="10" max="10" width="70" customWidth="1"/>
    <col min="11" max="11" width="65" customWidth="1"/>
    <col min="12" max="12" width="70" customWidth="1"/>
  </cols>
  <sheetData>
    <row r="1" spans="1:12" ht="33.950000000000003" customHeight="1">
      <c r="A1" s="75" t="s">
        <v>1599</v>
      </c>
      <c r="B1" s="75" t="s">
        <v>12529</v>
      </c>
      <c r="C1" s="75" t="s">
        <v>1597</v>
      </c>
      <c r="D1" s="75" t="s">
        <v>12530</v>
      </c>
      <c r="E1" s="75" t="s">
        <v>12531</v>
      </c>
      <c r="F1" s="75" t="s">
        <v>12532</v>
      </c>
      <c r="G1" s="75" t="s">
        <v>12533</v>
      </c>
      <c r="H1" s="75" t="s">
        <v>12534</v>
      </c>
      <c r="I1" s="75" t="s">
        <v>12535</v>
      </c>
      <c r="J1" s="75" t="s">
        <v>12536</v>
      </c>
      <c r="K1" s="75" t="s">
        <v>12537</v>
      </c>
      <c r="L1" s="75" t="s">
        <v>12538</v>
      </c>
    </row>
    <row r="2" spans="1:12" ht="69.95" customHeight="1">
      <c r="A2" s="76" t="s">
        <v>62</v>
      </c>
      <c r="B2" s="76" t="s">
        <v>8660</v>
      </c>
      <c r="C2" s="76" t="s">
        <v>249</v>
      </c>
      <c r="D2" s="76" t="s">
        <v>12539</v>
      </c>
      <c r="E2" s="76" t="s">
        <v>12540</v>
      </c>
      <c r="F2" s="76" t="s">
        <v>12541</v>
      </c>
      <c r="G2" s="77">
        <v>8</v>
      </c>
      <c r="H2" s="76" t="s">
        <v>1420</v>
      </c>
      <c r="I2" s="76"/>
      <c r="J2" s="76" t="s">
        <v>12542</v>
      </c>
      <c r="K2" s="76" t="s">
        <v>12543</v>
      </c>
      <c r="L2" s="76" t="s">
        <v>12544</v>
      </c>
    </row>
    <row r="3" spans="1:12" ht="69.95" customHeight="1">
      <c r="A3" s="76" t="s">
        <v>63</v>
      </c>
      <c r="B3" s="76" t="s">
        <v>8660</v>
      </c>
      <c r="C3" s="76" t="s">
        <v>249</v>
      </c>
      <c r="D3" s="76" t="s">
        <v>12539</v>
      </c>
      <c r="E3" s="76" t="s">
        <v>12545</v>
      </c>
      <c r="F3" s="76" t="s">
        <v>12541</v>
      </c>
      <c r="G3" s="77">
        <v>12</v>
      </c>
      <c r="H3" s="76" t="s">
        <v>1420</v>
      </c>
      <c r="I3" s="76"/>
      <c r="J3" s="76" t="s">
        <v>12546</v>
      </c>
      <c r="K3" s="76" t="s">
        <v>12543</v>
      </c>
      <c r="L3" s="76" t="s">
        <v>12544</v>
      </c>
    </row>
    <row r="4" spans="1:12" ht="69.95" customHeight="1">
      <c r="A4" s="76" t="s">
        <v>64</v>
      </c>
      <c r="B4" s="76" t="s">
        <v>8660</v>
      </c>
      <c r="C4" s="76" t="s">
        <v>249</v>
      </c>
      <c r="D4" s="76" t="s">
        <v>12539</v>
      </c>
      <c r="E4" s="76" t="s">
        <v>12547</v>
      </c>
      <c r="F4" s="76" t="s">
        <v>12541</v>
      </c>
      <c r="G4" s="77">
        <v>12</v>
      </c>
      <c r="H4" s="76" t="s">
        <v>1420</v>
      </c>
      <c r="I4" s="76"/>
      <c r="J4" s="76" t="s">
        <v>12548</v>
      </c>
      <c r="K4" s="76" t="s">
        <v>12543</v>
      </c>
      <c r="L4" s="76" t="s">
        <v>12544</v>
      </c>
    </row>
    <row r="5" spans="1:12" ht="69.95" customHeight="1">
      <c r="A5" s="76" t="s">
        <v>65</v>
      </c>
      <c r="B5" s="76" t="s">
        <v>8660</v>
      </c>
      <c r="C5" s="76" t="s">
        <v>249</v>
      </c>
      <c r="D5" s="76" t="s">
        <v>12539</v>
      </c>
      <c r="E5" s="76" t="s">
        <v>12549</v>
      </c>
      <c r="F5" s="76" t="s">
        <v>12541</v>
      </c>
      <c r="G5" s="77">
        <v>12</v>
      </c>
      <c r="H5" s="76" t="s">
        <v>1420</v>
      </c>
      <c r="I5" s="76"/>
      <c r="J5" s="76" t="s">
        <v>12550</v>
      </c>
      <c r="K5" s="76" t="s">
        <v>12543</v>
      </c>
      <c r="L5" s="76" t="s">
        <v>12544</v>
      </c>
    </row>
    <row r="6" spans="1:12" ht="69.95" customHeight="1">
      <c r="A6" s="76" t="s">
        <v>66</v>
      </c>
      <c r="B6" s="76" t="s">
        <v>8660</v>
      </c>
      <c r="C6" s="76" t="s">
        <v>249</v>
      </c>
      <c r="D6" s="76" t="s">
        <v>12539</v>
      </c>
      <c r="E6" s="76" t="s">
        <v>12551</v>
      </c>
      <c r="F6" s="76" t="s">
        <v>12541</v>
      </c>
      <c r="G6" s="77">
        <v>12</v>
      </c>
      <c r="H6" s="76" t="s">
        <v>1420</v>
      </c>
      <c r="I6" s="76"/>
      <c r="J6" s="76" t="s">
        <v>12552</v>
      </c>
      <c r="K6" s="76" t="s">
        <v>12543</v>
      </c>
      <c r="L6" s="76" t="s">
        <v>12544</v>
      </c>
    </row>
    <row r="7" spans="1:12" ht="69.95" customHeight="1">
      <c r="A7" s="76" t="s">
        <v>67</v>
      </c>
      <c r="B7" s="76" t="s">
        <v>8660</v>
      </c>
      <c r="C7" s="76" t="s">
        <v>249</v>
      </c>
      <c r="D7" s="76" t="s">
        <v>12539</v>
      </c>
      <c r="E7" s="76" t="s">
        <v>12553</v>
      </c>
      <c r="F7" s="76" t="s">
        <v>12541</v>
      </c>
      <c r="G7" s="77">
        <v>12</v>
      </c>
      <c r="H7" s="76" t="s">
        <v>1420</v>
      </c>
      <c r="I7" s="76"/>
      <c r="J7" s="76" t="s">
        <v>12554</v>
      </c>
      <c r="K7" s="76" t="s">
        <v>12543</v>
      </c>
      <c r="L7" s="76" t="s">
        <v>12544</v>
      </c>
    </row>
    <row r="8" spans="1:12" ht="69.95" customHeight="1">
      <c r="A8" s="76" t="s">
        <v>68</v>
      </c>
      <c r="B8" s="76" t="s">
        <v>8660</v>
      </c>
      <c r="C8" s="76" t="s">
        <v>249</v>
      </c>
      <c r="D8" s="76" t="s">
        <v>12539</v>
      </c>
      <c r="E8" s="76" t="s">
        <v>12555</v>
      </c>
      <c r="F8" s="76" t="s">
        <v>12541</v>
      </c>
      <c r="G8" s="77">
        <v>12</v>
      </c>
      <c r="H8" s="76" t="s">
        <v>1420</v>
      </c>
      <c r="I8" s="76"/>
      <c r="J8" s="76" t="s">
        <v>12556</v>
      </c>
      <c r="K8" s="76" t="s">
        <v>12543</v>
      </c>
      <c r="L8" s="76" t="s">
        <v>12544</v>
      </c>
    </row>
    <row r="9" spans="1:12" ht="69.95" customHeight="1">
      <c r="A9" s="76" t="s">
        <v>69</v>
      </c>
      <c r="B9" s="76" t="s">
        <v>8660</v>
      </c>
      <c r="C9" s="76" t="s">
        <v>249</v>
      </c>
      <c r="D9" s="76" t="s">
        <v>12539</v>
      </c>
      <c r="E9" s="76" t="s">
        <v>12557</v>
      </c>
      <c r="F9" s="76" t="s">
        <v>12541</v>
      </c>
      <c r="G9" s="77">
        <v>6</v>
      </c>
      <c r="H9" s="76" t="s">
        <v>1420</v>
      </c>
      <c r="I9" s="76"/>
      <c r="J9" s="76" t="s">
        <v>12558</v>
      </c>
      <c r="K9" s="76" t="s">
        <v>12543</v>
      </c>
      <c r="L9" s="76" t="s">
        <v>12544</v>
      </c>
    </row>
    <row r="10" spans="1:12" ht="69.95" customHeight="1">
      <c r="A10" s="76" t="s">
        <v>70</v>
      </c>
      <c r="B10" s="76" t="s">
        <v>8660</v>
      </c>
      <c r="C10" s="76" t="s">
        <v>249</v>
      </c>
      <c r="D10" s="76" t="s">
        <v>12539</v>
      </c>
      <c r="E10" s="76" t="s">
        <v>12559</v>
      </c>
      <c r="F10" s="76" t="s">
        <v>12541</v>
      </c>
      <c r="G10" s="77">
        <v>24</v>
      </c>
      <c r="H10" s="76" t="s">
        <v>1420</v>
      </c>
      <c r="I10" s="76"/>
      <c r="J10" s="76" t="s">
        <v>12560</v>
      </c>
      <c r="K10" s="76" t="s">
        <v>12543</v>
      </c>
      <c r="L10" s="76" t="s">
        <v>12544</v>
      </c>
    </row>
    <row r="11" spans="1:12" ht="69.95" customHeight="1">
      <c r="A11" s="76" t="s">
        <v>71</v>
      </c>
      <c r="B11" s="76" t="s">
        <v>8660</v>
      </c>
      <c r="C11" s="76" t="s">
        <v>249</v>
      </c>
      <c r="D11" s="76" t="s">
        <v>12539</v>
      </c>
      <c r="E11" s="76" t="s">
        <v>12561</v>
      </c>
      <c r="F11" s="76" t="s">
        <v>12541</v>
      </c>
      <c r="G11" s="77">
        <v>4</v>
      </c>
      <c r="H11" s="76" t="s">
        <v>1420</v>
      </c>
      <c r="I11" s="76"/>
      <c r="J11" s="76" t="s">
        <v>12562</v>
      </c>
      <c r="K11" s="76" t="s">
        <v>12543</v>
      </c>
      <c r="L11" s="76" t="s">
        <v>12544</v>
      </c>
    </row>
    <row r="12" spans="1:12" ht="69.95" customHeight="1">
      <c r="A12" s="76" t="s">
        <v>72</v>
      </c>
      <c r="B12" s="76" t="s">
        <v>8660</v>
      </c>
      <c r="C12" s="76" t="s">
        <v>249</v>
      </c>
      <c r="D12" s="76" t="s">
        <v>12539</v>
      </c>
      <c r="E12" s="76" t="s">
        <v>12563</v>
      </c>
      <c r="F12" s="76" t="s">
        <v>12541</v>
      </c>
      <c r="G12" s="77">
        <v>10</v>
      </c>
      <c r="H12" s="76" t="s">
        <v>1420</v>
      </c>
      <c r="I12" s="76"/>
      <c r="J12" s="76" t="s">
        <v>12564</v>
      </c>
      <c r="K12" s="76" t="s">
        <v>12543</v>
      </c>
      <c r="L12" s="76" t="s">
        <v>12544</v>
      </c>
    </row>
    <row r="13" spans="1:12" ht="69.95" customHeight="1">
      <c r="A13" s="76" t="s">
        <v>73</v>
      </c>
      <c r="B13" s="76" t="s">
        <v>8660</v>
      </c>
      <c r="C13" s="76" t="s">
        <v>249</v>
      </c>
      <c r="D13" s="76" t="s">
        <v>12539</v>
      </c>
      <c r="E13" s="76" t="s">
        <v>12565</v>
      </c>
      <c r="F13" s="76" t="s">
        <v>12541</v>
      </c>
      <c r="G13" s="77">
        <v>10</v>
      </c>
      <c r="H13" s="76" t="s">
        <v>1420</v>
      </c>
      <c r="I13" s="76"/>
      <c r="J13" s="76" t="s">
        <v>12566</v>
      </c>
      <c r="K13" s="76" t="s">
        <v>12543</v>
      </c>
      <c r="L13" s="76" t="s">
        <v>12544</v>
      </c>
    </row>
    <row r="14" spans="1:12" ht="69.95" customHeight="1">
      <c r="A14" s="76" t="s">
        <v>74</v>
      </c>
      <c r="B14" s="76" t="s">
        <v>8660</v>
      </c>
      <c r="C14" s="76" t="s">
        <v>249</v>
      </c>
      <c r="D14" s="76" t="s">
        <v>12539</v>
      </c>
      <c r="E14" s="76" t="s">
        <v>12567</v>
      </c>
      <c r="F14" s="76" t="s">
        <v>12541</v>
      </c>
      <c r="G14" s="77">
        <v>10</v>
      </c>
      <c r="H14" s="76" t="s">
        <v>1420</v>
      </c>
      <c r="I14" s="76"/>
      <c r="J14" s="76" t="s">
        <v>12568</v>
      </c>
      <c r="K14" s="76" t="s">
        <v>12543</v>
      </c>
      <c r="L14" s="76" t="s">
        <v>12544</v>
      </c>
    </row>
    <row r="15" spans="1:12" ht="69.95" customHeight="1">
      <c r="A15" s="76" t="s">
        <v>75</v>
      </c>
      <c r="B15" s="76" t="s">
        <v>8660</v>
      </c>
      <c r="C15" s="76" t="s">
        <v>249</v>
      </c>
      <c r="D15" s="76" t="s">
        <v>12539</v>
      </c>
      <c r="E15" s="76" t="s">
        <v>12569</v>
      </c>
      <c r="F15" s="76" t="s">
        <v>12541</v>
      </c>
      <c r="G15" s="77">
        <v>8</v>
      </c>
      <c r="H15" s="76" t="s">
        <v>1420</v>
      </c>
      <c r="I15" s="76"/>
      <c r="J15" s="76" t="s">
        <v>12570</v>
      </c>
      <c r="K15" s="76" t="s">
        <v>12543</v>
      </c>
      <c r="L15" s="76" t="s">
        <v>12544</v>
      </c>
    </row>
    <row r="16" spans="1:12" ht="69.95" customHeight="1">
      <c r="A16" s="76" t="s">
        <v>76</v>
      </c>
      <c r="B16" s="76" t="s">
        <v>8660</v>
      </c>
      <c r="C16" s="76" t="s">
        <v>249</v>
      </c>
      <c r="D16" s="76" t="s">
        <v>12539</v>
      </c>
      <c r="E16" s="76" t="s">
        <v>12571</v>
      </c>
      <c r="F16" s="76" t="s">
        <v>12541</v>
      </c>
      <c r="G16" s="77">
        <v>8</v>
      </c>
      <c r="H16" s="76" t="s">
        <v>1420</v>
      </c>
      <c r="I16" s="76"/>
      <c r="J16" s="76" t="s">
        <v>12572</v>
      </c>
      <c r="K16" s="76" t="s">
        <v>12573</v>
      </c>
      <c r="L16" s="76" t="s">
        <v>12544</v>
      </c>
    </row>
    <row r="17" spans="1:12" ht="69.95" customHeight="1">
      <c r="A17" s="76" t="s">
        <v>77</v>
      </c>
      <c r="B17" s="76" t="s">
        <v>8660</v>
      </c>
      <c r="C17" s="76" t="s">
        <v>249</v>
      </c>
      <c r="D17" s="76" t="s">
        <v>12539</v>
      </c>
      <c r="E17" s="76" t="s">
        <v>12574</v>
      </c>
      <c r="F17" s="76" t="s">
        <v>12541</v>
      </c>
      <c r="G17" s="77">
        <v>10</v>
      </c>
      <c r="H17" s="76" t="s">
        <v>1420</v>
      </c>
      <c r="I17" s="76"/>
      <c r="J17" s="76" t="s">
        <v>12575</v>
      </c>
      <c r="K17" s="76" t="s">
        <v>12543</v>
      </c>
      <c r="L17" s="76" t="s">
        <v>12544</v>
      </c>
    </row>
    <row r="18" spans="1:12" ht="69.95" customHeight="1">
      <c r="A18" s="76" t="s">
        <v>78</v>
      </c>
      <c r="B18" s="76" t="s">
        <v>8660</v>
      </c>
      <c r="C18" s="76" t="s">
        <v>249</v>
      </c>
      <c r="D18" s="76" t="s">
        <v>12539</v>
      </c>
      <c r="E18" s="76" t="s">
        <v>12576</v>
      </c>
      <c r="F18" s="76" t="s">
        <v>12541</v>
      </c>
      <c r="G18" s="77">
        <v>6</v>
      </c>
      <c r="H18" s="76" t="s">
        <v>1420</v>
      </c>
      <c r="I18" s="76"/>
      <c r="J18" s="76" t="s">
        <v>12577</v>
      </c>
      <c r="K18" s="76" t="s">
        <v>12543</v>
      </c>
      <c r="L18" s="76" t="s">
        <v>12544</v>
      </c>
    </row>
    <row r="19" spans="1:12" ht="69.95" customHeight="1">
      <c r="A19" s="76" t="s">
        <v>79</v>
      </c>
      <c r="B19" s="76" t="s">
        <v>8660</v>
      </c>
      <c r="C19" s="76" t="s">
        <v>249</v>
      </c>
      <c r="D19" s="76" t="s">
        <v>12539</v>
      </c>
      <c r="E19" s="76" t="s">
        <v>12578</v>
      </c>
      <c r="F19" s="76" t="s">
        <v>12541</v>
      </c>
      <c r="G19" s="77">
        <v>12</v>
      </c>
      <c r="H19" s="76" t="s">
        <v>1420</v>
      </c>
      <c r="I19" s="76"/>
      <c r="J19" s="76" t="s">
        <v>12579</v>
      </c>
      <c r="K19" s="76" t="s">
        <v>12543</v>
      </c>
      <c r="L19" s="76" t="s">
        <v>12544</v>
      </c>
    </row>
    <row r="20" spans="1:12" ht="69.95" customHeight="1">
      <c r="A20" s="76" t="s">
        <v>80</v>
      </c>
      <c r="B20" s="76" t="s">
        <v>8660</v>
      </c>
      <c r="C20" s="76" t="s">
        <v>249</v>
      </c>
      <c r="D20" s="76" t="s">
        <v>12539</v>
      </c>
      <c r="E20" s="76" t="s">
        <v>12580</v>
      </c>
      <c r="F20" s="76" t="s">
        <v>12541</v>
      </c>
      <c r="G20" s="77">
        <v>5</v>
      </c>
      <c r="H20" s="76" t="s">
        <v>1420</v>
      </c>
      <c r="I20" s="76"/>
      <c r="J20" s="76" t="s">
        <v>12581</v>
      </c>
      <c r="K20" s="76" t="s">
        <v>12543</v>
      </c>
      <c r="L20" s="76" t="s">
        <v>12544</v>
      </c>
    </row>
    <row r="21" spans="1:12" ht="69.95" customHeight="1">
      <c r="A21" s="76" t="s">
        <v>81</v>
      </c>
      <c r="B21" s="76" t="s">
        <v>8660</v>
      </c>
      <c r="C21" s="76" t="s">
        <v>249</v>
      </c>
      <c r="D21" s="76" t="s">
        <v>12539</v>
      </c>
      <c r="E21" s="76" t="s">
        <v>12582</v>
      </c>
      <c r="F21" s="76" t="s">
        <v>12541</v>
      </c>
      <c r="G21" s="77">
        <v>6</v>
      </c>
      <c r="H21" s="76" t="s">
        <v>1420</v>
      </c>
      <c r="I21" s="76"/>
      <c r="J21" s="76" t="s">
        <v>12583</v>
      </c>
      <c r="K21" s="76" t="s">
        <v>12543</v>
      </c>
      <c r="L21" s="76" t="s">
        <v>12544</v>
      </c>
    </row>
    <row r="22" spans="1:12" ht="69.95" customHeight="1">
      <c r="A22" s="76" t="s">
        <v>82</v>
      </c>
      <c r="B22" s="76" t="s">
        <v>8660</v>
      </c>
      <c r="C22" s="76" t="s">
        <v>249</v>
      </c>
      <c r="D22" s="76" t="s">
        <v>12539</v>
      </c>
      <c r="E22" s="76" t="s">
        <v>12584</v>
      </c>
      <c r="F22" s="76" t="s">
        <v>12541</v>
      </c>
      <c r="G22" s="77">
        <v>6</v>
      </c>
      <c r="H22" s="76" t="s">
        <v>1420</v>
      </c>
      <c r="I22" s="76"/>
      <c r="J22" s="76" t="s">
        <v>12585</v>
      </c>
      <c r="K22" s="76" t="s">
        <v>12543</v>
      </c>
      <c r="L22" s="76" t="s">
        <v>12544</v>
      </c>
    </row>
    <row r="23" spans="1:12" ht="69.95" customHeight="1">
      <c r="A23" s="76" t="s">
        <v>83</v>
      </c>
      <c r="B23" s="76" t="s">
        <v>8660</v>
      </c>
      <c r="C23" s="76" t="s">
        <v>249</v>
      </c>
      <c r="D23" s="76" t="s">
        <v>12586</v>
      </c>
      <c r="E23" s="76" t="s">
        <v>2221</v>
      </c>
      <c r="F23" s="76" t="s">
        <v>12587</v>
      </c>
      <c r="G23" s="77">
        <v>12</v>
      </c>
      <c r="H23" s="76" t="s">
        <v>1420</v>
      </c>
      <c r="I23" s="76"/>
      <c r="J23" s="76" t="s">
        <v>2223</v>
      </c>
      <c r="K23" s="76" t="s">
        <v>12543</v>
      </c>
      <c r="L23" s="76" t="s">
        <v>12588</v>
      </c>
    </row>
    <row r="24" spans="1:12" ht="69.95" customHeight="1">
      <c r="A24" s="76" t="s">
        <v>84</v>
      </c>
      <c r="B24" s="76" t="s">
        <v>8660</v>
      </c>
      <c r="C24" s="76" t="s">
        <v>249</v>
      </c>
      <c r="D24" s="76" t="s">
        <v>12539</v>
      </c>
      <c r="E24" s="76" t="s">
        <v>12571</v>
      </c>
      <c r="F24" s="76" t="s">
        <v>12541</v>
      </c>
      <c r="G24" s="77">
        <v>8</v>
      </c>
      <c r="H24" s="76" t="s">
        <v>1420</v>
      </c>
      <c r="I24" s="76"/>
      <c r="J24" s="76" t="s">
        <v>12589</v>
      </c>
      <c r="K24" s="76" t="s">
        <v>12573</v>
      </c>
      <c r="L24" s="76" t="s">
        <v>12544</v>
      </c>
    </row>
    <row r="25" spans="1:12" ht="69.95" customHeight="1">
      <c r="A25" s="76" t="s">
        <v>85</v>
      </c>
      <c r="B25" s="76" t="s">
        <v>8660</v>
      </c>
      <c r="C25" s="76" t="s">
        <v>249</v>
      </c>
      <c r="D25" s="76" t="s">
        <v>12590</v>
      </c>
      <c r="E25" s="76" t="s">
        <v>12591</v>
      </c>
      <c r="F25" s="76" t="s">
        <v>12592</v>
      </c>
      <c r="G25" s="77">
        <v>12</v>
      </c>
      <c r="H25" s="76" t="s">
        <v>1420</v>
      </c>
      <c r="I25" s="76"/>
      <c r="J25" s="76" t="s">
        <v>2248</v>
      </c>
      <c r="K25" s="76" t="s">
        <v>12543</v>
      </c>
      <c r="L25" s="76" t="s">
        <v>12593</v>
      </c>
    </row>
    <row r="26" spans="1:12" ht="69.95" customHeight="1">
      <c r="A26" s="76" t="s">
        <v>86</v>
      </c>
      <c r="B26" s="76" t="s">
        <v>8660</v>
      </c>
      <c r="C26" s="76" t="s">
        <v>249</v>
      </c>
      <c r="D26" s="76" t="s">
        <v>12539</v>
      </c>
      <c r="E26" s="76" t="s">
        <v>12571</v>
      </c>
      <c r="F26" s="76" t="s">
        <v>12541</v>
      </c>
      <c r="G26" s="77">
        <v>2</v>
      </c>
      <c r="H26" s="76" t="s">
        <v>1420</v>
      </c>
      <c r="I26" s="76"/>
      <c r="J26" s="76" t="s">
        <v>12594</v>
      </c>
      <c r="K26" s="76" t="s">
        <v>12573</v>
      </c>
      <c r="L26" s="76" t="s">
        <v>12544</v>
      </c>
    </row>
    <row r="27" spans="1:12" ht="69.95" customHeight="1">
      <c r="A27" s="76" t="s">
        <v>87</v>
      </c>
      <c r="B27" s="76" t="s">
        <v>8660</v>
      </c>
      <c r="C27" s="76" t="s">
        <v>249</v>
      </c>
      <c r="D27" s="76" t="s">
        <v>12539</v>
      </c>
      <c r="E27" s="76" t="s">
        <v>12571</v>
      </c>
      <c r="F27" s="76" t="s">
        <v>12541</v>
      </c>
      <c r="G27" s="77">
        <v>6</v>
      </c>
      <c r="H27" s="76" t="s">
        <v>1420</v>
      </c>
      <c r="I27" s="76"/>
      <c r="J27" s="76" t="s">
        <v>12595</v>
      </c>
      <c r="K27" s="76" t="s">
        <v>12573</v>
      </c>
      <c r="L27" s="76" t="s">
        <v>12544</v>
      </c>
    </row>
    <row r="28" spans="1:12" ht="69.95" customHeight="1">
      <c r="A28" s="76" t="s">
        <v>88</v>
      </c>
      <c r="B28" s="76" t="s">
        <v>1175</v>
      </c>
      <c r="C28" s="76" t="s">
        <v>249</v>
      </c>
      <c r="D28" s="76" t="s">
        <v>7938</v>
      </c>
      <c r="E28" s="76" t="s">
        <v>12596</v>
      </c>
      <c r="F28" s="76" t="s">
        <v>12597</v>
      </c>
      <c r="G28" s="77">
        <v>12</v>
      </c>
      <c r="H28" s="76" t="s">
        <v>12598</v>
      </c>
      <c r="I28" s="76"/>
      <c r="J28" s="76" t="s">
        <v>1654</v>
      </c>
      <c r="K28" s="76" t="s">
        <v>12543</v>
      </c>
      <c r="L28" s="76" t="s">
        <v>12599</v>
      </c>
    </row>
    <row r="29" spans="1:12" ht="69.95" customHeight="1">
      <c r="A29" s="76" t="s">
        <v>89</v>
      </c>
      <c r="B29" s="76" t="s">
        <v>1175</v>
      </c>
      <c r="C29" s="76" t="s">
        <v>249</v>
      </c>
      <c r="D29" s="76" t="s">
        <v>7938</v>
      </c>
      <c r="E29" s="76" t="s">
        <v>12600</v>
      </c>
      <c r="F29" s="76" t="s">
        <v>12601</v>
      </c>
      <c r="G29" s="77">
        <v>8</v>
      </c>
      <c r="H29" s="76" t="s">
        <v>12598</v>
      </c>
      <c r="I29" s="76"/>
      <c r="J29" s="76" t="s">
        <v>1659</v>
      </c>
      <c r="K29" s="76" t="s">
        <v>12543</v>
      </c>
      <c r="L29" s="76" t="s">
        <v>12602</v>
      </c>
    </row>
    <row r="30" spans="1:12" ht="69.95" customHeight="1">
      <c r="A30" s="76" t="s">
        <v>90</v>
      </c>
      <c r="B30" s="76" t="s">
        <v>1175</v>
      </c>
      <c r="C30" s="76" t="s">
        <v>249</v>
      </c>
      <c r="D30" s="76" t="s">
        <v>7941</v>
      </c>
      <c r="E30" s="76" t="s">
        <v>12603</v>
      </c>
      <c r="F30" s="76" t="s">
        <v>12604</v>
      </c>
      <c r="G30" s="77">
        <v>6</v>
      </c>
      <c r="H30" s="76" t="s">
        <v>12598</v>
      </c>
      <c r="I30" s="76"/>
      <c r="J30" s="76" t="s">
        <v>1662</v>
      </c>
      <c r="K30" s="76" t="s">
        <v>12543</v>
      </c>
      <c r="L30" s="76" t="s">
        <v>12602</v>
      </c>
    </row>
    <row r="31" spans="1:12" ht="69.95" customHeight="1">
      <c r="A31" s="76" t="s">
        <v>91</v>
      </c>
      <c r="B31" s="76" t="s">
        <v>1175</v>
      </c>
      <c r="C31" s="76" t="s">
        <v>537</v>
      </c>
      <c r="D31" s="76" t="s">
        <v>7943</v>
      </c>
      <c r="E31" s="76" t="s">
        <v>12571</v>
      </c>
      <c r="F31" s="76" t="s">
        <v>12605</v>
      </c>
      <c r="G31" s="77">
        <v>12</v>
      </c>
      <c r="H31" s="76" t="s">
        <v>12606</v>
      </c>
      <c r="I31" s="76"/>
      <c r="J31" s="76" t="s">
        <v>1665</v>
      </c>
      <c r="K31" s="76" t="s">
        <v>12607</v>
      </c>
      <c r="L31" s="76" t="s">
        <v>12608</v>
      </c>
    </row>
    <row r="32" spans="1:12" ht="69.95" customHeight="1">
      <c r="A32" s="76" t="s">
        <v>92</v>
      </c>
      <c r="B32" s="76" t="s">
        <v>1175</v>
      </c>
      <c r="C32" s="76" t="s">
        <v>249</v>
      </c>
      <c r="D32" s="76" t="s">
        <v>7945</v>
      </c>
      <c r="E32" s="76" t="s">
        <v>12609</v>
      </c>
      <c r="F32" s="76" t="s">
        <v>12610</v>
      </c>
      <c r="G32" s="77">
        <v>8</v>
      </c>
      <c r="H32" s="76" t="s">
        <v>12598</v>
      </c>
      <c r="I32" s="76"/>
      <c r="J32" s="76" t="s">
        <v>1670</v>
      </c>
      <c r="K32" s="76" t="s">
        <v>12543</v>
      </c>
      <c r="L32" s="76" t="s">
        <v>12602</v>
      </c>
    </row>
    <row r="33" spans="1:12" ht="69.95" customHeight="1">
      <c r="A33" s="76" t="s">
        <v>93</v>
      </c>
      <c r="B33" s="76" t="s">
        <v>1175</v>
      </c>
      <c r="C33" s="76" t="s">
        <v>249</v>
      </c>
      <c r="D33" s="76" t="s">
        <v>8616</v>
      </c>
      <c r="E33" s="76" t="s">
        <v>8847</v>
      </c>
      <c r="F33" s="76" t="s">
        <v>8848</v>
      </c>
      <c r="G33" s="77" t="s">
        <v>12611</v>
      </c>
      <c r="H33" s="76" t="s">
        <v>635</v>
      </c>
      <c r="I33" s="76" t="s">
        <v>92</v>
      </c>
      <c r="J33" s="76" t="s">
        <v>7809</v>
      </c>
      <c r="K33" s="76" t="s">
        <v>7811</v>
      </c>
      <c r="L33" s="76" t="s">
        <v>12612</v>
      </c>
    </row>
    <row r="34" spans="1:12" ht="69.95" customHeight="1">
      <c r="A34" s="76" t="s">
        <v>94</v>
      </c>
      <c r="B34" s="76" t="s">
        <v>1175</v>
      </c>
      <c r="C34" s="76" t="s">
        <v>537</v>
      </c>
      <c r="D34" s="76" t="s">
        <v>7947</v>
      </c>
      <c r="E34" s="76" t="s">
        <v>12571</v>
      </c>
      <c r="F34" s="76" t="s">
        <v>12613</v>
      </c>
      <c r="G34" s="77" t="s">
        <v>12614</v>
      </c>
      <c r="H34" s="76" t="s">
        <v>12615</v>
      </c>
      <c r="I34" s="76"/>
      <c r="J34" s="76" t="s">
        <v>1680</v>
      </c>
      <c r="K34" s="76" t="s">
        <v>12616</v>
      </c>
      <c r="L34" s="76" t="s">
        <v>12617</v>
      </c>
    </row>
    <row r="35" spans="1:12" ht="69.95" customHeight="1">
      <c r="A35" s="76" t="s">
        <v>95</v>
      </c>
      <c r="B35" s="76" t="s">
        <v>1175</v>
      </c>
      <c r="C35" s="76" t="s">
        <v>537</v>
      </c>
      <c r="D35" s="76" t="s">
        <v>7949</v>
      </c>
      <c r="E35" s="76" t="s">
        <v>12571</v>
      </c>
      <c r="F35" s="76" t="s">
        <v>12618</v>
      </c>
      <c r="G35" s="77">
        <v>8</v>
      </c>
      <c r="H35" s="76" t="s">
        <v>12619</v>
      </c>
      <c r="I35" s="76"/>
      <c r="J35" s="76" t="s">
        <v>1684</v>
      </c>
      <c r="K35" s="76" t="s">
        <v>12607</v>
      </c>
      <c r="L35" s="76" t="s">
        <v>12620</v>
      </c>
    </row>
    <row r="36" spans="1:12" ht="69.95" customHeight="1">
      <c r="A36" s="76" t="s">
        <v>96</v>
      </c>
      <c r="B36" s="76" t="s">
        <v>1175</v>
      </c>
      <c r="C36" s="76" t="s">
        <v>537</v>
      </c>
      <c r="D36" s="76" t="s">
        <v>7952</v>
      </c>
      <c r="E36" s="76" t="s">
        <v>12571</v>
      </c>
      <c r="F36" s="76" t="s">
        <v>12621</v>
      </c>
      <c r="G36" s="77" t="s">
        <v>12611</v>
      </c>
      <c r="H36" s="76" t="s">
        <v>12622</v>
      </c>
      <c r="I36" s="76" t="s">
        <v>95</v>
      </c>
      <c r="J36" s="76" t="s">
        <v>1688</v>
      </c>
      <c r="K36" s="76" t="s">
        <v>12623</v>
      </c>
      <c r="L36" s="76" t="s">
        <v>12624</v>
      </c>
    </row>
    <row r="37" spans="1:12" ht="69.95" customHeight="1">
      <c r="A37" s="76" t="s">
        <v>97</v>
      </c>
      <c r="B37" s="76" t="s">
        <v>1175</v>
      </c>
      <c r="C37" s="76" t="s">
        <v>537</v>
      </c>
      <c r="D37" s="76" t="s">
        <v>7955</v>
      </c>
      <c r="E37" s="76" t="s">
        <v>12571</v>
      </c>
      <c r="F37" s="76" t="s">
        <v>12625</v>
      </c>
      <c r="G37" s="77" t="s">
        <v>12626</v>
      </c>
      <c r="H37" s="76" t="s">
        <v>12627</v>
      </c>
      <c r="I37" s="76" t="s">
        <v>119</v>
      </c>
      <c r="J37" s="76" t="s">
        <v>1692</v>
      </c>
      <c r="K37" s="76" t="s">
        <v>12628</v>
      </c>
      <c r="L37" s="76" t="s">
        <v>12629</v>
      </c>
    </row>
    <row r="38" spans="1:12" ht="69.95" customHeight="1">
      <c r="A38" s="76" t="s">
        <v>98</v>
      </c>
      <c r="B38" s="76" t="s">
        <v>1175</v>
      </c>
      <c r="C38" s="76" t="s">
        <v>249</v>
      </c>
      <c r="D38" s="76" t="s">
        <v>8859</v>
      </c>
      <c r="E38" s="76" t="s">
        <v>8858</v>
      </c>
      <c r="F38" s="76" t="s">
        <v>8860</v>
      </c>
      <c r="G38" s="77" t="s">
        <v>12614</v>
      </c>
      <c r="H38" s="76" t="s">
        <v>1420</v>
      </c>
      <c r="I38" s="76" t="s">
        <v>1036</v>
      </c>
      <c r="J38" s="76" t="s">
        <v>1698</v>
      </c>
      <c r="K38" s="76" t="s">
        <v>12630</v>
      </c>
      <c r="L38" s="76" t="s">
        <v>12612</v>
      </c>
    </row>
    <row r="39" spans="1:12" ht="69.95" customHeight="1">
      <c r="A39" s="76" t="s">
        <v>99</v>
      </c>
      <c r="B39" s="76" t="s">
        <v>1175</v>
      </c>
      <c r="C39" s="76" t="s">
        <v>537</v>
      </c>
      <c r="D39" s="76" t="s">
        <v>7960</v>
      </c>
      <c r="E39" s="76" t="s">
        <v>12571</v>
      </c>
      <c r="F39" s="76" t="s">
        <v>12631</v>
      </c>
      <c r="G39" s="77">
        <v>16</v>
      </c>
      <c r="H39" s="76" t="s">
        <v>12632</v>
      </c>
      <c r="I39" s="76" t="s">
        <v>12633</v>
      </c>
      <c r="J39" s="76" t="s">
        <v>1702</v>
      </c>
      <c r="K39" s="76" t="s">
        <v>12634</v>
      </c>
      <c r="L39" s="76" t="s">
        <v>12635</v>
      </c>
    </row>
    <row r="40" spans="1:12" ht="69.95" customHeight="1">
      <c r="A40" s="76" t="s">
        <v>100</v>
      </c>
      <c r="B40" s="76" t="s">
        <v>1175</v>
      </c>
      <c r="C40" s="76" t="s">
        <v>537</v>
      </c>
      <c r="D40" s="76" t="s">
        <v>7962</v>
      </c>
      <c r="E40" s="76" t="s">
        <v>12571</v>
      </c>
      <c r="F40" s="76" t="s">
        <v>12636</v>
      </c>
      <c r="G40" s="77" t="s">
        <v>1508</v>
      </c>
      <c r="H40" s="76" t="s">
        <v>12637</v>
      </c>
      <c r="I40" s="76" t="s">
        <v>97</v>
      </c>
      <c r="J40" s="76" t="s">
        <v>1706</v>
      </c>
      <c r="K40" s="76" t="s">
        <v>12630</v>
      </c>
      <c r="L40" s="76" t="s">
        <v>12638</v>
      </c>
    </row>
    <row r="41" spans="1:12" ht="69.95" customHeight="1">
      <c r="A41" s="76" t="s">
        <v>101</v>
      </c>
      <c r="B41" s="76" t="s">
        <v>1175</v>
      </c>
      <c r="C41" s="76" t="s">
        <v>537</v>
      </c>
      <c r="D41" s="76" t="s">
        <v>7965</v>
      </c>
      <c r="E41" s="76" t="s">
        <v>12571</v>
      </c>
      <c r="F41" s="76" t="s">
        <v>12639</v>
      </c>
      <c r="G41" s="77">
        <v>6</v>
      </c>
      <c r="H41" s="76" t="s">
        <v>12640</v>
      </c>
      <c r="I41" s="76" t="s">
        <v>12641</v>
      </c>
      <c r="J41" s="76" t="s">
        <v>1710</v>
      </c>
      <c r="K41" s="76" t="s">
        <v>12607</v>
      </c>
      <c r="L41" s="76" t="s">
        <v>12642</v>
      </c>
    </row>
    <row r="42" spans="1:12" ht="69.95" customHeight="1">
      <c r="A42" s="76" t="s">
        <v>102</v>
      </c>
      <c r="B42" s="76" t="s">
        <v>1175</v>
      </c>
      <c r="C42" s="76" t="s">
        <v>249</v>
      </c>
      <c r="D42" s="76" t="s">
        <v>7967</v>
      </c>
      <c r="E42" s="76" t="s">
        <v>12571</v>
      </c>
      <c r="F42" s="76" t="s">
        <v>12643</v>
      </c>
      <c r="G42" s="77">
        <v>6</v>
      </c>
      <c r="H42" s="76" t="s">
        <v>12598</v>
      </c>
      <c r="I42" s="76"/>
      <c r="J42" s="76" t="s">
        <v>1714</v>
      </c>
      <c r="K42" s="76" t="s">
        <v>12573</v>
      </c>
      <c r="L42" s="76" t="s">
        <v>12602</v>
      </c>
    </row>
    <row r="43" spans="1:12" ht="69.95" customHeight="1">
      <c r="A43" s="76" t="s">
        <v>103</v>
      </c>
      <c r="B43" s="76" t="s">
        <v>1175</v>
      </c>
      <c r="C43" s="76" t="s">
        <v>537</v>
      </c>
      <c r="D43" s="76" t="s">
        <v>7969</v>
      </c>
      <c r="E43" s="76" t="s">
        <v>12571</v>
      </c>
      <c r="F43" s="76" t="s">
        <v>12644</v>
      </c>
      <c r="G43" s="77">
        <v>10</v>
      </c>
      <c r="H43" s="76" t="s">
        <v>12606</v>
      </c>
      <c r="I43" s="76" t="s">
        <v>12645</v>
      </c>
      <c r="J43" s="76" t="s">
        <v>1717</v>
      </c>
      <c r="K43" s="76" t="s">
        <v>12543</v>
      </c>
      <c r="L43" s="76" t="s">
        <v>12646</v>
      </c>
    </row>
    <row r="44" spans="1:12" ht="69.95" customHeight="1">
      <c r="A44" s="76" t="s">
        <v>104</v>
      </c>
      <c r="B44" s="76" t="s">
        <v>1175</v>
      </c>
      <c r="C44" s="76" t="s">
        <v>249</v>
      </c>
      <c r="D44" s="76" t="s">
        <v>7971</v>
      </c>
      <c r="E44" s="76" t="s">
        <v>12647</v>
      </c>
      <c r="F44" s="76" t="s">
        <v>12648</v>
      </c>
      <c r="G44" s="77">
        <v>8</v>
      </c>
      <c r="H44" s="76" t="s">
        <v>12598</v>
      </c>
      <c r="I44" s="76"/>
      <c r="J44" s="76" t="s">
        <v>1721</v>
      </c>
      <c r="K44" s="76" t="s">
        <v>12543</v>
      </c>
      <c r="L44" s="76" t="s">
        <v>12602</v>
      </c>
    </row>
    <row r="45" spans="1:12" ht="69.95" customHeight="1">
      <c r="A45" s="76" t="s">
        <v>105</v>
      </c>
      <c r="B45" s="76" t="s">
        <v>1175</v>
      </c>
      <c r="C45" s="76" t="s">
        <v>537</v>
      </c>
      <c r="D45" s="76" t="s">
        <v>7973</v>
      </c>
      <c r="E45" s="76" t="s">
        <v>12571</v>
      </c>
      <c r="F45" s="76" t="s">
        <v>12649</v>
      </c>
      <c r="G45" s="77" t="s">
        <v>12614</v>
      </c>
      <c r="H45" s="76" t="s">
        <v>12650</v>
      </c>
      <c r="I45" s="76"/>
      <c r="J45" s="76" t="s">
        <v>1724</v>
      </c>
      <c r="K45" s="76" t="s">
        <v>12543</v>
      </c>
      <c r="L45" s="76" t="s">
        <v>12651</v>
      </c>
    </row>
    <row r="46" spans="1:12" ht="69.95" customHeight="1">
      <c r="A46" s="76" t="s">
        <v>106</v>
      </c>
      <c r="B46" s="76" t="s">
        <v>1175</v>
      </c>
      <c r="C46" s="76" t="s">
        <v>537</v>
      </c>
      <c r="D46" s="76" t="s">
        <v>7975</v>
      </c>
      <c r="E46" s="76" t="s">
        <v>12571</v>
      </c>
      <c r="F46" s="76" t="s">
        <v>12652</v>
      </c>
      <c r="G46" s="77" t="s">
        <v>12614</v>
      </c>
      <c r="H46" s="76" t="s">
        <v>12650</v>
      </c>
      <c r="I46" s="76" t="s">
        <v>105</v>
      </c>
      <c r="J46" s="76" t="s">
        <v>1728</v>
      </c>
      <c r="K46" s="76" t="s">
        <v>12543</v>
      </c>
      <c r="L46" s="76" t="s">
        <v>12653</v>
      </c>
    </row>
    <row r="47" spans="1:12" ht="69.95" customHeight="1">
      <c r="A47" s="76" t="s">
        <v>107</v>
      </c>
      <c r="B47" s="76" t="s">
        <v>1175</v>
      </c>
      <c r="C47" s="76" t="s">
        <v>537</v>
      </c>
      <c r="D47" s="76" t="s">
        <v>7977</v>
      </c>
      <c r="E47" s="76" t="s">
        <v>12571</v>
      </c>
      <c r="F47" s="76" t="s">
        <v>12654</v>
      </c>
      <c r="G47" s="77" t="s">
        <v>12614</v>
      </c>
      <c r="H47" s="76" t="s">
        <v>12655</v>
      </c>
      <c r="I47" s="76" t="s">
        <v>584</v>
      </c>
      <c r="J47" s="76" t="s">
        <v>1732</v>
      </c>
      <c r="K47" s="76" t="s">
        <v>12543</v>
      </c>
      <c r="L47" s="76" t="s">
        <v>12656</v>
      </c>
    </row>
    <row r="48" spans="1:12" ht="69.95" customHeight="1">
      <c r="A48" s="76" t="s">
        <v>108</v>
      </c>
      <c r="B48" s="76" t="s">
        <v>1175</v>
      </c>
      <c r="C48" s="76" t="s">
        <v>537</v>
      </c>
      <c r="D48" s="76" t="s">
        <v>7979</v>
      </c>
      <c r="E48" s="76" t="s">
        <v>12571</v>
      </c>
      <c r="F48" s="76" t="s">
        <v>12657</v>
      </c>
      <c r="G48" s="77">
        <v>6</v>
      </c>
      <c r="H48" s="76" t="s">
        <v>12658</v>
      </c>
      <c r="I48" s="76" t="s">
        <v>142</v>
      </c>
      <c r="J48" s="76" t="s">
        <v>1736</v>
      </c>
      <c r="K48" s="76" t="s">
        <v>12543</v>
      </c>
      <c r="L48" s="76" t="s">
        <v>12659</v>
      </c>
    </row>
    <row r="49" spans="1:12" ht="69.95" customHeight="1">
      <c r="A49" s="76" t="s">
        <v>109</v>
      </c>
      <c r="B49" s="76" t="s">
        <v>1175</v>
      </c>
      <c r="C49" s="76" t="s">
        <v>615</v>
      </c>
      <c r="D49" s="76" t="s">
        <v>8936</v>
      </c>
      <c r="E49" s="76"/>
      <c r="F49" s="76" t="s">
        <v>8937</v>
      </c>
      <c r="G49" s="77">
        <v>5</v>
      </c>
      <c r="H49" s="76" t="s">
        <v>1420</v>
      </c>
      <c r="I49" s="76" t="s">
        <v>588</v>
      </c>
      <c r="J49" s="76" t="s">
        <v>1740</v>
      </c>
      <c r="K49" s="76" t="s">
        <v>12543</v>
      </c>
      <c r="L49" s="76" t="s">
        <v>12612</v>
      </c>
    </row>
    <row r="50" spans="1:12" ht="69.95" customHeight="1">
      <c r="A50" s="76" t="s">
        <v>110</v>
      </c>
      <c r="B50" s="76" t="s">
        <v>1175</v>
      </c>
      <c r="C50" s="76" t="s">
        <v>537</v>
      </c>
      <c r="D50" s="76" t="s">
        <v>7983</v>
      </c>
      <c r="E50" s="76" t="s">
        <v>12571</v>
      </c>
      <c r="F50" s="76" t="s">
        <v>12660</v>
      </c>
      <c r="G50" s="77" t="s">
        <v>12661</v>
      </c>
      <c r="H50" s="76" t="s">
        <v>12662</v>
      </c>
      <c r="I50" s="76"/>
      <c r="J50" s="76" t="s">
        <v>1744</v>
      </c>
      <c r="K50" s="76" t="s">
        <v>12630</v>
      </c>
      <c r="L50" s="76" t="s">
        <v>12663</v>
      </c>
    </row>
    <row r="51" spans="1:12" ht="69.95" customHeight="1">
      <c r="A51" s="76" t="s">
        <v>111</v>
      </c>
      <c r="B51" s="76" t="s">
        <v>1175</v>
      </c>
      <c r="C51" s="76" t="s">
        <v>249</v>
      </c>
      <c r="D51" s="76" t="s">
        <v>7985</v>
      </c>
      <c r="E51" s="76" t="s">
        <v>12664</v>
      </c>
      <c r="F51" s="76" t="s">
        <v>12665</v>
      </c>
      <c r="G51" s="77">
        <v>10</v>
      </c>
      <c r="H51" s="76" t="s">
        <v>12598</v>
      </c>
      <c r="I51" s="76"/>
      <c r="J51" s="76" t="s">
        <v>1748</v>
      </c>
      <c r="K51" s="76" t="s">
        <v>12543</v>
      </c>
      <c r="L51" s="76" t="s">
        <v>12602</v>
      </c>
    </row>
    <row r="52" spans="1:12" ht="69.95" customHeight="1">
      <c r="A52" s="76" t="s">
        <v>112</v>
      </c>
      <c r="B52" s="76" t="s">
        <v>1175</v>
      </c>
      <c r="C52" s="76" t="s">
        <v>249</v>
      </c>
      <c r="D52" s="76" t="s">
        <v>7987</v>
      </c>
      <c r="E52" s="76" t="s">
        <v>12666</v>
      </c>
      <c r="F52" s="76" t="s">
        <v>12667</v>
      </c>
      <c r="G52" s="77">
        <v>16</v>
      </c>
      <c r="H52" s="76" t="s">
        <v>12598</v>
      </c>
      <c r="I52" s="76"/>
      <c r="J52" s="76" t="s">
        <v>1751</v>
      </c>
      <c r="K52" s="76" t="s">
        <v>12543</v>
      </c>
      <c r="L52" s="76" t="s">
        <v>12602</v>
      </c>
    </row>
    <row r="53" spans="1:12" ht="69.95" customHeight="1">
      <c r="A53" s="76" t="s">
        <v>113</v>
      </c>
      <c r="B53" s="76" t="s">
        <v>1175</v>
      </c>
      <c r="C53" s="76" t="s">
        <v>249</v>
      </c>
      <c r="D53" s="76" t="s">
        <v>8958</v>
      </c>
      <c r="E53" s="76" t="s">
        <v>8956</v>
      </c>
      <c r="F53" s="76" t="s">
        <v>8959</v>
      </c>
      <c r="G53" s="77" t="s">
        <v>12614</v>
      </c>
      <c r="H53" s="76" t="s">
        <v>635</v>
      </c>
      <c r="I53" s="76" t="s">
        <v>602</v>
      </c>
      <c r="J53" s="76" t="s">
        <v>1755</v>
      </c>
      <c r="K53" s="76" t="s">
        <v>12630</v>
      </c>
      <c r="L53" s="76" t="s">
        <v>12612</v>
      </c>
    </row>
    <row r="54" spans="1:12" ht="69.95" customHeight="1">
      <c r="A54" s="76" t="s">
        <v>114</v>
      </c>
      <c r="B54" s="76" t="s">
        <v>1175</v>
      </c>
      <c r="C54" s="76" t="s">
        <v>249</v>
      </c>
      <c r="D54" s="76" t="s">
        <v>7991</v>
      </c>
      <c r="E54" s="76" t="s">
        <v>12668</v>
      </c>
      <c r="F54" s="76" t="s">
        <v>12669</v>
      </c>
      <c r="G54" s="77">
        <v>14</v>
      </c>
      <c r="H54" s="76" t="s">
        <v>12598</v>
      </c>
      <c r="I54" s="76"/>
      <c r="J54" s="76" t="s">
        <v>1759</v>
      </c>
      <c r="K54" s="76" t="s">
        <v>12543</v>
      </c>
      <c r="L54" s="76" t="s">
        <v>12602</v>
      </c>
    </row>
    <row r="55" spans="1:12" ht="69.95" customHeight="1">
      <c r="A55" s="76" t="s">
        <v>115</v>
      </c>
      <c r="B55" s="76" t="s">
        <v>1175</v>
      </c>
      <c r="C55" s="76" t="s">
        <v>537</v>
      </c>
      <c r="D55" s="76" t="s">
        <v>7993</v>
      </c>
      <c r="E55" s="76" t="s">
        <v>12670</v>
      </c>
      <c r="F55" s="76" t="s">
        <v>12671</v>
      </c>
      <c r="G55" s="77">
        <v>12</v>
      </c>
      <c r="H55" s="76" t="s">
        <v>12672</v>
      </c>
      <c r="I55" s="76" t="s">
        <v>12673</v>
      </c>
      <c r="J55" s="76" t="s">
        <v>1762</v>
      </c>
      <c r="K55" s="76" t="s">
        <v>12543</v>
      </c>
      <c r="L55" s="76" t="s">
        <v>12674</v>
      </c>
    </row>
    <row r="56" spans="1:12" ht="69.95" customHeight="1">
      <c r="A56" s="76" t="s">
        <v>116</v>
      </c>
      <c r="B56" s="76" t="s">
        <v>1175</v>
      </c>
      <c r="C56" s="76" t="s">
        <v>537</v>
      </c>
      <c r="D56" s="76" t="s">
        <v>7996</v>
      </c>
      <c r="E56" s="76" t="s">
        <v>12571</v>
      </c>
      <c r="F56" s="76" t="s">
        <v>12675</v>
      </c>
      <c r="G56" s="77">
        <v>12</v>
      </c>
      <c r="H56" s="76" t="s">
        <v>12627</v>
      </c>
      <c r="I56" s="76" t="s">
        <v>12676</v>
      </c>
      <c r="J56" s="76" t="s">
        <v>1766</v>
      </c>
      <c r="K56" s="76" t="s">
        <v>12543</v>
      </c>
      <c r="L56" s="76" t="s">
        <v>12677</v>
      </c>
    </row>
    <row r="57" spans="1:12" ht="69.95" customHeight="1">
      <c r="A57" s="76" t="s">
        <v>117</v>
      </c>
      <c r="B57" s="76" t="s">
        <v>1175</v>
      </c>
      <c r="C57" s="76" t="s">
        <v>249</v>
      </c>
      <c r="D57" s="76" t="s">
        <v>7998</v>
      </c>
      <c r="E57" s="76" t="s">
        <v>12678</v>
      </c>
      <c r="F57" s="76" t="s">
        <v>12679</v>
      </c>
      <c r="G57" s="77">
        <v>12</v>
      </c>
      <c r="H57" s="76" t="s">
        <v>12598</v>
      </c>
      <c r="I57" s="76"/>
      <c r="J57" s="76" t="s">
        <v>1771</v>
      </c>
      <c r="K57" s="76" t="s">
        <v>12573</v>
      </c>
      <c r="L57" s="76" t="s">
        <v>12602</v>
      </c>
    </row>
    <row r="58" spans="1:12" ht="69.95" customHeight="1">
      <c r="A58" s="76" t="s">
        <v>118</v>
      </c>
      <c r="B58" s="76" t="s">
        <v>1175</v>
      </c>
      <c r="C58" s="76" t="s">
        <v>615</v>
      </c>
      <c r="D58" s="76" t="s">
        <v>8000</v>
      </c>
      <c r="E58" s="76" t="s">
        <v>2594</v>
      </c>
      <c r="F58" s="76" t="s">
        <v>12680</v>
      </c>
      <c r="G58" s="77" t="s">
        <v>12611</v>
      </c>
      <c r="H58" s="76" t="s">
        <v>12681</v>
      </c>
      <c r="I58" s="76"/>
      <c r="J58" s="76" t="s">
        <v>1775</v>
      </c>
      <c r="K58" s="76" t="s">
        <v>12630</v>
      </c>
      <c r="L58" s="76" t="s">
        <v>12682</v>
      </c>
    </row>
    <row r="59" spans="1:12" ht="69.95" customHeight="1">
      <c r="A59" s="76" t="s">
        <v>119</v>
      </c>
      <c r="B59" s="76" t="s">
        <v>1175</v>
      </c>
      <c r="C59" s="76" t="s">
        <v>615</v>
      </c>
      <c r="D59" s="76" t="s">
        <v>7813</v>
      </c>
      <c r="E59" s="76" t="s">
        <v>12571</v>
      </c>
      <c r="F59" s="76" t="s">
        <v>7815</v>
      </c>
      <c r="G59" s="77">
        <v>12</v>
      </c>
      <c r="H59" s="76" t="s">
        <v>12683</v>
      </c>
      <c r="I59" s="76" t="s">
        <v>120</v>
      </c>
      <c r="J59" s="76" t="s">
        <v>1781</v>
      </c>
      <c r="K59" s="76" t="s">
        <v>12543</v>
      </c>
      <c r="L59" s="76" t="s">
        <v>7817</v>
      </c>
    </row>
    <row r="60" spans="1:12" ht="69.95" customHeight="1">
      <c r="A60" s="76" t="s">
        <v>120</v>
      </c>
      <c r="B60" s="76" t="s">
        <v>1175</v>
      </c>
      <c r="C60" s="76" t="s">
        <v>249</v>
      </c>
      <c r="D60" s="76" t="s">
        <v>9006</v>
      </c>
      <c r="E60" s="76" t="s">
        <v>9003</v>
      </c>
      <c r="F60" s="76" t="s">
        <v>9007</v>
      </c>
      <c r="G60" s="77" t="s">
        <v>1508</v>
      </c>
      <c r="H60" s="76" t="s">
        <v>635</v>
      </c>
      <c r="I60" s="76" t="s">
        <v>1495</v>
      </c>
      <c r="J60" s="76" t="s">
        <v>1786</v>
      </c>
      <c r="K60" s="76" t="s">
        <v>12630</v>
      </c>
      <c r="L60" s="76" t="s">
        <v>12612</v>
      </c>
    </row>
    <row r="61" spans="1:12" ht="69.95" customHeight="1">
      <c r="A61" s="76" t="s">
        <v>121</v>
      </c>
      <c r="B61" s="76" t="s">
        <v>9011</v>
      </c>
      <c r="C61" s="76" t="s">
        <v>537</v>
      </c>
      <c r="D61" s="76" t="s">
        <v>12539</v>
      </c>
      <c r="E61" s="76" t="s">
        <v>12571</v>
      </c>
      <c r="F61" s="76" t="s">
        <v>12541</v>
      </c>
      <c r="G61" s="77">
        <v>8</v>
      </c>
      <c r="H61" s="76" t="s">
        <v>1420</v>
      </c>
      <c r="I61" s="76"/>
      <c r="J61" s="76" t="s">
        <v>12684</v>
      </c>
      <c r="K61" s="76" t="s">
        <v>12543</v>
      </c>
      <c r="L61" s="76" t="s">
        <v>12544</v>
      </c>
    </row>
    <row r="62" spans="1:12" ht="69.95" customHeight="1">
      <c r="A62" s="76" t="s">
        <v>122</v>
      </c>
      <c r="B62" s="76" t="s">
        <v>9011</v>
      </c>
      <c r="C62" s="76" t="s">
        <v>537</v>
      </c>
      <c r="D62" s="76" t="s">
        <v>12539</v>
      </c>
      <c r="E62" s="76" t="s">
        <v>12571</v>
      </c>
      <c r="F62" s="76" t="s">
        <v>12541</v>
      </c>
      <c r="G62" s="77">
        <v>10</v>
      </c>
      <c r="H62" s="76" t="s">
        <v>1420</v>
      </c>
      <c r="I62" s="76" t="s">
        <v>12685</v>
      </c>
      <c r="J62" s="76" t="s">
        <v>12686</v>
      </c>
      <c r="K62" s="76" t="s">
        <v>12543</v>
      </c>
      <c r="L62" s="76" t="s">
        <v>12544</v>
      </c>
    </row>
    <row r="63" spans="1:12" ht="69.95" customHeight="1">
      <c r="A63" s="76" t="s">
        <v>123</v>
      </c>
      <c r="B63" s="76" t="s">
        <v>9011</v>
      </c>
      <c r="C63" s="76" t="s">
        <v>537</v>
      </c>
      <c r="D63" s="76" t="s">
        <v>12539</v>
      </c>
      <c r="E63" s="76" t="s">
        <v>12571</v>
      </c>
      <c r="F63" s="76" t="s">
        <v>12541</v>
      </c>
      <c r="G63" s="77">
        <v>10</v>
      </c>
      <c r="H63" s="76" t="s">
        <v>1420</v>
      </c>
      <c r="I63" s="76" t="s">
        <v>122</v>
      </c>
      <c r="J63" s="76" t="s">
        <v>12687</v>
      </c>
      <c r="K63" s="76" t="s">
        <v>12543</v>
      </c>
      <c r="L63" s="76" t="s">
        <v>12544</v>
      </c>
    </row>
    <row r="64" spans="1:12" ht="69.95" customHeight="1">
      <c r="A64" s="76" t="s">
        <v>124</v>
      </c>
      <c r="B64" s="76" t="s">
        <v>9011</v>
      </c>
      <c r="C64" s="76" t="s">
        <v>537</v>
      </c>
      <c r="D64" s="76" t="s">
        <v>12539</v>
      </c>
      <c r="E64" s="76" t="s">
        <v>12571</v>
      </c>
      <c r="F64" s="76" t="s">
        <v>12541</v>
      </c>
      <c r="G64" s="77">
        <v>8</v>
      </c>
      <c r="H64" s="76" t="s">
        <v>1420</v>
      </c>
      <c r="I64" s="76"/>
      <c r="J64" s="76" t="s">
        <v>12688</v>
      </c>
      <c r="K64" s="76" t="s">
        <v>12543</v>
      </c>
      <c r="L64" s="76" t="s">
        <v>12544</v>
      </c>
    </row>
    <row r="65" spans="1:12" ht="69.95" customHeight="1">
      <c r="A65" s="76" t="s">
        <v>125</v>
      </c>
      <c r="B65" s="76" t="s">
        <v>9041</v>
      </c>
      <c r="C65" s="76" t="s">
        <v>249</v>
      </c>
      <c r="D65" s="76" t="s">
        <v>12539</v>
      </c>
      <c r="E65" s="76" t="s">
        <v>12571</v>
      </c>
      <c r="F65" s="76" t="s">
        <v>12541</v>
      </c>
      <c r="G65" s="77">
        <v>10</v>
      </c>
      <c r="H65" s="76" t="s">
        <v>1420</v>
      </c>
      <c r="I65" s="76"/>
      <c r="J65" s="76" t="s">
        <v>12689</v>
      </c>
      <c r="K65" s="76" t="s">
        <v>12573</v>
      </c>
      <c r="L65" s="76" t="s">
        <v>12544</v>
      </c>
    </row>
    <row r="66" spans="1:12" ht="69.95" customHeight="1">
      <c r="A66" s="76" t="s">
        <v>126</v>
      </c>
      <c r="B66" s="76" t="s">
        <v>9041</v>
      </c>
      <c r="C66" s="76" t="s">
        <v>249</v>
      </c>
      <c r="D66" s="76" t="s">
        <v>12539</v>
      </c>
      <c r="E66" s="76" t="s">
        <v>12690</v>
      </c>
      <c r="F66" s="76" t="s">
        <v>12541</v>
      </c>
      <c r="G66" s="77">
        <v>12</v>
      </c>
      <c r="H66" s="76" t="s">
        <v>1420</v>
      </c>
      <c r="I66" s="76"/>
      <c r="J66" s="76" t="s">
        <v>12691</v>
      </c>
      <c r="K66" s="76" t="s">
        <v>12543</v>
      </c>
      <c r="L66" s="76" t="s">
        <v>12544</v>
      </c>
    </row>
    <row r="67" spans="1:12" ht="69.95" customHeight="1">
      <c r="A67" s="76" t="s">
        <v>127</v>
      </c>
      <c r="B67" s="76" t="s">
        <v>9041</v>
      </c>
      <c r="C67" s="76" t="s">
        <v>249</v>
      </c>
      <c r="D67" s="76" t="s">
        <v>12539</v>
      </c>
      <c r="E67" s="76" t="s">
        <v>12692</v>
      </c>
      <c r="F67" s="76" t="s">
        <v>12541</v>
      </c>
      <c r="G67" s="77">
        <v>10</v>
      </c>
      <c r="H67" s="76" t="s">
        <v>1420</v>
      </c>
      <c r="I67" s="76"/>
      <c r="J67" s="76" t="s">
        <v>12693</v>
      </c>
      <c r="K67" s="76" t="s">
        <v>12543</v>
      </c>
      <c r="L67" s="76" t="s">
        <v>12544</v>
      </c>
    </row>
    <row r="68" spans="1:12" ht="69.95" customHeight="1">
      <c r="A68" s="76" t="s">
        <v>128</v>
      </c>
      <c r="B68" s="76" t="s">
        <v>9041</v>
      </c>
      <c r="C68" s="76" t="s">
        <v>249</v>
      </c>
      <c r="D68" s="76" t="s">
        <v>12539</v>
      </c>
      <c r="E68" s="76" t="s">
        <v>12694</v>
      </c>
      <c r="F68" s="76" t="s">
        <v>12541</v>
      </c>
      <c r="G68" s="77">
        <v>10</v>
      </c>
      <c r="H68" s="76" t="s">
        <v>1420</v>
      </c>
      <c r="I68" s="76"/>
      <c r="J68" s="76" t="s">
        <v>12695</v>
      </c>
      <c r="K68" s="76" t="s">
        <v>12543</v>
      </c>
      <c r="L68" s="76" t="s">
        <v>12544</v>
      </c>
    </row>
    <row r="69" spans="1:12" ht="69.95" customHeight="1">
      <c r="A69" s="76" t="s">
        <v>129</v>
      </c>
      <c r="B69" s="76" t="s">
        <v>9041</v>
      </c>
      <c r="C69" s="76" t="s">
        <v>249</v>
      </c>
      <c r="D69" s="76" t="s">
        <v>12539</v>
      </c>
      <c r="E69" s="76" t="s">
        <v>12696</v>
      </c>
      <c r="F69" s="76" t="s">
        <v>12541</v>
      </c>
      <c r="G69" s="77">
        <v>10</v>
      </c>
      <c r="H69" s="76" t="s">
        <v>1420</v>
      </c>
      <c r="I69" s="76"/>
      <c r="J69" s="76" t="s">
        <v>12697</v>
      </c>
      <c r="K69" s="76" t="s">
        <v>12543</v>
      </c>
      <c r="L69" s="76" t="s">
        <v>12544</v>
      </c>
    </row>
    <row r="70" spans="1:12" ht="69.95" customHeight="1">
      <c r="A70" s="76" t="s">
        <v>130</v>
      </c>
      <c r="B70" s="76" t="s">
        <v>9041</v>
      </c>
      <c r="C70" s="76" t="s">
        <v>249</v>
      </c>
      <c r="D70" s="76" t="s">
        <v>12539</v>
      </c>
      <c r="E70" s="76" t="s">
        <v>12698</v>
      </c>
      <c r="F70" s="76" t="s">
        <v>12541</v>
      </c>
      <c r="G70" s="77">
        <v>12</v>
      </c>
      <c r="H70" s="76" t="s">
        <v>1420</v>
      </c>
      <c r="I70" s="76"/>
      <c r="J70" s="76" t="s">
        <v>12699</v>
      </c>
      <c r="K70" s="76" t="s">
        <v>12543</v>
      </c>
      <c r="L70" s="76" t="s">
        <v>12544</v>
      </c>
    </row>
    <row r="71" spans="1:12" ht="69.95" customHeight="1">
      <c r="A71" s="76" t="s">
        <v>131</v>
      </c>
      <c r="B71" s="76" t="s">
        <v>9041</v>
      </c>
      <c r="C71" s="76" t="s">
        <v>249</v>
      </c>
      <c r="D71" s="76" t="s">
        <v>12539</v>
      </c>
      <c r="E71" s="76" t="s">
        <v>12700</v>
      </c>
      <c r="F71" s="76" t="s">
        <v>12541</v>
      </c>
      <c r="G71" s="77">
        <v>12</v>
      </c>
      <c r="H71" s="76" t="s">
        <v>1420</v>
      </c>
      <c r="I71" s="76"/>
      <c r="J71" s="76" t="s">
        <v>12701</v>
      </c>
      <c r="K71" s="76" t="s">
        <v>12543</v>
      </c>
      <c r="L71" s="76" t="s">
        <v>12544</v>
      </c>
    </row>
    <row r="72" spans="1:12" ht="69.95" customHeight="1">
      <c r="A72" s="76" t="s">
        <v>132</v>
      </c>
      <c r="B72" s="76" t="s">
        <v>9041</v>
      </c>
      <c r="C72" s="76" t="s">
        <v>249</v>
      </c>
      <c r="D72" s="76" t="s">
        <v>12539</v>
      </c>
      <c r="E72" s="76" t="s">
        <v>12702</v>
      </c>
      <c r="F72" s="76" t="s">
        <v>12541</v>
      </c>
      <c r="G72" s="77">
        <v>10</v>
      </c>
      <c r="H72" s="76" t="s">
        <v>1420</v>
      </c>
      <c r="I72" s="76"/>
      <c r="J72" s="76" t="s">
        <v>12703</v>
      </c>
      <c r="K72" s="76" t="s">
        <v>12543</v>
      </c>
      <c r="L72" s="76" t="s">
        <v>12544</v>
      </c>
    </row>
    <row r="73" spans="1:12" ht="69.95" customHeight="1">
      <c r="A73" s="76" t="s">
        <v>133</v>
      </c>
      <c r="B73" s="76" t="s">
        <v>9041</v>
      </c>
      <c r="C73" s="76" t="s">
        <v>249</v>
      </c>
      <c r="D73" s="76" t="s">
        <v>12539</v>
      </c>
      <c r="E73" s="76" t="s">
        <v>12704</v>
      </c>
      <c r="F73" s="76" t="s">
        <v>12541</v>
      </c>
      <c r="G73" s="77">
        <v>12</v>
      </c>
      <c r="H73" s="76" t="s">
        <v>1420</v>
      </c>
      <c r="I73" s="76"/>
      <c r="J73" s="76" t="s">
        <v>12705</v>
      </c>
      <c r="K73" s="76" t="s">
        <v>12543</v>
      </c>
      <c r="L73" s="76" t="s">
        <v>12544</v>
      </c>
    </row>
    <row r="74" spans="1:12" ht="69.95" customHeight="1">
      <c r="A74" s="76" t="s">
        <v>134</v>
      </c>
      <c r="B74" s="76" t="s">
        <v>9041</v>
      </c>
      <c r="C74" s="76" t="s">
        <v>249</v>
      </c>
      <c r="D74" s="76" t="s">
        <v>12539</v>
      </c>
      <c r="E74" s="76" t="s">
        <v>12706</v>
      </c>
      <c r="F74" s="76" t="s">
        <v>12541</v>
      </c>
      <c r="G74" s="77">
        <v>12</v>
      </c>
      <c r="H74" s="76" t="s">
        <v>1420</v>
      </c>
      <c r="I74" s="76"/>
      <c r="J74" s="76" t="s">
        <v>12707</v>
      </c>
      <c r="K74" s="76" t="s">
        <v>12543</v>
      </c>
      <c r="L74" s="76" t="s">
        <v>12544</v>
      </c>
    </row>
    <row r="75" spans="1:12" ht="69.95" customHeight="1">
      <c r="A75" s="76" t="s">
        <v>135</v>
      </c>
      <c r="B75" s="76" t="s">
        <v>9041</v>
      </c>
      <c r="C75" s="76" t="s">
        <v>249</v>
      </c>
      <c r="D75" s="76" t="s">
        <v>12539</v>
      </c>
      <c r="E75" s="76" t="s">
        <v>12708</v>
      </c>
      <c r="F75" s="76" t="s">
        <v>12541</v>
      </c>
      <c r="G75" s="77">
        <v>10</v>
      </c>
      <c r="H75" s="76" t="s">
        <v>1420</v>
      </c>
      <c r="I75" s="76"/>
      <c r="J75" s="76" t="s">
        <v>12709</v>
      </c>
      <c r="K75" s="76" t="s">
        <v>12543</v>
      </c>
      <c r="L75" s="76" t="s">
        <v>12544</v>
      </c>
    </row>
    <row r="76" spans="1:12" ht="69.95" customHeight="1">
      <c r="A76" s="76" t="s">
        <v>136</v>
      </c>
      <c r="B76" s="76" t="s">
        <v>9041</v>
      </c>
      <c r="C76" s="76" t="s">
        <v>249</v>
      </c>
      <c r="D76" s="76" t="s">
        <v>12539</v>
      </c>
      <c r="E76" s="76" t="s">
        <v>12710</v>
      </c>
      <c r="F76" s="76" t="s">
        <v>12541</v>
      </c>
      <c r="G76" s="77">
        <v>8</v>
      </c>
      <c r="H76" s="76" t="s">
        <v>1420</v>
      </c>
      <c r="I76" s="76"/>
      <c r="J76" s="76" t="s">
        <v>12711</v>
      </c>
      <c r="K76" s="76" t="s">
        <v>12543</v>
      </c>
      <c r="L76" s="76" t="s">
        <v>12544</v>
      </c>
    </row>
    <row r="77" spans="1:12" ht="69.95" customHeight="1">
      <c r="A77" s="76" t="s">
        <v>137</v>
      </c>
      <c r="B77" s="76" t="s">
        <v>9041</v>
      </c>
      <c r="C77" s="76" t="s">
        <v>249</v>
      </c>
      <c r="D77" s="76" t="s">
        <v>12539</v>
      </c>
      <c r="E77" s="76" t="s">
        <v>12712</v>
      </c>
      <c r="F77" s="76" t="s">
        <v>12541</v>
      </c>
      <c r="G77" s="77">
        <v>10</v>
      </c>
      <c r="H77" s="76" t="s">
        <v>1420</v>
      </c>
      <c r="I77" s="76"/>
      <c r="J77" s="76" t="s">
        <v>12713</v>
      </c>
      <c r="K77" s="76" t="s">
        <v>12543</v>
      </c>
      <c r="L77" s="76" t="s">
        <v>12544</v>
      </c>
    </row>
    <row r="78" spans="1:12" ht="69.95" customHeight="1">
      <c r="A78" s="76" t="s">
        <v>138</v>
      </c>
      <c r="B78" s="76" t="s">
        <v>9041</v>
      </c>
      <c r="C78" s="76" t="s">
        <v>249</v>
      </c>
      <c r="D78" s="76" t="s">
        <v>12539</v>
      </c>
      <c r="E78" s="76" t="s">
        <v>12714</v>
      </c>
      <c r="F78" s="76" t="s">
        <v>12541</v>
      </c>
      <c r="G78" s="77">
        <v>12</v>
      </c>
      <c r="H78" s="76" t="s">
        <v>1420</v>
      </c>
      <c r="I78" s="76"/>
      <c r="J78" s="76" t="s">
        <v>12715</v>
      </c>
      <c r="K78" s="76" t="s">
        <v>12543</v>
      </c>
      <c r="L78" s="76" t="s">
        <v>12544</v>
      </c>
    </row>
    <row r="79" spans="1:12" ht="69.95" customHeight="1">
      <c r="A79" s="76" t="s">
        <v>139</v>
      </c>
      <c r="B79" s="76" t="s">
        <v>9041</v>
      </c>
      <c r="C79" s="76" t="s">
        <v>249</v>
      </c>
      <c r="D79" s="76" t="s">
        <v>12539</v>
      </c>
      <c r="E79" s="76" t="s">
        <v>12716</v>
      </c>
      <c r="F79" s="76" t="s">
        <v>12541</v>
      </c>
      <c r="G79" s="77">
        <v>12</v>
      </c>
      <c r="H79" s="76" t="s">
        <v>1420</v>
      </c>
      <c r="I79" s="76"/>
      <c r="J79" s="76" t="s">
        <v>12717</v>
      </c>
      <c r="K79" s="76" t="s">
        <v>12543</v>
      </c>
      <c r="L79" s="76" t="s">
        <v>12544</v>
      </c>
    </row>
    <row r="80" spans="1:12" ht="69.95" customHeight="1">
      <c r="A80" s="76" t="s">
        <v>140</v>
      </c>
      <c r="B80" s="76" t="s">
        <v>9041</v>
      </c>
      <c r="C80" s="76" t="s">
        <v>249</v>
      </c>
      <c r="D80" s="76" t="s">
        <v>12539</v>
      </c>
      <c r="E80" s="76" t="s">
        <v>12571</v>
      </c>
      <c r="F80" s="76" t="s">
        <v>12541</v>
      </c>
      <c r="G80" s="77">
        <v>10</v>
      </c>
      <c r="H80" s="76" t="s">
        <v>1420</v>
      </c>
      <c r="I80" s="76"/>
      <c r="J80" s="76" t="s">
        <v>12718</v>
      </c>
      <c r="K80" s="76" t="s">
        <v>12573</v>
      </c>
      <c r="L80" s="76" t="s">
        <v>12544</v>
      </c>
    </row>
    <row r="81" spans="1:12" ht="69.95" customHeight="1">
      <c r="A81" s="76" t="s">
        <v>141</v>
      </c>
      <c r="B81" s="76" t="s">
        <v>9041</v>
      </c>
      <c r="C81" s="76" t="s">
        <v>537</v>
      </c>
      <c r="D81" s="76" t="s">
        <v>12539</v>
      </c>
      <c r="E81" s="76" t="s">
        <v>12571</v>
      </c>
      <c r="F81" s="76" t="s">
        <v>12541</v>
      </c>
      <c r="G81" s="77">
        <v>10</v>
      </c>
      <c r="H81" s="76" t="s">
        <v>1420</v>
      </c>
      <c r="I81" s="76"/>
      <c r="J81" s="76" t="s">
        <v>12719</v>
      </c>
      <c r="K81" s="76" t="s">
        <v>12543</v>
      </c>
      <c r="L81" s="76" t="s">
        <v>12544</v>
      </c>
    </row>
    <row r="82" spans="1:12" ht="69.95" customHeight="1">
      <c r="A82" s="76" t="s">
        <v>142</v>
      </c>
      <c r="B82" s="76" t="s">
        <v>9041</v>
      </c>
      <c r="C82" s="76" t="s">
        <v>537</v>
      </c>
      <c r="D82" s="76" t="s">
        <v>12539</v>
      </c>
      <c r="E82" s="76" t="s">
        <v>12571</v>
      </c>
      <c r="F82" s="76" t="s">
        <v>12541</v>
      </c>
      <c r="G82" s="77">
        <v>6</v>
      </c>
      <c r="H82" s="76" t="s">
        <v>1420</v>
      </c>
      <c r="I82" s="76"/>
      <c r="J82" s="76" t="s">
        <v>12720</v>
      </c>
      <c r="K82" s="76" t="s">
        <v>12543</v>
      </c>
      <c r="L82" s="76" t="s">
        <v>12544</v>
      </c>
    </row>
    <row r="83" spans="1:12" ht="69.95" customHeight="1">
      <c r="A83" s="76" t="s">
        <v>143</v>
      </c>
      <c r="B83" s="76" t="s">
        <v>9041</v>
      </c>
      <c r="C83" s="76" t="s">
        <v>249</v>
      </c>
      <c r="D83" s="76" t="s">
        <v>12539</v>
      </c>
      <c r="E83" s="76" t="s">
        <v>12571</v>
      </c>
      <c r="F83" s="76" t="s">
        <v>12541</v>
      </c>
      <c r="G83" s="77">
        <v>10</v>
      </c>
      <c r="H83" s="76" t="s">
        <v>1420</v>
      </c>
      <c r="I83" s="76"/>
      <c r="J83" s="76" t="s">
        <v>12721</v>
      </c>
      <c r="K83" s="76" t="s">
        <v>12573</v>
      </c>
      <c r="L83" s="76" t="s">
        <v>12544</v>
      </c>
    </row>
    <row r="84" spans="1:12" ht="69.95" customHeight="1">
      <c r="A84" s="76" t="s">
        <v>144</v>
      </c>
      <c r="B84" s="76" t="s">
        <v>9041</v>
      </c>
      <c r="C84" s="76" t="s">
        <v>249</v>
      </c>
      <c r="D84" s="76" t="s">
        <v>12539</v>
      </c>
      <c r="E84" s="76" t="s">
        <v>12571</v>
      </c>
      <c r="F84" s="76" t="s">
        <v>12541</v>
      </c>
      <c r="G84" s="77">
        <v>8</v>
      </c>
      <c r="H84" s="76" t="s">
        <v>1420</v>
      </c>
      <c r="I84" s="76"/>
      <c r="J84" s="76" t="s">
        <v>12722</v>
      </c>
      <c r="K84" s="76" t="s">
        <v>12573</v>
      </c>
      <c r="L84" s="76" t="s">
        <v>12544</v>
      </c>
    </row>
    <row r="85" spans="1:12" ht="69.95" customHeight="1">
      <c r="A85" s="76" t="s">
        <v>145</v>
      </c>
      <c r="B85" s="76" t="s">
        <v>9041</v>
      </c>
      <c r="C85" s="76" t="s">
        <v>249</v>
      </c>
      <c r="D85" s="76" t="s">
        <v>12539</v>
      </c>
      <c r="E85" s="76" t="s">
        <v>12571</v>
      </c>
      <c r="F85" s="76" t="s">
        <v>12541</v>
      </c>
      <c r="G85" s="77">
        <v>12</v>
      </c>
      <c r="H85" s="76" t="s">
        <v>1420</v>
      </c>
      <c r="I85" s="76"/>
      <c r="J85" s="76" t="s">
        <v>12723</v>
      </c>
      <c r="K85" s="76" t="s">
        <v>12573</v>
      </c>
      <c r="L85" s="76" t="s">
        <v>12544</v>
      </c>
    </row>
    <row r="86" spans="1:12" ht="69.95" customHeight="1">
      <c r="A86" s="76" t="s">
        <v>146</v>
      </c>
      <c r="B86" s="76" t="s">
        <v>9041</v>
      </c>
      <c r="C86" s="76" t="s">
        <v>249</v>
      </c>
      <c r="D86" s="76" t="s">
        <v>12539</v>
      </c>
      <c r="E86" s="76" t="s">
        <v>12571</v>
      </c>
      <c r="F86" s="76" t="s">
        <v>12541</v>
      </c>
      <c r="G86" s="77">
        <v>8</v>
      </c>
      <c r="H86" s="76" t="s">
        <v>1420</v>
      </c>
      <c r="I86" s="76"/>
      <c r="J86" s="76" t="s">
        <v>12724</v>
      </c>
      <c r="K86" s="76" t="s">
        <v>12573</v>
      </c>
      <c r="L86" s="76" t="s">
        <v>12544</v>
      </c>
    </row>
    <row r="87" spans="1:12" ht="69.95" customHeight="1">
      <c r="A87" s="76" t="s">
        <v>147</v>
      </c>
      <c r="B87" s="76" t="s">
        <v>9041</v>
      </c>
      <c r="C87" s="76" t="s">
        <v>537</v>
      </c>
      <c r="D87" s="76" t="s">
        <v>12539</v>
      </c>
      <c r="E87" s="76" t="s">
        <v>12571</v>
      </c>
      <c r="F87" s="76" t="s">
        <v>12541</v>
      </c>
      <c r="G87" s="77">
        <v>12</v>
      </c>
      <c r="H87" s="76" t="s">
        <v>1420</v>
      </c>
      <c r="I87" s="76" t="s">
        <v>12725</v>
      </c>
      <c r="J87" s="76" t="s">
        <v>12726</v>
      </c>
      <c r="K87" s="76" t="s">
        <v>12543</v>
      </c>
      <c r="L87" s="76" t="s">
        <v>12544</v>
      </c>
    </row>
    <row r="88" spans="1:12" ht="69.95" customHeight="1">
      <c r="A88" s="76" t="s">
        <v>148</v>
      </c>
      <c r="B88" s="76" t="s">
        <v>9041</v>
      </c>
      <c r="C88" s="76" t="s">
        <v>537</v>
      </c>
      <c r="D88" s="76" t="s">
        <v>12539</v>
      </c>
      <c r="E88" s="76" t="s">
        <v>12571</v>
      </c>
      <c r="F88" s="76" t="s">
        <v>12541</v>
      </c>
      <c r="G88" s="77">
        <v>10</v>
      </c>
      <c r="H88" s="76" t="s">
        <v>1420</v>
      </c>
      <c r="I88" s="76" t="s">
        <v>142</v>
      </c>
      <c r="J88" s="76" t="s">
        <v>12727</v>
      </c>
      <c r="K88" s="76" t="s">
        <v>12543</v>
      </c>
      <c r="L88" s="76" t="s">
        <v>12544</v>
      </c>
    </row>
    <row r="89" spans="1:12" ht="69.95" customHeight="1">
      <c r="A89" s="76" t="s">
        <v>149</v>
      </c>
      <c r="B89" s="76" t="s">
        <v>9041</v>
      </c>
      <c r="C89" s="76" t="s">
        <v>249</v>
      </c>
      <c r="D89" s="76" t="s">
        <v>12539</v>
      </c>
      <c r="E89" s="76" t="s">
        <v>12571</v>
      </c>
      <c r="F89" s="76" t="s">
        <v>12541</v>
      </c>
      <c r="G89" s="77">
        <v>8</v>
      </c>
      <c r="H89" s="76" t="s">
        <v>1420</v>
      </c>
      <c r="I89" s="76"/>
      <c r="J89" s="76" t="s">
        <v>12728</v>
      </c>
      <c r="K89" s="76" t="s">
        <v>12573</v>
      </c>
      <c r="L89" s="76" t="s">
        <v>12544</v>
      </c>
    </row>
    <row r="90" spans="1:12" ht="69.95" customHeight="1">
      <c r="A90" s="76" t="s">
        <v>150</v>
      </c>
      <c r="B90" s="76" t="s">
        <v>9041</v>
      </c>
      <c r="C90" s="76" t="s">
        <v>249</v>
      </c>
      <c r="D90" s="76" t="s">
        <v>12539</v>
      </c>
      <c r="E90" s="76" t="s">
        <v>12571</v>
      </c>
      <c r="F90" s="76" t="s">
        <v>12541</v>
      </c>
      <c r="G90" s="77">
        <v>10</v>
      </c>
      <c r="H90" s="76" t="s">
        <v>1420</v>
      </c>
      <c r="I90" s="76"/>
      <c r="J90" s="76" t="s">
        <v>12729</v>
      </c>
      <c r="K90" s="76" t="s">
        <v>12573</v>
      </c>
      <c r="L90" s="76" t="s">
        <v>12544</v>
      </c>
    </row>
    <row r="91" spans="1:12" ht="69.95" customHeight="1">
      <c r="A91" s="76" t="s">
        <v>151</v>
      </c>
      <c r="B91" s="76" t="s">
        <v>9041</v>
      </c>
      <c r="C91" s="76" t="s">
        <v>537</v>
      </c>
      <c r="D91" s="76" t="s">
        <v>12539</v>
      </c>
      <c r="E91" s="76" t="s">
        <v>12571</v>
      </c>
      <c r="F91" s="76" t="s">
        <v>12541</v>
      </c>
      <c r="G91" s="77">
        <v>10</v>
      </c>
      <c r="H91" s="76" t="s">
        <v>1420</v>
      </c>
      <c r="I91" s="76" t="s">
        <v>110</v>
      </c>
      <c r="J91" s="76" t="s">
        <v>12730</v>
      </c>
      <c r="K91" s="76" t="s">
        <v>12543</v>
      </c>
      <c r="L91" s="76" t="s">
        <v>12544</v>
      </c>
    </row>
    <row r="92" spans="1:12" ht="69.95" customHeight="1">
      <c r="A92" s="76" t="s">
        <v>152</v>
      </c>
      <c r="B92" s="76" t="s">
        <v>9163</v>
      </c>
      <c r="C92" s="76" t="s">
        <v>537</v>
      </c>
      <c r="D92" s="76" t="s">
        <v>12539</v>
      </c>
      <c r="E92" s="76" t="s">
        <v>12571</v>
      </c>
      <c r="F92" s="76" t="s">
        <v>12541</v>
      </c>
      <c r="G92" s="77">
        <v>12</v>
      </c>
      <c r="H92" s="76" t="s">
        <v>1420</v>
      </c>
      <c r="I92" s="76"/>
      <c r="J92" s="76" t="s">
        <v>12731</v>
      </c>
      <c r="K92" s="76" t="s">
        <v>12634</v>
      </c>
      <c r="L92" s="76" t="s">
        <v>12732</v>
      </c>
    </row>
    <row r="93" spans="1:12" ht="69.95" customHeight="1">
      <c r="A93" s="76" t="s">
        <v>153</v>
      </c>
      <c r="B93" s="76" t="s">
        <v>9163</v>
      </c>
      <c r="C93" s="76" t="s">
        <v>537</v>
      </c>
      <c r="D93" s="76" t="s">
        <v>8006</v>
      </c>
      <c r="E93" s="76" t="s">
        <v>12571</v>
      </c>
      <c r="F93" s="76" t="s">
        <v>12733</v>
      </c>
      <c r="G93" s="77" t="s">
        <v>12661</v>
      </c>
      <c r="H93" s="76" t="s">
        <v>12632</v>
      </c>
      <c r="I93" s="76"/>
      <c r="J93" s="76" t="s">
        <v>8009</v>
      </c>
      <c r="K93" s="76" t="s">
        <v>12623</v>
      </c>
      <c r="L93" s="76" t="s">
        <v>12734</v>
      </c>
    </row>
    <row r="94" spans="1:12" ht="69.95" customHeight="1">
      <c r="A94" s="76" t="s">
        <v>154</v>
      </c>
      <c r="B94" s="76" t="s">
        <v>9163</v>
      </c>
      <c r="C94" s="76" t="s">
        <v>537</v>
      </c>
      <c r="D94" s="76" t="s">
        <v>12539</v>
      </c>
      <c r="E94" s="76" t="s">
        <v>12571</v>
      </c>
      <c r="F94" s="76" t="s">
        <v>12541</v>
      </c>
      <c r="G94" s="77">
        <v>6</v>
      </c>
      <c r="H94" s="76" t="s">
        <v>1420</v>
      </c>
      <c r="I94" s="76"/>
      <c r="J94" s="76" t="s">
        <v>12735</v>
      </c>
      <c r="K94" s="76" t="s">
        <v>12634</v>
      </c>
      <c r="L94" s="76" t="s">
        <v>12732</v>
      </c>
    </row>
    <row r="95" spans="1:12" ht="69.95" customHeight="1">
      <c r="A95" s="76" t="s">
        <v>155</v>
      </c>
      <c r="B95" s="76" t="s">
        <v>9163</v>
      </c>
      <c r="C95" s="76" t="s">
        <v>537</v>
      </c>
      <c r="D95" s="76" t="s">
        <v>12539</v>
      </c>
      <c r="E95" s="76" t="s">
        <v>12571</v>
      </c>
      <c r="F95" s="76" t="s">
        <v>12541</v>
      </c>
      <c r="G95" s="77">
        <v>4</v>
      </c>
      <c r="H95" s="76" t="s">
        <v>1420</v>
      </c>
      <c r="I95" s="76"/>
      <c r="J95" s="76" t="s">
        <v>12736</v>
      </c>
      <c r="K95" s="76" t="s">
        <v>12607</v>
      </c>
      <c r="L95" s="76" t="s">
        <v>12544</v>
      </c>
    </row>
    <row r="96" spans="1:12" ht="69.95" customHeight="1">
      <c r="A96" s="76" t="s">
        <v>156</v>
      </c>
      <c r="B96" s="76" t="s">
        <v>9163</v>
      </c>
      <c r="C96" s="76" t="s">
        <v>537</v>
      </c>
      <c r="D96" s="76" t="s">
        <v>12539</v>
      </c>
      <c r="E96" s="76" t="s">
        <v>12571</v>
      </c>
      <c r="F96" s="76" t="s">
        <v>12541</v>
      </c>
      <c r="G96" s="77">
        <v>12</v>
      </c>
      <c r="H96" s="76" t="s">
        <v>1420</v>
      </c>
      <c r="I96" s="76"/>
      <c r="J96" s="76" t="s">
        <v>12737</v>
      </c>
      <c r="K96" s="76" t="s">
        <v>12607</v>
      </c>
      <c r="L96" s="76" t="s">
        <v>12544</v>
      </c>
    </row>
    <row r="97" spans="1:12" ht="69.95" customHeight="1">
      <c r="A97" s="76" t="s">
        <v>157</v>
      </c>
      <c r="B97" s="76" t="s">
        <v>9163</v>
      </c>
      <c r="C97" s="76" t="s">
        <v>537</v>
      </c>
      <c r="D97" s="76" t="s">
        <v>12539</v>
      </c>
      <c r="E97" s="76" t="s">
        <v>12571</v>
      </c>
      <c r="F97" s="76" t="s">
        <v>12541</v>
      </c>
      <c r="G97" s="77">
        <v>12</v>
      </c>
      <c r="H97" s="76" t="s">
        <v>1420</v>
      </c>
      <c r="I97" s="76"/>
      <c r="J97" s="76" t="s">
        <v>12738</v>
      </c>
      <c r="K97" s="76" t="s">
        <v>12607</v>
      </c>
      <c r="L97" s="76" t="s">
        <v>12544</v>
      </c>
    </row>
    <row r="98" spans="1:12" ht="69.95" customHeight="1">
      <c r="A98" s="76" t="s">
        <v>158</v>
      </c>
      <c r="B98" s="76" t="s">
        <v>9163</v>
      </c>
      <c r="C98" s="76" t="s">
        <v>537</v>
      </c>
      <c r="D98" s="76" t="s">
        <v>8013</v>
      </c>
      <c r="E98" s="76" t="s">
        <v>12571</v>
      </c>
      <c r="F98" s="76" t="s">
        <v>12739</v>
      </c>
      <c r="G98" s="77" t="s">
        <v>12740</v>
      </c>
      <c r="H98" s="76" t="s">
        <v>12741</v>
      </c>
      <c r="I98" s="76" t="s">
        <v>156</v>
      </c>
      <c r="J98" s="76" t="s">
        <v>8016</v>
      </c>
      <c r="K98" s="76" t="s">
        <v>12623</v>
      </c>
      <c r="L98" s="76" t="s">
        <v>12742</v>
      </c>
    </row>
    <row r="99" spans="1:12" ht="69.95" customHeight="1">
      <c r="A99" s="76" t="s">
        <v>159</v>
      </c>
      <c r="B99" s="76" t="s">
        <v>9163</v>
      </c>
      <c r="C99" s="76" t="s">
        <v>537</v>
      </c>
      <c r="D99" s="76" t="s">
        <v>8020</v>
      </c>
      <c r="E99" s="76" t="s">
        <v>12571</v>
      </c>
      <c r="F99" s="76" t="s">
        <v>12743</v>
      </c>
      <c r="G99" s="77" t="s">
        <v>12626</v>
      </c>
      <c r="H99" s="76" t="s">
        <v>12744</v>
      </c>
      <c r="I99" s="76"/>
      <c r="J99" s="76" t="s">
        <v>8023</v>
      </c>
      <c r="K99" s="76" t="s">
        <v>12623</v>
      </c>
      <c r="L99" s="76" t="s">
        <v>12745</v>
      </c>
    </row>
    <row r="100" spans="1:12" ht="69.95" customHeight="1">
      <c r="A100" s="76" t="s">
        <v>160</v>
      </c>
      <c r="B100" s="76" t="s">
        <v>9163</v>
      </c>
      <c r="C100" s="76" t="s">
        <v>537</v>
      </c>
      <c r="D100" s="76" t="s">
        <v>12539</v>
      </c>
      <c r="E100" s="76" t="s">
        <v>12571</v>
      </c>
      <c r="F100" s="76" t="s">
        <v>12541</v>
      </c>
      <c r="G100" s="77">
        <v>12</v>
      </c>
      <c r="H100" s="76" t="s">
        <v>1420</v>
      </c>
      <c r="I100" s="76"/>
      <c r="J100" s="76" t="s">
        <v>12746</v>
      </c>
      <c r="K100" s="76" t="s">
        <v>12607</v>
      </c>
      <c r="L100" s="76" t="s">
        <v>12544</v>
      </c>
    </row>
    <row r="101" spans="1:12" ht="69.95" customHeight="1">
      <c r="A101" s="76" t="s">
        <v>161</v>
      </c>
      <c r="B101" s="76" t="s">
        <v>9163</v>
      </c>
      <c r="C101" s="76" t="s">
        <v>537</v>
      </c>
      <c r="D101" s="76" t="s">
        <v>12539</v>
      </c>
      <c r="E101" s="76" t="s">
        <v>12571</v>
      </c>
      <c r="F101" s="76" t="s">
        <v>12541</v>
      </c>
      <c r="G101" s="77">
        <v>14</v>
      </c>
      <c r="H101" s="76" t="s">
        <v>1420</v>
      </c>
      <c r="I101" s="76" t="s">
        <v>99</v>
      </c>
      <c r="J101" s="76" t="s">
        <v>12747</v>
      </c>
      <c r="K101" s="76" t="s">
        <v>12607</v>
      </c>
      <c r="L101" s="76" t="s">
        <v>12544</v>
      </c>
    </row>
    <row r="102" spans="1:12" ht="69.95" customHeight="1">
      <c r="A102" s="76" t="s">
        <v>162</v>
      </c>
      <c r="B102" s="76" t="s">
        <v>9163</v>
      </c>
      <c r="C102" s="76" t="s">
        <v>537</v>
      </c>
      <c r="D102" s="76" t="s">
        <v>12539</v>
      </c>
      <c r="E102" s="76" t="s">
        <v>12571</v>
      </c>
      <c r="F102" s="76" t="s">
        <v>12541</v>
      </c>
      <c r="G102" s="77">
        <v>12</v>
      </c>
      <c r="H102" s="76" t="s">
        <v>1420</v>
      </c>
      <c r="I102" s="76"/>
      <c r="J102" s="76" t="s">
        <v>12748</v>
      </c>
      <c r="K102" s="76" t="s">
        <v>12607</v>
      </c>
      <c r="L102" s="76" t="s">
        <v>12544</v>
      </c>
    </row>
    <row r="103" spans="1:12" ht="69.95" customHeight="1">
      <c r="A103" s="76" t="s">
        <v>163</v>
      </c>
      <c r="B103" s="76" t="s">
        <v>9163</v>
      </c>
      <c r="C103" s="76" t="s">
        <v>537</v>
      </c>
      <c r="D103" s="76" t="s">
        <v>12539</v>
      </c>
      <c r="E103" s="76" t="s">
        <v>12571</v>
      </c>
      <c r="F103" s="76" t="s">
        <v>12541</v>
      </c>
      <c r="G103" s="77">
        <v>12</v>
      </c>
      <c r="H103" s="76" t="s">
        <v>1420</v>
      </c>
      <c r="I103" s="76" t="s">
        <v>12749</v>
      </c>
      <c r="J103" s="76" t="s">
        <v>12750</v>
      </c>
      <c r="K103" s="76" t="s">
        <v>12751</v>
      </c>
      <c r="L103" s="76" t="s">
        <v>12732</v>
      </c>
    </row>
    <row r="104" spans="1:12" ht="69.95" customHeight="1">
      <c r="A104" s="76" t="s">
        <v>164</v>
      </c>
      <c r="B104" s="76" t="s">
        <v>9163</v>
      </c>
      <c r="C104" s="76" t="s">
        <v>537</v>
      </c>
      <c r="D104" s="76" t="s">
        <v>12539</v>
      </c>
      <c r="E104" s="76" t="s">
        <v>12571</v>
      </c>
      <c r="F104" s="76" t="s">
        <v>12541</v>
      </c>
      <c r="G104" s="77">
        <v>6</v>
      </c>
      <c r="H104" s="76" t="s">
        <v>1420</v>
      </c>
      <c r="I104" s="76"/>
      <c r="J104" s="76" t="s">
        <v>12752</v>
      </c>
      <c r="K104" s="76" t="s">
        <v>12543</v>
      </c>
      <c r="L104" s="76" t="s">
        <v>12544</v>
      </c>
    </row>
    <row r="105" spans="1:12" ht="69.95" customHeight="1">
      <c r="A105" s="76" t="s">
        <v>165</v>
      </c>
      <c r="B105" s="76" t="s">
        <v>9163</v>
      </c>
      <c r="C105" s="76" t="s">
        <v>537</v>
      </c>
      <c r="D105" s="76" t="s">
        <v>12539</v>
      </c>
      <c r="E105" s="76" t="s">
        <v>12571</v>
      </c>
      <c r="F105" s="76" t="s">
        <v>12541</v>
      </c>
      <c r="G105" s="77">
        <v>8</v>
      </c>
      <c r="H105" s="76" t="s">
        <v>1420</v>
      </c>
      <c r="I105" s="76"/>
      <c r="J105" s="76" t="s">
        <v>12753</v>
      </c>
      <c r="K105" s="76" t="s">
        <v>12543</v>
      </c>
      <c r="L105" s="76" t="s">
        <v>12544</v>
      </c>
    </row>
    <row r="106" spans="1:12" ht="69.95" customHeight="1">
      <c r="A106" s="76" t="s">
        <v>166</v>
      </c>
      <c r="B106" s="76" t="s">
        <v>9163</v>
      </c>
      <c r="C106" s="76" t="s">
        <v>537</v>
      </c>
      <c r="D106" s="76" t="s">
        <v>12539</v>
      </c>
      <c r="E106" s="76" t="s">
        <v>12571</v>
      </c>
      <c r="F106" s="76" t="s">
        <v>12541</v>
      </c>
      <c r="G106" s="77">
        <v>6</v>
      </c>
      <c r="H106" s="76" t="s">
        <v>1420</v>
      </c>
      <c r="I106" s="76"/>
      <c r="J106" s="76" t="s">
        <v>12754</v>
      </c>
      <c r="K106" s="76" t="s">
        <v>12543</v>
      </c>
      <c r="L106" s="76" t="s">
        <v>12544</v>
      </c>
    </row>
    <row r="107" spans="1:12" ht="69.95" customHeight="1">
      <c r="A107" s="76" t="s">
        <v>167</v>
      </c>
      <c r="B107" s="76" t="s">
        <v>1176</v>
      </c>
      <c r="C107" s="76" t="s">
        <v>537</v>
      </c>
      <c r="D107" s="76" t="s">
        <v>8027</v>
      </c>
      <c r="E107" s="76" t="s">
        <v>12571</v>
      </c>
      <c r="F107" s="76" t="s">
        <v>12755</v>
      </c>
      <c r="G107" s="77" t="s">
        <v>12756</v>
      </c>
      <c r="H107" s="76" t="s">
        <v>12757</v>
      </c>
      <c r="I107" s="76" t="s">
        <v>1057</v>
      </c>
      <c r="J107" s="76" t="s">
        <v>8030</v>
      </c>
      <c r="K107" s="76" t="s">
        <v>12758</v>
      </c>
      <c r="L107" s="76" t="s">
        <v>12759</v>
      </c>
    </row>
    <row r="108" spans="1:12" ht="69.95" customHeight="1">
      <c r="A108" s="76" t="s">
        <v>168</v>
      </c>
      <c r="B108" s="76" t="s">
        <v>1176</v>
      </c>
      <c r="C108" s="76" t="s">
        <v>537</v>
      </c>
      <c r="D108" s="76" t="s">
        <v>12539</v>
      </c>
      <c r="E108" s="76" t="s">
        <v>12571</v>
      </c>
      <c r="F108" s="76" t="s">
        <v>12541</v>
      </c>
      <c r="G108" s="77">
        <v>12</v>
      </c>
      <c r="H108" s="76" t="s">
        <v>1420</v>
      </c>
      <c r="I108" s="76" t="s">
        <v>12760</v>
      </c>
      <c r="J108" s="76" t="s">
        <v>12761</v>
      </c>
      <c r="K108" s="76" t="s">
        <v>12634</v>
      </c>
      <c r="L108" s="76" t="s">
        <v>12732</v>
      </c>
    </row>
    <row r="109" spans="1:12" ht="69.95" customHeight="1">
      <c r="A109" s="76" t="s">
        <v>169</v>
      </c>
      <c r="B109" s="76" t="s">
        <v>1176</v>
      </c>
      <c r="C109" s="76" t="s">
        <v>537</v>
      </c>
      <c r="D109" s="76" t="s">
        <v>12539</v>
      </c>
      <c r="E109" s="76" t="s">
        <v>12571</v>
      </c>
      <c r="F109" s="76" t="s">
        <v>12541</v>
      </c>
      <c r="G109" s="77">
        <v>12</v>
      </c>
      <c r="H109" s="76" t="s">
        <v>1420</v>
      </c>
      <c r="I109" s="76"/>
      <c r="J109" s="76" t="s">
        <v>12762</v>
      </c>
      <c r="K109" s="76" t="s">
        <v>12543</v>
      </c>
      <c r="L109" s="76" t="s">
        <v>12544</v>
      </c>
    </row>
    <row r="110" spans="1:12" ht="69.95" customHeight="1">
      <c r="A110" s="76" t="s">
        <v>170</v>
      </c>
      <c r="B110" s="76" t="s">
        <v>1176</v>
      </c>
      <c r="C110" s="76" t="s">
        <v>537</v>
      </c>
      <c r="D110" s="76" t="s">
        <v>12539</v>
      </c>
      <c r="E110" s="76" t="s">
        <v>12571</v>
      </c>
      <c r="F110" s="76" t="s">
        <v>12541</v>
      </c>
      <c r="G110" s="77">
        <v>12</v>
      </c>
      <c r="H110" s="76" t="s">
        <v>1420</v>
      </c>
      <c r="I110" s="76"/>
      <c r="J110" s="76" t="s">
        <v>12763</v>
      </c>
      <c r="K110" s="76" t="s">
        <v>12543</v>
      </c>
      <c r="L110" s="76" t="s">
        <v>12544</v>
      </c>
    </row>
    <row r="111" spans="1:12" ht="69.95" customHeight="1">
      <c r="A111" s="76" t="s">
        <v>171</v>
      </c>
      <c r="B111" s="76" t="s">
        <v>1176</v>
      </c>
      <c r="C111" s="76" t="s">
        <v>537</v>
      </c>
      <c r="D111" s="76" t="s">
        <v>12539</v>
      </c>
      <c r="E111" s="76" t="s">
        <v>12571</v>
      </c>
      <c r="F111" s="76" t="s">
        <v>12541</v>
      </c>
      <c r="G111" s="77">
        <v>12</v>
      </c>
      <c r="H111" s="76" t="s">
        <v>1420</v>
      </c>
      <c r="I111" s="76" t="s">
        <v>1529</v>
      </c>
      <c r="J111" s="76" t="s">
        <v>12764</v>
      </c>
      <c r="K111" s="76" t="s">
        <v>12543</v>
      </c>
      <c r="L111" s="76" t="s">
        <v>12544</v>
      </c>
    </row>
    <row r="112" spans="1:12" ht="69.95" customHeight="1">
      <c r="A112" s="76" t="s">
        <v>172</v>
      </c>
      <c r="B112" s="76" t="s">
        <v>1176</v>
      </c>
      <c r="C112" s="76" t="s">
        <v>537</v>
      </c>
      <c r="D112" s="76" t="s">
        <v>12539</v>
      </c>
      <c r="E112" s="76" t="s">
        <v>12571</v>
      </c>
      <c r="F112" s="76" t="s">
        <v>12541</v>
      </c>
      <c r="G112" s="77">
        <v>12</v>
      </c>
      <c r="H112" s="76" t="s">
        <v>1420</v>
      </c>
      <c r="I112" s="76"/>
      <c r="J112" s="76" t="s">
        <v>12765</v>
      </c>
      <c r="K112" s="76" t="s">
        <v>12543</v>
      </c>
      <c r="L112" s="76" t="s">
        <v>12544</v>
      </c>
    </row>
    <row r="113" spans="1:12" ht="69.95" customHeight="1">
      <c r="A113" s="76" t="s">
        <v>173</v>
      </c>
      <c r="B113" s="76" t="s">
        <v>1176</v>
      </c>
      <c r="C113" s="76" t="s">
        <v>537</v>
      </c>
      <c r="D113" s="76" t="s">
        <v>8034</v>
      </c>
      <c r="E113" s="76" t="s">
        <v>12571</v>
      </c>
      <c r="F113" s="76" t="s">
        <v>12766</v>
      </c>
      <c r="G113" s="77" t="s">
        <v>12614</v>
      </c>
      <c r="H113" s="76" t="s">
        <v>12767</v>
      </c>
      <c r="I113" s="76"/>
      <c r="J113" s="76" t="s">
        <v>8037</v>
      </c>
      <c r="K113" s="76" t="s">
        <v>12758</v>
      </c>
      <c r="L113" s="76" t="s">
        <v>12768</v>
      </c>
    </row>
    <row r="114" spans="1:12" ht="69.95" customHeight="1">
      <c r="A114" s="76" t="s">
        <v>174</v>
      </c>
      <c r="B114" s="76" t="s">
        <v>1176</v>
      </c>
      <c r="C114" s="76" t="s">
        <v>537</v>
      </c>
      <c r="D114" s="76" t="s">
        <v>8041</v>
      </c>
      <c r="E114" s="76" t="s">
        <v>12571</v>
      </c>
      <c r="F114" s="76" t="s">
        <v>12769</v>
      </c>
      <c r="G114" s="77" t="s">
        <v>12614</v>
      </c>
      <c r="H114" s="76" t="s">
        <v>12770</v>
      </c>
      <c r="I114" s="76"/>
      <c r="J114" s="76" t="s">
        <v>8044</v>
      </c>
      <c r="K114" s="76" t="s">
        <v>12758</v>
      </c>
      <c r="L114" s="76" t="s">
        <v>12771</v>
      </c>
    </row>
    <row r="115" spans="1:12" ht="69.95" customHeight="1">
      <c r="A115" s="76" t="s">
        <v>175</v>
      </c>
      <c r="B115" s="76" t="s">
        <v>1176</v>
      </c>
      <c r="C115" s="76" t="s">
        <v>537</v>
      </c>
      <c r="D115" s="76" t="s">
        <v>12539</v>
      </c>
      <c r="E115" s="76" t="s">
        <v>12571</v>
      </c>
      <c r="F115" s="76" t="s">
        <v>12541</v>
      </c>
      <c r="G115" s="77">
        <v>12</v>
      </c>
      <c r="H115" s="76" t="s">
        <v>1420</v>
      </c>
      <c r="I115" s="76"/>
      <c r="J115" s="76" t="s">
        <v>12772</v>
      </c>
      <c r="K115" s="76" t="s">
        <v>12543</v>
      </c>
      <c r="L115" s="76" t="s">
        <v>12544</v>
      </c>
    </row>
    <row r="116" spans="1:12" ht="69.95" customHeight="1">
      <c r="A116" s="76" t="s">
        <v>176</v>
      </c>
      <c r="B116" s="76" t="s">
        <v>1176</v>
      </c>
      <c r="C116" s="76" t="s">
        <v>537</v>
      </c>
      <c r="D116" s="76" t="s">
        <v>12539</v>
      </c>
      <c r="E116" s="76" t="s">
        <v>12571</v>
      </c>
      <c r="F116" s="76" t="s">
        <v>12541</v>
      </c>
      <c r="G116" s="77">
        <v>12</v>
      </c>
      <c r="H116" s="76" t="s">
        <v>1420</v>
      </c>
      <c r="I116" s="76"/>
      <c r="J116" s="76" t="s">
        <v>12773</v>
      </c>
      <c r="K116" s="76" t="s">
        <v>12543</v>
      </c>
      <c r="L116" s="76" t="s">
        <v>12544</v>
      </c>
    </row>
    <row r="117" spans="1:12" ht="69.95" customHeight="1">
      <c r="A117" s="76" t="s">
        <v>177</v>
      </c>
      <c r="B117" s="76" t="s">
        <v>9257</v>
      </c>
      <c r="C117" s="76" t="s">
        <v>537</v>
      </c>
      <c r="D117" s="76" t="s">
        <v>8048</v>
      </c>
      <c r="E117" s="76" t="s">
        <v>12571</v>
      </c>
      <c r="F117" s="76" t="s">
        <v>12774</v>
      </c>
      <c r="G117" s="77" t="s">
        <v>12661</v>
      </c>
      <c r="H117" s="76" t="s">
        <v>12767</v>
      </c>
      <c r="I117" s="76"/>
      <c r="J117" s="76" t="s">
        <v>8051</v>
      </c>
      <c r="K117" s="76" t="s">
        <v>12623</v>
      </c>
      <c r="L117" s="76" t="s">
        <v>12775</v>
      </c>
    </row>
    <row r="118" spans="1:12" ht="69.95" customHeight="1">
      <c r="A118" s="76" t="s">
        <v>178</v>
      </c>
      <c r="B118" s="76" t="s">
        <v>9257</v>
      </c>
      <c r="C118" s="76" t="s">
        <v>537</v>
      </c>
      <c r="D118" s="76" t="s">
        <v>12539</v>
      </c>
      <c r="E118" s="76" t="s">
        <v>12571</v>
      </c>
      <c r="F118" s="76" t="s">
        <v>12541</v>
      </c>
      <c r="G118" s="77">
        <v>6</v>
      </c>
      <c r="H118" s="76" t="s">
        <v>1420</v>
      </c>
      <c r="I118" s="76"/>
      <c r="J118" s="76" t="s">
        <v>12776</v>
      </c>
      <c r="K118" s="76" t="s">
        <v>12607</v>
      </c>
      <c r="L118" s="76" t="s">
        <v>12544</v>
      </c>
    </row>
    <row r="119" spans="1:12" ht="69.95" customHeight="1">
      <c r="A119" s="76" t="s">
        <v>179</v>
      </c>
      <c r="B119" s="76" t="s">
        <v>9257</v>
      </c>
      <c r="C119" s="76" t="s">
        <v>537</v>
      </c>
      <c r="D119" s="76" t="s">
        <v>12539</v>
      </c>
      <c r="E119" s="76" t="s">
        <v>12571</v>
      </c>
      <c r="F119" s="76" t="s">
        <v>12541</v>
      </c>
      <c r="G119" s="77">
        <v>12</v>
      </c>
      <c r="H119" s="76" t="s">
        <v>1420</v>
      </c>
      <c r="I119" s="76" t="s">
        <v>12777</v>
      </c>
      <c r="J119" s="76" t="s">
        <v>12778</v>
      </c>
      <c r="K119" s="76" t="s">
        <v>12634</v>
      </c>
      <c r="L119" s="76" t="s">
        <v>12732</v>
      </c>
    </row>
    <row r="120" spans="1:12" ht="69.95" customHeight="1">
      <c r="A120" s="76" t="s">
        <v>180</v>
      </c>
      <c r="B120" s="76" t="s">
        <v>9257</v>
      </c>
      <c r="C120" s="76" t="s">
        <v>537</v>
      </c>
      <c r="D120" s="76" t="s">
        <v>12539</v>
      </c>
      <c r="E120" s="76" t="s">
        <v>12571</v>
      </c>
      <c r="F120" s="76" t="s">
        <v>12541</v>
      </c>
      <c r="G120" s="77">
        <v>6</v>
      </c>
      <c r="H120" s="76" t="s">
        <v>1420</v>
      </c>
      <c r="I120" s="76"/>
      <c r="J120" s="76" t="s">
        <v>12779</v>
      </c>
      <c r="K120" s="76" t="s">
        <v>12543</v>
      </c>
      <c r="L120" s="76" t="s">
        <v>12544</v>
      </c>
    </row>
    <row r="121" spans="1:12" ht="69.95" customHeight="1">
      <c r="A121" s="76" t="s">
        <v>181</v>
      </c>
      <c r="B121" s="76" t="s">
        <v>9257</v>
      </c>
      <c r="C121" s="76" t="s">
        <v>537</v>
      </c>
      <c r="D121" s="76" t="s">
        <v>12539</v>
      </c>
      <c r="E121" s="76" t="s">
        <v>12571</v>
      </c>
      <c r="F121" s="76" t="s">
        <v>12541</v>
      </c>
      <c r="G121" s="77">
        <v>12</v>
      </c>
      <c r="H121" s="76" t="s">
        <v>1420</v>
      </c>
      <c r="I121" s="76"/>
      <c r="J121" s="76" t="s">
        <v>12780</v>
      </c>
      <c r="K121" s="76" t="s">
        <v>12543</v>
      </c>
      <c r="L121" s="76" t="s">
        <v>12544</v>
      </c>
    </row>
    <row r="122" spans="1:12" ht="69.95" customHeight="1">
      <c r="A122" s="76" t="s">
        <v>182</v>
      </c>
      <c r="B122" s="76" t="s">
        <v>9257</v>
      </c>
      <c r="C122" s="76" t="s">
        <v>537</v>
      </c>
      <c r="D122" s="76" t="s">
        <v>12539</v>
      </c>
      <c r="E122" s="76" t="s">
        <v>12571</v>
      </c>
      <c r="F122" s="76" t="s">
        <v>12541</v>
      </c>
      <c r="G122" s="77">
        <v>12</v>
      </c>
      <c r="H122" s="76" t="s">
        <v>1420</v>
      </c>
      <c r="I122" s="76"/>
      <c r="J122" s="76" t="s">
        <v>12781</v>
      </c>
      <c r="K122" s="76" t="s">
        <v>12543</v>
      </c>
      <c r="L122" s="76" t="s">
        <v>12544</v>
      </c>
    </row>
    <row r="123" spans="1:12" ht="69.95" customHeight="1">
      <c r="A123" s="76" t="s">
        <v>183</v>
      </c>
      <c r="B123" s="76" t="s">
        <v>9257</v>
      </c>
      <c r="C123" s="76" t="s">
        <v>537</v>
      </c>
      <c r="D123" s="76" t="s">
        <v>12539</v>
      </c>
      <c r="E123" s="76" t="s">
        <v>12571</v>
      </c>
      <c r="F123" s="76" t="s">
        <v>12541</v>
      </c>
      <c r="G123" s="77">
        <v>6</v>
      </c>
      <c r="H123" s="76" t="s">
        <v>1420</v>
      </c>
      <c r="I123" s="76" t="s">
        <v>1532</v>
      </c>
      <c r="J123" s="76" t="s">
        <v>12782</v>
      </c>
      <c r="K123" s="76" t="s">
        <v>12607</v>
      </c>
      <c r="L123" s="76" t="s">
        <v>12544</v>
      </c>
    </row>
    <row r="124" spans="1:12" ht="69.95" customHeight="1">
      <c r="A124" s="76" t="s">
        <v>184</v>
      </c>
      <c r="B124" s="76" t="s">
        <v>9257</v>
      </c>
      <c r="C124" s="76" t="s">
        <v>537</v>
      </c>
      <c r="D124" s="76" t="s">
        <v>12539</v>
      </c>
      <c r="E124" s="76" t="s">
        <v>12571</v>
      </c>
      <c r="F124" s="76" t="s">
        <v>12541</v>
      </c>
      <c r="G124" s="77">
        <v>8</v>
      </c>
      <c r="H124" s="76" t="s">
        <v>1420</v>
      </c>
      <c r="I124" s="76"/>
      <c r="J124" s="76" t="s">
        <v>12783</v>
      </c>
      <c r="K124" s="76" t="s">
        <v>12607</v>
      </c>
      <c r="L124" s="76" t="s">
        <v>12544</v>
      </c>
    </row>
    <row r="125" spans="1:12" ht="69.95" customHeight="1">
      <c r="A125" s="76" t="s">
        <v>185</v>
      </c>
      <c r="B125" s="76" t="s">
        <v>9257</v>
      </c>
      <c r="C125" s="76" t="s">
        <v>537</v>
      </c>
      <c r="D125" s="76" t="s">
        <v>12539</v>
      </c>
      <c r="E125" s="76" t="s">
        <v>12571</v>
      </c>
      <c r="F125" s="76" t="s">
        <v>12541</v>
      </c>
      <c r="G125" s="77">
        <v>10</v>
      </c>
      <c r="H125" s="76" t="s">
        <v>1420</v>
      </c>
      <c r="I125" s="76" t="s">
        <v>1534</v>
      </c>
      <c r="J125" s="76" t="s">
        <v>12784</v>
      </c>
      <c r="K125" s="76" t="s">
        <v>12607</v>
      </c>
      <c r="L125" s="76" t="s">
        <v>12544</v>
      </c>
    </row>
    <row r="126" spans="1:12" ht="69.95" customHeight="1">
      <c r="A126" s="76" t="s">
        <v>186</v>
      </c>
      <c r="B126" s="76" t="s">
        <v>9257</v>
      </c>
      <c r="C126" s="76" t="s">
        <v>537</v>
      </c>
      <c r="D126" s="76" t="s">
        <v>12539</v>
      </c>
      <c r="E126" s="76" t="s">
        <v>12571</v>
      </c>
      <c r="F126" s="76" t="s">
        <v>12541</v>
      </c>
      <c r="G126" s="77">
        <v>12</v>
      </c>
      <c r="H126" s="76" t="s">
        <v>1420</v>
      </c>
      <c r="I126" s="76" t="s">
        <v>1535</v>
      </c>
      <c r="J126" s="76" t="s">
        <v>12785</v>
      </c>
      <c r="K126" s="76" t="s">
        <v>12607</v>
      </c>
      <c r="L126" s="76" t="s">
        <v>12544</v>
      </c>
    </row>
    <row r="127" spans="1:12" ht="69.95" customHeight="1">
      <c r="A127" s="76" t="s">
        <v>187</v>
      </c>
      <c r="B127" s="76" t="s">
        <v>9257</v>
      </c>
      <c r="C127" s="76" t="s">
        <v>537</v>
      </c>
      <c r="D127" s="76" t="s">
        <v>12539</v>
      </c>
      <c r="E127" s="76" t="s">
        <v>12571</v>
      </c>
      <c r="F127" s="76" t="s">
        <v>12541</v>
      </c>
      <c r="G127" s="77">
        <v>12</v>
      </c>
      <c r="H127" s="76" t="s">
        <v>1420</v>
      </c>
      <c r="I127" s="76" t="s">
        <v>1537</v>
      </c>
      <c r="J127" s="76" t="s">
        <v>12786</v>
      </c>
      <c r="K127" s="76" t="s">
        <v>12607</v>
      </c>
      <c r="L127" s="76" t="s">
        <v>12544</v>
      </c>
    </row>
    <row r="128" spans="1:12" ht="69.95" customHeight="1">
      <c r="A128" s="76" t="s">
        <v>188</v>
      </c>
      <c r="B128" s="76" t="s">
        <v>9257</v>
      </c>
      <c r="C128" s="76" t="s">
        <v>537</v>
      </c>
      <c r="D128" s="76" t="s">
        <v>12539</v>
      </c>
      <c r="E128" s="76" t="s">
        <v>12571</v>
      </c>
      <c r="F128" s="76" t="s">
        <v>12541</v>
      </c>
      <c r="G128" s="77">
        <v>10</v>
      </c>
      <c r="H128" s="76" t="s">
        <v>1420</v>
      </c>
      <c r="I128" s="76" t="s">
        <v>12787</v>
      </c>
      <c r="J128" s="76" t="s">
        <v>12788</v>
      </c>
      <c r="K128" s="76" t="s">
        <v>12607</v>
      </c>
      <c r="L128" s="76" t="s">
        <v>12544</v>
      </c>
    </row>
    <row r="129" spans="1:12" ht="69.95" customHeight="1">
      <c r="A129" s="76" t="s">
        <v>189</v>
      </c>
      <c r="B129" s="76" t="s">
        <v>9308</v>
      </c>
      <c r="C129" s="76" t="s">
        <v>537</v>
      </c>
      <c r="D129" s="76" t="s">
        <v>12539</v>
      </c>
      <c r="E129" s="76" t="s">
        <v>12571</v>
      </c>
      <c r="F129" s="76" t="s">
        <v>12541</v>
      </c>
      <c r="G129" s="77">
        <v>12</v>
      </c>
      <c r="H129" s="76" t="s">
        <v>1420</v>
      </c>
      <c r="I129" s="76"/>
      <c r="J129" s="76" t="s">
        <v>12789</v>
      </c>
      <c r="K129" s="76" t="s">
        <v>12543</v>
      </c>
      <c r="L129" s="76" t="s">
        <v>12544</v>
      </c>
    </row>
    <row r="130" spans="1:12" ht="69.95" customHeight="1">
      <c r="A130" s="76" t="s">
        <v>190</v>
      </c>
      <c r="B130" s="76" t="s">
        <v>9308</v>
      </c>
      <c r="C130" s="76" t="s">
        <v>537</v>
      </c>
      <c r="D130" s="76" t="s">
        <v>12539</v>
      </c>
      <c r="E130" s="76" t="s">
        <v>12571</v>
      </c>
      <c r="F130" s="76" t="s">
        <v>12541</v>
      </c>
      <c r="G130" s="77">
        <v>12</v>
      </c>
      <c r="H130" s="76" t="s">
        <v>1420</v>
      </c>
      <c r="I130" s="76"/>
      <c r="J130" s="76" t="s">
        <v>12790</v>
      </c>
      <c r="K130" s="76" t="s">
        <v>12543</v>
      </c>
      <c r="L130" s="76" t="s">
        <v>12544</v>
      </c>
    </row>
    <row r="131" spans="1:12" ht="69.95" customHeight="1">
      <c r="A131" s="76" t="s">
        <v>191</v>
      </c>
      <c r="B131" s="76" t="s">
        <v>9308</v>
      </c>
      <c r="C131" s="76" t="s">
        <v>537</v>
      </c>
      <c r="D131" s="76" t="s">
        <v>12539</v>
      </c>
      <c r="E131" s="76" t="s">
        <v>12571</v>
      </c>
      <c r="F131" s="76" t="s">
        <v>12541</v>
      </c>
      <c r="G131" s="77">
        <v>10</v>
      </c>
      <c r="H131" s="76" t="s">
        <v>1420</v>
      </c>
      <c r="I131" s="76" t="s">
        <v>202</v>
      </c>
      <c r="J131" s="76" t="s">
        <v>12791</v>
      </c>
      <c r="K131" s="76" t="s">
        <v>12543</v>
      </c>
      <c r="L131" s="76" t="s">
        <v>12544</v>
      </c>
    </row>
    <row r="132" spans="1:12" ht="69.95" customHeight="1">
      <c r="A132" s="76" t="s">
        <v>192</v>
      </c>
      <c r="B132" s="76" t="s">
        <v>9308</v>
      </c>
      <c r="C132" s="76" t="s">
        <v>537</v>
      </c>
      <c r="D132" s="76" t="s">
        <v>12539</v>
      </c>
      <c r="E132" s="76" t="s">
        <v>12571</v>
      </c>
      <c r="F132" s="76" t="s">
        <v>12541</v>
      </c>
      <c r="G132" s="77">
        <v>12</v>
      </c>
      <c r="H132" s="76" t="s">
        <v>1420</v>
      </c>
      <c r="I132" s="76" t="s">
        <v>12792</v>
      </c>
      <c r="J132" s="76" t="s">
        <v>12793</v>
      </c>
      <c r="K132" s="76" t="s">
        <v>12543</v>
      </c>
      <c r="L132" s="76" t="s">
        <v>12544</v>
      </c>
    </row>
    <row r="133" spans="1:12" ht="69.95" customHeight="1">
      <c r="A133" s="76" t="s">
        <v>193</v>
      </c>
      <c r="B133" s="76" t="s">
        <v>9308</v>
      </c>
      <c r="C133" s="76" t="s">
        <v>537</v>
      </c>
      <c r="D133" s="76" t="s">
        <v>12539</v>
      </c>
      <c r="E133" s="76" t="s">
        <v>12571</v>
      </c>
      <c r="F133" s="76" t="s">
        <v>12541</v>
      </c>
      <c r="G133" s="77">
        <v>12</v>
      </c>
      <c r="H133" s="76" t="s">
        <v>1420</v>
      </c>
      <c r="I133" s="76" t="s">
        <v>12794</v>
      </c>
      <c r="J133" s="76" t="s">
        <v>12795</v>
      </c>
      <c r="K133" s="76" t="s">
        <v>12543</v>
      </c>
      <c r="L133" s="76" t="s">
        <v>12544</v>
      </c>
    </row>
    <row r="134" spans="1:12" ht="69.95" customHeight="1">
      <c r="A134" s="76" t="s">
        <v>194</v>
      </c>
      <c r="B134" s="76" t="s">
        <v>9308</v>
      </c>
      <c r="C134" s="76" t="s">
        <v>537</v>
      </c>
      <c r="D134" s="76" t="s">
        <v>8055</v>
      </c>
      <c r="E134" s="76" t="s">
        <v>12571</v>
      </c>
      <c r="F134" s="76" t="s">
        <v>12796</v>
      </c>
      <c r="G134" s="77" t="s">
        <v>12797</v>
      </c>
      <c r="H134" s="76" t="s">
        <v>12798</v>
      </c>
      <c r="I134" s="76" t="s">
        <v>12799</v>
      </c>
      <c r="J134" s="76" t="s">
        <v>8058</v>
      </c>
      <c r="K134" s="76" t="s">
        <v>12630</v>
      </c>
      <c r="L134" s="76" t="s">
        <v>12800</v>
      </c>
    </row>
    <row r="135" spans="1:12" ht="69.95" customHeight="1">
      <c r="A135" s="76" t="s">
        <v>195</v>
      </c>
      <c r="B135" s="76" t="s">
        <v>9308</v>
      </c>
      <c r="C135" s="76" t="s">
        <v>537</v>
      </c>
      <c r="D135" s="76" t="s">
        <v>8062</v>
      </c>
      <c r="E135" s="76" t="s">
        <v>12571</v>
      </c>
      <c r="F135" s="76" t="s">
        <v>12801</v>
      </c>
      <c r="G135" s="77" t="s">
        <v>1508</v>
      </c>
      <c r="H135" s="76" t="s">
        <v>12683</v>
      </c>
      <c r="I135" s="76" t="s">
        <v>194</v>
      </c>
      <c r="J135" s="76" t="s">
        <v>8065</v>
      </c>
      <c r="K135" s="76" t="s">
        <v>12630</v>
      </c>
      <c r="L135" s="76" t="s">
        <v>12802</v>
      </c>
    </row>
    <row r="136" spans="1:12" ht="69.95" customHeight="1">
      <c r="A136" s="76" t="s">
        <v>196</v>
      </c>
      <c r="B136" s="76" t="s">
        <v>1185</v>
      </c>
      <c r="C136" s="76" t="s">
        <v>537</v>
      </c>
      <c r="D136" s="76" t="s">
        <v>12539</v>
      </c>
      <c r="E136" s="76" t="s">
        <v>12571</v>
      </c>
      <c r="F136" s="76" t="s">
        <v>12541</v>
      </c>
      <c r="G136" s="77">
        <v>10</v>
      </c>
      <c r="H136" s="76" t="s">
        <v>1420</v>
      </c>
      <c r="I136" s="76" t="s">
        <v>12803</v>
      </c>
      <c r="J136" s="76" t="s">
        <v>12804</v>
      </c>
      <c r="K136" s="76" t="s">
        <v>12751</v>
      </c>
      <c r="L136" s="76" t="s">
        <v>12732</v>
      </c>
    </row>
    <row r="137" spans="1:12" ht="69.95" customHeight="1">
      <c r="A137" s="76" t="s">
        <v>197</v>
      </c>
      <c r="B137" s="76" t="s">
        <v>1185</v>
      </c>
      <c r="C137" s="76" t="s">
        <v>537</v>
      </c>
      <c r="D137" s="76" t="s">
        <v>12539</v>
      </c>
      <c r="E137" s="76" t="s">
        <v>12571</v>
      </c>
      <c r="F137" s="76" t="s">
        <v>12541</v>
      </c>
      <c r="G137" s="77">
        <v>12</v>
      </c>
      <c r="H137" s="76" t="s">
        <v>1420</v>
      </c>
      <c r="I137" s="76" t="s">
        <v>12805</v>
      </c>
      <c r="J137" s="76" t="s">
        <v>12806</v>
      </c>
      <c r="K137" s="76" t="s">
        <v>12543</v>
      </c>
      <c r="L137" s="76" t="s">
        <v>12544</v>
      </c>
    </row>
    <row r="138" spans="1:12" ht="69.95" customHeight="1">
      <c r="A138" s="76" t="s">
        <v>198</v>
      </c>
      <c r="B138" s="76" t="s">
        <v>1185</v>
      </c>
      <c r="C138" s="76" t="s">
        <v>537</v>
      </c>
      <c r="D138" s="76" t="s">
        <v>12539</v>
      </c>
      <c r="E138" s="76" t="s">
        <v>12571</v>
      </c>
      <c r="F138" s="76" t="s">
        <v>12541</v>
      </c>
      <c r="G138" s="77">
        <v>12</v>
      </c>
      <c r="H138" s="76" t="s">
        <v>1420</v>
      </c>
      <c r="I138" s="76" t="s">
        <v>12805</v>
      </c>
      <c r="J138" s="76" t="s">
        <v>12807</v>
      </c>
      <c r="K138" s="76" t="s">
        <v>12543</v>
      </c>
      <c r="L138" s="76" t="s">
        <v>12544</v>
      </c>
    </row>
    <row r="139" spans="1:12" ht="69.95" customHeight="1">
      <c r="A139" s="76" t="s">
        <v>199</v>
      </c>
      <c r="B139" s="76" t="s">
        <v>1185</v>
      </c>
      <c r="C139" s="76" t="s">
        <v>537</v>
      </c>
      <c r="D139" s="76" t="s">
        <v>12539</v>
      </c>
      <c r="E139" s="76" t="s">
        <v>12571</v>
      </c>
      <c r="F139" s="76" t="s">
        <v>12541</v>
      </c>
      <c r="G139" s="77">
        <v>12</v>
      </c>
      <c r="H139" s="76" t="s">
        <v>1420</v>
      </c>
      <c r="I139" s="76" t="s">
        <v>196</v>
      </c>
      <c r="J139" s="76" t="s">
        <v>12808</v>
      </c>
      <c r="K139" s="76" t="s">
        <v>12543</v>
      </c>
      <c r="L139" s="76" t="s">
        <v>12544</v>
      </c>
    </row>
    <row r="140" spans="1:12" ht="69.95" customHeight="1">
      <c r="A140" s="76" t="s">
        <v>200</v>
      </c>
      <c r="B140" s="76" t="s">
        <v>1185</v>
      </c>
      <c r="C140" s="76" t="s">
        <v>537</v>
      </c>
      <c r="D140" s="76" t="s">
        <v>12539</v>
      </c>
      <c r="E140" s="76" t="s">
        <v>12571</v>
      </c>
      <c r="F140" s="76" t="s">
        <v>12541</v>
      </c>
      <c r="G140" s="77">
        <v>12</v>
      </c>
      <c r="H140" s="76" t="s">
        <v>1420</v>
      </c>
      <c r="I140" s="76" t="s">
        <v>199</v>
      </c>
      <c r="J140" s="76" t="s">
        <v>12809</v>
      </c>
      <c r="K140" s="76" t="s">
        <v>12543</v>
      </c>
      <c r="L140" s="76" t="s">
        <v>12544</v>
      </c>
    </row>
    <row r="141" spans="1:12" ht="69.95" customHeight="1">
      <c r="A141" s="76" t="s">
        <v>201</v>
      </c>
      <c r="B141" s="76" t="s">
        <v>1185</v>
      </c>
      <c r="C141" s="76" t="s">
        <v>537</v>
      </c>
      <c r="D141" s="76" t="s">
        <v>12539</v>
      </c>
      <c r="E141" s="76" t="s">
        <v>12571</v>
      </c>
      <c r="F141" s="76" t="s">
        <v>12541</v>
      </c>
      <c r="G141" s="77">
        <v>12</v>
      </c>
      <c r="H141" s="76" t="s">
        <v>1420</v>
      </c>
      <c r="I141" s="76" t="s">
        <v>1548</v>
      </c>
      <c r="J141" s="76" t="s">
        <v>12810</v>
      </c>
      <c r="K141" s="76" t="s">
        <v>12543</v>
      </c>
      <c r="L141" s="76" t="s">
        <v>12544</v>
      </c>
    </row>
    <row r="142" spans="1:12" ht="69.95" customHeight="1">
      <c r="A142" s="76" t="s">
        <v>202</v>
      </c>
      <c r="B142" s="76" t="s">
        <v>1185</v>
      </c>
      <c r="C142" s="76" t="s">
        <v>537</v>
      </c>
      <c r="D142" s="76" t="s">
        <v>12539</v>
      </c>
      <c r="E142" s="76" t="s">
        <v>12571</v>
      </c>
      <c r="F142" s="76" t="s">
        <v>12541</v>
      </c>
      <c r="G142" s="77">
        <v>12</v>
      </c>
      <c r="H142" s="76" t="s">
        <v>1420</v>
      </c>
      <c r="I142" s="76" t="s">
        <v>12811</v>
      </c>
      <c r="J142" s="76" t="s">
        <v>12812</v>
      </c>
      <c r="K142" s="76" t="s">
        <v>12751</v>
      </c>
      <c r="L142" s="76" t="s">
        <v>12732</v>
      </c>
    </row>
    <row r="143" spans="1:12" ht="69.95" customHeight="1">
      <c r="A143" s="76" t="s">
        <v>203</v>
      </c>
      <c r="B143" s="76" t="s">
        <v>1185</v>
      </c>
      <c r="C143" s="76" t="s">
        <v>537</v>
      </c>
      <c r="D143" s="76" t="s">
        <v>12539</v>
      </c>
      <c r="E143" s="76" t="s">
        <v>12571</v>
      </c>
      <c r="F143" s="76" t="s">
        <v>12541</v>
      </c>
      <c r="G143" s="77">
        <v>10</v>
      </c>
      <c r="H143" s="76" t="s">
        <v>1420</v>
      </c>
      <c r="I143" s="76" t="s">
        <v>1551</v>
      </c>
      <c r="J143" s="76" t="s">
        <v>12813</v>
      </c>
      <c r="K143" s="76" t="s">
        <v>12751</v>
      </c>
      <c r="L143" s="76" t="s">
        <v>12732</v>
      </c>
    </row>
    <row r="144" spans="1:12" ht="69.95" customHeight="1">
      <c r="A144" s="76" t="s">
        <v>204</v>
      </c>
      <c r="B144" s="76" t="s">
        <v>1185</v>
      </c>
      <c r="C144" s="76" t="s">
        <v>537</v>
      </c>
      <c r="D144" s="76" t="s">
        <v>12539</v>
      </c>
      <c r="E144" s="76" t="s">
        <v>12571</v>
      </c>
      <c r="F144" s="76" t="s">
        <v>12541</v>
      </c>
      <c r="G144" s="77">
        <v>10</v>
      </c>
      <c r="H144" s="76" t="s">
        <v>1420</v>
      </c>
      <c r="I144" s="76" t="s">
        <v>12814</v>
      </c>
      <c r="J144" s="76" t="s">
        <v>12815</v>
      </c>
      <c r="K144" s="76" t="s">
        <v>12543</v>
      </c>
      <c r="L144" s="76" t="s">
        <v>12544</v>
      </c>
    </row>
    <row r="145" spans="1:12" ht="69.95" customHeight="1">
      <c r="A145" s="76" t="s">
        <v>205</v>
      </c>
      <c r="B145" s="76" t="s">
        <v>1185</v>
      </c>
      <c r="C145" s="76" t="s">
        <v>537</v>
      </c>
      <c r="D145" s="76" t="s">
        <v>12539</v>
      </c>
      <c r="E145" s="76" t="s">
        <v>12571</v>
      </c>
      <c r="F145" s="76" t="s">
        <v>12541</v>
      </c>
      <c r="G145" s="77">
        <v>12</v>
      </c>
      <c r="H145" s="76" t="s">
        <v>1420</v>
      </c>
      <c r="I145" s="76" t="s">
        <v>12816</v>
      </c>
      <c r="J145" s="76" t="s">
        <v>12817</v>
      </c>
      <c r="K145" s="76" t="s">
        <v>12543</v>
      </c>
      <c r="L145" s="76" t="s">
        <v>12544</v>
      </c>
    </row>
    <row r="146" spans="1:12" ht="69.95" customHeight="1">
      <c r="A146" s="76" t="s">
        <v>206</v>
      </c>
      <c r="B146" s="76" t="s">
        <v>1185</v>
      </c>
      <c r="C146" s="76" t="s">
        <v>537</v>
      </c>
      <c r="D146" s="76" t="s">
        <v>12539</v>
      </c>
      <c r="E146" s="76" t="s">
        <v>12571</v>
      </c>
      <c r="F146" s="76" t="s">
        <v>12541</v>
      </c>
      <c r="G146" s="77">
        <v>12</v>
      </c>
      <c r="H146" s="76" t="s">
        <v>1420</v>
      </c>
      <c r="I146" s="76" t="s">
        <v>12818</v>
      </c>
      <c r="J146" s="76" t="s">
        <v>12819</v>
      </c>
      <c r="K146" s="76" t="s">
        <v>12543</v>
      </c>
      <c r="L146" s="76" t="s">
        <v>12544</v>
      </c>
    </row>
    <row r="147" spans="1:12" ht="69.95" customHeight="1">
      <c r="A147" s="76" t="s">
        <v>207</v>
      </c>
      <c r="B147" s="76" t="s">
        <v>1185</v>
      </c>
      <c r="C147" s="76" t="s">
        <v>537</v>
      </c>
      <c r="D147" s="76" t="s">
        <v>12539</v>
      </c>
      <c r="E147" s="76" t="s">
        <v>12571</v>
      </c>
      <c r="F147" s="76" t="s">
        <v>12541</v>
      </c>
      <c r="G147" s="77">
        <v>12</v>
      </c>
      <c r="H147" s="76" t="s">
        <v>1420</v>
      </c>
      <c r="I147" s="76" t="s">
        <v>206</v>
      </c>
      <c r="J147" s="76" t="s">
        <v>12820</v>
      </c>
      <c r="K147" s="76" t="s">
        <v>12543</v>
      </c>
      <c r="L147" s="76" t="s">
        <v>12544</v>
      </c>
    </row>
    <row r="148" spans="1:12" ht="69.95" customHeight="1">
      <c r="A148" s="76" t="s">
        <v>208</v>
      </c>
      <c r="B148" s="76" t="s">
        <v>1185</v>
      </c>
      <c r="C148" s="76" t="s">
        <v>537</v>
      </c>
      <c r="D148" s="76" t="s">
        <v>12539</v>
      </c>
      <c r="E148" s="76" t="s">
        <v>12571</v>
      </c>
      <c r="F148" s="76" t="s">
        <v>12541</v>
      </c>
      <c r="G148" s="77">
        <v>12</v>
      </c>
      <c r="H148" s="76" t="s">
        <v>1420</v>
      </c>
      <c r="I148" s="76" t="s">
        <v>1560</v>
      </c>
      <c r="J148" s="76" t="s">
        <v>12821</v>
      </c>
      <c r="K148" s="76" t="s">
        <v>12543</v>
      </c>
      <c r="L148" s="76" t="s">
        <v>12544</v>
      </c>
    </row>
    <row r="149" spans="1:12" ht="69.95" customHeight="1">
      <c r="A149" s="76" t="s">
        <v>209</v>
      </c>
      <c r="B149" s="76" t="s">
        <v>1185</v>
      </c>
      <c r="C149" s="76" t="s">
        <v>537</v>
      </c>
      <c r="D149" s="76" t="s">
        <v>12539</v>
      </c>
      <c r="E149" s="76" t="s">
        <v>12571</v>
      </c>
      <c r="F149" s="76" t="s">
        <v>12541</v>
      </c>
      <c r="G149" s="77">
        <v>8</v>
      </c>
      <c r="H149" s="76" t="s">
        <v>1420</v>
      </c>
      <c r="I149" s="76" t="s">
        <v>1561</v>
      </c>
      <c r="J149" s="76" t="s">
        <v>12822</v>
      </c>
      <c r="K149" s="76" t="s">
        <v>12543</v>
      </c>
      <c r="L149" s="76" t="s">
        <v>12544</v>
      </c>
    </row>
    <row r="150" spans="1:12" ht="69.95" customHeight="1">
      <c r="A150" s="76" t="s">
        <v>210</v>
      </c>
      <c r="B150" s="76" t="s">
        <v>1185</v>
      </c>
      <c r="C150" s="76" t="s">
        <v>537</v>
      </c>
      <c r="D150" s="76" t="s">
        <v>12539</v>
      </c>
      <c r="E150" s="76" t="s">
        <v>12571</v>
      </c>
      <c r="F150" s="76" t="s">
        <v>12541</v>
      </c>
      <c r="G150" s="77">
        <v>8</v>
      </c>
      <c r="H150" s="76" t="s">
        <v>1420</v>
      </c>
      <c r="I150" s="76" t="s">
        <v>209</v>
      </c>
      <c r="J150" s="76" t="s">
        <v>12823</v>
      </c>
      <c r="K150" s="76" t="s">
        <v>12543</v>
      </c>
      <c r="L150" s="76" t="s">
        <v>12544</v>
      </c>
    </row>
    <row r="151" spans="1:12" ht="69.95" customHeight="1">
      <c r="A151" s="76" t="s">
        <v>211</v>
      </c>
      <c r="B151" s="76" t="s">
        <v>1185</v>
      </c>
      <c r="C151" s="76" t="s">
        <v>537</v>
      </c>
      <c r="D151" s="76" t="s">
        <v>12539</v>
      </c>
      <c r="E151" s="76" t="s">
        <v>12571</v>
      </c>
      <c r="F151" s="76" t="s">
        <v>12541</v>
      </c>
      <c r="G151" s="77">
        <v>8</v>
      </c>
      <c r="H151" s="76" t="s">
        <v>1420</v>
      </c>
      <c r="I151" s="76" t="s">
        <v>210</v>
      </c>
      <c r="J151" s="76" t="s">
        <v>12824</v>
      </c>
      <c r="K151" s="76" t="s">
        <v>12543</v>
      </c>
      <c r="L151" s="76" t="s">
        <v>12544</v>
      </c>
    </row>
    <row r="152" spans="1:12" ht="69.95" customHeight="1">
      <c r="A152" s="76" t="s">
        <v>212</v>
      </c>
      <c r="B152" s="76" t="s">
        <v>1185</v>
      </c>
      <c r="C152" s="76" t="s">
        <v>537</v>
      </c>
      <c r="D152" s="76" t="s">
        <v>8068</v>
      </c>
      <c r="E152" s="76" t="s">
        <v>12571</v>
      </c>
      <c r="F152" s="76" t="s">
        <v>12825</v>
      </c>
      <c r="G152" s="77" t="s">
        <v>12661</v>
      </c>
      <c r="H152" s="76" t="s">
        <v>12826</v>
      </c>
      <c r="I152" s="76" t="s">
        <v>211</v>
      </c>
      <c r="J152" s="76" t="s">
        <v>8071</v>
      </c>
      <c r="K152" s="76" t="s">
        <v>12630</v>
      </c>
      <c r="L152" s="76" t="s">
        <v>12827</v>
      </c>
    </row>
    <row r="153" spans="1:12" ht="69.95" customHeight="1">
      <c r="A153" s="76" t="s">
        <v>213</v>
      </c>
      <c r="B153" s="76" t="s">
        <v>1185</v>
      </c>
      <c r="C153" s="76" t="s">
        <v>537</v>
      </c>
      <c r="D153" s="76" t="s">
        <v>8075</v>
      </c>
      <c r="E153" s="76" t="s">
        <v>12571</v>
      </c>
      <c r="F153" s="76" t="s">
        <v>12828</v>
      </c>
      <c r="G153" s="77" t="s">
        <v>12829</v>
      </c>
      <c r="H153" s="76" t="s">
        <v>12767</v>
      </c>
      <c r="I153" s="76" t="s">
        <v>12830</v>
      </c>
      <c r="J153" s="76" t="s">
        <v>8078</v>
      </c>
      <c r="K153" s="76" t="s">
        <v>12630</v>
      </c>
      <c r="L153" s="76" t="s">
        <v>12831</v>
      </c>
    </row>
    <row r="154" spans="1:12" ht="69.95" customHeight="1">
      <c r="A154" s="76" t="s">
        <v>214</v>
      </c>
      <c r="B154" s="76" t="s">
        <v>1185</v>
      </c>
      <c r="C154" s="76" t="s">
        <v>537</v>
      </c>
      <c r="D154" s="76" t="s">
        <v>12539</v>
      </c>
      <c r="E154" s="76" t="s">
        <v>12571</v>
      </c>
      <c r="F154" s="76" t="s">
        <v>12541</v>
      </c>
      <c r="G154" s="77">
        <v>12</v>
      </c>
      <c r="H154" s="76" t="s">
        <v>1420</v>
      </c>
      <c r="I154" s="76" t="s">
        <v>12832</v>
      </c>
      <c r="J154" s="76" t="s">
        <v>12833</v>
      </c>
      <c r="K154" s="76" t="s">
        <v>12751</v>
      </c>
      <c r="L154" s="76" t="s">
        <v>12732</v>
      </c>
    </row>
    <row r="155" spans="1:12" ht="69.95" customHeight="1">
      <c r="A155" s="76" t="s">
        <v>215</v>
      </c>
      <c r="B155" s="76" t="s">
        <v>1185</v>
      </c>
      <c r="C155" s="76" t="s">
        <v>537</v>
      </c>
      <c r="D155" s="76" t="s">
        <v>12539</v>
      </c>
      <c r="E155" s="76" t="s">
        <v>12571</v>
      </c>
      <c r="F155" s="76" t="s">
        <v>12541</v>
      </c>
      <c r="G155" s="77">
        <v>12</v>
      </c>
      <c r="H155" s="76" t="s">
        <v>1420</v>
      </c>
      <c r="I155" s="76"/>
      <c r="J155" s="76" t="s">
        <v>12834</v>
      </c>
      <c r="K155" s="76" t="s">
        <v>12543</v>
      </c>
      <c r="L155" s="76" t="s">
        <v>12544</v>
      </c>
    </row>
    <row r="156" spans="1:12" ht="69.95" customHeight="1">
      <c r="A156" s="76" t="s">
        <v>216</v>
      </c>
      <c r="B156" s="76" t="s">
        <v>1185</v>
      </c>
      <c r="C156" s="76" t="s">
        <v>537</v>
      </c>
      <c r="D156" s="76" t="s">
        <v>12539</v>
      </c>
      <c r="E156" s="76" t="s">
        <v>12571</v>
      </c>
      <c r="F156" s="76" t="s">
        <v>12541</v>
      </c>
      <c r="G156" s="77">
        <v>12</v>
      </c>
      <c r="H156" s="76" t="s">
        <v>1420</v>
      </c>
      <c r="I156" s="76"/>
      <c r="J156" s="76" t="s">
        <v>12835</v>
      </c>
      <c r="K156" s="76" t="s">
        <v>12543</v>
      </c>
      <c r="L156" s="76" t="s">
        <v>12544</v>
      </c>
    </row>
    <row r="157" spans="1:12" ht="69.95" customHeight="1">
      <c r="A157" s="76" t="s">
        <v>217</v>
      </c>
      <c r="B157" s="76" t="s">
        <v>1185</v>
      </c>
      <c r="C157" s="76" t="s">
        <v>537</v>
      </c>
      <c r="D157" s="76" t="s">
        <v>12539</v>
      </c>
      <c r="E157" s="76" t="s">
        <v>12571</v>
      </c>
      <c r="F157" s="76" t="s">
        <v>12541</v>
      </c>
      <c r="G157" s="77">
        <v>12</v>
      </c>
      <c r="H157" s="76" t="s">
        <v>1420</v>
      </c>
      <c r="I157" s="76" t="s">
        <v>12836</v>
      </c>
      <c r="J157" s="76" t="s">
        <v>12837</v>
      </c>
      <c r="K157" s="76" t="s">
        <v>12543</v>
      </c>
      <c r="L157" s="76" t="s">
        <v>12544</v>
      </c>
    </row>
    <row r="158" spans="1:12" ht="69.95" customHeight="1">
      <c r="A158" s="76" t="s">
        <v>218</v>
      </c>
      <c r="B158" s="76" t="s">
        <v>1185</v>
      </c>
      <c r="C158" s="76" t="s">
        <v>537</v>
      </c>
      <c r="D158" s="76" t="s">
        <v>8082</v>
      </c>
      <c r="E158" s="76" t="s">
        <v>12571</v>
      </c>
      <c r="F158" s="76" t="s">
        <v>12838</v>
      </c>
      <c r="G158" s="77" t="s">
        <v>12614</v>
      </c>
      <c r="H158" s="76" t="s">
        <v>12767</v>
      </c>
      <c r="I158" s="76"/>
      <c r="J158" s="76" t="s">
        <v>8085</v>
      </c>
      <c r="K158" s="76" t="s">
        <v>12630</v>
      </c>
      <c r="L158" s="76" t="s">
        <v>12839</v>
      </c>
    </row>
    <row r="159" spans="1:12" ht="69.95" customHeight="1">
      <c r="A159" s="76" t="s">
        <v>219</v>
      </c>
      <c r="B159" s="76" t="s">
        <v>1185</v>
      </c>
      <c r="C159" s="76" t="s">
        <v>537</v>
      </c>
      <c r="D159" s="76" t="s">
        <v>12539</v>
      </c>
      <c r="E159" s="76" t="s">
        <v>12571</v>
      </c>
      <c r="F159" s="76" t="s">
        <v>12541</v>
      </c>
      <c r="G159" s="77">
        <v>12</v>
      </c>
      <c r="H159" s="76" t="s">
        <v>1420</v>
      </c>
      <c r="I159" s="76" t="s">
        <v>12803</v>
      </c>
      <c r="J159" s="76" t="s">
        <v>12840</v>
      </c>
      <c r="K159" s="76" t="s">
        <v>12751</v>
      </c>
      <c r="L159" s="76" t="s">
        <v>12732</v>
      </c>
    </row>
    <row r="160" spans="1:12" ht="69.95" customHeight="1">
      <c r="A160" s="76" t="s">
        <v>220</v>
      </c>
      <c r="B160" s="76" t="s">
        <v>1185</v>
      </c>
      <c r="C160" s="76" t="s">
        <v>537</v>
      </c>
      <c r="D160" s="76" t="s">
        <v>12539</v>
      </c>
      <c r="E160" s="76" t="s">
        <v>12571</v>
      </c>
      <c r="F160" s="76" t="s">
        <v>12541</v>
      </c>
      <c r="G160" s="77">
        <v>12</v>
      </c>
      <c r="H160" s="76" t="s">
        <v>1420</v>
      </c>
      <c r="I160" s="76" t="s">
        <v>12841</v>
      </c>
      <c r="J160" s="76" t="s">
        <v>12842</v>
      </c>
      <c r="K160" s="76" t="s">
        <v>12543</v>
      </c>
      <c r="L160" s="76" t="s">
        <v>12544</v>
      </c>
    </row>
    <row r="161" spans="1:12" ht="69.95" customHeight="1">
      <c r="A161" s="76" t="s">
        <v>221</v>
      </c>
      <c r="B161" s="76" t="s">
        <v>1185</v>
      </c>
      <c r="C161" s="76" t="s">
        <v>537</v>
      </c>
      <c r="D161" s="76" t="s">
        <v>12539</v>
      </c>
      <c r="E161" s="76" t="s">
        <v>12571</v>
      </c>
      <c r="F161" s="76" t="s">
        <v>12541</v>
      </c>
      <c r="G161" s="77">
        <v>12</v>
      </c>
      <c r="H161" s="76" t="s">
        <v>1420</v>
      </c>
      <c r="I161" s="76" t="s">
        <v>12843</v>
      </c>
      <c r="J161" s="76" t="s">
        <v>12844</v>
      </c>
      <c r="K161" s="76" t="s">
        <v>12751</v>
      </c>
      <c r="L161" s="76" t="s">
        <v>12732</v>
      </c>
    </row>
    <row r="162" spans="1:12" ht="69.95" customHeight="1">
      <c r="A162" s="76" t="s">
        <v>222</v>
      </c>
      <c r="B162" s="76" t="s">
        <v>1185</v>
      </c>
      <c r="C162" s="76" t="s">
        <v>537</v>
      </c>
      <c r="D162" s="76" t="s">
        <v>8089</v>
      </c>
      <c r="E162" s="76" t="s">
        <v>12571</v>
      </c>
      <c r="F162" s="76" t="s">
        <v>12845</v>
      </c>
      <c r="G162" s="77" t="s">
        <v>12614</v>
      </c>
      <c r="H162" s="76" t="s">
        <v>12767</v>
      </c>
      <c r="I162" s="76" t="s">
        <v>12846</v>
      </c>
      <c r="J162" s="76" t="s">
        <v>8092</v>
      </c>
      <c r="K162" s="76" t="s">
        <v>12847</v>
      </c>
      <c r="L162" s="76" t="s">
        <v>12848</v>
      </c>
    </row>
    <row r="163" spans="1:12" ht="69.95" customHeight="1">
      <c r="A163" s="76" t="s">
        <v>223</v>
      </c>
      <c r="B163" s="76" t="s">
        <v>1185</v>
      </c>
      <c r="C163" s="76" t="s">
        <v>537</v>
      </c>
      <c r="D163" s="76" t="s">
        <v>12539</v>
      </c>
      <c r="E163" s="76" t="s">
        <v>12571</v>
      </c>
      <c r="F163" s="76" t="s">
        <v>12541</v>
      </c>
      <c r="G163" s="77">
        <v>12</v>
      </c>
      <c r="H163" s="76" t="s">
        <v>1420</v>
      </c>
      <c r="I163" s="76" t="s">
        <v>12849</v>
      </c>
      <c r="J163" s="76" t="s">
        <v>12850</v>
      </c>
      <c r="K163" s="76" t="s">
        <v>12543</v>
      </c>
      <c r="L163" s="76" t="s">
        <v>12544</v>
      </c>
    </row>
    <row r="164" spans="1:12" ht="69.95" customHeight="1">
      <c r="A164" s="76" t="s">
        <v>224</v>
      </c>
      <c r="B164" s="76" t="s">
        <v>1185</v>
      </c>
      <c r="C164" s="76" t="s">
        <v>537</v>
      </c>
      <c r="D164" s="76" t="s">
        <v>12539</v>
      </c>
      <c r="E164" s="76" t="s">
        <v>12571</v>
      </c>
      <c r="F164" s="76" t="s">
        <v>12541</v>
      </c>
      <c r="G164" s="77">
        <v>10</v>
      </c>
      <c r="H164" s="76" t="s">
        <v>1420</v>
      </c>
      <c r="I164" s="76" t="s">
        <v>1578</v>
      </c>
      <c r="J164" s="76" t="s">
        <v>12851</v>
      </c>
      <c r="K164" s="76" t="s">
        <v>12543</v>
      </c>
      <c r="L164" s="76" t="s">
        <v>12544</v>
      </c>
    </row>
    <row r="165" spans="1:12" ht="69.95" customHeight="1">
      <c r="A165" s="76" t="s">
        <v>225</v>
      </c>
      <c r="B165" s="76" t="s">
        <v>1185</v>
      </c>
      <c r="C165" s="76" t="s">
        <v>537</v>
      </c>
      <c r="D165" s="76" t="s">
        <v>12539</v>
      </c>
      <c r="E165" s="76" t="s">
        <v>12571</v>
      </c>
      <c r="F165" s="76" t="s">
        <v>12541</v>
      </c>
      <c r="G165" s="77">
        <v>12</v>
      </c>
      <c r="H165" s="76" t="s">
        <v>1420</v>
      </c>
      <c r="I165" s="76" t="s">
        <v>1580</v>
      </c>
      <c r="J165" s="76" t="s">
        <v>12852</v>
      </c>
      <c r="K165" s="76" t="s">
        <v>12543</v>
      </c>
      <c r="L165" s="76" t="s">
        <v>12544</v>
      </c>
    </row>
    <row r="166" spans="1:12" ht="69.95" customHeight="1">
      <c r="A166" s="76" t="s">
        <v>226</v>
      </c>
      <c r="B166" s="76" t="s">
        <v>1185</v>
      </c>
      <c r="C166" s="76" t="s">
        <v>537</v>
      </c>
      <c r="D166" s="76" t="s">
        <v>8095</v>
      </c>
      <c r="E166" s="76" t="s">
        <v>12571</v>
      </c>
      <c r="F166" s="76" t="s">
        <v>12853</v>
      </c>
      <c r="G166" s="77" t="s">
        <v>12614</v>
      </c>
      <c r="H166" s="76" t="s">
        <v>12767</v>
      </c>
      <c r="I166" s="76" t="s">
        <v>1581</v>
      </c>
      <c r="J166" s="76" t="s">
        <v>8098</v>
      </c>
      <c r="K166" s="76" t="s">
        <v>12630</v>
      </c>
      <c r="L166" s="76" t="s">
        <v>12854</v>
      </c>
    </row>
    <row r="167" spans="1:12" ht="69.95" customHeight="1">
      <c r="A167" s="76" t="s">
        <v>227</v>
      </c>
      <c r="B167" s="76" t="s">
        <v>1185</v>
      </c>
      <c r="C167" s="76" t="s">
        <v>537</v>
      </c>
      <c r="D167" s="76" t="s">
        <v>12539</v>
      </c>
      <c r="E167" s="76" t="s">
        <v>12571</v>
      </c>
      <c r="F167" s="76" t="s">
        <v>12541</v>
      </c>
      <c r="G167" s="77">
        <v>12</v>
      </c>
      <c r="H167" s="76" t="s">
        <v>1420</v>
      </c>
      <c r="I167" s="76" t="s">
        <v>12818</v>
      </c>
      <c r="J167" s="76" t="s">
        <v>12855</v>
      </c>
      <c r="K167" s="76" t="s">
        <v>12543</v>
      </c>
      <c r="L167" s="76" t="s">
        <v>12544</v>
      </c>
    </row>
    <row r="168" spans="1:12" ht="69.95" customHeight="1">
      <c r="A168" s="76" t="s">
        <v>228</v>
      </c>
      <c r="B168" s="76" t="s">
        <v>1185</v>
      </c>
      <c r="C168" s="76" t="s">
        <v>537</v>
      </c>
      <c r="D168" s="76" t="s">
        <v>12539</v>
      </c>
      <c r="E168" s="76" t="s">
        <v>12571</v>
      </c>
      <c r="F168" s="76" t="s">
        <v>12541</v>
      </c>
      <c r="G168" s="77">
        <v>10</v>
      </c>
      <c r="H168" s="76" t="s">
        <v>1420</v>
      </c>
      <c r="I168" s="76" t="s">
        <v>12856</v>
      </c>
      <c r="J168" s="76" t="s">
        <v>12857</v>
      </c>
      <c r="K168" s="76" t="s">
        <v>12543</v>
      </c>
      <c r="L168" s="76" t="s">
        <v>12544</v>
      </c>
    </row>
    <row r="169" spans="1:12" ht="69.95" customHeight="1">
      <c r="A169" s="76" t="s">
        <v>229</v>
      </c>
      <c r="B169" s="76" t="s">
        <v>1185</v>
      </c>
      <c r="C169" s="76" t="s">
        <v>537</v>
      </c>
      <c r="D169" s="76" t="s">
        <v>12539</v>
      </c>
      <c r="E169" s="76" t="s">
        <v>12571</v>
      </c>
      <c r="F169" s="76" t="s">
        <v>12541</v>
      </c>
      <c r="G169" s="77">
        <v>10</v>
      </c>
      <c r="H169" s="76" t="s">
        <v>1420</v>
      </c>
      <c r="I169" s="76" t="s">
        <v>12858</v>
      </c>
      <c r="J169" s="76" t="s">
        <v>12859</v>
      </c>
      <c r="K169" s="76" t="s">
        <v>12543</v>
      </c>
      <c r="L169" s="76" t="s">
        <v>12544</v>
      </c>
    </row>
    <row r="170" spans="1:12" ht="69.95" customHeight="1">
      <c r="A170" s="76" t="s">
        <v>230</v>
      </c>
      <c r="B170" s="76" t="s">
        <v>1185</v>
      </c>
      <c r="C170" s="76" t="s">
        <v>537</v>
      </c>
      <c r="D170" s="76" t="s">
        <v>12539</v>
      </c>
      <c r="E170" s="76" t="s">
        <v>12571</v>
      </c>
      <c r="F170" s="76" t="s">
        <v>12541</v>
      </c>
      <c r="G170" s="77">
        <v>10</v>
      </c>
      <c r="H170" s="76" t="s">
        <v>1420</v>
      </c>
      <c r="I170" s="76" t="s">
        <v>12860</v>
      </c>
      <c r="J170" s="76" t="s">
        <v>12861</v>
      </c>
      <c r="K170" s="76" t="s">
        <v>12543</v>
      </c>
      <c r="L170" s="76" t="s">
        <v>12544</v>
      </c>
    </row>
    <row r="171" spans="1:12" ht="69.95" customHeight="1">
      <c r="A171" s="76" t="s">
        <v>231</v>
      </c>
      <c r="B171" s="76" t="s">
        <v>1185</v>
      </c>
      <c r="C171" s="76" t="s">
        <v>537</v>
      </c>
      <c r="D171" s="76" t="s">
        <v>12539</v>
      </c>
      <c r="E171" s="76" t="s">
        <v>12571</v>
      </c>
      <c r="F171" s="76" t="s">
        <v>12541</v>
      </c>
      <c r="G171" s="77">
        <v>12</v>
      </c>
      <c r="H171" s="76" t="s">
        <v>1420</v>
      </c>
      <c r="I171" s="76" t="s">
        <v>142</v>
      </c>
      <c r="J171" s="76" t="s">
        <v>12862</v>
      </c>
      <c r="K171" s="76" t="s">
        <v>12543</v>
      </c>
      <c r="L171" s="76" t="s">
        <v>12544</v>
      </c>
    </row>
    <row r="172" spans="1:12" ht="69.95" customHeight="1">
      <c r="A172" s="76" t="s">
        <v>232</v>
      </c>
      <c r="B172" s="76" t="s">
        <v>1185</v>
      </c>
      <c r="C172" s="76" t="s">
        <v>537</v>
      </c>
      <c r="D172" s="76" t="s">
        <v>12539</v>
      </c>
      <c r="E172" s="76" t="s">
        <v>12571</v>
      </c>
      <c r="F172" s="76" t="s">
        <v>12541</v>
      </c>
      <c r="G172" s="77">
        <v>8</v>
      </c>
      <c r="H172" s="76" t="s">
        <v>1420</v>
      </c>
      <c r="I172" s="76" t="s">
        <v>12863</v>
      </c>
      <c r="J172" s="76" t="s">
        <v>12864</v>
      </c>
      <c r="K172" s="76" t="s">
        <v>12543</v>
      </c>
      <c r="L172" s="76" t="s">
        <v>12544</v>
      </c>
    </row>
    <row r="173" spans="1:12" ht="69.95" customHeight="1">
      <c r="A173" s="76" t="s">
        <v>233</v>
      </c>
      <c r="B173" s="76" t="s">
        <v>1185</v>
      </c>
      <c r="C173" s="76" t="s">
        <v>537</v>
      </c>
      <c r="D173" s="76" t="s">
        <v>12539</v>
      </c>
      <c r="E173" s="76" t="s">
        <v>12571</v>
      </c>
      <c r="F173" s="76" t="s">
        <v>12541</v>
      </c>
      <c r="G173" s="77">
        <v>12</v>
      </c>
      <c r="H173" s="76" t="s">
        <v>1420</v>
      </c>
      <c r="I173" s="76" t="s">
        <v>1589</v>
      </c>
      <c r="J173" s="76" t="s">
        <v>12865</v>
      </c>
      <c r="K173" s="76" t="s">
        <v>12543</v>
      </c>
      <c r="L173" s="76" t="s">
        <v>12544</v>
      </c>
    </row>
    <row r="174" spans="1:12" ht="69.95" customHeight="1">
      <c r="A174" s="76" t="s">
        <v>234</v>
      </c>
      <c r="B174" s="76" t="s">
        <v>1185</v>
      </c>
      <c r="C174" s="76" t="s">
        <v>537</v>
      </c>
      <c r="D174" s="76" t="s">
        <v>12539</v>
      </c>
      <c r="E174" s="76" t="s">
        <v>12571</v>
      </c>
      <c r="F174" s="76" t="s">
        <v>12541</v>
      </c>
      <c r="G174" s="77">
        <v>11</v>
      </c>
      <c r="H174" s="76" t="s">
        <v>1420</v>
      </c>
      <c r="I174" s="76" t="s">
        <v>12818</v>
      </c>
      <c r="J174" s="76" t="s">
        <v>12866</v>
      </c>
      <c r="K174" s="76" t="s">
        <v>12543</v>
      </c>
      <c r="L174" s="76" t="s">
        <v>12544</v>
      </c>
    </row>
    <row r="175" spans="1:12" ht="69.95" customHeight="1">
      <c r="A175" s="76" t="s">
        <v>235</v>
      </c>
      <c r="B175" s="76" t="s">
        <v>1185</v>
      </c>
      <c r="C175" s="76" t="s">
        <v>537</v>
      </c>
      <c r="D175" s="76" t="s">
        <v>8101</v>
      </c>
      <c r="E175" s="76" t="s">
        <v>12571</v>
      </c>
      <c r="F175" s="76" t="s">
        <v>12867</v>
      </c>
      <c r="G175" s="77" t="s">
        <v>1508</v>
      </c>
      <c r="H175" s="76" t="s">
        <v>12741</v>
      </c>
      <c r="I175" s="76" t="s">
        <v>1590</v>
      </c>
      <c r="J175" s="76" t="s">
        <v>8104</v>
      </c>
      <c r="K175" s="76" t="s">
        <v>12630</v>
      </c>
      <c r="L175" s="76" t="s">
        <v>12868</v>
      </c>
    </row>
    <row r="176" spans="1:12" ht="69.95" customHeight="1">
      <c r="A176" s="76" t="s">
        <v>236</v>
      </c>
      <c r="B176" s="76" t="s">
        <v>9529</v>
      </c>
      <c r="C176" s="76" t="s">
        <v>537</v>
      </c>
      <c r="D176" s="76" t="s">
        <v>12539</v>
      </c>
      <c r="E176" s="76" t="s">
        <v>12571</v>
      </c>
      <c r="F176" s="76" t="s">
        <v>12541</v>
      </c>
      <c r="G176" s="77">
        <v>12</v>
      </c>
      <c r="H176" s="76" t="s">
        <v>1420</v>
      </c>
      <c r="I176" s="76"/>
      <c r="J176" s="76" t="s">
        <v>12869</v>
      </c>
      <c r="K176" s="76" t="s">
        <v>12543</v>
      </c>
      <c r="L176" s="76" t="s">
        <v>12544</v>
      </c>
    </row>
    <row r="177" spans="1:12" ht="69.95" customHeight="1">
      <c r="A177" s="76" t="s">
        <v>237</v>
      </c>
      <c r="B177" s="76" t="s">
        <v>9529</v>
      </c>
      <c r="C177" s="76" t="s">
        <v>537</v>
      </c>
      <c r="D177" s="76" t="s">
        <v>12539</v>
      </c>
      <c r="E177" s="76" t="s">
        <v>12571</v>
      </c>
      <c r="F177" s="76" t="s">
        <v>12541</v>
      </c>
      <c r="G177" s="77">
        <v>12</v>
      </c>
      <c r="H177" s="76" t="s">
        <v>1420</v>
      </c>
      <c r="I177" s="76" t="s">
        <v>12870</v>
      </c>
      <c r="J177" s="76" t="s">
        <v>12871</v>
      </c>
      <c r="K177" s="76" t="s">
        <v>12543</v>
      </c>
      <c r="L177" s="76" t="s">
        <v>12544</v>
      </c>
    </row>
    <row r="178" spans="1:12" ht="69.95" customHeight="1">
      <c r="A178" s="76" t="s">
        <v>238</v>
      </c>
      <c r="B178" s="76" t="s">
        <v>9011</v>
      </c>
      <c r="C178" s="76" t="s">
        <v>537</v>
      </c>
      <c r="D178" s="76" t="s">
        <v>8108</v>
      </c>
      <c r="E178" s="76" t="s">
        <v>12571</v>
      </c>
      <c r="F178" s="76" t="s">
        <v>12872</v>
      </c>
      <c r="G178" s="77" t="s">
        <v>1508</v>
      </c>
      <c r="H178" s="76" t="s">
        <v>12873</v>
      </c>
      <c r="I178" s="76"/>
      <c r="J178" s="76" t="s">
        <v>8111</v>
      </c>
      <c r="K178" s="76" t="s">
        <v>12630</v>
      </c>
      <c r="L178" s="76" t="s">
        <v>12874</v>
      </c>
    </row>
    <row r="179" spans="1:12" ht="69.95" customHeight="1">
      <c r="A179" s="76" t="s">
        <v>239</v>
      </c>
      <c r="B179" s="76" t="s">
        <v>1175</v>
      </c>
      <c r="C179" s="76" t="s">
        <v>537</v>
      </c>
      <c r="D179" s="76" t="s">
        <v>8115</v>
      </c>
      <c r="E179" s="76" t="s">
        <v>12571</v>
      </c>
      <c r="F179" s="76" t="s">
        <v>12875</v>
      </c>
      <c r="G179" s="77" t="s">
        <v>1508</v>
      </c>
      <c r="H179" s="76" t="s">
        <v>12672</v>
      </c>
      <c r="I179" s="76"/>
      <c r="J179" s="76" t="s">
        <v>1791</v>
      </c>
      <c r="K179" s="76" t="s">
        <v>12630</v>
      </c>
      <c r="L179" s="76" t="s">
        <v>12876</v>
      </c>
    </row>
    <row r="180" spans="1:12" ht="69.95" customHeight="1">
      <c r="A180" s="76" t="s">
        <v>240</v>
      </c>
      <c r="B180" s="76" t="s">
        <v>9308</v>
      </c>
      <c r="C180" s="76" t="s">
        <v>537</v>
      </c>
      <c r="D180" s="76" t="s">
        <v>8117</v>
      </c>
      <c r="E180" s="76" t="s">
        <v>12571</v>
      </c>
      <c r="F180" s="76" t="s">
        <v>12877</v>
      </c>
      <c r="G180" s="77" t="s">
        <v>1508</v>
      </c>
      <c r="H180" s="76" t="s">
        <v>12798</v>
      </c>
      <c r="I180" s="76" t="s">
        <v>238</v>
      </c>
      <c r="J180" s="76" t="s">
        <v>8120</v>
      </c>
      <c r="K180" s="76" t="s">
        <v>12630</v>
      </c>
      <c r="L180" s="76" t="s">
        <v>12878</v>
      </c>
    </row>
    <row r="181" spans="1:12">
      <c r="A181" t="s">
        <v>9583</v>
      </c>
      <c r="B181" t="s">
        <v>1175</v>
      </c>
      <c r="C181" t="s">
        <v>537</v>
      </c>
      <c r="D181" t="s">
        <v>9600</v>
      </c>
      <c r="F181" t="s">
        <v>12879</v>
      </c>
      <c r="H181" t="s">
        <v>12880</v>
      </c>
      <c r="I181" t="s">
        <v>102</v>
      </c>
      <c r="J181" t="s">
        <v>12881</v>
      </c>
      <c r="K181" t="s">
        <v>12882</v>
      </c>
      <c r="L181" t="s">
        <v>12883</v>
      </c>
    </row>
    <row r="182" spans="1:12">
      <c r="A182" t="s">
        <v>9608</v>
      </c>
      <c r="B182" t="s">
        <v>1175</v>
      </c>
      <c r="C182" t="s">
        <v>537</v>
      </c>
      <c r="D182" t="s">
        <v>9600</v>
      </c>
      <c r="F182" t="s">
        <v>12879</v>
      </c>
      <c r="H182" t="s">
        <v>12880</v>
      </c>
      <c r="I182" t="s">
        <v>9583</v>
      </c>
      <c r="J182" t="s">
        <v>12881</v>
      </c>
      <c r="K182" t="s">
        <v>12882</v>
      </c>
      <c r="L182" t="s">
        <v>12883</v>
      </c>
    </row>
    <row r="183" spans="1:12">
      <c r="A183" t="s">
        <v>9616</v>
      </c>
      <c r="B183" t="s">
        <v>1175</v>
      </c>
      <c r="C183" t="s">
        <v>537</v>
      </c>
      <c r="D183" t="s">
        <v>9600</v>
      </c>
      <c r="F183" t="s">
        <v>12879</v>
      </c>
      <c r="H183" t="s">
        <v>12880</v>
      </c>
      <c r="I183" t="s">
        <v>9621</v>
      </c>
      <c r="J183" t="s">
        <v>12881</v>
      </c>
      <c r="K183" t="s">
        <v>12882</v>
      </c>
      <c r="L183" t="s">
        <v>12883</v>
      </c>
    </row>
    <row r="184" spans="1:12">
      <c r="A184" t="s">
        <v>9625</v>
      </c>
      <c r="B184" t="s">
        <v>1175</v>
      </c>
      <c r="C184" t="s">
        <v>537</v>
      </c>
      <c r="D184" t="s">
        <v>9600</v>
      </c>
      <c r="F184" t="s">
        <v>12879</v>
      </c>
      <c r="H184" t="s">
        <v>12880</v>
      </c>
      <c r="I184" t="s">
        <v>9631</v>
      </c>
      <c r="J184" t="s">
        <v>12881</v>
      </c>
      <c r="K184" t="s">
        <v>12882</v>
      </c>
      <c r="L184" t="s">
        <v>12883</v>
      </c>
    </row>
    <row r="185" spans="1:12">
      <c r="A185" t="s">
        <v>9633</v>
      </c>
      <c r="B185" t="s">
        <v>1175</v>
      </c>
      <c r="C185" t="s">
        <v>537</v>
      </c>
      <c r="D185" t="s">
        <v>9600</v>
      </c>
      <c r="F185" t="s">
        <v>12879</v>
      </c>
      <c r="H185" t="s">
        <v>12880</v>
      </c>
      <c r="I185" t="s">
        <v>9639</v>
      </c>
      <c r="J185" t="s">
        <v>12881</v>
      </c>
      <c r="K185" t="s">
        <v>12882</v>
      </c>
      <c r="L185" t="s">
        <v>12883</v>
      </c>
    </row>
    <row r="186" spans="1:12">
      <c r="A186" t="s">
        <v>9642</v>
      </c>
      <c r="B186" t="s">
        <v>1175</v>
      </c>
      <c r="C186" t="s">
        <v>537</v>
      </c>
      <c r="D186" t="s">
        <v>9600</v>
      </c>
      <c r="F186" t="s">
        <v>12879</v>
      </c>
      <c r="H186" t="s">
        <v>12880</v>
      </c>
      <c r="I186" t="s">
        <v>9633</v>
      </c>
      <c r="J186" t="s">
        <v>12881</v>
      </c>
      <c r="K186" t="s">
        <v>12882</v>
      </c>
      <c r="L186" t="s">
        <v>12883</v>
      </c>
    </row>
    <row r="187" spans="1:12">
      <c r="A187" t="s">
        <v>9651</v>
      </c>
      <c r="B187" t="s">
        <v>1175</v>
      </c>
      <c r="C187" t="s">
        <v>537</v>
      </c>
      <c r="D187" t="s">
        <v>9600</v>
      </c>
      <c r="F187" t="s">
        <v>12879</v>
      </c>
      <c r="H187" t="s">
        <v>12880</v>
      </c>
      <c r="I187" t="s">
        <v>9657</v>
      </c>
      <c r="J187" t="s">
        <v>12881</v>
      </c>
      <c r="K187" t="s">
        <v>12882</v>
      </c>
      <c r="L187" t="s">
        <v>12883</v>
      </c>
    </row>
    <row r="188" spans="1:12">
      <c r="A188" t="s">
        <v>9661</v>
      </c>
      <c r="B188" t="s">
        <v>1175</v>
      </c>
      <c r="C188" t="s">
        <v>537</v>
      </c>
      <c r="D188" t="s">
        <v>9600</v>
      </c>
      <c r="F188" t="s">
        <v>12879</v>
      </c>
      <c r="H188" t="s">
        <v>12880</v>
      </c>
      <c r="I188" t="s">
        <v>9667</v>
      </c>
      <c r="J188" t="s">
        <v>12881</v>
      </c>
      <c r="K188" t="s">
        <v>12882</v>
      </c>
      <c r="L188" t="s">
        <v>12883</v>
      </c>
    </row>
  </sheetData>
  <conditionalFormatting sqref="C2:C180">
    <cfRule type="expression" dxfId="15" priority="1">
      <formula>$C2="Done"</formula>
    </cfRule>
    <cfRule type="expression" dxfId="14" priority="2">
      <formula>$C2="In Progress"</formula>
    </cfRule>
  </conditionalFormatting>
  <conditionalFormatting sqref="D2:D180">
    <cfRule type="expression" dxfId="13" priority="4">
      <formula>$D2="CURRENT STATUS DISPOSITION UNRESOLVED"</formula>
    </cfRule>
  </conditionalFormatting>
  <conditionalFormatting sqref="H2:H180">
    <cfRule type="expression" dxfId="12" priority="5">
      <formula>AND($H2&lt;&gt;"INHERITED ESTIMATE",$H2&lt;&gt;"CONFIRMED ESTIMATE")</formula>
    </cfRule>
  </conditionalFormatting>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35"/>
  <sheetViews>
    <sheetView workbookViewId="0"/>
  </sheetViews>
  <sheetFormatPr defaultRowHeight="14.25"/>
  <cols>
    <col min="1" max="1" width="12" customWidth="1"/>
    <col min="2" max="2" width="35" customWidth="1"/>
    <col min="3" max="3" width="16" customWidth="1"/>
    <col min="4" max="5" width="50" customWidth="1"/>
    <col min="6" max="6" width="14" customWidth="1"/>
    <col min="7" max="9" width="13" customWidth="1"/>
    <col min="10" max="10" width="31" customWidth="1"/>
    <col min="11" max="11" width="44" customWidth="1"/>
    <col min="12" max="12" width="48" customWidth="1"/>
    <col min="13" max="13" width="42" customWidth="1"/>
    <col min="14" max="14" width="45" customWidth="1"/>
  </cols>
  <sheetData>
    <row r="1" spans="1:14" ht="38.1" customHeight="1">
      <c r="A1" s="88" t="s">
        <v>1599</v>
      </c>
      <c r="B1" s="88" t="s">
        <v>1639</v>
      </c>
      <c r="C1" s="88" t="s">
        <v>1597</v>
      </c>
      <c r="D1" s="88" t="s">
        <v>1640</v>
      </c>
      <c r="E1" s="88" t="s">
        <v>1641</v>
      </c>
      <c r="F1" s="88" t="s">
        <v>1642</v>
      </c>
      <c r="G1" s="88" t="s">
        <v>1643</v>
      </c>
      <c r="H1" s="88" t="s">
        <v>1644</v>
      </c>
      <c r="I1" s="88" t="s">
        <v>1645</v>
      </c>
      <c r="J1" s="88" t="s">
        <v>1646</v>
      </c>
      <c r="K1" s="87" t="s">
        <v>1647</v>
      </c>
      <c r="L1" s="87" t="s">
        <v>1648</v>
      </c>
      <c r="M1" s="87" t="s">
        <v>1649</v>
      </c>
      <c r="N1" s="87" t="s">
        <v>1650</v>
      </c>
    </row>
    <row r="2" spans="1:14" ht="195" customHeight="1">
      <c r="A2" s="76" t="s">
        <v>88</v>
      </c>
      <c r="B2" s="76" t="s">
        <v>525</v>
      </c>
      <c r="C2" s="76" t="s">
        <v>249</v>
      </c>
      <c r="D2" s="76" t="s">
        <v>1651</v>
      </c>
      <c r="E2" s="76" t="s">
        <v>1652</v>
      </c>
      <c r="F2" s="77">
        <v>12</v>
      </c>
      <c r="G2" s="89">
        <f>INDEX('Source Review'!$F$2:$F$52,MATCH($A2,'Source Review'!$A$2:$A$52,0))</f>
        <v>0</v>
      </c>
      <c r="H2" s="89">
        <f>INDEX('Source Review'!$G$2:$G$52,MATCH($A2,'Source Review'!$A$2:$A$52,0))</f>
        <v>0</v>
      </c>
      <c r="I2" s="89">
        <f>INDEX('Source Review'!$H$2:$H$52,MATCH($A2,'Source Review'!$A$2:$A$52,0))</f>
        <v>0</v>
      </c>
      <c r="J2" s="76" t="s">
        <v>1653</v>
      </c>
      <c r="K2" s="38" t="s">
        <v>526</v>
      </c>
      <c r="L2" s="38" t="s">
        <v>1654</v>
      </c>
      <c r="M2" s="38" t="s">
        <v>1655</v>
      </c>
      <c r="N2" s="38" t="s">
        <v>1656</v>
      </c>
    </row>
    <row r="3" spans="1:14" ht="195" customHeight="1">
      <c r="A3" s="76" t="s">
        <v>89</v>
      </c>
      <c r="B3" s="76" t="s">
        <v>530</v>
      </c>
      <c r="C3" s="76" t="s">
        <v>249</v>
      </c>
      <c r="D3" s="76" t="s">
        <v>1657</v>
      </c>
      <c r="E3" s="76" t="s">
        <v>1658</v>
      </c>
      <c r="F3" s="77">
        <v>8</v>
      </c>
      <c r="G3" s="89">
        <f>INDEX('Source Review'!$F$2:$F$52,MATCH($A3,'Source Review'!$A$2:$A$52,0))</f>
        <v>0</v>
      </c>
      <c r="H3" s="89">
        <f>INDEX('Source Review'!$G$2:$G$52,MATCH($A3,'Source Review'!$A$2:$A$52,0))</f>
        <v>0</v>
      </c>
      <c r="I3" s="89">
        <f>INDEX('Source Review'!$H$2:$H$52,MATCH($A3,'Source Review'!$A$2:$A$52,0))</f>
        <v>0</v>
      </c>
      <c r="J3" s="76" t="s">
        <v>1653</v>
      </c>
      <c r="K3" s="38" t="s">
        <v>531</v>
      </c>
      <c r="L3" s="38" t="s">
        <v>1659</v>
      </c>
      <c r="M3" s="38"/>
      <c r="N3" s="38" t="s">
        <v>1656</v>
      </c>
    </row>
    <row r="4" spans="1:14" ht="195" customHeight="1">
      <c r="A4" s="76" t="s">
        <v>90</v>
      </c>
      <c r="B4" s="76" t="s">
        <v>533</v>
      </c>
      <c r="C4" s="76" t="s">
        <v>249</v>
      </c>
      <c r="D4" s="76" t="s">
        <v>1660</v>
      </c>
      <c r="E4" s="76" t="s">
        <v>1661</v>
      </c>
      <c r="F4" s="77">
        <v>6</v>
      </c>
      <c r="G4" s="89">
        <f>INDEX('Source Review'!$F$2:$F$52,MATCH($A4,'Source Review'!$A$2:$A$52,0))</f>
        <v>0</v>
      </c>
      <c r="H4" s="89">
        <f>INDEX('Source Review'!$G$2:$G$52,MATCH($A4,'Source Review'!$A$2:$A$52,0))</f>
        <v>0</v>
      </c>
      <c r="I4" s="89">
        <f>INDEX('Source Review'!$H$2:$H$52,MATCH($A4,'Source Review'!$A$2:$A$52,0))</f>
        <v>0</v>
      </c>
      <c r="J4" s="76" t="s">
        <v>1653</v>
      </c>
      <c r="K4" s="38" t="s">
        <v>534</v>
      </c>
      <c r="L4" s="38" t="s">
        <v>1662</v>
      </c>
      <c r="M4" s="38"/>
      <c r="N4" s="38" t="s">
        <v>1656</v>
      </c>
    </row>
    <row r="5" spans="1:14" ht="195" customHeight="1">
      <c r="A5" s="76" t="s">
        <v>91</v>
      </c>
      <c r="B5" s="76" t="s">
        <v>536</v>
      </c>
      <c r="C5" s="76" t="s">
        <v>537</v>
      </c>
      <c r="D5" s="76" t="s">
        <v>1663</v>
      </c>
      <c r="E5" s="76" t="s">
        <v>1664</v>
      </c>
      <c r="F5" s="77">
        <v>12</v>
      </c>
      <c r="G5" s="89">
        <f>INDEX('Source Review'!$F$2:$F$52,MATCH($A5,'Source Review'!$A$2:$A$52,0))</f>
        <v>6</v>
      </c>
      <c r="H5" s="89">
        <f>INDEX('Source Review'!$G$2:$G$52,MATCH($A5,'Source Review'!$A$2:$A$52,0))</f>
        <v>9</v>
      </c>
      <c r="I5" s="89">
        <f>INDEX('Source Review'!$H$2:$H$52,MATCH($A5,'Source Review'!$A$2:$A$52,0))</f>
        <v>14</v>
      </c>
      <c r="J5" s="76" t="s">
        <v>1653</v>
      </c>
      <c r="K5" s="38" t="s">
        <v>1418</v>
      </c>
      <c r="L5" s="38" t="s">
        <v>1665</v>
      </c>
      <c r="M5" s="38" t="s">
        <v>1666</v>
      </c>
      <c r="N5" s="38" t="s">
        <v>1656</v>
      </c>
    </row>
    <row r="6" spans="1:14" ht="195" customHeight="1">
      <c r="A6" s="76" t="s">
        <v>92</v>
      </c>
      <c r="B6" s="76" t="s">
        <v>540</v>
      </c>
      <c r="C6" s="76" t="s">
        <v>249</v>
      </c>
      <c r="D6" s="76" t="s">
        <v>1667</v>
      </c>
      <c r="E6" s="76" t="s">
        <v>1668</v>
      </c>
      <c r="F6" s="77">
        <v>8</v>
      </c>
      <c r="G6" s="89">
        <f>INDEX('Source Review'!$F$2:$F$52,MATCH($A6,'Source Review'!$A$2:$A$52,0))</f>
        <v>0</v>
      </c>
      <c r="H6" s="89">
        <f>INDEX('Source Review'!$G$2:$G$52,MATCH($A6,'Source Review'!$A$2:$A$52,0))</f>
        <v>0</v>
      </c>
      <c r="I6" s="89">
        <f>INDEX('Source Review'!$H$2:$H$52,MATCH($A6,'Source Review'!$A$2:$A$52,0))</f>
        <v>0</v>
      </c>
      <c r="J6" s="76" t="s">
        <v>1653</v>
      </c>
      <c r="K6" s="38" t="s">
        <v>1669</v>
      </c>
      <c r="L6" s="38" t="s">
        <v>1670</v>
      </c>
      <c r="M6" s="38"/>
      <c r="N6" s="38" t="s">
        <v>1656</v>
      </c>
    </row>
    <row r="7" spans="1:14" ht="195" customHeight="1">
      <c r="A7" s="76" t="s">
        <v>93</v>
      </c>
      <c r="B7" s="76" t="s">
        <v>543</v>
      </c>
      <c r="C7" s="76" t="s">
        <v>615</v>
      </c>
      <c r="D7" s="76" t="s">
        <v>1671</v>
      </c>
      <c r="E7" s="76" t="s">
        <v>1672</v>
      </c>
      <c r="F7" s="77">
        <v>6</v>
      </c>
      <c r="G7" s="89" t="str">
        <f>INDEX('Source Review'!$F$2:$F$52,MATCH($A7,'Source Review'!$A$2:$A$52,0))</f>
        <v>UNCONFIRMED</v>
      </c>
      <c r="H7" s="89" t="str">
        <f>INDEX('Source Review'!$G$2:$G$52,MATCH($A7,'Source Review'!$A$2:$A$52,0))</f>
        <v>UNCONFIRMED</v>
      </c>
      <c r="I7" s="89" t="str">
        <f>INDEX('Source Review'!$H$2:$H$52,MATCH($A7,'Source Review'!$A$2:$A$52,0))</f>
        <v>UNCONFIRMED</v>
      </c>
      <c r="J7" s="76" t="s">
        <v>1673</v>
      </c>
      <c r="K7" s="38" t="s">
        <v>1674</v>
      </c>
      <c r="L7" s="38" t="s">
        <v>1675</v>
      </c>
      <c r="M7" s="38" t="s">
        <v>1676</v>
      </c>
      <c r="N7" s="38" t="s">
        <v>1677</v>
      </c>
    </row>
    <row r="8" spans="1:14" ht="195" customHeight="1">
      <c r="A8" s="76" t="s">
        <v>94</v>
      </c>
      <c r="B8" s="76" t="s">
        <v>545</v>
      </c>
      <c r="C8" s="76" t="s">
        <v>537</v>
      </c>
      <c r="D8" s="76" t="s">
        <v>1678</v>
      </c>
      <c r="E8" s="76" t="s">
        <v>1679</v>
      </c>
      <c r="F8" s="77">
        <v>12</v>
      </c>
      <c r="G8" s="89">
        <f>INDEX('Source Review'!$F$2:$F$52,MATCH($A8,'Source Review'!$A$2:$A$52,0))</f>
        <v>12</v>
      </c>
      <c r="H8" s="89">
        <f>INDEX('Source Review'!$G$2:$G$52,MATCH($A8,'Source Review'!$A$2:$A$52,0))</f>
        <v>18</v>
      </c>
      <c r="I8" s="89">
        <f>INDEX('Source Review'!$H$2:$H$52,MATCH($A8,'Source Review'!$A$2:$A$52,0))</f>
        <v>28</v>
      </c>
      <c r="J8" s="76" t="s">
        <v>1653</v>
      </c>
      <c r="K8" s="38" t="s">
        <v>1418</v>
      </c>
      <c r="L8" s="38" t="s">
        <v>1680</v>
      </c>
      <c r="M8" s="38" t="s">
        <v>1681</v>
      </c>
      <c r="N8" s="38" t="s">
        <v>1656</v>
      </c>
    </row>
    <row r="9" spans="1:14" ht="195" customHeight="1">
      <c r="A9" s="76" t="s">
        <v>95</v>
      </c>
      <c r="B9" s="76" t="s">
        <v>547</v>
      </c>
      <c r="C9" s="76" t="s">
        <v>537</v>
      </c>
      <c r="D9" s="76" t="s">
        <v>1682</v>
      </c>
      <c r="E9" s="76" t="s">
        <v>1683</v>
      </c>
      <c r="F9" s="77">
        <v>8</v>
      </c>
      <c r="G9" s="89">
        <f>INDEX('Source Review'!$F$2:$F$52,MATCH($A9,'Source Review'!$A$2:$A$52,0))</f>
        <v>4</v>
      </c>
      <c r="H9" s="89">
        <f>INDEX('Source Review'!$G$2:$G$52,MATCH($A9,'Source Review'!$A$2:$A$52,0))</f>
        <v>7</v>
      </c>
      <c r="I9" s="89">
        <f>INDEX('Source Review'!$H$2:$H$52,MATCH($A9,'Source Review'!$A$2:$A$52,0))</f>
        <v>12</v>
      </c>
      <c r="J9" s="76" t="s">
        <v>1653</v>
      </c>
      <c r="K9" s="38" t="s">
        <v>1418</v>
      </c>
      <c r="L9" s="38" t="s">
        <v>1684</v>
      </c>
      <c r="M9" s="38" t="s">
        <v>1685</v>
      </c>
      <c r="N9" s="38" t="s">
        <v>1656</v>
      </c>
    </row>
    <row r="10" spans="1:14" ht="195" customHeight="1">
      <c r="A10" s="76" t="s">
        <v>96</v>
      </c>
      <c r="B10" s="76" t="s">
        <v>550</v>
      </c>
      <c r="C10" s="76" t="s">
        <v>537</v>
      </c>
      <c r="D10" s="76" t="s">
        <v>1686</v>
      </c>
      <c r="E10" s="76" t="s">
        <v>1687</v>
      </c>
      <c r="F10" s="77">
        <v>6</v>
      </c>
      <c r="G10" s="89">
        <f>INDEX('Source Review'!$F$2:$F$52,MATCH($A10,'Source Review'!$A$2:$A$52,0))</f>
        <v>4</v>
      </c>
      <c r="H10" s="89">
        <f>INDEX('Source Review'!$G$2:$G$52,MATCH($A10,'Source Review'!$A$2:$A$52,0))</f>
        <v>6</v>
      </c>
      <c r="I10" s="89">
        <f>INDEX('Source Review'!$H$2:$H$52,MATCH($A10,'Source Review'!$A$2:$A$52,0))</f>
        <v>10</v>
      </c>
      <c r="J10" s="76" t="s">
        <v>1653</v>
      </c>
      <c r="K10" s="38" t="s">
        <v>1418</v>
      </c>
      <c r="L10" s="38" t="s">
        <v>1688</v>
      </c>
      <c r="M10" s="38" t="s">
        <v>1689</v>
      </c>
      <c r="N10" s="38" t="s">
        <v>1656</v>
      </c>
    </row>
    <row r="11" spans="1:14" ht="195" customHeight="1">
      <c r="A11" s="76" t="s">
        <v>97</v>
      </c>
      <c r="B11" s="76" t="s">
        <v>1021</v>
      </c>
      <c r="C11" s="76" t="s">
        <v>537</v>
      </c>
      <c r="D11" s="76" t="s">
        <v>1690</v>
      </c>
      <c r="E11" s="76" t="s">
        <v>1691</v>
      </c>
      <c r="F11" s="77">
        <v>14</v>
      </c>
      <c r="G11" s="89">
        <f>INDEX('Source Review'!$F$2:$F$52,MATCH($A11,'Source Review'!$A$2:$A$52,0))</f>
        <v>8</v>
      </c>
      <c r="H11" s="89">
        <f>INDEX('Source Review'!$G$2:$G$52,MATCH($A11,'Source Review'!$A$2:$A$52,0))</f>
        <v>14</v>
      </c>
      <c r="I11" s="89">
        <f>INDEX('Source Review'!$H$2:$H$52,MATCH($A11,'Source Review'!$A$2:$A$52,0))</f>
        <v>22</v>
      </c>
      <c r="J11" s="76" t="s">
        <v>1653</v>
      </c>
      <c r="K11" s="38" t="s">
        <v>1418</v>
      </c>
      <c r="L11" s="38" t="s">
        <v>1692</v>
      </c>
      <c r="M11" s="38" t="s">
        <v>1693</v>
      </c>
      <c r="N11" s="38" t="s">
        <v>1656</v>
      </c>
    </row>
    <row r="12" spans="1:14" ht="195" customHeight="1">
      <c r="A12" s="76" t="s">
        <v>98</v>
      </c>
      <c r="B12" s="76" t="s">
        <v>1030</v>
      </c>
      <c r="C12" s="76" t="s">
        <v>615</v>
      </c>
      <c r="D12" s="76" t="s">
        <v>1694</v>
      </c>
      <c r="E12" s="76" t="s">
        <v>1695</v>
      </c>
      <c r="F12" s="77" t="s">
        <v>1696</v>
      </c>
      <c r="G12" s="89">
        <f>INDEX('Source Review'!$F$2:$F$52,MATCH($A12,'Source Review'!$A$2:$A$52,0))</f>
        <v>18</v>
      </c>
      <c r="H12" s="89">
        <f>INDEX('Source Review'!$G$2:$G$52,MATCH($A12,'Source Review'!$A$2:$A$52,0))</f>
        <v>28</v>
      </c>
      <c r="I12" s="89">
        <f>INDEX('Source Review'!$H$2:$H$52,MATCH($A12,'Source Review'!$A$2:$A$52,0))</f>
        <v>44</v>
      </c>
      <c r="J12" s="76" t="s">
        <v>1653</v>
      </c>
      <c r="K12" s="38" t="s">
        <v>1697</v>
      </c>
      <c r="L12" s="38" t="s">
        <v>1698</v>
      </c>
      <c r="M12" s="38" t="s">
        <v>1699</v>
      </c>
      <c r="N12" s="38" t="s">
        <v>1656</v>
      </c>
    </row>
    <row r="13" spans="1:14" ht="195" customHeight="1">
      <c r="A13" s="76" t="s">
        <v>99</v>
      </c>
      <c r="B13" s="76" t="s">
        <v>560</v>
      </c>
      <c r="C13" s="76" t="s">
        <v>537</v>
      </c>
      <c r="D13" s="76" t="s">
        <v>1700</v>
      </c>
      <c r="E13" s="76" t="s">
        <v>1701</v>
      </c>
      <c r="F13" s="77">
        <v>16</v>
      </c>
      <c r="G13" s="89">
        <f>INDEX('Source Review'!$F$2:$F$52,MATCH($A13,'Source Review'!$A$2:$A$52,0))</f>
        <v>12</v>
      </c>
      <c r="H13" s="89">
        <f>INDEX('Source Review'!$G$2:$G$52,MATCH($A13,'Source Review'!$A$2:$A$52,0))</f>
        <v>20</v>
      </c>
      <c r="I13" s="89">
        <f>INDEX('Source Review'!$H$2:$H$52,MATCH($A13,'Source Review'!$A$2:$A$52,0))</f>
        <v>32</v>
      </c>
      <c r="J13" s="76" t="s">
        <v>1653</v>
      </c>
      <c r="K13" s="38" t="s">
        <v>1418</v>
      </c>
      <c r="L13" s="38" t="s">
        <v>1702</v>
      </c>
      <c r="M13" s="38" t="s">
        <v>1703</v>
      </c>
      <c r="N13" s="38" t="s">
        <v>1656</v>
      </c>
    </row>
    <row r="14" spans="1:14" ht="195" customHeight="1">
      <c r="A14" s="76" t="s">
        <v>100</v>
      </c>
      <c r="B14" s="76" t="s">
        <v>1044</v>
      </c>
      <c r="C14" s="76" t="s">
        <v>537</v>
      </c>
      <c r="D14" s="76" t="s">
        <v>1704</v>
      </c>
      <c r="E14" s="76" t="s">
        <v>1705</v>
      </c>
      <c r="F14" s="77" t="s">
        <v>1696</v>
      </c>
      <c r="G14" s="89">
        <f>INDEX('Source Review'!$F$2:$F$52,MATCH($A14,'Source Review'!$A$2:$A$52,0))</f>
        <v>22</v>
      </c>
      <c r="H14" s="89">
        <f>INDEX('Source Review'!$G$2:$G$52,MATCH($A14,'Source Review'!$A$2:$A$52,0))</f>
        <v>34</v>
      </c>
      <c r="I14" s="89">
        <f>INDEX('Source Review'!$H$2:$H$52,MATCH($A14,'Source Review'!$A$2:$A$52,0))</f>
        <v>52</v>
      </c>
      <c r="J14" s="76" t="s">
        <v>1653</v>
      </c>
      <c r="K14" s="38" t="s">
        <v>1418</v>
      </c>
      <c r="L14" s="38" t="s">
        <v>1706</v>
      </c>
      <c r="M14" s="38" t="s">
        <v>1707</v>
      </c>
      <c r="N14" s="38" t="s">
        <v>1656</v>
      </c>
    </row>
    <row r="15" spans="1:14" ht="195" customHeight="1">
      <c r="A15" s="76" t="s">
        <v>101</v>
      </c>
      <c r="B15" s="76" t="s">
        <v>564</v>
      </c>
      <c r="C15" s="76" t="s">
        <v>537</v>
      </c>
      <c r="D15" s="76" t="s">
        <v>1708</v>
      </c>
      <c r="E15" s="76" t="s">
        <v>1709</v>
      </c>
      <c r="F15" s="77">
        <v>6</v>
      </c>
      <c r="G15" s="89">
        <f>INDEX('Source Review'!$F$2:$F$52,MATCH($A15,'Source Review'!$A$2:$A$52,0))</f>
        <v>6</v>
      </c>
      <c r="H15" s="89">
        <f>INDEX('Source Review'!$G$2:$G$52,MATCH($A15,'Source Review'!$A$2:$A$52,0))</f>
        <v>10</v>
      </c>
      <c r="I15" s="89">
        <f>INDEX('Source Review'!$H$2:$H$52,MATCH($A15,'Source Review'!$A$2:$A$52,0))</f>
        <v>18</v>
      </c>
      <c r="J15" s="76" t="s">
        <v>1653</v>
      </c>
      <c r="K15" s="38" t="s">
        <v>1418</v>
      </c>
      <c r="L15" s="38" t="s">
        <v>1710</v>
      </c>
      <c r="M15" s="38" t="s">
        <v>1711</v>
      </c>
      <c r="N15" s="38" t="s">
        <v>1656</v>
      </c>
    </row>
    <row r="16" spans="1:14" ht="195" customHeight="1">
      <c r="A16" s="76" t="s">
        <v>102</v>
      </c>
      <c r="B16" s="76" t="s">
        <v>570</v>
      </c>
      <c r="C16" s="76" t="s">
        <v>249</v>
      </c>
      <c r="D16" s="76" t="s">
        <v>1712</v>
      </c>
      <c r="E16" s="76" t="s">
        <v>1713</v>
      </c>
      <c r="F16" s="77">
        <v>6</v>
      </c>
      <c r="G16" s="89">
        <f>INDEX('Source Review'!$F$2:$F$52,MATCH($A16,'Source Review'!$A$2:$A$52,0))</f>
        <v>0</v>
      </c>
      <c r="H16" s="89">
        <f>INDEX('Source Review'!$G$2:$G$52,MATCH($A16,'Source Review'!$A$2:$A$52,0))</f>
        <v>0</v>
      </c>
      <c r="I16" s="89">
        <f>INDEX('Source Review'!$H$2:$H$52,MATCH($A16,'Source Review'!$A$2:$A$52,0))</f>
        <v>0</v>
      </c>
      <c r="J16" s="76" t="s">
        <v>1653</v>
      </c>
      <c r="K16" s="38" t="s">
        <v>506</v>
      </c>
      <c r="L16" s="38" t="s">
        <v>1714</v>
      </c>
      <c r="M16" s="38"/>
      <c r="N16" s="38" t="s">
        <v>1656</v>
      </c>
    </row>
    <row r="17" spans="1:14" ht="195" customHeight="1">
      <c r="A17" s="76" t="s">
        <v>103</v>
      </c>
      <c r="B17" s="76" t="s">
        <v>572</v>
      </c>
      <c r="C17" s="76" t="s">
        <v>537</v>
      </c>
      <c r="D17" s="76" t="s">
        <v>1715</v>
      </c>
      <c r="E17" s="76" t="s">
        <v>1716</v>
      </c>
      <c r="F17" s="77">
        <v>10</v>
      </c>
      <c r="G17" s="89">
        <f>INDEX('Source Review'!$F$2:$F$52,MATCH($A17,'Source Review'!$A$2:$A$52,0))</f>
        <v>6</v>
      </c>
      <c r="H17" s="89">
        <f>INDEX('Source Review'!$G$2:$G$52,MATCH($A17,'Source Review'!$A$2:$A$52,0))</f>
        <v>9</v>
      </c>
      <c r="I17" s="89">
        <f>INDEX('Source Review'!$H$2:$H$52,MATCH($A17,'Source Review'!$A$2:$A$52,0))</f>
        <v>14</v>
      </c>
      <c r="J17" s="76" t="s">
        <v>1653</v>
      </c>
      <c r="K17" s="38" t="s">
        <v>1418</v>
      </c>
      <c r="L17" s="38" t="s">
        <v>1717</v>
      </c>
      <c r="M17" s="38" t="s">
        <v>1718</v>
      </c>
      <c r="N17" s="38" t="s">
        <v>1656</v>
      </c>
    </row>
    <row r="18" spans="1:14" ht="195" customHeight="1">
      <c r="A18" s="76" t="s">
        <v>104</v>
      </c>
      <c r="B18" s="76" t="s">
        <v>574</v>
      </c>
      <c r="C18" s="76" t="s">
        <v>249</v>
      </c>
      <c r="D18" s="76" t="s">
        <v>1719</v>
      </c>
      <c r="E18" s="76" t="s">
        <v>1720</v>
      </c>
      <c r="F18" s="77">
        <v>8</v>
      </c>
      <c r="G18" s="89">
        <f>INDEX('Source Review'!$F$2:$F$52,MATCH($A18,'Source Review'!$A$2:$A$52,0))</f>
        <v>0</v>
      </c>
      <c r="H18" s="89">
        <f>INDEX('Source Review'!$G$2:$G$52,MATCH($A18,'Source Review'!$A$2:$A$52,0))</f>
        <v>0</v>
      </c>
      <c r="I18" s="89">
        <f>INDEX('Source Review'!$H$2:$H$52,MATCH($A18,'Source Review'!$A$2:$A$52,0))</f>
        <v>0</v>
      </c>
      <c r="J18" s="76" t="s">
        <v>1653</v>
      </c>
      <c r="K18" s="38" t="s">
        <v>575</v>
      </c>
      <c r="L18" s="38" t="s">
        <v>1721</v>
      </c>
      <c r="M18" s="38"/>
      <c r="N18" s="38" t="s">
        <v>1656</v>
      </c>
    </row>
    <row r="19" spans="1:14" ht="195" customHeight="1">
      <c r="A19" s="76" t="s">
        <v>105</v>
      </c>
      <c r="B19" s="76" t="s">
        <v>578</v>
      </c>
      <c r="C19" s="76" t="s">
        <v>537</v>
      </c>
      <c r="D19" s="76" t="s">
        <v>1722</v>
      </c>
      <c r="E19" s="76" t="s">
        <v>1723</v>
      </c>
      <c r="F19" s="77">
        <v>12</v>
      </c>
      <c r="G19" s="89">
        <f>INDEX('Source Review'!$F$2:$F$52,MATCH($A19,'Source Review'!$A$2:$A$52,0))</f>
        <v>10</v>
      </c>
      <c r="H19" s="89">
        <f>INDEX('Source Review'!$G$2:$G$52,MATCH($A19,'Source Review'!$A$2:$A$52,0))</f>
        <v>16</v>
      </c>
      <c r="I19" s="89">
        <f>INDEX('Source Review'!$H$2:$H$52,MATCH($A19,'Source Review'!$A$2:$A$52,0))</f>
        <v>26</v>
      </c>
      <c r="J19" s="76" t="s">
        <v>1653</v>
      </c>
      <c r="K19" s="38" t="s">
        <v>1418</v>
      </c>
      <c r="L19" s="38" t="s">
        <v>1724</v>
      </c>
      <c r="M19" s="38" t="s">
        <v>1725</v>
      </c>
      <c r="N19" s="38" t="s">
        <v>1656</v>
      </c>
    </row>
    <row r="20" spans="1:14" ht="195" customHeight="1">
      <c r="A20" s="76" t="s">
        <v>106</v>
      </c>
      <c r="B20" s="76" t="s">
        <v>581</v>
      </c>
      <c r="C20" s="76" t="s">
        <v>537</v>
      </c>
      <c r="D20" s="76" t="s">
        <v>1726</v>
      </c>
      <c r="E20" s="76" t="s">
        <v>1727</v>
      </c>
      <c r="F20" s="77">
        <v>12</v>
      </c>
      <c r="G20" s="89">
        <f>INDEX('Source Review'!$F$2:$F$52,MATCH($A20,'Source Review'!$A$2:$A$52,0))</f>
        <v>10</v>
      </c>
      <c r="H20" s="89">
        <f>INDEX('Source Review'!$G$2:$G$52,MATCH($A20,'Source Review'!$A$2:$A$52,0))</f>
        <v>16</v>
      </c>
      <c r="I20" s="89">
        <f>INDEX('Source Review'!$H$2:$H$52,MATCH($A20,'Source Review'!$A$2:$A$52,0))</f>
        <v>26</v>
      </c>
      <c r="J20" s="76" t="s">
        <v>1653</v>
      </c>
      <c r="K20" s="38" t="s">
        <v>1418</v>
      </c>
      <c r="L20" s="38" t="s">
        <v>1728</v>
      </c>
      <c r="M20" s="38" t="s">
        <v>1729</v>
      </c>
      <c r="N20" s="38" t="s">
        <v>1656</v>
      </c>
    </row>
    <row r="21" spans="1:14" ht="195" customHeight="1">
      <c r="A21" s="76" t="s">
        <v>107</v>
      </c>
      <c r="B21" s="76" t="s">
        <v>583</v>
      </c>
      <c r="C21" s="76" t="s">
        <v>537</v>
      </c>
      <c r="D21" s="76" t="s">
        <v>1730</v>
      </c>
      <c r="E21" s="76" t="s">
        <v>1731</v>
      </c>
      <c r="F21" s="77">
        <v>12</v>
      </c>
      <c r="G21" s="89">
        <f>INDEX('Source Review'!$F$2:$F$52,MATCH($A21,'Source Review'!$A$2:$A$52,0))</f>
        <v>10</v>
      </c>
      <c r="H21" s="89">
        <f>INDEX('Source Review'!$G$2:$G$52,MATCH($A21,'Source Review'!$A$2:$A$52,0))</f>
        <v>16</v>
      </c>
      <c r="I21" s="89">
        <f>INDEX('Source Review'!$H$2:$H$52,MATCH($A21,'Source Review'!$A$2:$A$52,0))</f>
        <v>28</v>
      </c>
      <c r="J21" s="76" t="s">
        <v>1653</v>
      </c>
      <c r="K21" s="38" t="s">
        <v>1418</v>
      </c>
      <c r="L21" s="38" t="s">
        <v>1732</v>
      </c>
      <c r="M21" s="38" t="s">
        <v>1733</v>
      </c>
      <c r="N21" s="38" t="s">
        <v>1656</v>
      </c>
    </row>
    <row r="22" spans="1:14" ht="195" customHeight="1">
      <c r="A22" s="76" t="s">
        <v>108</v>
      </c>
      <c r="B22" s="76" t="s">
        <v>585</v>
      </c>
      <c r="C22" s="76" t="s">
        <v>537</v>
      </c>
      <c r="D22" s="76" t="s">
        <v>1734</v>
      </c>
      <c r="E22" s="76" t="s">
        <v>1735</v>
      </c>
      <c r="F22" s="77">
        <v>6</v>
      </c>
      <c r="G22" s="89">
        <f>INDEX('Source Review'!$F$2:$F$52,MATCH($A22,'Source Review'!$A$2:$A$52,0))</f>
        <v>5</v>
      </c>
      <c r="H22" s="89">
        <f>INDEX('Source Review'!$G$2:$G$52,MATCH($A22,'Source Review'!$A$2:$A$52,0))</f>
        <v>8</v>
      </c>
      <c r="I22" s="89">
        <f>INDEX('Source Review'!$H$2:$H$52,MATCH($A22,'Source Review'!$A$2:$A$52,0))</f>
        <v>13</v>
      </c>
      <c r="J22" s="76" t="s">
        <v>1653</v>
      </c>
      <c r="K22" s="38" t="s">
        <v>1418</v>
      </c>
      <c r="L22" s="38" t="s">
        <v>1736</v>
      </c>
      <c r="M22" s="38" t="s">
        <v>1737</v>
      </c>
      <c r="N22" s="38" t="s">
        <v>1656</v>
      </c>
    </row>
    <row r="23" spans="1:14" ht="195" customHeight="1">
      <c r="A23" s="76" t="s">
        <v>109</v>
      </c>
      <c r="B23" s="76" t="s">
        <v>587</v>
      </c>
      <c r="C23" s="76" t="s">
        <v>537</v>
      </c>
      <c r="D23" s="76" t="s">
        <v>1738</v>
      </c>
      <c r="E23" s="76" t="s">
        <v>1739</v>
      </c>
      <c r="F23" s="77">
        <v>5</v>
      </c>
      <c r="G23" s="89">
        <f>INDEX('Source Review'!$F$2:$F$52,MATCH($A23,'Source Review'!$A$2:$A$52,0))</f>
        <v>5</v>
      </c>
      <c r="H23" s="89">
        <f>INDEX('Source Review'!$G$2:$G$52,MATCH($A23,'Source Review'!$A$2:$A$52,0))</f>
        <v>8</v>
      </c>
      <c r="I23" s="89">
        <f>INDEX('Source Review'!$H$2:$H$52,MATCH($A23,'Source Review'!$A$2:$A$52,0))</f>
        <v>14</v>
      </c>
      <c r="J23" s="76" t="s">
        <v>1653</v>
      </c>
      <c r="K23" s="38" t="s">
        <v>1418</v>
      </c>
      <c r="L23" s="38" t="s">
        <v>1740</v>
      </c>
      <c r="M23" s="38" t="s">
        <v>1741</v>
      </c>
      <c r="N23" s="38" t="s">
        <v>1656</v>
      </c>
    </row>
    <row r="24" spans="1:14" ht="195" customHeight="1">
      <c r="A24" s="76" t="s">
        <v>110</v>
      </c>
      <c r="B24" s="76" t="s">
        <v>590</v>
      </c>
      <c r="C24" s="76" t="s">
        <v>537</v>
      </c>
      <c r="D24" s="76" t="s">
        <v>1742</v>
      </c>
      <c r="E24" s="76" t="s">
        <v>1743</v>
      </c>
      <c r="F24" s="77">
        <v>8</v>
      </c>
      <c r="G24" s="89">
        <f>INDEX('Source Review'!$F$2:$F$52,MATCH($A24,'Source Review'!$A$2:$A$52,0))</f>
        <v>6</v>
      </c>
      <c r="H24" s="89">
        <f>INDEX('Source Review'!$G$2:$G$52,MATCH($A24,'Source Review'!$A$2:$A$52,0))</f>
        <v>11</v>
      </c>
      <c r="I24" s="89">
        <f>INDEX('Source Review'!$H$2:$H$52,MATCH($A24,'Source Review'!$A$2:$A$52,0))</f>
        <v>18</v>
      </c>
      <c r="J24" s="76" t="s">
        <v>1653</v>
      </c>
      <c r="K24" s="38" t="s">
        <v>1418</v>
      </c>
      <c r="L24" s="38" t="s">
        <v>1744</v>
      </c>
      <c r="M24" s="38" t="s">
        <v>1745</v>
      </c>
      <c r="N24" s="38" t="s">
        <v>1656</v>
      </c>
    </row>
    <row r="25" spans="1:14" ht="195" customHeight="1">
      <c r="A25" s="76" t="s">
        <v>111</v>
      </c>
      <c r="B25" s="76" t="s">
        <v>593</v>
      </c>
      <c r="C25" s="76" t="s">
        <v>249</v>
      </c>
      <c r="D25" s="76" t="s">
        <v>1746</v>
      </c>
      <c r="E25" s="76" t="s">
        <v>1747</v>
      </c>
      <c r="F25" s="77">
        <v>10</v>
      </c>
      <c r="G25" s="89">
        <f>INDEX('Source Review'!$F$2:$F$52,MATCH($A25,'Source Review'!$A$2:$A$52,0))</f>
        <v>0</v>
      </c>
      <c r="H25" s="89">
        <f>INDEX('Source Review'!$G$2:$G$52,MATCH($A25,'Source Review'!$A$2:$A$52,0))</f>
        <v>0</v>
      </c>
      <c r="I25" s="89">
        <f>INDEX('Source Review'!$H$2:$H$52,MATCH($A25,'Source Review'!$A$2:$A$52,0))</f>
        <v>0</v>
      </c>
      <c r="J25" s="76" t="s">
        <v>1653</v>
      </c>
      <c r="K25" s="38" t="s">
        <v>594</v>
      </c>
      <c r="L25" s="38" t="s">
        <v>1748</v>
      </c>
      <c r="M25" s="38"/>
      <c r="N25" s="38" t="s">
        <v>1656</v>
      </c>
    </row>
    <row r="26" spans="1:14" ht="195" customHeight="1">
      <c r="A26" s="76" t="s">
        <v>112</v>
      </c>
      <c r="B26" s="76" t="s">
        <v>597</v>
      </c>
      <c r="C26" s="76" t="s">
        <v>249</v>
      </c>
      <c r="D26" s="76" t="s">
        <v>1749</v>
      </c>
      <c r="E26" s="76" t="s">
        <v>1750</v>
      </c>
      <c r="F26" s="77">
        <v>16</v>
      </c>
      <c r="G26" s="89">
        <f>INDEX('Source Review'!$F$2:$F$52,MATCH($A26,'Source Review'!$A$2:$A$52,0))</f>
        <v>0</v>
      </c>
      <c r="H26" s="89">
        <f>INDEX('Source Review'!$G$2:$G$52,MATCH($A26,'Source Review'!$A$2:$A$52,0))</f>
        <v>0</v>
      </c>
      <c r="I26" s="89">
        <f>INDEX('Source Review'!$H$2:$H$52,MATCH($A26,'Source Review'!$A$2:$A$52,0))</f>
        <v>0</v>
      </c>
      <c r="J26" s="76" t="s">
        <v>1653</v>
      </c>
      <c r="K26" s="38" t="s">
        <v>598</v>
      </c>
      <c r="L26" s="38" t="s">
        <v>1751</v>
      </c>
      <c r="M26" s="38"/>
      <c r="N26" s="38" t="s">
        <v>1656</v>
      </c>
    </row>
    <row r="27" spans="1:14" ht="195" customHeight="1">
      <c r="A27" s="76" t="s">
        <v>113</v>
      </c>
      <c r="B27" s="76" t="s">
        <v>601</v>
      </c>
      <c r="C27" s="76" t="s">
        <v>615</v>
      </c>
      <c r="D27" s="76" t="s">
        <v>1752</v>
      </c>
      <c r="E27" s="76" t="s">
        <v>1753</v>
      </c>
      <c r="F27" s="77">
        <v>12</v>
      </c>
      <c r="G27" s="89">
        <f>INDEX('Source Review'!$F$2:$F$52,MATCH($A27,'Source Review'!$A$2:$A$52,0))</f>
        <v>5</v>
      </c>
      <c r="H27" s="89">
        <f>INDEX('Source Review'!$G$2:$G$52,MATCH($A27,'Source Review'!$A$2:$A$52,0))</f>
        <v>9</v>
      </c>
      <c r="I27" s="89">
        <f>INDEX('Source Review'!$H$2:$H$52,MATCH($A27,'Source Review'!$A$2:$A$52,0))</f>
        <v>15</v>
      </c>
      <c r="J27" s="76" t="s">
        <v>1653</v>
      </c>
      <c r="K27" s="38" t="s">
        <v>1754</v>
      </c>
      <c r="L27" s="38" t="s">
        <v>1755</v>
      </c>
      <c r="M27" s="38" t="s">
        <v>1756</v>
      </c>
      <c r="N27" s="38" t="s">
        <v>1656</v>
      </c>
    </row>
    <row r="28" spans="1:14" ht="195" customHeight="1">
      <c r="A28" s="76" t="s">
        <v>114</v>
      </c>
      <c r="B28" s="76" t="s">
        <v>605</v>
      </c>
      <c r="C28" s="76" t="s">
        <v>249</v>
      </c>
      <c r="D28" s="76" t="s">
        <v>1757</v>
      </c>
      <c r="E28" s="76" t="s">
        <v>1758</v>
      </c>
      <c r="F28" s="77">
        <v>14</v>
      </c>
      <c r="G28" s="89">
        <f>INDEX('Source Review'!$F$2:$F$52,MATCH($A28,'Source Review'!$A$2:$A$52,0))</f>
        <v>0</v>
      </c>
      <c r="H28" s="89">
        <f>INDEX('Source Review'!$G$2:$G$52,MATCH($A28,'Source Review'!$A$2:$A$52,0))</f>
        <v>0</v>
      </c>
      <c r="I28" s="89">
        <f>INDEX('Source Review'!$H$2:$H$52,MATCH($A28,'Source Review'!$A$2:$A$52,0))</f>
        <v>0</v>
      </c>
      <c r="J28" s="76" t="s">
        <v>1653</v>
      </c>
      <c r="K28" s="38" t="s">
        <v>606</v>
      </c>
      <c r="L28" s="38" t="s">
        <v>1759</v>
      </c>
      <c r="M28" s="38"/>
      <c r="N28" s="38" t="s">
        <v>1656</v>
      </c>
    </row>
    <row r="29" spans="1:14" ht="195" customHeight="1">
      <c r="A29" s="76" t="s">
        <v>115</v>
      </c>
      <c r="B29" s="76" t="s">
        <v>608</v>
      </c>
      <c r="C29" s="76" t="s">
        <v>537</v>
      </c>
      <c r="D29" s="76" t="s">
        <v>1760</v>
      </c>
      <c r="E29" s="76" t="s">
        <v>1761</v>
      </c>
      <c r="F29" s="77">
        <v>12</v>
      </c>
      <c r="G29" s="89">
        <f>INDEX('Source Review'!$F$2:$F$52,MATCH($A29,'Source Review'!$A$2:$A$52,0))</f>
        <v>6</v>
      </c>
      <c r="H29" s="89">
        <f>INDEX('Source Review'!$G$2:$G$52,MATCH($A29,'Source Review'!$A$2:$A$52,0))</f>
        <v>10</v>
      </c>
      <c r="I29" s="89">
        <f>INDEX('Source Review'!$H$2:$H$52,MATCH($A29,'Source Review'!$A$2:$A$52,0))</f>
        <v>16</v>
      </c>
      <c r="J29" s="76" t="s">
        <v>1653</v>
      </c>
      <c r="K29" s="38" t="s">
        <v>1418</v>
      </c>
      <c r="L29" s="38" t="s">
        <v>1762</v>
      </c>
      <c r="M29" s="38" t="s">
        <v>1763</v>
      </c>
      <c r="N29" s="38" t="s">
        <v>1656</v>
      </c>
    </row>
    <row r="30" spans="1:14" ht="195" customHeight="1">
      <c r="A30" s="76" t="s">
        <v>116</v>
      </c>
      <c r="B30" s="76" t="s">
        <v>612</v>
      </c>
      <c r="C30" s="76" t="s">
        <v>537</v>
      </c>
      <c r="D30" s="76" t="s">
        <v>1764</v>
      </c>
      <c r="E30" s="76" t="s">
        <v>1765</v>
      </c>
      <c r="F30" s="77">
        <v>12</v>
      </c>
      <c r="G30" s="89">
        <f>INDEX('Source Review'!$F$2:$F$52,MATCH($A30,'Source Review'!$A$2:$A$52,0))</f>
        <v>8</v>
      </c>
      <c r="H30" s="89">
        <f>INDEX('Source Review'!$G$2:$G$52,MATCH($A30,'Source Review'!$A$2:$A$52,0))</f>
        <v>14</v>
      </c>
      <c r="I30" s="89">
        <f>INDEX('Source Review'!$H$2:$H$52,MATCH($A30,'Source Review'!$A$2:$A$52,0))</f>
        <v>22</v>
      </c>
      <c r="J30" s="76" t="s">
        <v>1653</v>
      </c>
      <c r="K30" s="38" t="s">
        <v>1418</v>
      </c>
      <c r="L30" s="38" t="s">
        <v>1766</v>
      </c>
      <c r="M30" s="38" t="s">
        <v>1767</v>
      </c>
      <c r="N30" s="38" t="s">
        <v>1656</v>
      </c>
    </row>
    <row r="31" spans="1:14" ht="195" customHeight="1">
      <c r="A31" s="76" t="s">
        <v>117</v>
      </c>
      <c r="B31" s="76" t="s">
        <v>614</v>
      </c>
      <c r="C31" s="76" t="s">
        <v>249</v>
      </c>
      <c r="D31" s="76" t="s">
        <v>1768</v>
      </c>
      <c r="E31" s="76" t="s">
        <v>1769</v>
      </c>
      <c r="F31" s="77">
        <v>12</v>
      </c>
      <c r="G31" s="89">
        <f>INDEX('Source Review'!$F$2:$F$52,MATCH($A31,'Source Review'!$A$2:$A$52,0))</f>
        <v>0</v>
      </c>
      <c r="H31" s="89">
        <f>INDEX('Source Review'!$G$2:$G$52,MATCH($A31,'Source Review'!$A$2:$A$52,0))</f>
        <v>0</v>
      </c>
      <c r="I31" s="89">
        <f>INDEX('Source Review'!$H$2:$H$52,MATCH($A31,'Source Review'!$A$2:$A$52,0))</f>
        <v>0</v>
      </c>
      <c r="J31" s="76" t="s">
        <v>1653</v>
      </c>
      <c r="K31" s="38" t="s">
        <v>1770</v>
      </c>
      <c r="L31" s="38" t="s">
        <v>1771</v>
      </c>
      <c r="M31" s="38"/>
      <c r="N31" s="38" t="s">
        <v>1656</v>
      </c>
    </row>
    <row r="32" spans="1:14" ht="195" customHeight="1">
      <c r="A32" s="76" t="s">
        <v>118</v>
      </c>
      <c r="B32" s="76" t="s">
        <v>619</v>
      </c>
      <c r="C32" s="76" t="s">
        <v>615</v>
      </c>
      <c r="D32" s="76" t="s">
        <v>1772</v>
      </c>
      <c r="E32" s="76" t="s">
        <v>1773</v>
      </c>
      <c r="F32" s="77">
        <v>6</v>
      </c>
      <c r="G32" s="89">
        <f>INDEX('Source Review'!$F$2:$F$52,MATCH($A32,'Source Review'!$A$2:$A$52,0))</f>
        <v>2</v>
      </c>
      <c r="H32" s="89">
        <f>INDEX('Source Review'!$G$2:$G$52,MATCH($A32,'Source Review'!$A$2:$A$52,0))</f>
        <v>4</v>
      </c>
      <c r="I32" s="89">
        <f>INDEX('Source Review'!$H$2:$H$52,MATCH($A32,'Source Review'!$A$2:$A$52,0))</f>
        <v>7</v>
      </c>
      <c r="J32" s="76" t="s">
        <v>1653</v>
      </c>
      <c r="K32" s="38" t="s">
        <v>1774</v>
      </c>
      <c r="L32" s="38" t="s">
        <v>1775</v>
      </c>
      <c r="M32" s="38" t="s">
        <v>1776</v>
      </c>
      <c r="N32" s="38" t="s">
        <v>1656</v>
      </c>
    </row>
    <row r="33" spans="1:14" ht="195" customHeight="1">
      <c r="A33" s="76" t="s">
        <v>119</v>
      </c>
      <c r="B33" s="76" t="s">
        <v>1777</v>
      </c>
      <c r="C33" s="76" t="s">
        <v>615</v>
      </c>
      <c r="D33" s="76" t="s">
        <v>1778</v>
      </c>
      <c r="E33" s="76" t="s">
        <v>1779</v>
      </c>
      <c r="F33" s="77">
        <v>12</v>
      </c>
      <c r="G33" s="89">
        <f>INDEX('Source Review'!$F$2:$F$52,MATCH($A33,'Source Review'!$A$2:$A$52,0))</f>
        <v>16</v>
      </c>
      <c r="H33" s="89">
        <f>INDEX('Source Review'!$G$2:$G$52,MATCH($A33,'Source Review'!$A$2:$A$52,0))</f>
        <v>26</v>
      </c>
      <c r="I33" s="89">
        <f>INDEX('Source Review'!$H$2:$H$52,MATCH($A33,'Source Review'!$A$2:$A$52,0))</f>
        <v>42</v>
      </c>
      <c r="J33" s="76" t="s">
        <v>1653</v>
      </c>
      <c r="K33" s="38" t="s">
        <v>1780</v>
      </c>
      <c r="L33" s="38" t="s">
        <v>1781</v>
      </c>
      <c r="M33" s="38" t="s">
        <v>1782</v>
      </c>
      <c r="N33" s="38" t="s">
        <v>1656</v>
      </c>
    </row>
    <row r="34" spans="1:14" ht="195" customHeight="1">
      <c r="A34" s="76" t="s">
        <v>120</v>
      </c>
      <c r="B34" s="76" t="s">
        <v>1157</v>
      </c>
      <c r="C34" s="76" t="s">
        <v>615</v>
      </c>
      <c r="D34" s="76" t="s">
        <v>1783</v>
      </c>
      <c r="E34" s="76" t="s">
        <v>1784</v>
      </c>
      <c r="F34" s="77" t="s">
        <v>1696</v>
      </c>
      <c r="G34" s="89">
        <f>INDEX('Source Review'!$F$2:$F$52,MATCH($A34,'Source Review'!$A$2:$A$52,0))</f>
        <v>1</v>
      </c>
      <c r="H34" s="89">
        <f>INDEX('Source Review'!$G$2:$G$52,MATCH($A34,'Source Review'!$A$2:$A$52,0))</f>
        <v>3</v>
      </c>
      <c r="I34" s="89">
        <f>INDEX('Source Review'!$H$2:$H$52,MATCH($A34,'Source Review'!$A$2:$A$52,0))</f>
        <v>6</v>
      </c>
      <c r="J34" s="76" t="s">
        <v>1653</v>
      </c>
      <c r="K34" s="38" t="s">
        <v>1785</v>
      </c>
      <c r="L34" s="38" t="s">
        <v>1786</v>
      </c>
      <c r="M34" s="38" t="s">
        <v>1787</v>
      </c>
      <c r="N34" s="38" t="s">
        <v>1656</v>
      </c>
    </row>
    <row r="35" spans="1:14" ht="195" customHeight="1">
      <c r="A35" s="76" t="s">
        <v>239</v>
      </c>
      <c r="B35" s="76" t="s">
        <v>1605</v>
      </c>
      <c r="C35" s="76" t="s">
        <v>537</v>
      </c>
      <c r="D35" s="76" t="s">
        <v>1788</v>
      </c>
      <c r="E35" s="76" t="s">
        <v>1789</v>
      </c>
      <c r="F35" s="77" t="s">
        <v>1696</v>
      </c>
      <c r="G35" s="89">
        <f>INDEX('Source Review'!$F$2:$F$52,MATCH($A35,'Source Review'!$A$2:$A$52,0))</f>
        <v>6</v>
      </c>
      <c r="H35" s="89">
        <f>INDEX('Source Review'!$G$2:$G$52,MATCH($A35,'Source Review'!$A$2:$A$52,0))</f>
        <v>10</v>
      </c>
      <c r="I35" s="89">
        <f>INDEX('Source Review'!$H$2:$H$52,MATCH($A35,'Source Review'!$A$2:$A$52,0))</f>
        <v>16</v>
      </c>
      <c r="J35" s="76" t="s">
        <v>1653</v>
      </c>
      <c r="K35" s="38" t="s">
        <v>1790</v>
      </c>
      <c r="L35" s="38" t="s">
        <v>1791</v>
      </c>
      <c r="M35" s="38" t="s">
        <v>1792</v>
      </c>
      <c r="N35" s="38" t="s">
        <v>1656</v>
      </c>
    </row>
  </sheetData>
  <conditionalFormatting sqref="C2:C35">
    <cfRule type="expression" dxfId="11" priority="1">
      <formula>$C2="Done"</formula>
    </cfRule>
    <cfRule type="expression" dxfId="10" priority="2">
      <formula>$C2="In Progress"</formula>
    </cfRule>
    <cfRule type="expression" dxfId="9" priority="3">
      <formula>$C2="Not Started"</formula>
    </cfRule>
  </conditionalFormatting>
  <conditionalFormatting sqref="G2:I35">
    <cfRule type="expression" dxfId="8" priority="4">
      <formula>ISNUMBER(G2)</formula>
    </cfRule>
  </conditionalFormatting>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10"/>
  <sheetViews>
    <sheetView workbookViewId="0"/>
  </sheetViews>
  <sheetFormatPr defaultRowHeight="14.25"/>
  <cols>
    <col min="1" max="1" width="34" customWidth="1"/>
    <col min="2" max="3" width="24" customWidth="1"/>
    <col min="4" max="4" width="48" customWidth="1"/>
    <col min="5" max="5" width="56" customWidth="1"/>
    <col min="6" max="6" width="74" customWidth="1"/>
    <col min="7" max="7" width="3" customWidth="1"/>
    <col min="8" max="12" width="14" customWidth="1"/>
  </cols>
  <sheetData>
    <row r="1" spans="1:12" ht="36" customHeight="1">
      <c r="A1" s="139" t="s">
        <v>1793</v>
      </c>
      <c r="B1" s="139"/>
      <c r="C1" s="139"/>
      <c r="D1" s="139"/>
      <c r="E1" s="139"/>
      <c r="F1" s="139"/>
      <c r="G1" s="78"/>
      <c r="H1" s="78"/>
      <c r="I1" s="78"/>
      <c r="J1" s="78"/>
      <c r="K1" s="78"/>
      <c r="L1" s="78"/>
    </row>
    <row r="2" spans="1:12" ht="24.95" customHeight="1">
      <c r="A2" s="140" t="s">
        <v>1794</v>
      </c>
      <c r="B2" s="140"/>
      <c r="C2" s="140"/>
      <c r="D2" s="140"/>
      <c r="E2" s="140"/>
      <c r="F2" s="140"/>
      <c r="G2" s="79"/>
      <c r="H2" s="79"/>
      <c r="I2" s="79"/>
      <c r="J2" s="79"/>
      <c r="K2" s="79"/>
      <c r="L2" s="79"/>
    </row>
    <row r="3" spans="1:12" ht="42" customHeight="1">
      <c r="A3" s="141" t="s">
        <v>1795</v>
      </c>
      <c r="B3" s="141"/>
      <c r="C3" s="141"/>
      <c r="D3" s="141"/>
      <c r="E3" s="141"/>
      <c r="F3" s="141"/>
      <c r="G3" s="80"/>
      <c r="H3" s="80"/>
      <c r="I3" s="80"/>
      <c r="J3" s="80"/>
      <c r="K3" s="80"/>
      <c r="L3" s="80"/>
    </row>
    <row r="5" spans="1:12" ht="33.950000000000003" customHeight="1">
      <c r="A5" s="75" t="s">
        <v>792</v>
      </c>
      <c r="B5" s="75" t="s">
        <v>1796</v>
      </c>
      <c r="C5" s="75" t="s">
        <v>449</v>
      </c>
      <c r="D5" s="75" t="s">
        <v>1175</v>
      </c>
      <c r="E5" s="75" t="s">
        <v>796</v>
      </c>
      <c r="F5" s="75" t="s">
        <v>1797</v>
      </c>
      <c r="H5" s="137" t="s">
        <v>1798</v>
      </c>
      <c r="I5" s="137"/>
      <c r="J5" s="137"/>
      <c r="K5" s="137"/>
      <c r="L5" s="137"/>
    </row>
    <row r="6" spans="1:12" ht="44.1" customHeight="1">
      <c r="A6" s="76" t="s">
        <v>1278</v>
      </c>
      <c r="B6" s="81">
        <f>COUNTA(Backlog!A2:A180)</f>
        <v>179</v>
      </c>
      <c r="C6" s="81">
        <f>COUNTIF(Backlog!B2:B180,"M2")</f>
        <v>107</v>
      </c>
      <c r="D6" s="81">
        <f>COUNTIFS(Backlog!B2:B180,"M2",Backlog!C2:C180,"P2")</f>
        <v>34</v>
      </c>
      <c r="E6" s="76" t="s">
        <v>1799</v>
      </c>
      <c r="F6" s="76" t="s">
        <v>1800</v>
      </c>
      <c r="H6" s="138" t="s">
        <v>1801</v>
      </c>
      <c r="I6" s="138"/>
      <c r="J6" s="138"/>
      <c r="K6" s="138"/>
      <c r="L6" s="138"/>
    </row>
    <row r="7" spans="1:12" ht="44.1" customHeight="1">
      <c r="A7" s="76" t="s">
        <v>249</v>
      </c>
      <c r="B7" s="81">
        <f>COUNTIF(Backlog!K2:K180,"Done")</f>
        <v>66</v>
      </c>
      <c r="C7" s="81">
        <f>COUNTIFS(Backlog!B2:B180,"M2",Backlog!K2:K180,"Done")</f>
        <v>66</v>
      </c>
      <c r="D7" s="81">
        <f>COUNTIFS(Backlog!B2:B180,"M2",Backlog!C2:C180,"P2",Backlog!K2:K180,"Done")</f>
        <v>18</v>
      </c>
      <c r="E7" s="76" t="s">
        <v>1802</v>
      </c>
      <c r="F7" s="76" t="s">
        <v>1803</v>
      </c>
      <c r="H7" s="138" t="s">
        <v>1804</v>
      </c>
      <c r="I7" s="138"/>
      <c r="J7" s="138"/>
      <c r="K7" s="138"/>
      <c r="L7" s="138"/>
    </row>
    <row r="8" spans="1:12" ht="44.1" customHeight="1">
      <c r="A8" s="76" t="s">
        <v>615</v>
      </c>
      <c r="B8" s="81">
        <f>COUNTIF(Backlog!K2:K180,"In Progress")</f>
        <v>3</v>
      </c>
      <c r="C8" s="81">
        <f>COUNTIFS(Backlog!B2:B180,"M2",Backlog!K2:K180,"In Progress")</f>
        <v>3</v>
      </c>
      <c r="D8" s="81">
        <f>COUNTIFS(Backlog!B2:B180,"M2",Backlog!C2:C180,"P2",Backlog!K2:K180,"In Progress")</f>
        <v>3</v>
      </c>
      <c r="E8" s="76" t="s">
        <v>1805</v>
      </c>
      <c r="F8" s="76" t="s">
        <v>1806</v>
      </c>
      <c r="H8" s="138" t="s">
        <v>1807</v>
      </c>
      <c r="I8" s="138"/>
      <c r="J8" s="138"/>
      <c r="K8" s="138"/>
      <c r="L8" s="138"/>
    </row>
    <row r="9" spans="1:12" ht="44.1" customHeight="1">
      <c r="A9" s="76" t="s">
        <v>537</v>
      </c>
      <c r="B9" s="81">
        <f>COUNTIF(Backlog!K2:K180,"Not Started")</f>
        <v>110</v>
      </c>
      <c r="C9" s="81">
        <f>COUNTIFS(Backlog!B2:B180,"M2",Backlog!K2:K180,"Not Started")</f>
        <v>38</v>
      </c>
      <c r="D9" s="81">
        <f>COUNTIFS(Backlog!B2:B180,"M2",Backlog!C2:C180,"P2",Backlog!K2:K180,"Not Started")</f>
        <v>13</v>
      </c>
      <c r="E9" s="76" t="s">
        <v>1808</v>
      </c>
      <c r="F9" s="76" t="s">
        <v>1809</v>
      </c>
      <c r="H9" s="138" t="s">
        <v>1810</v>
      </c>
      <c r="I9" s="138"/>
      <c r="J9" s="138"/>
      <c r="K9" s="138"/>
      <c r="L9" s="138"/>
    </row>
    <row r="10" spans="1:12" ht="44.1" customHeight="1">
      <c r="A10" s="76" t="s">
        <v>1811</v>
      </c>
      <c r="B10" s="81">
        <f>COUNTIF(Backlog!AM2:AM180,0)</f>
        <v>30</v>
      </c>
      <c r="C10" s="81">
        <f>COUNTIFS(Backlog!B2:B180,"M2",Backlog!AM2:AM180,0)</f>
        <v>17</v>
      </c>
      <c r="D10" s="81">
        <f>COUNTIFS(Backlog!B2:B180,"M2",Backlog!C2:C180,"P2",Backlog!AM2:AM180,0)</f>
        <v>13</v>
      </c>
      <c r="E10" s="76" t="s">
        <v>1812</v>
      </c>
      <c r="F10" s="76" t="s">
        <v>1813</v>
      </c>
      <c r="H10" t="s">
        <v>1814</v>
      </c>
    </row>
    <row r="11" spans="1:12" ht="44.1" customHeight="1">
      <c r="A11" s="76" t="s">
        <v>1815</v>
      </c>
      <c r="B11" s="77">
        <f>SUM(Backlog!AS2:AS180)</f>
        <v>1533</v>
      </c>
      <c r="C11" s="77">
        <f>SUMIF(Backlog!B2:B180,"M2",Backlog!AS2:AS180)</f>
        <v>884</v>
      </c>
      <c r="D11" s="77">
        <f>SUMIFS(Backlog!AS2:AS180,Backlog!B2:B180,"M2",Backlog!C2:C180,"P2")</f>
        <v>211</v>
      </c>
      <c r="E11" s="76" t="s">
        <v>1816</v>
      </c>
      <c r="F11" s="76" t="s">
        <v>1817</v>
      </c>
    </row>
    <row r="13" spans="1:12" ht="38.1" customHeight="1">
      <c r="A13" s="142" t="s">
        <v>1818</v>
      </c>
      <c r="B13" s="142"/>
      <c r="C13" s="142"/>
      <c r="D13" s="142"/>
      <c r="E13" s="142"/>
      <c r="F13" s="142"/>
      <c r="G13" s="82"/>
      <c r="H13" s="82"/>
      <c r="I13" s="82"/>
      <c r="J13" s="82"/>
      <c r="K13" s="82"/>
      <c r="L13" s="82"/>
    </row>
    <row r="14" spans="1:12" ht="27.95" customHeight="1">
      <c r="A14" s="143" t="s">
        <v>1819</v>
      </c>
      <c r="B14" s="143"/>
      <c r="C14" s="143"/>
      <c r="D14" s="143"/>
      <c r="E14" s="143"/>
      <c r="F14" s="143"/>
    </row>
    <row r="15" spans="1:12" ht="33.950000000000003" customHeight="1">
      <c r="A15" s="137" t="s">
        <v>1820</v>
      </c>
      <c r="B15" s="137"/>
      <c r="C15" s="137"/>
      <c r="D15" s="137"/>
      <c r="E15" s="137"/>
      <c r="F15" s="137"/>
      <c r="G15" s="75"/>
      <c r="H15" s="75"/>
      <c r="I15" s="75"/>
      <c r="J15" s="75"/>
      <c r="K15" s="75"/>
      <c r="L15" s="75"/>
    </row>
    <row r="16" spans="1:12" ht="33.950000000000003" customHeight="1">
      <c r="A16" s="75" t="s">
        <v>1821</v>
      </c>
      <c r="B16" s="75" t="s">
        <v>1822</v>
      </c>
      <c r="C16" s="75" t="s">
        <v>1823</v>
      </c>
      <c r="D16" s="75" t="s">
        <v>1824</v>
      </c>
      <c r="E16" s="75" t="s">
        <v>1825</v>
      </c>
      <c r="F16" s="75" t="s">
        <v>1826</v>
      </c>
    </row>
    <row r="17" spans="1:12" ht="78" customHeight="1">
      <c r="A17" s="76">
        <v>1</v>
      </c>
      <c r="B17" s="76" t="s">
        <v>1827</v>
      </c>
      <c r="C17" s="83" t="s">
        <v>1828</v>
      </c>
      <c r="D17" s="76" t="s">
        <v>1829</v>
      </c>
      <c r="E17" s="76" t="s">
        <v>1830</v>
      </c>
      <c r="F17" s="76" t="s">
        <v>1831</v>
      </c>
    </row>
    <row r="18" spans="1:12" ht="78" customHeight="1">
      <c r="A18" s="76">
        <v>2</v>
      </c>
      <c r="B18" s="76" t="s">
        <v>1832</v>
      </c>
      <c r="C18" s="83" t="s">
        <v>1828</v>
      </c>
      <c r="D18" s="76" t="s">
        <v>1833</v>
      </c>
      <c r="E18" s="76" t="s">
        <v>1830</v>
      </c>
      <c r="F18" s="76" t="s">
        <v>1831</v>
      </c>
    </row>
    <row r="19" spans="1:12" ht="78" customHeight="1">
      <c r="A19" s="76">
        <v>3</v>
      </c>
      <c r="B19" s="76" t="s">
        <v>1834</v>
      </c>
      <c r="C19" s="83" t="s">
        <v>1828</v>
      </c>
      <c r="D19" s="76" t="s">
        <v>1835</v>
      </c>
      <c r="E19" s="76" t="s">
        <v>1830</v>
      </c>
      <c r="F19" s="76" t="s">
        <v>1831</v>
      </c>
    </row>
    <row r="20" spans="1:12" ht="78" customHeight="1">
      <c r="A20" s="76">
        <v>4</v>
      </c>
      <c r="B20" s="76" t="s">
        <v>1836</v>
      </c>
      <c r="C20" s="83" t="s">
        <v>1828</v>
      </c>
      <c r="D20" s="76" t="s">
        <v>1837</v>
      </c>
      <c r="E20" s="76" t="s">
        <v>1830</v>
      </c>
      <c r="F20" s="76" t="s">
        <v>1831</v>
      </c>
    </row>
    <row r="21" spans="1:12" ht="78" customHeight="1">
      <c r="A21" s="76">
        <v>5</v>
      </c>
      <c r="B21" s="76" t="s">
        <v>1838</v>
      </c>
      <c r="C21" s="83" t="s">
        <v>1828</v>
      </c>
      <c r="D21" s="76" t="s">
        <v>1829</v>
      </c>
      <c r="E21" s="76" t="s">
        <v>1830</v>
      </c>
      <c r="F21" s="76" t="s">
        <v>1831</v>
      </c>
    </row>
    <row r="22" spans="1:12" ht="78" customHeight="1">
      <c r="A22" s="76">
        <v>6</v>
      </c>
      <c r="B22" s="76" t="s">
        <v>1839</v>
      </c>
      <c r="C22" s="83" t="s">
        <v>1828</v>
      </c>
      <c r="D22" s="76" t="s">
        <v>1829</v>
      </c>
      <c r="E22" s="76" t="s">
        <v>1830</v>
      </c>
      <c r="F22" s="76" t="s">
        <v>1831</v>
      </c>
    </row>
    <row r="23" spans="1:12" ht="78" customHeight="1">
      <c r="A23" s="76">
        <v>7</v>
      </c>
      <c r="B23" s="76" t="s">
        <v>1840</v>
      </c>
      <c r="C23" s="83" t="s">
        <v>1828</v>
      </c>
      <c r="D23" s="76" t="s">
        <v>1829</v>
      </c>
      <c r="E23" s="76" t="s">
        <v>1830</v>
      </c>
      <c r="F23" s="76" t="s">
        <v>1831</v>
      </c>
    </row>
    <row r="24" spans="1:12" ht="78" customHeight="1">
      <c r="A24" s="76">
        <v>8</v>
      </c>
      <c r="B24" s="76" t="s">
        <v>1841</v>
      </c>
      <c r="C24" s="83" t="s">
        <v>1828</v>
      </c>
      <c r="D24" s="76" t="s">
        <v>1829</v>
      </c>
      <c r="E24" s="76" t="s">
        <v>1830</v>
      </c>
      <c r="F24" s="76" t="s">
        <v>1831</v>
      </c>
    </row>
    <row r="25" spans="1:12" ht="78" customHeight="1">
      <c r="A25" s="76">
        <v>9</v>
      </c>
      <c r="B25" s="76" t="s">
        <v>1842</v>
      </c>
      <c r="C25" s="83" t="s">
        <v>1828</v>
      </c>
      <c r="D25" s="76" t="s">
        <v>1829</v>
      </c>
      <c r="E25" s="76" t="s">
        <v>1830</v>
      </c>
      <c r="F25" s="76" t="s">
        <v>1831</v>
      </c>
    </row>
    <row r="26" spans="1:12" ht="78" customHeight="1">
      <c r="A26" s="76">
        <v>10</v>
      </c>
      <c r="B26" s="76" t="s">
        <v>1843</v>
      </c>
      <c r="C26" s="83" t="s">
        <v>1828</v>
      </c>
      <c r="D26" s="76" t="s">
        <v>1829</v>
      </c>
      <c r="E26" s="76" t="s">
        <v>1830</v>
      </c>
      <c r="F26" s="76" t="s">
        <v>1831</v>
      </c>
    </row>
    <row r="28" spans="1:12" ht="33.950000000000003" customHeight="1">
      <c r="A28" s="137" t="s">
        <v>1844</v>
      </c>
      <c r="B28" s="137"/>
      <c r="C28" s="137"/>
      <c r="D28" s="137"/>
      <c r="E28" s="137"/>
      <c r="F28" s="137"/>
      <c r="G28" s="75"/>
      <c r="H28" s="75"/>
      <c r="I28" s="75"/>
      <c r="J28" s="75"/>
      <c r="K28" s="75"/>
      <c r="L28" s="75"/>
    </row>
    <row r="29" spans="1:12" ht="33.950000000000003" customHeight="1">
      <c r="A29" s="75" t="s">
        <v>1845</v>
      </c>
      <c r="B29" s="75" t="s">
        <v>1846</v>
      </c>
      <c r="C29" s="75" t="s">
        <v>1847</v>
      </c>
      <c r="D29" s="75" t="s">
        <v>1848</v>
      </c>
      <c r="E29" s="75" t="s">
        <v>1849</v>
      </c>
      <c r="F29" s="75" t="s">
        <v>1850</v>
      </c>
    </row>
    <row r="30" spans="1:12" ht="44.1" customHeight="1">
      <c r="A30" s="76" t="s">
        <v>1286</v>
      </c>
      <c r="B30" s="81">
        <v>366</v>
      </c>
      <c r="C30" s="81">
        <v>61</v>
      </c>
      <c r="D30" s="81">
        <v>0</v>
      </c>
      <c r="E30" s="76" t="s">
        <v>1851</v>
      </c>
      <c r="F30" s="76" t="s">
        <v>1852</v>
      </c>
    </row>
    <row r="31" spans="1:12" ht="44.1" customHeight="1">
      <c r="A31" s="76" t="s">
        <v>1853</v>
      </c>
      <c r="B31" s="81">
        <v>7920</v>
      </c>
      <c r="C31" s="81">
        <v>6996</v>
      </c>
      <c r="D31" s="81">
        <v>185</v>
      </c>
      <c r="E31" s="76" t="s">
        <v>1851</v>
      </c>
      <c r="F31" s="76" t="s">
        <v>1854</v>
      </c>
    </row>
    <row r="32" spans="1:12" ht="44.1" customHeight="1">
      <c r="A32" s="76" t="s">
        <v>1855</v>
      </c>
      <c r="B32" s="81">
        <v>510</v>
      </c>
      <c r="C32" s="81">
        <v>133</v>
      </c>
      <c r="D32" s="81">
        <v>70</v>
      </c>
      <c r="E32" s="76" t="s">
        <v>1851</v>
      </c>
      <c r="F32" s="76" t="s">
        <v>1852</v>
      </c>
    </row>
    <row r="33" spans="1:6" ht="44.1" customHeight="1">
      <c r="A33" s="76" t="s">
        <v>1856</v>
      </c>
      <c r="B33" s="81">
        <v>2642</v>
      </c>
      <c r="C33" s="81">
        <v>2521</v>
      </c>
      <c r="D33" s="81">
        <v>2327</v>
      </c>
      <c r="E33" s="76" t="s">
        <v>1851</v>
      </c>
      <c r="F33" s="76" t="s">
        <v>1852</v>
      </c>
    </row>
    <row r="34" spans="1:6" ht="44.1" customHeight="1">
      <c r="A34" s="76" t="s">
        <v>1373</v>
      </c>
      <c r="B34" s="81">
        <v>170</v>
      </c>
      <c r="C34" s="81">
        <v>151</v>
      </c>
      <c r="D34" s="81">
        <v>0</v>
      </c>
      <c r="E34" s="76" t="s">
        <v>1851</v>
      </c>
      <c r="F34" s="76" t="s">
        <v>1852</v>
      </c>
    </row>
    <row r="35" spans="1:6" ht="44.1" customHeight="1">
      <c r="A35" s="76" t="s">
        <v>1857</v>
      </c>
      <c r="B35" s="81">
        <v>2280</v>
      </c>
      <c r="C35" s="81">
        <v>1800</v>
      </c>
      <c r="D35" s="81">
        <v>1611</v>
      </c>
      <c r="E35" s="76" t="s">
        <v>1851</v>
      </c>
      <c r="F35" s="76" t="s">
        <v>1852</v>
      </c>
    </row>
    <row r="36" spans="1:6" ht="44.1" customHeight="1">
      <c r="A36" s="76" t="s">
        <v>1858</v>
      </c>
      <c r="B36" s="81">
        <v>712</v>
      </c>
      <c r="C36" s="81">
        <v>445</v>
      </c>
      <c r="D36" s="81">
        <v>0</v>
      </c>
      <c r="E36" s="76" t="s">
        <v>1859</v>
      </c>
      <c r="F36" s="76" t="s">
        <v>1852</v>
      </c>
    </row>
    <row r="37" spans="1:6" ht="44.1" customHeight="1">
      <c r="A37" s="76" t="s">
        <v>1298</v>
      </c>
      <c r="B37" s="81">
        <v>270</v>
      </c>
      <c r="C37" s="81">
        <v>106</v>
      </c>
      <c r="D37" s="81">
        <v>0</v>
      </c>
      <c r="E37" s="76" t="s">
        <v>1851</v>
      </c>
      <c r="F37" s="76" t="s">
        <v>1852</v>
      </c>
    </row>
    <row r="38" spans="1:6" ht="44.1" customHeight="1">
      <c r="A38" s="76" t="s">
        <v>1334</v>
      </c>
      <c r="B38" s="81">
        <v>224</v>
      </c>
      <c r="C38" s="81">
        <v>93</v>
      </c>
      <c r="D38" s="81">
        <v>0</v>
      </c>
      <c r="E38" s="76" t="s">
        <v>1851</v>
      </c>
      <c r="F38" s="76" t="s">
        <v>1852</v>
      </c>
    </row>
    <row r="39" spans="1:6" ht="44.1" customHeight="1">
      <c r="A39" s="76" t="s">
        <v>1860</v>
      </c>
      <c r="B39" s="81">
        <v>396</v>
      </c>
      <c r="C39" s="81">
        <v>376</v>
      </c>
      <c r="D39" s="81">
        <v>0</v>
      </c>
      <c r="E39" s="76" t="s">
        <v>1851</v>
      </c>
      <c r="F39" s="76" t="s">
        <v>1852</v>
      </c>
    </row>
    <row r="40" spans="1:6" ht="44.1" customHeight="1">
      <c r="A40" s="76" t="s">
        <v>1861</v>
      </c>
      <c r="B40" s="81">
        <v>312</v>
      </c>
      <c r="C40" s="81">
        <v>297</v>
      </c>
      <c r="D40" s="81">
        <v>0</v>
      </c>
      <c r="E40" s="76" t="s">
        <v>1859</v>
      </c>
      <c r="F40" s="76" t="s">
        <v>1852</v>
      </c>
    </row>
    <row r="41" spans="1:6" ht="44.1" customHeight="1">
      <c r="A41" s="76" t="s">
        <v>1862</v>
      </c>
      <c r="B41" s="81">
        <v>1819</v>
      </c>
      <c r="C41" s="81">
        <v>1648</v>
      </c>
      <c r="D41" s="81">
        <v>0</v>
      </c>
      <c r="E41" s="76" t="s">
        <v>1859</v>
      </c>
      <c r="F41" s="76" t="s">
        <v>1852</v>
      </c>
    </row>
    <row r="42" spans="1:6" ht="44.1" customHeight="1">
      <c r="A42" s="76" t="s">
        <v>1863</v>
      </c>
      <c r="B42" s="81">
        <v>264</v>
      </c>
      <c r="C42" s="81">
        <v>205</v>
      </c>
      <c r="D42" s="81">
        <v>2</v>
      </c>
      <c r="E42" s="76" t="s">
        <v>1859</v>
      </c>
      <c r="F42" s="76" t="s">
        <v>1852</v>
      </c>
    </row>
    <row r="43" spans="1:6" ht="44.1" customHeight="1">
      <c r="A43" s="76" t="s">
        <v>1864</v>
      </c>
      <c r="B43" s="81">
        <v>272</v>
      </c>
      <c r="C43" s="81">
        <v>173</v>
      </c>
      <c r="D43" s="81">
        <v>0</v>
      </c>
      <c r="E43" s="76" t="s">
        <v>1859</v>
      </c>
      <c r="F43" s="76" t="s">
        <v>1852</v>
      </c>
    </row>
    <row r="44" spans="1:6" ht="44.1" customHeight="1">
      <c r="A44" s="76" t="s">
        <v>1865</v>
      </c>
      <c r="B44" s="81">
        <v>1190</v>
      </c>
      <c r="C44" s="81">
        <v>1109</v>
      </c>
      <c r="D44" s="81">
        <v>702</v>
      </c>
      <c r="E44" s="76" t="s">
        <v>1851</v>
      </c>
      <c r="F44" s="76" t="s">
        <v>1852</v>
      </c>
    </row>
    <row r="45" spans="1:6" ht="44.1" customHeight="1">
      <c r="A45" s="76" t="s">
        <v>1866</v>
      </c>
      <c r="B45" s="81">
        <v>36</v>
      </c>
      <c r="C45" s="81">
        <v>24</v>
      </c>
      <c r="D45" s="81">
        <v>0</v>
      </c>
      <c r="E45" s="76" t="s">
        <v>1859</v>
      </c>
      <c r="F45" s="76" t="s">
        <v>1852</v>
      </c>
    </row>
    <row r="46" spans="1:6" ht="44.1" customHeight="1">
      <c r="A46" s="76" t="s">
        <v>1867</v>
      </c>
      <c r="B46" s="81">
        <v>4949</v>
      </c>
      <c r="C46" s="81">
        <v>2022</v>
      </c>
      <c r="D46" s="81">
        <v>0</v>
      </c>
      <c r="E46" s="76" t="s">
        <v>1859</v>
      </c>
      <c r="F46" s="76" t="s">
        <v>1852</v>
      </c>
    </row>
    <row r="47" spans="1:6" ht="44.1" customHeight="1">
      <c r="A47" s="76" t="s">
        <v>1868</v>
      </c>
      <c r="B47" s="81">
        <v>410</v>
      </c>
      <c r="C47" s="81">
        <v>311</v>
      </c>
      <c r="D47" s="81">
        <v>210</v>
      </c>
      <c r="E47" s="76" t="s">
        <v>1851</v>
      </c>
      <c r="F47" s="76" t="s">
        <v>1852</v>
      </c>
    </row>
    <row r="48" spans="1:6" ht="44.1" customHeight="1">
      <c r="A48" s="76" t="s">
        <v>1869</v>
      </c>
      <c r="B48" s="81">
        <v>1224</v>
      </c>
      <c r="C48" s="81">
        <v>306</v>
      </c>
      <c r="D48" s="81">
        <v>0</v>
      </c>
      <c r="E48" s="76" t="s">
        <v>1859</v>
      </c>
      <c r="F48" s="76" t="s">
        <v>1852</v>
      </c>
    </row>
    <row r="49" spans="1:6" ht="44.1" customHeight="1">
      <c r="A49" s="76" t="s">
        <v>1870</v>
      </c>
      <c r="B49" s="81">
        <v>672</v>
      </c>
      <c r="C49" s="81">
        <v>59</v>
      </c>
      <c r="D49" s="81">
        <v>27</v>
      </c>
      <c r="E49" s="76" t="s">
        <v>1851</v>
      </c>
      <c r="F49" s="76" t="s">
        <v>1852</v>
      </c>
    </row>
    <row r="50" spans="1:6" ht="44.1" customHeight="1">
      <c r="A50" s="76" t="s">
        <v>1871</v>
      </c>
      <c r="B50" s="81">
        <v>182</v>
      </c>
      <c r="C50" s="81">
        <v>182</v>
      </c>
      <c r="D50" s="81">
        <v>0</v>
      </c>
      <c r="E50" s="76" t="s">
        <v>1851</v>
      </c>
      <c r="F50" s="76" t="s">
        <v>1852</v>
      </c>
    </row>
    <row r="51" spans="1:6" ht="44.1" customHeight="1">
      <c r="A51" s="76" t="s">
        <v>1872</v>
      </c>
      <c r="B51" s="81">
        <v>84</v>
      </c>
      <c r="C51" s="81">
        <v>57</v>
      </c>
      <c r="D51" s="81">
        <v>21</v>
      </c>
      <c r="E51" s="76" t="s">
        <v>1851</v>
      </c>
      <c r="F51" s="76" t="s">
        <v>1852</v>
      </c>
    </row>
    <row r="52" spans="1:6" ht="44.1" customHeight="1">
      <c r="A52" s="76" t="s">
        <v>1873</v>
      </c>
      <c r="B52" s="81">
        <v>5124</v>
      </c>
      <c r="C52" s="81">
        <v>4508</v>
      </c>
      <c r="D52" s="81">
        <v>0</v>
      </c>
      <c r="E52" s="76" t="s">
        <v>1859</v>
      </c>
      <c r="F52" s="76" t="s">
        <v>1852</v>
      </c>
    </row>
    <row r="53" spans="1:6" ht="44.1" customHeight="1">
      <c r="A53" s="76" t="s">
        <v>1874</v>
      </c>
      <c r="B53" s="81">
        <v>48</v>
      </c>
      <c r="C53" s="81">
        <v>24</v>
      </c>
      <c r="D53" s="81">
        <v>0</v>
      </c>
      <c r="E53" s="76" t="s">
        <v>1851</v>
      </c>
      <c r="F53" s="76" t="s">
        <v>1852</v>
      </c>
    </row>
    <row r="54" spans="1:6" ht="44.1" customHeight="1">
      <c r="A54" s="76" t="s">
        <v>1875</v>
      </c>
      <c r="B54" s="81">
        <v>600</v>
      </c>
      <c r="C54" s="81">
        <v>600</v>
      </c>
      <c r="D54" s="81">
        <v>298</v>
      </c>
      <c r="E54" s="76" t="s">
        <v>1851</v>
      </c>
      <c r="F54" s="76" t="s">
        <v>1852</v>
      </c>
    </row>
    <row r="55" spans="1:6" ht="44.1" customHeight="1">
      <c r="A55" s="76" t="s">
        <v>1876</v>
      </c>
      <c r="B55" s="81">
        <v>2981</v>
      </c>
      <c r="C55" s="81">
        <v>2981</v>
      </c>
      <c r="D55" s="81">
        <v>0</v>
      </c>
      <c r="E55" s="76" t="s">
        <v>1851</v>
      </c>
      <c r="F55" s="76" t="s">
        <v>1852</v>
      </c>
    </row>
    <row r="56" spans="1:6" ht="44.1" customHeight="1">
      <c r="A56" s="76" t="s">
        <v>1877</v>
      </c>
      <c r="B56" s="81">
        <v>2981</v>
      </c>
      <c r="C56" s="81">
        <v>2981</v>
      </c>
      <c r="D56" s="81">
        <v>0</v>
      </c>
      <c r="E56" s="76" t="s">
        <v>1851</v>
      </c>
      <c r="F56" s="76" t="s">
        <v>1852</v>
      </c>
    </row>
    <row r="57" spans="1:6" ht="44.1" customHeight="1">
      <c r="A57" s="76" t="s">
        <v>1878</v>
      </c>
      <c r="B57" s="81">
        <v>145</v>
      </c>
      <c r="C57" s="81">
        <v>139</v>
      </c>
      <c r="D57" s="81">
        <v>0</v>
      </c>
      <c r="E57" s="76" t="s">
        <v>1859</v>
      </c>
      <c r="F57" s="76" t="s">
        <v>1852</v>
      </c>
    </row>
    <row r="58" spans="1:6" ht="44.1" customHeight="1">
      <c r="A58" s="76" t="s">
        <v>1879</v>
      </c>
      <c r="B58" s="81">
        <v>222</v>
      </c>
      <c r="C58" s="81">
        <v>71</v>
      </c>
      <c r="D58" s="81">
        <v>24</v>
      </c>
      <c r="E58" s="76" t="s">
        <v>1851</v>
      </c>
      <c r="F58" s="76" t="s">
        <v>1852</v>
      </c>
    </row>
    <row r="59" spans="1:6" ht="44.1" customHeight="1">
      <c r="A59" s="76" t="s">
        <v>1880</v>
      </c>
      <c r="B59" s="81">
        <v>92</v>
      </c>
      <c r="C59" s="81">
        <v>92</v>
      </c>
      <c r="D59" s="81">
        <v>0</v>
      </c>
      <c r="E59" s="76" t="s">
        <v>1851</v>
      </c>
      <c r="F59" s="76" t="s">
        <v>1852</v>
      </c>
    </row>
    <row r="60" spans="1:6" ht="44.1" customHeight="1">
      <c r="A60" s="76" t="s">
        <v>1881</v>
      </c>
      <c r="B60" s="81">
        <v>88</v>
      </c>
      <c r="C60" s="81">
        <v>87</v>
      </c>
      <c r="D60" s="81">
        <v>9</v>
      </c>
      <c r="E60" s="76" t="s">
        <v>1851</v>
      </c>
      <c r="F60" s="76" t="s">
        <v>1882</v>
      </c>
    </row>
    <row r="63" spans="1:6" ht="33.950000000000003" customHeight="1">
      <c r="A63" s="137" t="s">
        <v>1883</v>
      </c>
      <c r="B63" s="137"/>
      <c r="C63" s="137"/>
      <c r="D63" s="137"/>
      <c r="E63" s="137"/>
      <c r="F63" s="137"/>
    </row>
    <row r="64" spans="1:6" ht="54" customHeight="1">
      <c r="A64" s="76" t="s">
        <v>1884</v>
      </c>
      <c r="B64" s="83" t="s">
        <v>1885</v>
      </c>
      <c r="C64" s="144" t="s">
        <v>1886</v>
      </c>
      <c r="D64" s="118"/>
      <c r="E64" s="118"/>
      <c r="F64" s="118"/>
    </row>
    <row r="65" spans="1:6" ht="54" customHeight="1">
      <c r="A65" s="76" t="s">
        <v>1887</v>
      </c>
      <c r="B65" s="83" t="s">
        <v>1888</v>
      </c>
      <c r="C65" s="144" t="s">
        <v>1889</v>
      </c>
      <c r="D65" s="118"/>
      <c r="E65" s="118"/>
      <c r="F65" s="118"/>
    </row>
    <row r="66" spans="1:6" ht="54" customHeight="1">
      <c r="A66" s="76" t="s">
        <v>1890</v>
      </c>
      <c r="B66" s="83" t="s">
        <v>1891</v>
      </c>
      <c r="C66" s="144" t="s">
        <v>1892</v>
      </c>
      <c r="D66" s="118"/>
      <c r="E66" s="118"/>
      <c r="F66" s="118"/>
    </row>
    <row r="67" spans="1:6" ht="54" customHeight="1">
      <c r="A67" s="76" t="s">
        <v>1893</v>
      </c>
      <c r="B67" s="83" t="s">
        <v>1894</v>
      </c>
      <c r="C67" s="144" t="s">
        <v>1895</v>
      </c>
      <c r="D67" s="118"/>
      <c r="E67" s="118"/>
      <c r="F67" s="118"/>
    </row>
    <row r="68" spans="1:6" ht="54" customHeight="1">
      <c r="A68" s="76" t="s">
        <v>1896</v>
      </c>
      <c r="B68" s="83" t="s">
        <v>1897</v>
      </c>
      <c r="C68" s="144" t="s">
        <v>1898</v>
      </c>
      <c r="D68" s="118"/>
      <c r="E68" s="118"/>
      <c r="F68" s="118"/>
    </row>
    <row r="69" spans="1:6" ht="54" customHeight="1">
      <c r="A69" s="76" t="s">
        <v>1899</v>
      </c>
      <c r="B69" s="83" t="s">
        <v>1900</v>
      </c>
      <c r="C69" s="144" t="s">
        <v>1901</v>
      </c>
      <c r="D69" s="118"/>
      <c r="E69" s="118"/>
      <c r="F69" s="118"/>
    </row>
    <row r="70" spans="1:6" ht="54" customHeight="1">
      <c r="A70" s="76" t="s">
        <v>1902</v>
      </c>
      <c r="B70" s="83" t="s">
        <v>1903</v>
      </c>
      <c r="C70" s="144" t="s">
        <v>1904</v>
      </c>
      <c r="D70" s="118"/>
      <c r="E70" s="118"/>
      <c r="F70" s="118"/>
    </row>
    <row r="72" spans="1:6" ht="33.950000000000003" customHeight="1">
      <c r="A72" s="137" t="s">
        <v>1905</v>
      </c>
      <c r="B72" s="137"/>
      <c r="C72" s="137"/>
      <c r="D72" s="137"/>
      <c r="E72" s="137"/>
      <c r="F72" s="137"/>
    </row>
    <row r="73" spans="1:6" ht="33.950000000000003" customHeight="1">
      <c r="A73" s="75" t="s">
        <v>1906</v>
      </c>
      <c r="B73" s="75" t="s">
        <v>1907</v>
      </c>
      <c r="C73" s="75" t="s">
        <v>1908</v>
      </c>
      <c r="D73" s="75" t="s">
        <v>1909</v>
      </c>
      <c r="E73" s="75"/>
      <c r="F73" s="75"/>
    </row>
    <row r="74" spans="1:6" ht="44.1" customHeight="1">
      <c r="A74" s="76" t="s">
        <v>1910</v>
      </c>
      <c r="B74" s="76">
        <v>469445</v>
      </c>
      <c r="C74" s="76" t="s">
        <v>1911</v>
      </c>
      <c r="D74" s="144" t="s">
        <v>1912</v>
      </c>
      <c r="E74" s="144"/>
      <c r="F74" s="144"/>
    </row>
    <row r="75" spans="1:6" ht="44.1" customHeight="1">
      <c r="A75" s="76" t="s">
        <v>1913</v>
      </c>
      <c r="B75" s="76">
        <v>31</v>
      </c>
      <c r="C75" s="76" t="s">
        <v>1911</v>
      </c>
      <c r="D75" s="144" t="s">
        <v>1914</v>
      </c>
      <c r="E75" s="144"/>
      <c r="F75" s="144"/>
    </row>
    <row r="76" spans="1:6" ht="44.1" customHeight="1">
      <c r="A76" s="76" t="s">
        <v>1915</v>
      </c>
      <c r="B76" s="76">
        <v>179</v>
      </c>
      <c r="C76" s="76" t="s">
        <v>1911</v>
      </c>
      <c r="D76" s="144" t="s">
        <v>1916</v>
      </c>
      <c r="E76" s="144"/>
      <c r="F76" s="144"/>
    </row>
    <row r="77" spans="1:6" ht="44.1" customHeight="1">
      <c r="A77" s="76" t="s">
        <v>1917</v>
      </c>
      <c r="B77" s="76">
        <v>179</v>
      </c>
      <c r="C77" s="76" t="s">
        <v>1911</v>
      </c>
      <c r="D77" s="144" t="s">
        <v>1918</v>
      </c>
      <c r="E77" s="144"/>
      <c r="F77" s="144"/>
    </row>
    <row r="78" spans="1:6" ht="44.1" customHeight="1">
      <c r="A78" s="76" t="s">
        <v>1919</v>
      </c>
      <c r="B78" s="76">
        <v>179</v>
      </c>
      <c r="C78" s="76" t="s">
        <v>1911</v>
      </c>
      <c r="D78" s="144" t="s">
        <v>1920</v>
      </c>
      <c r="E78" s="144"/>
      <c r="F78" s="144"/>
    </row>
    <row r="79" spans="1:6" ht="44.1" customHeight="1">
      <c r="A79" s="76" t="s">
        <v>1921</v>
      </c>
      <c r="B79" s="76">
        <v>179</v>
      </c>
      <c r="C79" s="76" t="s">
        <v>1911</v>
      </c>
      <c r="D79" s="144" t="s">
        <v>1922</v>
      </c>
      <c r="E79" s="144"/>
      <c r="F79" s="144"/>
    </row>
    <row r="80" spans="1:6" ht="44.1" customHeight="1">
      <c r="A80" s="76" t="s">
        <v>1923</v>
      </c>
      <c r="B80" s="76">
        <v>0</v>
      </c>
      <c r="C80" s="76" t="s">
        <v>1911</v>
      </c>
      <c r="D80" s="144" t="s">
        <v>1924</v>
      </c>
      <c r="E80" s="144"/>
      <c r="F80" s="144"/>
    </row>
    <row r="81" spans="1:6" ht="44.1" customHeight="1">
      <c r="A81" s="76" t="s">
        <v>1925</v>
      </c>
      <c r="B81" s="76">
        <v>179</v>
      </c>
      <c r="C81" s="76" t="s">
        <v>1911</v>
      </c>
      <c r="D81" s="144" t="s">
        <v>1926</v>
      </c>
      <c r="E81" s="144"/>
      <c r="F81" s="144"/>
    </row>
    <row r="82" spans="1:6" ht="44.1" customHeight="1">
      <c r="A82" s="76" t="s">
        <v>1927</v>
      </c>
      <c r="B82" s="76">
        <v>179</v>
      </c>
      <c r="C82" s="76" t="s">
        <v>1911</v>
      </c>
      <c r="D82" s="144" t="s">
        <v>1928</v>
      </c>
      <c r="E82" s="144"/>
      <c r="F82" s="144"/>
    </row>
    <row r="83" spans="1:6" ht="44.1" customHeight="1">
      <c r="A83" s="76" t="s">
        <v>1929</v>
      </c>
      <c r="B83" s="76">
        <v>78</v>
      </c>
      <c r="C83" s="76" t="s">
        <v>1911</v>
      </c>
      <c r="D83" s="144" t="s">
        <v>1930</v>
      </c>
      <c r="E83" s="144"/>
      <c r="F83" s="144"/>
    </row>
    <row r="84" spans="1:6" ht="44.1" customHeight="1">
      <c r="A84" s="76" t="s">
        <v>1931</v>
      </c>
      <c r="B84" s="76">
        <v>0</v>
      </c>
      <c r="C84" s="76" t="s">
        <v>1911</v>
      </c>
      <c r="D84" s="144" t="s">
        <v>1932</v>
      </c>
      <c r="E84" s="144"/>
      <c r="F84" s="144"/>
    </row>
    <row r="85" spans="1:6" ht="44.1" customHeight="1">
      <c r="A85" s="76" t="s">
        <v>1933</v>
      </c>
      <c r="B85" s="76">
        <v>179</v>
      </c>
      <c r="C85" s="76" t="s">
        <v>1911</v>
      </c>
      <c r="D85" s="144" t="s">
        <v>1934</v>
      </c>
      <c r="E85" s="144"/>
      <c r="F85" s="144"/>
    </row>
    <row r="86" spans="1:6" ht="44.1" customHeight="1">
      <c r="A86" s="76" t="s">
        <v>1935</v>
      </c>
      <c r="B86" s="76">
        <v>27</v>
      </c>
      <c r="C86" s="76" t="s">
        <v>1911</v>
      </c>
      <c r="D86" s="144" t="s">
        <v>1936</v>
      </c>
      <c r="E86" s="144"/>
      <c r="F86" s="144"/>
    </row>
    <row r="87" spans="1:6" ht="44.1" customHeight="1">
      <c r="A87" s="76" t="s">
        <v>1937</v>
      </c>
      <c r="B87" s="76">
        <v>1</v>
      </c>
      <c r="C87" s="76" t="s">
        <v>1911</v>
      </c>
      <c r="D87" s="144" t="s">
        <v>1938</v>
      </c>
      <c r="E87" s="144"/>
      <c r="F87" s="144"/>
    </row>
    <row r="88" spans="1:6" ht="44.1" customHeight="1">
      <c r="A88" s="76" t="s">
        <v>1939</v>
      </c>
      <c r="B88" s="76">
        <v>179</v>
      </c>
      <c r="C88" s="76" t="s">
        <v>1911</v>
      </c>
      <c r="D88" s="144" t="s">
        <v>1940</v>
      </c>
      <c r="E88" s="144"/>
      <c r="F88" s="144"/>
    </row>
    <row r="89" spans="1:6" ht="44.1" customHeight="1">
      <c r="A89" s="76" t="s">
        <v>1941</v>
      </c>
      <c r="B89" s="76">
        <v>313</v>
      </c>
      <c r="C89" s="76" t="s">
        <v>1911</v>
      </c>
      <c r="D89" s="144" t="s">
        <v>1942</v>
      </c>
      <c r="E89" s="144"/>
      <c r="F89" s="144"/>
    </row>
    <row r="90" spans="1:6" ht="44.1" customHeight="1">
      <c r="A90" s="76" t="s">
        <v>1943</v>
      </c>
      <c r="B90" s="76">
        <v>179</v>
      </c>
      <c r="C90" s="76" t="s">
        <v>1911</v>
      </c>
      <c r="D90" s="144" t="s">
        <v>1944</v>
      </c>
      <c r="E90" s="144"/>
      <c r="F90" s="144"/>
    </row>
    <row r="91" spans="1:6" ht="44.1" customHeight="1">
      <c r="A91" s="76" t="s">
        <v>1945</v>
      </c>
      <c r="B91" s="76">
        <v>6</v>
      </c>
      <c r="C91" s="76" t="s">
        <v>1911</v>
      </c>
      <c r="D91" s="144" t="s">
        <v>1946</v>
      </c>
      <c r="E91" s="144"/>
      <c r="F91" s="144"/>
    </row>
    <row r="92" spans="1:6" ht="44.1" customHeight="1">
      <c r="A92" s="76" t="s">
        <v>1947</v>
      </c>
      <c r="B92" s="76">
        <v>0</v>
      </c>
      <c r="C92" s="76" t="s">
        <v>1911</v>
      </c>
      <c r="D92" s="144" t="s">
        <v>1948</v>
      </c>
      <c r="E92" s="144"/>
      <c r="F92" s="144"/>
    </row>
    <row r="93" spans="1:6" ht="44.1" customHeight="1">
      <c r="A93" s="76" t="s">
        <v>1949</v>
      </c>
      <c r="B93" s="76">
        <v>10</v>
      </c>
      <c r="C93" s="76" t="s">
        <v>1911</v>
      </c>
      <c r="D93" s="144" t="s">
        <v>1950</v>
      </c>
      <c r="E93" s="144"/>
      <c r="F93" s="144"/>
    </row>
    <row r="94" spans="1:6" ht="44.1" customHeight="1">
      <c r="A94" s="76" t="s">
        <v>1951</v>
      </c>
      <c r="B94" s="76">
        <v>13</v>
      </c>
      <c r="C94" s="76" t="s">
        <v>1911</v>
      </c>
      <c r="D94" s="144" t="s">
        <v>1952</v>
      </c>
      <c r="E94" s="144"/>
      <c r="F94" s="144"/>
    </row>
    <row r="95" spans="1:6" ht="44.1" customHeight="1">
      <c r="A95" s="76" t="s">
        <v>1953</v>
      </c>
      <c r="B95" s="76">
        <v>3</v>
      </c>
      <c r="C95" s="76" t="s">
        <v>1911</v>
      </c>
      <c r="D95" s="144" t="s">
        <v>1954</v>
      </c>
      <c r="E95" s="144"/>
      <c r="F95" s="144"/>
    </row>
    <row r="96" spans="1:6" ht="44.1" customHeight="1">
      <c r="A96" s="76" t="s">
        <v>1955</v>
      </c>
      <c r="B96" s="76">
        <v>0</v>
      </c>
      <c r="C96" s="76" t="s">
        <v>1956</v>
      </c>
      <c r="D96" s="144" t="s">
        <v>1957</v>
      </c>
      <c r="E96" s="144"/>
      <c r="F96" s="144"/>
    </row>
    <row r="97" spans="1:6" ht="44.1" customHeight="1">
      <c r="A97" s="76" t="s">
        <v>1958</v>
      </c>
      <c r="B97" s="76">
        <v>1</v>
      </c>
      <c r="C97" s="76" t="s">
        <v>1956</v>
      </c>
      <c r="D97" s="144" t="s">
        <v>1959</v>
      </c>
      <c r="E97" s="144"/>
      <c r="F97" s="144"/>
    </row>
    <row r="98" spans="1:6" ht="44.1" customHeight="1">
      <c r="A98" s="76" t="s">
        <v>1960</v>
      </c>
      <c r="B98" s="76">
        <v>15</v>
      </c>
      <c r="C98" s="76" t="s">
        <v>1956</v>
      </c>
      <c r="D98" s="144" t="s">
        <v>1961</v>
      </c>
      <c r="E98" s="144"/>
      <c r="F98" s="144"/>
    </row>
    <row r="108" spans="1:6" ht="30" customHeight="1">
      <c r="A108" s="145" t="s">
        <v>1962</v>
      </c>
      <c r="B108" s="145"/>
      <c r="C108" s="145"/>
      <c r="D108" s="145"/>
      <c r="E108" s="145"/>
      <c r="F108" s="145"/>
    </row>
    <row r="110" spans="1:6" ht="30" customHeight="1">
      <c r="A110" s="145" t="s">
        <v>1963</v>
      </c>
      <c r="B110" s="145"/>
      <c r="C110" s="145"/>
      <c r="D110" s="145"/>
      <c r="E110" s="145"/>
      <c r="F110" s="145"/>
    </row>
  </sheetData>
  <mergeCells count="48">
    <mergeCell ref="D98:F98"/>
    <mergeCell ref="A110:F110"/>
    <mergeCell ref="D93:F93"/>
    <mergeCell ref="D94:F94"/>
    <mergeCell ref="D95:F95"/>
    <mergeCell ref="D96:F96"/>
    <mergeCell ref="D97:F97"/>
    <mergeCell ref="D88:F88"/>
    <mergeCell ref="D89:F89"/>
    <mergeCell ref="D90:F90"/>
    <mergeCell ref="D91:F91"/>
    <mergeCell ref="D92:F92"/>
    <mergeCell ref="A72:F72"/>
    <mergeCell ref="A108:F108"/>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C66:F66"/>
    <mergeCell ref="C67:F67"/>
    <mergeCell ref="C68:F68"/>
    <mergeCell ref="C69:F69"/>
    <mergeCell ref="C70:F70"/>
    <mergeCell ref="A28:F28"/>
    <mergeCell ref="A14:F14"/>
    <mergeCell ref="A63:F63"/>
    <mergeCell ref="C64:F64"/>
    <mergeCell ref="C65:F65"/>
    <mergeCell ref="A1:F1"/>
    <mergeCell ref="A2:F2"/>
    <mergeCell ref="A3:F3"/>
    <mergeCell ref="A13:F13"/>
    <mergeCell ref="A15:F15"/>
    <mergeCell ref="H5:L5"/>
    <mergeCell ref="H6:L6"/>
    <mergeCell ref="H7:L7"/>
    <mergeCell ref="H8:L8"/>
    <mergeCell ref="H9:L9"/>
  </mergeCells>
  <conditionalFormatting sqref="C74:C98">
    <cfRule type="expression" dxfId="7" priority="1">
      <formula>$C74="PASS"</formula>
    </cfRule>
    <cfRule type="expression" dxfId="6" priority="2">
      <formula>$C74="OPEN"</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2874"/>
  <sheetViews>
    <sheetView workbookViewId="0"/>
  </sheetViews>
  <sheetFormatPr defaultRowHeight="14.25"/>
  <cols>
    <col min="1" max="1" width="28" customWidth="1"/>
    <col min="2" max="2" width="24" customWidth="1"/>
    <col min="3" max="4" width="70" customWidth="1"/>
    <col min="5" max="5" width="65" customWidth="1"/>
    <col min="6" max="6" width="70" customWidth="1"/>
  </cols>
  <sheetData>
    <row r="1" spans="1:6" ht="33.950000000000003" customHeight="1">
      <c r="A1" s="75" t="s">
        <v>1845</v>
      </c>
      <c r="B1" s="75" t="s">
        <v>1964</v>
      </c>
      <c r="C1" s="75" t="s">
        <v>1600</v>
      </c>
      <c r="D1" s="75" t="s">
        <v>1601</v>
      </c>
      <c r="E1" s="75" t="s">
        <v>1965</v>
      </c>
      <c r="F1" s="75" t="s">
        <v>1966</v>
      </c>
    </row>
    <row r="2" spans="1:6" ht="63.95" customHeight="1">
      <c r="A2" s="76" t="s">
        <v>1286</v>
      </c>
      <c r="B2" s="76" t="s">
        <v>1967</v>
      </c>
      <c r="C2" s="76" t="s">
        <v>1968</v>
      </c>
      <c r="D2" s="76" t="s">
        <v>1969</v>
      </c>
      <c r="E2" s="76" t="s">
        <v>1970</v>
      </c>
      <c r="F2" s="76"/>
    </row>
    <row r="3" spans="1:6" ht="63.95" customHeight="1">
      <c r="A3" s="76" t="s">
        <v>1286</v>
      </c>
      <c r="B3" s="76" t="s">
        <v>1971</v>
      </c>
      <c r="C3" s="76" t="s">
        <v>1972</v>
      </c>
      <c r="D3" s="76" t="s">
        <v>1973</v>
      </c>
      <c r="E3" s="76" t="s">
        <v>1970</v>
      </c>
      <c r="F3" s="76"/>
    </row>
    <row r="4" spans="1:6" ht="63.95" customHeight="1">
      <c r="A4" s="76" t="s">
        <v>1286</v>
      </c>
      <c r="B4" s="76" t="s">
        <v>1974</v>
      </c>
      <c r="C4" s="76" t="s">
        <v>1975</v>
      </c>
      <c r="D4" s="76" t="s">
        <v>1976</v>
      </c>
      <c r="E4" s="76" t="s">
        <v>1970</v>
      </c>
      <c r="F4" s="76"/>
    </row>
    <row r="5" spans="1:6" ht="63.95" customHeight="1">
      <c r="A5" s="76" t="s">
        <v>1286</v>
      </c>
      <c r="B5" s="76" t="s">
        <v>1977</v>
      </c>
      <c r="C5" s="76" t="s">
        <v>1978</v>
      </c>
      <c r="D5" s="76" t="s">
        <v>1979</v>
      </c>
      <c r="E5" s="76" t="s">
        <v>1970</v>
      </c>
      <c r="F5" s="76"/>
    </row>
    <row r="6" spans="1:6" ht="63.95" customHeight="1">
      <c r="A6" s="76" t="s">
        <v>1286</v>
      </c>
      <c r="B6" s="76" t="s">
        <v>1980</v>
      </c>
      <c r="C6" s="76" t="s">
        <v>1981</v>
      </c>
      <c r="D6" s="76" t="s">
        <v>1982</v>
      </c>
      <c r="E6" s="76" t="s">
        <v>1970</v>
      </c>
      <c r="F6" s="76"/>
    </row>
    <row r="7" spans="1:6" ht="63.95" customHeight="1">
      <c r="A7" s="76" t="s">
        <v>1286</v>
      </c>
      <c r="B7" s="76" t="s">
        <v>1983</v>
      </c>
      <c r="C7" s="76" t="s">
        <v>1984</v>
      </c>
      <c r="D7" s="76" t="s">
        <v>1985</v>
      </c>
      <c r="E7" s="76" t="s">
        <v>1970</v>
      </c>
      <c r="F7" s="76"/>
    </row>
    <row r="8" spans="1:6" ht="63.95" customHeight="1">
      <c r="A8" s="76" t="s">
        <v>1286</v>
      </c>
      <c r="B8" s="76" t="s">
        <v>1986</v>
      </c>
      <c r="C8" s="76" t="s">
        <v>1972</v>
      </c>
      <c r="D8" s="76" t="s">
        <v>1987</v>
      </c>
      <c r="E8" s="76" t="s">
        <v>1970</v>
      </c>
      <c r="F8" s="76"/>
    </row>
    <row r="9" spans="1:6" ht="63.95" customHeight="1">
      <c r="A9" s="76" t="s">
        <v>1286</v>
      </c>
      <c r="B9" s="76" t="s">
        <v>1988</v>
      </c>
      <c r="C9" s="76" t="s">
        <v>1989</v>
      </c>
      <c r="D9" s="76" t="s">
        <v>1990</v>
      </c>
      <c r="E9" s="76" t="s">
        <v>1970</v>
      </c>
      <c r="F9" s="76"/>
    </row>
    <row r="10" spans="1:6" ht="63.95" customHeight="1">
      <c r="A10" s="76" t="s">
        <v>1286</v>
      </c>
      <c r="B10" s="76" t="s">
        <v>1991</v>
      </c>
      <c r="C10" s="76" t="s">
        <v>1992</v>
      </c>
      <c r="D10" s="76" t="s">
        <v>1993</v>
      </c>
      <c r="E10" s="76" t="s">
        <v>1970</v>
      </c>
      <c r="F10" s="76"/>
    </row>
    <row r="11" spans="1:6" ht="63.95" customHeight="1">
      <c r="A11" s="76" t="s">
        <v>1286</v>
      </c>
      <c r="B11" s="76" t="s">
        <v>1994</v>
      </c>
      <c r="C11" s="76" t="s">
        <v>1972</v>
      </c>
      <c r="D11" s="76" t="s">
        <v>1973</v>
      </c>
      <c r="E11" s="76" t="s">
        <v>1970</v>
      </c>
      <c r="F11" s="76"/>
    </row>
    <row r="12" spans="1:6" ht="63.95" customHeight="1">
      <c r="A12" s="76" t="s">
        <v>1286</v>
      </c>
      <c r="B12" s="76" t="s">
        <v>1995</v>
      </c>
      <c r="C12" s="76" t="s">
        <v>1996</v>
      </c>
      <c r="D12" s="76" t="s">
        <v>1997</v>
      </c>
      <c r="E12" s="76" t="s">
        <v>1970</v>
      </c>
      <c r="F12" s="76"/>
    </row>
    <row r="13" spans="1:6" ht="63.95" customHeight="1">
      <c r="A13" s="76" t="s">
        <v>1286</v>
      </c>
      <c r="B13" s="76" t="s">
        <v>1998</v>
      </c>
      <c r="C13" s="76" t="s">
        <v>1999</v>
      </c>
      <c r="D13" s="76" t="s">
        <v>2000</v>
      </c>
      <c r="E13" s="76" t="s">
        <v>1970</v>
      </c>
      <c r="F13" s="76"/>
    </row>
    <row r="14" spans="1:6" ht="63.95" customHeight="1">
      <c r="A14" s="76" t="s">
        <v>1286</v>
      </c>
      <c r="B14" s="76" t="s">
        <v>2001</v>
      </c>
      <c r="C14" s="76" t="s">
        <v>2002</v>
      </c>
      <c r="D14" s="76" t="s">
        <v>2003</v>
      </c>
      <c r="E14" s="76" t="s">
        <v>1970</v>
      </c>
      <c r="F14" s="76"/>
    </row>
    <row r="15" spans="1:6" ht="63.95" customHeight="1">
      <c r="A15" s="76" t="s">
        <v>1286</v>
      </c>
      <c r="B15" s="76" t="s">
        <v>2004</v>
      </c>
      <c r="C15" s="76" t="s">
        <v>1972</v>
      </c>
      <c r="D15" s="76" t="s">
        <v>1973</v>
      </c>
      <c r="E15" s="76" t="s">
        <v>1970</v>
      </c>
      <c r="F15" s="76"/>
    </row>
    <row r="16" spans="1:6" ht="63.95" customHeight="1">
      <c r="A16" s="76" t="s">
        <v>1286</v>
      </c>
      <c r="B16" s="76" t="s">
        <v>2005</v>
      </c>
      <c r="C16" s="76" t="s">
        <v>2006</v>
      </c>
      <c r="D16" s="76" t="s">
        <v>2007</v>
      </c>
      <c r="E16" s="76" t="s">
        <v>1970</v>
      </c>
      <c r="F16" s="76"/>
    </row>
    <row r="17" spans="1:6" ht="63.95" customHeight="1">
      <c r="A17" s="76" t="s">
        <v>1286</v>
      </c>
      <c r="B17" s="76" t="s">
        <v>2008</v>
      </c>
      <c r="C17" s="76"/>
      <c r="D17" s="76" t="s">
        <v>2009</v>
      </c>
      <c r="E17" s="76" t="s">
        <v>2010</v>
      </c>
      <c r="F17" s="76"/>
    </row>
    <row r="18" spans="1:6" ht="63.95" customHeight="1">
      <c r="A18" s="76" t="s">
        <v>1286</v>
      </c>
      <c r="B18" s="76" t="s">
        <v>2011</v>
      </c>
      <c r="C18" s="76"/>
      <c r="D18" s="76" t="s">
        <v>2012</v>
      </c>
      <c r="E18" s="76" t="s">
        <v>2013</v>
      </c>
      <c r="F18" s="76"/>
    </row>
    <row r="19" spans="1:6" ht="63.95" customHeight="1">
      <c r="A19" s="76" t="s">
        <v>1286</v>
      </c>
      <c r="B19" s="76" t="s">
        <v>2014</v>
      </c>
      <c r="C19" s="76"/>
      <c r="D19" s="76" t="s">
        <v>1973</v>
      </c>
      <c r="E19" s="76" t="s">
        <v>2015</v>
      </c>
      <c r="F19" s="76"/>
    </row>
    <row r="20" spans="1:6" ht="63.95" customHeight="1">
      <c r="A20" s="76" t="s">
        <v>1286</v>
      </c>
      <c r="B20" s="76" t="s">
        <v>2016</v>
      </c>
      <c r="C20" s="76"/>
      <c r="D20" s="76" t="s">
        <v>2017</v>
      </c>
      <c r="E20" s="76" t="s">
        <v>2018</v>
      </c>
      <c r="F20" s="76"/>
    </row>
    <row r="21" spans="1:6" ht="63.95" customHeight="1">
      <c r="A21" s="76" t="s">
        <v>1853</v>
      </c>
      <c r="B21" s="76" t="s">
        <v>2019</v>
      </c>
      <c r="C21" s="76" t="s">
        <v>1470</v>
      </c>
      <c r="D21" s="76" t="s">
        <v>38</v>
      </c>
      <c r="E21" s="76" t="s">
        <v>2020</v>
      </c>
      <c r="F21" s="76"/>
    </row>
    <row r="22" spans="1:6" ht="63.95" customHeight="1">
      <c r="A22" s="76" t="s">
        <v>1853</v>
      </c>
      <c r="B22" s="76" t="s">
        <v>2021</v>
      </c>
      <c r="C22" s="76"/>
      <c r="D22" s="76" t="s">
        <v>44</v>
      </c>
      <c r="E22" s="76" t="s">
        <v>2022</v>
      </c>
      <c r="F22" s="76"/>
    </row>
    <row r="23" spans="1:6" ht="63.95" customHeight="1">
      <c r="A23" s="76" t="s">
        <v>1853</v>
      </c>
      <c r="B23" s="76" t="s">
        <v>2023</v>
      </c>
      <c r="C23" s="76"/>
      <c r="D23" s="76" t="s">
        <v>45</v>
      </c>
      <c r="E23" s="76" t="s">
        <v>2024</v>
      </c>
      <c r="F23" s="76"/>
    </row>
    <row r="24" spans="1:6" ht="63.95" customHeight="1">
      <c r="A24" s="76" t="s">
        <v>1853</v>
      </c>
      <c r="B24" s="76" t="s">
        <v>2025</v>
      </c>
      <c r="C24" s="76" t="s">
        <v>1172</v>
      </c>
      <c r="D24" s="76" t="s">
        <v>2026</v>
      </c>
      <c r="E24" s="76" t="s">
        <v>2027</v>
      </c>
      <c r="F24" s="76" t="s">
        <v>2028</v>
      </c>
    </row>
    <row r="25" spans="1:6" ht="63.95" customHeight="1">
      <c r="A25" s="76" t="s">
        <v>1853</v>
      </c>
      <c r="B25" s="76" t="s">
        <v>2029</v>
      </c>
      <c r="C25" s="76" t="s">
        <v>2030</v>
      </c>
      <c r="D25" s="76" t="s">
        <v>2031</v>
      </c>
      <c r="E25" s="76" t="s">
        <v>2032</v>
      </c>
      <c r="F25" s="76" t="s">
        <v>2033</v>
      </c>
    </row>
    <row r="26" spans="1:6" ht="63.95" customHeight="1">
      <c r="A26" s="76" t="s">
        <v>1853</v>
      </c>
      <c r="B26" s="76" t="s">
        <v>2034</v>
      </c>
      <c r="C26" s="76"/>
      <c r="D26" s="76" t="s">
        <v>2035</v>
      </c>
      <c r="E26" s="76" t="s">
        <v>2032</v>
      </c>
      <c r="F26" s="76" t="s">
        <v>2033</v>
      </c>
    </row>
    <row r="27" spans="1:6" ht="63.95" customHeight="1">
      <c r="A27" s="76" t="s">
        <v>1853</v>
      </c>
      <c r="B27" s="76" t="s">
        <v>2036</v>
      </c>
      <c r="C27" s="76"/>
      <c r="D27" s="76" t="s">
        <v>2037</v>
      </c>
      <c r="E27" s="76" t="s">
        <v>2032</v>
      </c>
      <c r="F27" s="76" t="s">
        <v>2033</v>
      </c>
    </row>
    <row r="28" spans="1:6" ht="63.95" customHeight="1">
      <c r="A28" s="76" t="s">
        <v>1853</v>
      </c>
      <c r="B28" s="76" t="s">
        <v>2038</v>
      </c>
      <c r="C28" s="76" t="s">
        <v>2039</v>
      </c>
      <c r="D28" s="76" t="s">
        <v>2026</v>
      </c>
      <c r="E28" s="76" t="s">
        <v>2027</v>
      </c>
      <c r="F28" s="76" t="s">
        <v>2028</v>
      </c>
    </row>
    <row r="29" spans="1:6" ht="63.95" customHeight="1">
      <c r="A29" s="76" t="s">
        <v>1853</v>
      </c>
      <c r="B29" s="76" t="s">
        <v>2040</v>
      </c>
      <c r="C29" s="76" t="s">
        <v>2041</v>
      </c>
      <c r="D29" s="76" t="s">
        <v>2042</v>
      </c>
      <c r="E29" s="76" t="s">
        <v>2032</v>
      </c>
      <c r="F29" s="76" t="s">
        <v>2033</v>
      </c>
    </row>
    <row r="30" spans="1:6" ht="63.95" customHeight="1">
      <c r="A30" s="76" t="s">
        <v>1853</v>
      </c>
      <c r="B30" s="76" t="s">
        <v>2043</v>
      </c>
      <c r="C30" s="76"/>
      <c r="D30" s="76" t="s">
        <v>2044</v>
      </c>
      <c r="E30" s="76" t="s">
        <v>2032</v>
      </c>
      <c r="F30" s="76" t="s">
        <v>2033</v>
      </c>
    </row>
    <row r="31" spans="1:6" ht="63.95" customHeight="1">
      <c r="A31" s="76" t="s">
        <v>1853</v>
      </c>
      <c r="B31" s="76" t="s">
        <v>2045</v>
      </c>
      <c r="C31" s="76"/>
      <c r="D31" s="76" t="s">
        <v>2046</v>
      </c>
      <c r="E31" s="76" t="s">
        <v>2032</v>
      </c>
      <c r="F31" s="76" t="s">
        <v>2033</v>
      </c>
    </row>
    <row r="32" spans="1:6" ht="63.95" customHeight="1">
      <c r="A32" s="76" t="s">
        <v>1853</v>
      </c>
      <c r="B32" s="76" t="s">
        <v>2047</v>
      </c>
      <c r="C32" s="76" t="s">
        <v>2048</v>
      </c>
      <c r="D32" s="76" t="s">
        <v>2026</v>
      </c>
      <c r="E32" s="76" t="s">
        <v>2027</v>
      </c>
      <c r="F32" s="76" t="s">
        <v>2028</v>
      </c>
    </row>
    <row r="33" spans="1:6" ht="63.95" customHeight="1">
      <c r="A33" s="76" t="s">
        <v>1853</v>
      </c>
      <c r="B33" s="76" t="s">
        <v>2049</v>
      </c>
      <c r="C33" s="76" t="s">
        <v>2050</v>
      </c>
      <c r="D33" s="76" t="s">
        <v>2051</v>
      </c>
      <c r="E33" s="76" t="s">
        <v>2032</v>
      </c>
      <c r="F33" s="76" t="s">
        <v>2033</v>
      </c>
    </row>
    <row r="34" spans="1:6" ht="63.95" customHeight="1">
      <c r="A34" s="76" t="s">
        <v>1853</v>
      </c>
      <c r="B34" s="76" t="s">
        <v>2052</v>
      </c>
      <c r="C34" s="76"/>
      <c r="D34" s="76" t="s">
        <v>2053</v>
      </c>
      <c r="E34" s="76" t="s">
        <v>2032</v>
      </c>
      <c r="F34" s="76" t="s">
        <v>2033</v>
      </c>
    </row>
    <row r="35" spans="1:6" ht="63.95" customHeight="1">
      <c r="A35" s="76" t="s">
        <v>1853</v>
      </c>
      <c r="B35" s="76" t="s">
        <v>2054</v>
      </c>
      <c r="C35" s="76"/>
      <c r="D35" s="76" t="s">
        <v>2055</v>
      </c>
      <c r="E35" s="76" t="s">
        <v>2032</v>
      </c>
      <c r="F35" s="76" t="s">
        <v>2033</v>
      </c>
    </row>
    <row r="36" spans="1:6" ht="63.95" customHeight="1">
      <c r="A36" s="76" t="s">
        <v>1853</v>
      </c>
      <c r="B36" s="76" t="s">
        <v>2056</v>
      </c>
      <c r="C36" s="76" t="s">
        <v>2057</v>
      </c>
      <c r="D36" s="76" t="s">
        <v>2026</v>
      </c>
      <c r="E36" s="76" t="s">
        <v>2027</v>
      </c>
      <c r="F36" s="76" t="s">
        <v>2028</v>
      </c>
    </row>
    <row r="37" spans="1:6" ht="63.95" customHeight="1">
      <c r="A37" s="76" t="s">
        <v>1853</v>
      </c>
      <c r="B37" s="76" t="s">
        <v>2058</v>
      </c>
      <c r="C37" s="76" t="s">
        <v>2059</v>
      </c>
      <c r="D37" s="76" t="s">
        <v>2060</v>
      </c>
      <c r="E37" s="76" t="s">
        <v>2032</v>
      </c>
      <c r="F37" s="76" t="s">
        <v>2033</v>
      </c>
    </row>
    <row r="38" spans="1:6" ht="63.95" customHeight="1">
      <c r="A38" s="76" t="s">
        <v>1853</v>
      </c>
      <c r="B38" s="76" t="s">
        <v>2061</v>
      </c>
      <c r="C38" s="76"/>
      <c r="D38" s="76" t="s">
        <v>2062</v>
      </c>
      <c r="E38" s="76" t="s">
        <v>2032</v>
      </c>
      <c r="F38" s="76" t="s">
        <v>2033</v>
      </c>
    </row>
    <row r="39" spans="1:6" ht="63.95" customHeight="1">
      <c r="A39" s="76" t="s">
        <v>1853</v>
      </c>
      <c r="B39" s="76" t="s">
        <v>2063</v>
      </c>
      <c r="C39" s="76"/>
      <c r="D39" s="76" t="s">
        <v>2064</v>
      </c>
      <c r="E39" s="76" t="s">
        <v>2032</v>
      </c>
      <c r="F39" s="76" t="s">
        <v>2033</v>
      </c>
    </row>
    <row r="40" spans="1:6" ht="63.95" customHeight="1">
      <c r="A40" s="76" t="s">
        <v>1853</v>
      </c>
      <c r="B40" s="76" t="s">
        <v>2065</v>
      </c>
      <c r="C40" s="76" t="s">
        <v>2066</v>
      </c>
      <c r="D40" s="76" t="s">
        <v>2026</v>
      </c>
      <c r="E40" s="76" t="s">
        <v>2027</v>
      </c>
      <c r="F40" s="76" t="s">
        <v>2028</v>
      </c>
    </row>
    <row r="41" spans="1:6" ht="63.95" customHeight="1">
      <c r="A41" s="76" t="s">
        <v>1853</v>
      </c>
      <c r="B41" s="76" t="s">
        <v>2067</v>
      </c>
      <c r="C41" s="76" t="s">
        <v>2068</v>
      </c>
      <c r="D41" s="76" t="s">
        <v>2069</v>
      </c>
      <c r="E41" s="76" t="s">
        <v>2032</v>
      </c>
      <c r="F41" s="76" t="s">
        <v>2033</v>
      </c>
    </row>
    <row r="42" spans="1:6" ht="63.95" customHeight="1">
      <c r="A42" s="76" t="s">
        <v>1853</v>
      </c>
      <c r="B42" s="76" t="s">
        <v>2070</v>
      </c>
      <c r="C42" s="76"/>
      <c r="D42" s="76" t="s">
        <v>2071</v>
      </c>
      <c r="E42" s="76" t="s">
        <v>2032</v>
      </c>
      <c r="F42" s="76" t="s">
        <v>2033</v>
      </c>
    </row>
    <row r="43" spans="1:6" ht="63.95" customHeight="1">
      <c r="A43" s="76" t="s">
        <v>1853</v>
      </c>
      <c r="B43" s="76" t="s">
        <v>2072</v>
      </c>
      <c r="C43" s="76"/>
      <c r="D43" s="76" t="s">
        <v>2073</v>
      </c>
      <c r="E43" s="76" t="s">
        <v>2032</v>
      </c>
      <c r="F43" s="76" t="s">
        <v>2033</v>
      </c>
    </row>
    <row r="44" spans="1:6" ht="63.95" customHeight="1">
      <c r="A44" s="76" t="s">
        <v>1853</v>
      </c>
      <c r="B44" s="76" t="s">
        <v>2074</v>
      </c>
      <c r="C44" s="76" t="s">
        <v>2075</v>
      </c>
      <c r="D44" s="76" t="s">
        <v>2026</v>
      </c>
      <c r="E44" s="76" t="s">
        <v>2027</v>
      </c>
      <c r="F44" s="76" t="s">
        <v>2028</v>
      </c>
    </row>
    <row r="45" spans="1:6" ht="63.95" customHeight="1">
      <c r="A45" s="76" t="s">
        <v>1853</v>
      </c>
      <c r="B45" s="76" t="s">
        <v>2076</v>
      </c>
      <c r="C45" s="76" t="s">
        <v>2077</v>
      </c>
      <c r="D45" s="76" t="s">
        <v>2078</v>
      </c>
      <c r="E45" s="76" t="s">
        <v>2032</v>
      </c>
      <c r="F45" s="76" t="s">
        <v>2033</v>
      </c>
    </row>
    <row r="46" spans="1:6" ht="63.95" customHeight="1">
      <c r="A46" s="76" t="s">
        <v>1853</v>
      </c>
      <c r="B46" s="76" t="s">
        <v>2079</v>
      </c>
      <c r="C46" s="76"/>
      <c r="D46" s="76" t="s">
        <v>2080</v>
      </c>
      <c r="E46" s="76" t="s">
        <v>2032</v>
      </c>
      <c r="F46" s="76" t="s">
        <v>2033</v>
      </c>
    </row>
    <row r="47" spans="1:6" ht="63.95" customHeight="1">
      <c r="A47" s="76" t="s">
        <v>1853</v>
      </c>
      <c r="B47" s="76" t="s">
        <v>2081</v>
      </c>
      <c r="C47" s="76"/>
      <c r="D47" s="76" t="s">
        <v>2082</v>
      </c>
      <c r="E47" s="76" t="s">
        <v>2032</v>
      </c>
      <c r="F47" s="76" t="s">
        <v>2033</v>
      </c>
    </row>
    <row r="48" spans="1:6" ht="63.95" customHeight="1">
      <c r="A48" s="76" t="s">
        <v>1853</v>
      </c>
      <c r="B48" s="76" t="s">
        <v>2083</v>
      </c>
      <c r="C48" s="76" t="s">
        <v>2084</v>
      </c>
      <c r="D48" s="76" t="s">
        <v>2026</v>
      </c>
      <c r="E48" s="76" t="s">
        <v>2027</v>
      </c>
      <c r="F48" s="76" t="s">
        <v>2028</v>
      </c>
    </row>
    <row r="49" spans="1:6" ht="63.95" customHeight="1">
      <c r="A49" s="76" t="s">
        <v>1853</v>
      </c>
      <c r="B49" s="76" t="s">
        <v>2085</v>
      </c>
      <c r="C49" s="76" t="s">
        <v>2086</v>
      </c>
      <c r="D49" s="76" t="s">
        <v>2087</v>
      </c>
      <c r="E49" s="76" t="s">
        <v>2032</v>
      </c>
      <c r="F49" s="76" t="s">
        <v>2033</v>
      </c>
    </row>
    <row r="50" spans="1:6" ht="63.95" customHeight="1">
      <c r="A50" s="76" t="s">
        <v>1853</v>
      </c>
      <c r="B50" s="76" t="s">
        <v>2088</v>
      </c>
      <c r="C50" s="76"/>
      <c r="D50" s="76" t="s">
        <v>2089</v>
      </c>
      <c r="E50" s="76" t="s">
        <v>2032</v>
      </c>
      <c r="F50" s="76" t="s">
        <v>2033</v>
      </c>
    </row>
    <row r="51" spans="1:6" ht="63.95" customHeight="1">
      <c r="A51" s="76" t="s">
        <v>1853</v>
      </c>
      <c r="B51" s="76" t="s">
        <v>2090</v>
      </c>
      <c r="C51" s="76"/>
      <c r="D51" s="76" t="s">
        <v>2091</v>
      </c>
      <c r="E51" s="76" t="s">
        <v>2032</v>
      </c>
      <c r="F51" s="76" t="s">
        <v>2033</v>
      </c>
    </row>
    <row r="52" spans="1:6" ht="63.95" customHeight="1">
      <c r="A52" s="76" t="s">
        <v>1853</v>
      </c>
      <c r="B52" s="76" t="s">
        <v>2092</v>
      </c>
      <c r="C52" s="76" t="s">
        <v>2093</v>
      </c>
      <c r="D52" s="76" t="s">
        <v>2026</v>
      </c>
      <c r="E52" s="76" t="s">
        <v>2027</v>
      </c>
      <c r="F52" s="76" t="s">
        <v>2028</v>
      </c>
    </row>
    <row r="53" spans="1:6" ht="63.95" customHeight="1">
      <c r="A53" s="76" t="s">
        <v>1853</v>
      </c>
      <c r="B53" s="76" t="s">
        <v>2094</v>
      </c>
      <c r="C53" s="76" t="s">
        <v>2095</v>
      </c>
      <c r="D53" s="76" t="s">
        <v>2096</v>
      </c>
      <c r="E53" s="76" t="s">
        <v>2032</v>
      </c>
      <c r="F53" s="76" t="s">
        <v>2033</v>
      </c>
    </row>
    <row r="54" spans="1:6" ht="63.95" customHeight="1">
      <c r="A54" s="76" t="s">
        <v>1853</v>
      </c>
      <c r="B54" s="76" t="s">
        <v>2097</v>
      </c>
      <c r="C54" s="76"/>
      <c r="D54" s="76" t="s">
        <v>2098</v>
      </c>
      <c r="E54" s="76" t="s">
        <v>2032</v>
      </c>
      <c r="F54" s="76" t="s">
        <v>2033</v>
      </c>
    </row>
    <row r="55" spans="1:6" ht="63.95" customHeight="1">
      <c r="A55" s="76" t="s">
        <v>1853</v>
      </c>
      <c r="B55" s="76" t="s">
        <v>2099</v>
      </c>
      <c r="C55" s="76"/>
      <c r="D55" s="76" t="s">
        <v>2100</v>
      </c>
      <c r="E55" s="76" t="s">
        <v>2032</v>
      </c>
      <c r="F55" s="76" t="s">
        <v>2033</v>
      </c>
    </row>
    <row r="56" spans="1:6" ht="63.95" customHeight="1">
      <c r="A56" s="76" t="s">
        <v>1853</v>
      </c>
      <c r="B56" s="76" t="s">
        <v>2101</v>
      </c>
      <c r="C56" s="76" t="s">
        <v>2102</v>
      </c>
      <c r="D56" s="76" t="s">
        <v>2026</v>
      </c>
      <c r="E56" s="76" t="s">
        <v>2027</v>
      </c>
      <c r="F56" s="76" t="s">
        <v>2028</v>
      </c>
    </row>
    <row r="57" spans="1:6" ht="63.95" customHeight="1">
      <c r="A57" s="76" t="s">
        <v>1853</v>
      </c>
      <c r="B57" s="76" t="s">
        <v>2103</v>
      </c>
      <c r="C57" s="76" t="s">
        <v>2104</v>
      </c>
      <c r="D57" s="76" t="s">
        <v>2105</v>
      </c>
      <c r="E57" s="76" t="s">
        <v>2032</v>
      </c>
      <c r="F57" s="76" t="s">
        <v>2033</v>
      </c>
    </row>
    <row r="58" spans="1:6" ht="63.95" customHeight="1">
      <c r="A58" s="76" t="s">
        <v>1853</v>
      </c>
      <c r="B58" s="76" t="s">
        <v>2106</v>
      </c>
      <c r="C58" s="76"/>
      <c r="D58" s="76" t="s">
        <v>2107</v>
      </c>
      <c r="E58" s="76" t="s">
        <v>2032</v>
      </c>
      <c r="F58" s="76" t="s">
        <v>2033</v>
      </c>
    </row>
    <row r="59" spans="1:6" ht="63.95" customHeight="1">
      <c r="A59" s="76" t="s">
        <v>1853</v>
      </c>
      <c r="B59" s="76" t="s">
        <v>2108</v>
      </c>
      <c r="C59" s="76"/>
      <c r="D59" s="76" t="s">
        <v>2109</v>
      </c>
      <c r="E59" s="76" t="s">
        <v>2032</v>
      </c>
      <c r="F59" s="76" t="s">
        <v>2033</v>
      </c>
    </row>
    <row r="60" spans="1:6" ht="63.95" customHeight="1">
      <c r="A60" s="76" t="s">
        <v>1853</v>
      </c>
      <c r="B60" s="76" t="s">
        <v>2110</v>
      </c>
      <c r="C60" s="76" t="s">
        <v>2111</v>
      </c>
      <c r="D60" s="76" t="s">
        <v>2026</v>
      </c>
      <c r="E60" s="76" t="s">
        <v>2027</v>
      </c>
      <c r="F60" s="76" t="s">
        <v>2028</v>
      </c>
    </row>
    <row r="61" spans="1:6" ht="63.95" customHeight="1">
      <c r="A61" s="76" t="s">
        <v>1853</v>
      </c>
      <c r="B61" s="76" t="s">
        <v>2112</v>
      </c>
      <c r="C61" s="76" t="s">
        <v>2113</v>
      </c>
      <c r="D61" s="76" t="s">
        <v>2114</v>
      </c>
      <c r="E61" s="76" t="s">
        <v>2032</v>
      </c>
      <c r="F61" s="76" t="s">
        <v>2033</v>
      </c>
    </row>
    <row r="62" spans="1:6" ht="63.95" customHeight="1">
      <c r="A62" s="76" t="s">
        <v>1853</v>
      </c>
      <c r="B62" s="76" t="s">
        <v>2115</v>
      </c>
      <c r="C62" s="76"/>
      <c r="D62" s="76" t="s">
        <v>2116</v>
      </c>
      <c r="E62" s="76" t="s">
        <v>2032</v>
      </c>
      <c r="F62" s="76" t="s">
        <v>2033</v>
      </c>
    </row>
    <row r="63" spans="1:6" ht="63.95" customHeight="1">
      <c r="A63" s="76" t="s">
        <v>1853</v>
      </c>
      <c r="B63" s="76" t="s">
        <v>2117</v>
      </c>
      <c r="C63" s="76"/>
      <c r="D63" s="76" t="s">
        <v>2118</v>
      </c>
      <c r="E63" s="76" t="s">
        <v>2032</v>
      </c>
      <c r="F63" s="76" t="s">
        <v>2033</v>
      </c>
    </row>
    <row r="64" spans="1:6" ht="63.95" customHeight="1">
      <c r="A64" s="76" t="s">
        <v>1853</v>
      </c>
      <c r="B64" s="76" t="s">
        <v>2119</v>
      </c>
      <c r="C64" s="76" t="s">
        <v>2120</v>
      </c>
      <c r="D64" s="76" t="s">
        <v>2026</v>
      </c>
      <c r="E64" s="76" t="s">
        <v>2027</v>
      </c>
      <c r="F64" s="76" t="s">
        <v>2028</v>
      </c>
    </row>
    <row r="65" spans="1:6" ht="63.95" customHeight="1">
      <c r="A65" s="76" t="s">
        <v>1853</v>
      </c>
      <c r="B65" s="76" t="s">
        <v>2121</v>
      </c>
      <c r="C65" s="76" t="s">
        <v>2122</v>
      </c>
      <c r="D65" s="76" t="s">
        <v>2123</v>
      </c>
      <c r="E65" s="76" t="s">
        <v>2032</v>
      </c>
      <c r="F65" s="76" t="s">
        <v>2033</v>
      </c>
    </row>
    <row r="66" spans="1:6" ht="63.95" customHeight="1">
      <c r="A66" s="76" t="s">
        <v>1853</v>
      </c>
      <c r="B66" s="76" t="s">
        <v>2124</v>
      </c>
      <c r="C66" s="76"/>
      <c r="D66" s="76" t="s">
        <v>2125</v>
      </c>
      <c r="E66" s="76" t="s">
        <v>2032</v>
      </c>
      <c r="F66" s="76" t="s">
        <v>2033</v>
      </c>
    </row>
    <row r="67" spans="1:6" ht="63.95" customHeight="1">
      <c r="A67" s="76" t="s">
        <v>1853</v>
      </c>
      <c r="B67" s="76" t="s">
        <v>2126</v>
      </c>
      <c r="C67" s="76"/>
      <c r="D67" s="76" t="s">
        <v>2127</v>
      </c>
      <c r="E67" s="76" t="s">
        <v>2032</v>
      </c>
      <c r="F67" s="76" t="s">
        <v>2033</v>
      </c>
    </row>
    <row r="68" spans="1:6" ht="63.95" customHeight="1">
      <c r="A68" s="76" t="s">
        <v>1853</v>
      </c>
      <c r="B68" s="76" t="s">
        <v>2128</v>
      </c>
      <c r="C68" s="76" t="s">
        <v>2129</v>
      </c>
      <c r="D68" s="76" t="s">
        <v>2026</v>
      </c>
      <c r="E68" s="76" t="s">
        <v>2027</v>
      </c>
      <c r="F68" s="76" t="s">
        <v>2028</v>
      </c>
    </row>
    <row r="69" spans="1:6" ht="63.95" customHeight="1">
      <c r="A69" s="76" t="s">
        <v>1853</v>
      </c>
      <c r="B69" s="76" t="s">
        <v>2130</v>
      </c>
      <c r="C69" s="76" t="s">
        <v>2131</v>
      </c>
      <c r="D69" s="76" t="s">
        <v>2132</v>
      </c>
      <c r="E69" s="76" t="s">
        <v>2032</v>
      </c>
      <c r="F69" s="76" t="s">
        <v>2033</v>
      </c>
    </row>
    <row r="70" spans="1:6" ht="63.95" customHeight="1">
      <c r="A70" s="76" t="s">
        <v>1853</v>
      </c>
      <c r="B70" s="76" t="s">
        <v>2133</v>
      </c>
      <c r="C70" s="76"/>
      <c r="D70" s="76" t="s">
        <v>2134</v>
      </c>
      <c r="E70" s="76" t="s">
        <v>2032</v>
      </c>
      <c r="F70" s="76" t="s">
        <v>2033</v>
      </c>
    </row>
    <row r="71" spans="1:6" ht="63.95" customHeight="1">
      <c r="A71" s="76" t="s">
        <v>1853</v>
      </c>
      <c r="B71" s="76" t="s">
        <v>2135</v>
      </c>
      <c r="C71" s="76"/>
      <c r="D71" s="76" t="s">
        <v>2136</v>
      </c>
      <c r="E71" s="76" t="s">
        <v>2032</v>
      </c>
      <c r="F71" s="76" t="s">
        <v>2033</v>
      </c>
    </row>
    <row r="72" spans="1:6" ht="63.95" customHeight="1">
      <c r="A72" s="76" t="s">
        <v>1853</v>
      </c>
      <c r="B72" s="76" t="s">
        <v>2137</v>
      </c>
      <c r="C72" s="76" t="s">
        <v>2138</v>
      </c>
      <c r="D72" s="76" t="s">
        <v>2026</v>
      </c>
      <c r="E72" s="76" t="s">
        <v>2027</v>
      </c>
      <c r="F72" s="76" t="s">
        <v>2028</v>
      </c>
    </row>
    <row r="73" spans="1:6" ht="63.95" customHeight="1">
      <c r="A73" s="76" t="s">
        <v>1853</v>
      </c>
      <c r="B73" s="76" t="s">
        <v>2139</v>
      </c>
      <c r="C73" s="76" t="s">
        <v>2140</v>
      </c>
      <c r="D73" s="76" t="s">
        <v>2141</v>
      </c>
      <c r="E73" s="76" t="s">
        <v>2032</v>
      </c>
      <c r="F73" s="76" t="s">
        <v>2033</v>
      </c>
    </row>
    <row r="74" spans="1:6" ht="63.95" customHeight="1">
      <c r="A74" s="76" t="s">
        <v>1853</v>
      </c>
      <c r="B74" s="76" t="s">
        <v>2142</v>
      </c>
      <c r="C74" s="76"/>
      <c r="D74" s="76" t="s">
        <v>2143</v>
      </c>
      <c r="E74" s="76" t="s">
        <v>2032</v>
      </c>
      <c r="F74" s="76" t="s">
        <v>2033</v>
      </c>
    </row>
    <row r="75" spans="1:6" ht="63.95" customHeight="1">
      <c r="A75" s="76" t="s">
        <v>1853</v>
      </c>
      <c r="B75" s="76" t="s">
        <v>2144</v>
      </c>
      <c r="C75" s="76"/>
      <c r="D75" s="76" t="s">
        <v>2145</v>
      </c>
      <c r="E75" s="76" t="s">
        <v>2032</v>
      </c>
      <c r="F75" s="76" t="s">
        <v>2033</v>
      </c>
    </row>
    <row r="76" spans="1:6" ht="63.95" customHeight="1">
      <c r="A76" s="76" t="s">
        <v>1853</v>
      </c>
      <c r="B76" s="76" t="s">
        <v>2146</v>
      </c>
      <c r="C76" s="76" t="s">
        <v>2147</v>
      </c>
      <c r="D76" s="76" t="s">
        <v>2026</v>
      </c>
      <c r="E76" s="76" t="s">
        <v>2027</v>
      </c>
      <c r="F76" s="76" t="s">
        <v>2028</v>
      </c>
    </row>
    <row r="77" spans="1:6" ht="63.95" customHeight="1">
      <c r="A77" s="76" t="s">
        <v>1853</v>
      </c>
      <c r="B77" s="76" t="s">
        <v>2148</v>
      </c>
      <c r="C77" s="76" t="s">
        <v>2149</v>
      </c>
      <c r="D77" s="76" t="s">
        <v>2150</v>
      </c>
      <c r="E77" s="76" t="s">
        <v>2032</v>
      </c>
      <c r="F77" s="76" t="s">
        <v>2033</v>
      </c>
    </row>
    <row r="78" spans="1:6" ht="63.95" customHeight="1">
      <c r="A78" s="76" t="s">
        <v>1853</v>
      </c>
      <c r="B78" s="76" t="s">
        <v>2151</v>
      </c>
      <c r="C78" s="76"/>
      <c r="D78" s="76" t="s">
        <v>2152</v>
      </c>
      <c r="E78" s="76" t="s">
        <v>2032</v>
      </c>
      <c r="F78" s="76" t="s">
        <v>2033</v>
      </c>
    </row>
    <row r="79" spans="1:6" ht="63.95" customHeight="1">
      <c r="A79" s="76" t="s">
        <v>1853</v>
      </c>
      <c r="B79" s="76" t="s">
        <v>2153</v>
      </c>
      <c r="C79" s="76"/>
      <c r="D79" s="76" t="s">
        <v>2154</v>
      </c>
      <c r="E79" s="76" t="s">
        <v>2032</v>
      </c>
      <c r="F79" s="76" t="s">
        <v>2033</v>
      </c>
    </row>
    <row r="80" spans="1:6" ht="63.95" customHeight="1">
      <c r="A80" s="76" t="s">
        <v>1853</v>
      </c>
      <c r="B80" s="76" t="s">
        <v>2155</v>
      </c>
      <c r="C80" s="76" t="s">
        <v>2156</v>
      </c>
      <c r="D80" s="76" t="s">
        <v>2026</v>
      </c>
      <c r="E80" s="76" t="s">
        <v>2027</v>
      </c>
      <c r="F80" s="76" t="s">
        <v>2028</v>
      </c>
    </row>
    <row r="81" spans="1:6" ht="63.95" customHeight="1">
      <c r="A81" s="76" t="s">
        <v>1853</v>
      </c>
      <c r="B81" s="76" t="s">
        <v>2157</v>
      </c>
      <c r="C81" s="76" t="s">
        <v>2158</v>
      </c>
      <c r="D81" s="76" t="s">
        <v>2159</v>
      </c>
      <c r="E81" s="76" t="s">
        <v>2032</v>
      </c>
      <c r="F81" s="76" t="s">
        <v>2033</v>
      </c>
    </row>
    <row r="82" spans="1:6" ht="63.95" customHeight="1">
      <c r="A82" s="76" t="s">
        <v>1853</v>
      </c>
      <c r="B82" s="76" t="s">
        <v>2160</v>
      </c>
      <c r="C82" s="76"/>
      <c r="D82" s="76" t="s">
        <v>2161</v>
      </c>
      <c r="E82" s="76" t="s">
        <v>2032</v>
      </c>
      <c r="F82" s="76" t="s">
        <v>2033</v>
      </c>
    </row>
    <row r="83" spans="1:6" ht="63.95" customHeight="1">
      <c r="A83" s="76" t="s">
        <v>1853</v>
      </c>
      <c r="B83" s="76" t="s">
        <v>2162</v>
      </c>
      <c r="C83" s="76"/>
      <c r="D83" s="76" t="s">
        <v>2163</v>
      </c>
      <c r="E83" s="76" t="s">
        <v>2032</v>
      </c>
      <c r="F83" s="76" t="s">
        <v>2033</v>
      </c>
    </row>
    <row r="84" spans="1:6" ht="63.95" customHeight="1">
      <c r="A84" s="76" t="s">
        <v>1853</v>
      </c>
      <c r="B84" s="76" t="s">
        <v>2164</v>
      </c>
      <c r="C84" s="76" t="s">
        <v>2165</v>
      </c>
      <c r="D84" s="76" t="s">
        <v>2026</v>
      </c>
      <c r="E84" s="76" t="s">
        <v>2027</v>
      </c>
      <c r="F84" s="76" t="s">
        <v>2028</v>
      </c>
    </row>
    <row r="85" spans="1:6" ht="63.95" customHeight="1">
      <c r="A85" s="76" t="s">
        <v>1853</v>
      </c>
      <c r="B85" s="76" t="s">
        <v>2166</v>
      </c>
      <c r="C85" s="76" t="s">
        <v>2167</v>
      </c>
      <c r="D85" s="76" t="s">
        <v>2168</v>
      </c>
      <c r="E85" s="76" t="s">
        <v>2032</v>
      </c>
      <c r="F85" s="76" t="s">
        <v>2033</v>
      </c>
    </row>
    <row r="86" spans="1:6" ht="63.95" customHeight="1">
      <c r="A86" s="76" t="s">
        <v>1853</v>
      </c>
      <c r="B86" s="76" t="s">
        <v>2169</v>
      </c>
      <c r="C86" s="76"/>
      <c r="D86" s="76" t="s">
        <v>2170</v>
      </c>
      <c r="E86" s="76" t="s">
        <v>2032</v>
      </c>
      <c r="F86" s="76" t="s">
        <v>2033</v>
      </c>
    </row>
    <row r="87" spans="1:6" ht="63.95" customHeight="1">
      <c r="A87" s="76" t="s">
        <v>1853</v>
      </c>
      <c r="B87" s="76" t="s">
        <v>2171</v>
      </c>
      <c r="C87" s="76"/>
      <c r="D87" s="76" t="s">
        <v>2172</v>
      </c>
      <c r="E87" s="76" t="s">
        <v>2032</v>
      </c>
      <c r="F87" s="76" t="s">
        <v>2033</v>
      </c>
    </row>
    <row r="88" spans="1:6" ht="63.95" customHeight="1">
      <c r="A88" s="76" t="s">
        <v>1853</v>
      </c>
      <c r="B88" s="76" t="s">
        <v>2173</v>
      </c>
      <c r="C88" s="76" t="s">
        <v>2174</v>
      </c>
      <c r="D88" s="76" t="s">
        <v>2026</v>
      </c>
      <c r="E88" s="76" t="s">
        <v>2027</v>
      </c>
      <c r="F88" s="76" t="s">
        <v>2028</v>
      </c>
    </row>
    <row r="89" spans="1:6" ht="63.95" customHeight="1">
      <c r="A89" s="76" t="s">
        <v>1853</v>
      </c>
      <c r="B89" s="76" t="s">
        <v>2175</v>
      </c>
      <c r="C89" s="76" t="s">
        <v>2176</v>
      </c>
      <c r="D89" s="76" t="s">
        <v>2177</v>
      </c>
      <c r="E89" s="76" t="s">
        <v>2032</v>
      </c>
      <c r="F89" s="76" t="s">
        <v>2033</v>
      </c>
    </row>
    <row r="90" spans="1:6" ht="63.95" customHeight="1">
      <c r="A90" s="76" t="s">
        <v>1853</v>
      </c>
      <c r="B90" s="76" t="s">
        <v>2178</v>
      </c>
      <c r="C90" s="76"/>
      <c r="D90" s="76" t="s">
        <v>2179</v>
      </c>
      <c r="E90" s="76" t="s">
        <v>2032</v>
      </c>
      <c r="F90" s="76" t="s">
        <v>2033</v>
      </c>
    </row>
    <row r="91" spans="1:6" ht="63.95" customHeight="1">
      <c r="A91" s="76" t="s">
        <v>1853</v>
      </c>
      <c r="B91" s="76" t="s">
        <v>2180</v>
      </c>
      <c r="C91" s="76"/>
      <c r="D91" s="76" t="s">
        <v>2181</v>
      </c>
      <c r="E91" s="76" t="s">
        <v>2032</v>
      </c>
      <c r="F91" s="76" t="s">
        <v>2033</v>
      </c>
    </row>
    <row r="92" spans="1:6" ht="63.95" customHeight="1">
      <c r="A92" s="76" t="s">
        <v>1853</v>
      </c>
      <c r="B92" s="76" t="s">
        <v>2182</v>
      </c>
      <c r="C92" s="76" t="s">
        <v>2183</v>
      </c>
      <c r="D92" s="76" t="s">
        <v>2026</v>
      </c>
      <c r="E92" s="76" t="s">
        <v>2027</v>
      </c>
      <c r="F92" s="76" t="s">
        <v>2028</v>
      </c>
    </row>
    <row r="93" spans="1:6" ht="63.95" customHeight="1">
      <c r="A93" s="76" t="s">
        <v>1853</v>
      </c>
      <c r="B93" s="76" t="s">
        <v>2184</v>
      </c>
      <c r="C93" s="76" t="s">
        <v>2185</v>
      </c>
      <c r="D93" s="76" t="s">
        <v>2186</v>
      </c>
      <c r="E93" s="76" t="s">
        <v>2032</v>
      </c>
      <c r="F93" s="76" t="s">
        <v>2033</v>
      </c>
    </row>
    <row r="94" spans="1:6" ht="63.95" customHeight="1">
      <c r="A94" s="76" t="s">
        <v>1853</v>
      </c>
      <c r="B94" s="76" t="s">
        <v>2187</v>
      </c>
      <c r="C94" s="76"/>
      <c r="D94" s="76" t="s">
        <v>2188</v>
      </c>
      <c r="E94" s="76" t="s">
        <v>2032</v>
      </c>
      <c r="F94" s="76" t="s">
        <v>2033</v>
      </c>
    </row>
    <row r="95" spans="1:6" ht="63.95" customHeight="1">
      <c r="A95" s="76" t="s">
        <v>1853</v>
      </c>
      <c r="B95" s="76" t="s">
        <v>2189</v>
      </c>
      <c r="C95" s="76"/>
      <c r="D95" s="76" t="s">
        <v>2190</v>
      </c>
      <c r="E95" s="76" t="s">
        <v>2032</v>
      </c>
      <c r="F95" s="76" t="s">
        <v>2033</v>
      </c>
    </row>
    <row r="96" spans="1:6" ht="63.95" customHeight="1">
      <c r="A96" s="76" t="s">
        <v>1853</v>
      </c>
      <c r="B96" s="76" t="s">
        <v>2191</v>
      </c>
      <c r="C96" s="76" t="s">
        <v>2192</v>
      </c>
      <c r="D96" s="76" t="s">
        <v>2026</v>
      </c>
      <c r="E96" s="76" t="s">
        <v>2027</v>
      </c>
      <c r="F96" s="76" t="s">
        <v>2028</v>
      </c>
    </row>
    <row r="97" spans="1:6" ht="63.95" customHeight="1">
      <c r="A97" s="76" t="s">
        <v>1853</v>
      </c>
      <c r="B97" s="76" t="s">
        <v>2193</v>
      </c>
      <c r="C97" s="76" t="s">
        <v>2194</v>
      </c>
      <c r="D97" s="76" t="s">
        <v>2195</v>
      </c>
      <c r="E97" s="76" t="s">
        <v>2032</v>
      </c>
      <c r="F97" s="76" t="s">
        <v>2033</v>
      </c>
    </row>
    <row r="98" spans="1:6" ht="63.95" customHeight="1">
      <c r="A98" s="76" t="s">
        <v>1853</v>
      </c>
      <c r="B98" s="76" t="s">
        <v>2196</v>
      </c>
      <c r="C98" s="76"/>
      <c r="D98" s="76" t="s">
        <v>2197</v>
      </c>
      <c r="E98" s="76" t="s">
        <v>2032</v>
      </c>
      <c r="F98" s="76" t="s">
        <v>2033</v>
      </c>
    </row>
    <row r="99" spans="1:6" ht="63.95" customHeight="1">
      <c r="A99" s="76" t="s">
        <v>1853</v>
      </c>
      <c r="B99" s="76" t="s">
        <v>2198</v>
      </c>
      <c r="C99" s="76"/>
      <c r="D99" s="76" t="s">
        <v>2199</v>
      </c>
      <c r="E99" s="76" t="s">
        <v>2032</v>
      </c>
      <c r="F99" s="76" t="s">
        <v>2033</v>
      </c>
    </row>
    <row r="100" spans="1:6" ht="63.95" customHeight="1">
      <c r="A100" s="76" t="s">
        <v>1853</v>
      </c>
      <c r="B100" s="76" t="s">
        <v>2200</v>
      </c>
      <c r="C100" s="76" t="s">
        <v>2201</v>
      </c>
      <c r="D100" s="76" t="s">
        <v>2026</v>
      </c>
      <c r="E100" s="76" t="s">
        <v>2027</v>
      </c>
      <c r="F100" s="76" t="s">
        <v>2028</v>
      </c>
    </row>
    <row r="101" spans="1:6" ht="63.95" customHeight="1">
      <c r="A101" s="76" t="s">
        <v>1853</v>
      </c>
      <c r="B101" s="76" t="s">
        <v>2202</v>
      </c>
      <c r="C101" s="76" t="s">
        <v>2203</v>
      </c>
      <c r="D101" s="76" t="s">
        <v>2204</v>
      </c>
      <c r="E101" s="76" t="s">
        <v>2032</v>
      </c>
      <c r="F101" s="76" t="s">
        <v>2033</v>
      </c>
    </row>
    <row r="102" spans="1:6" ht="63.95" customHeight="1">
      <c r="A102" s="76" t="s">
        <v>1853</v>
      </c>
      <c r="B102" s="76" t="s">
        <v>2205</v>
      </c>
      <c r="C102" s="76"/>
      <c r="D102" s="76" t="s">
        <v>2206</v>
      </c>
      <c r="E102" s="76" t="s">
        <v>2032</v>
      </c>
      <c r="F102" s="76" t="s">
        <v>2033</v>
      </c>
    </row>
    <row r="103" spans="1:6" ht="63.95" customHeight="1">
      <c r="A103" s="76" t="s">
        <v>1853</v>
      </c>
      <c r="B103" s="76" t="s">
        <v>2207</v>
      </c>
      <c r="C103" s="76"/>
      <c r="D103" s="76" t="s">
        <v>2208</v>
      </c>
      <c r="E103" s="76" t="s">
        <v>2032</v>
      </c>
      <c r="F103" s="76" t="s">
        <v>2033</v>
      </c>
    </row>
    <row r="104" spans="1:6" ht="63.95" customHeight="1">
      <c r="A104" s="76" t="s">
        <v>1853</v>
      </c>
      <c r="B104" s="76" t="s">
        <v>2209</v>
      </c>
      <c r="C104" s="76" t="s">
        <v>2210</v>
      </c>
      <c r="D104" s="76" t="s">
        <v>2026</v>
      </c>
      <c r="E104" s="76" t="s">
        <v>2027</v>
      </c>
      <c r="F104" s="76" t="s">
        <v>2028</v>
      </c>
    </row>
    <row r="105" spans="1:6" ht="63.95" customHeight="1">
      <c r="A105" s="76" t="s">
        <v>1853</v>
      </c>
      <c r="B105" s="76" t="s">
        <v>2211</v>
      </c>
      <c r="C105" s="76" t="s">
        <v>2212</v>
      </c>
      <c r="D105" s="76" t="s">
        <v>2213</v>
      </c>
      <c r="E105" s="76" t="s">
        <v>2032</v>
      </c>
      <c r="F105" s="76" t="s">
        <v>2033</v>
      </c>
    </row>
    <row r="106" spans="1:6" ht="63.95" customHeight="1">
      <c r="A106" s="76" t="s">
        <v>1853</v>
      </c>
      <c r="B106" s="76" t="s">
        <v>2214</v>
      </c>
      <c r="C106" s="76"/>
      <c r="D106" s="76" t="s">
        <v>2215</v>
      </c>
      <c r="E106" s="76" t="s">
        <v>2032</v>
      </c>
      <c r="F106" s="76" t="s">
        <v>2033</v>
      </c>
    </row>
    <row r="107" spans="1:6" ht="63.95" customHeight="1">
      <c r="A107" s="76" t="s">
        <v>1853</v>
      </c>
      <c r="B107" s="76" t="s">
        <v>2216</v>
      </c>
      <c r="C107" s="76"/>
      <c r="D107" s="76" t="s">
        <v>2217</v>
      </c>
      <c r="E107" s="76" t="s">
        <v>2032</v>
      </c>
      <c r="F107" s="76" t="s">
        <v>2033</v>
      </c>
    </row>
    <row r="108" spans="1:6" ht="63.95" customHeight="1">
      <c r="A108" s="76" t="s">
        <v>1853</v>
      </c>
      <c r="B108" s="76" t="s">
        <v>2218</v>
      </c>
      <c r="C108" s="76" t="s">
        <v>2219</v>
      </c>
      <c r="D108" s="76" t="s">
        <v>2026</v>
      </c>
      <c r="E108" s="76" t="s">
        <v>2027</v>
      </c>
      <c r="F108" s="76" t="s">
        <v>2028</v>
      </c>
    </row>
    <row r="109" spans="1:6" ht="63.95" customHeight="1">
      <c r="A109" s="76" t="s">
        <v>1853</v>
      </c>
      <c r="B109" s="76" t="s">
        <v>2220</v>
      </c>
      <c r="C109" s="76"/>
      <c r="D109" s="76" t="s">
        <v>2221</v>
      </c>
      <c r="E109" s="76" t="s">
        <v>2222</v>
      </c>
      <c r="F109" s="76" t="s">
        <v>2223</v>
      </c>
    </row>
    <row r="110" spans="1:6" ht="63.95" customHeight="1">
      <c r="A110" s="76" t="s">
        <v>1853</v>
      </c>
      <c r="B110" s="76" t="s">
        <v>2224</v>
      </c>
      <c r="C110" s="76" t="s">
        <v>2225</v>
      </c>
      <c r="D110" s="76" t="s">
        <v>2226</v>
      </c>
      <c r="E110" s="76" t="s">
        <v>2032</v>
      </c>
      <c r="F110" s="76" t="s">
        <v>2033</v>
      </c>
    </row>
    <row r="111" spans="1:6" ht="63.95" customHeight="1">
      <c r="A111" s="76" t="s">
        <v>1853</v>
      </c>
      <c r="B111" s="76" t="s">
        <v>2227</v>
      </c>
      <c r="C111" s="76" t="s">
        <v>1418</v>
      </c>
      <c r="D111" s="76" t="s">
        <v>2228</v>
      </c>
      <c r="E111" s="76" t="s">
        <v>2229</v>
      </c>
      <c r="F111" s="76" t="s">
        <v>2223</v>
      </c>
    </row>
    <row r="112" spans="1:6" ht="63.95" customHeight="1">
      <c r="A112" s="76" t="s">
        <v>1853</v>
      </c>
      <c r="B112" s="76" t="s">
        <v>2230</v>
      </c>
      <c r="C112" s="76"/>
      <c r="D112" s="76" t="s">
        <v>2231</v>
      </c>
      <c r="E112" s="76" t="s">
        <v>2032</v>
      </c>
      <c r="F112" s="76" t="s">
        <v>2033</v>
      </c>
    </row>
    <row r="113" spans="1:6" ht="63.95" customHeight="1">
      <c r="A113" s="76" t="s">
        <v>1853</v>
      </c>
      <c r="B113" s="76" t="s">
        <v>2232</v>
      </c>
      <c r="C113" s="76"/>
      <c r="D113" s="76" t="s">
        <v>2233</v>
      </c>
      <c r="E113" s="76" t="s">
        <v>2032</v>
      </c>
      <c r="F113" s="76" t="s">
        <v>2033</v>
      </c>
    </row>
    <row r="114" spans="1:6" ht="63.95" customHeight="1">
      <c r="A114" s="76" t="s">
        <v>1853</v>
      </c>
      <c r="B114" s="76" t="s">
        <v>2234</v>
      </c>
      <c r="C114" s="76" t="s">
        <v>2235</v>
      </c>
      <c r="D114" s="76" t="s">
        <v>2026</v>
      </c>
      <c r="E114" s="76" t="s">
        <v>2027</v>
      </c>
      <c r="F114" s="76" t="s">
        <v>2028</v>
      </c>
    </row>
    <row r="115" spans="1:6" ht="63.95" customHeight="1">
      <c r="A115" s="76" t="s">
        <v>1853</v>
      </c>
      <c r="B115" s="76" t="s">
        <v>2236</v>
      </c>
      <c r="C115" s="76" t="s">
        <v>2237</v>
      </c>
      <c r="D115" s="76" t="s">
        <v>2238</v>
      </c>
      <c r="E115" s="76" t="s">
        <v>2032</v>
      </c>
      <c r="F115" s="76" t="s">
        <v>2033</v>
      </c>
    </row>
    <row r="116" spans="1:6" ht="63.95" customHeight="1">
      <c r="A116" s="76" t="s">
        <v>1853</v>
      </c>
      <c r="B116" s="76" t="s">
        <v>2239</v>
      </c>
      <c r="C116" s="76"/>
      <c r="D116" s="76" t="s">
        <v>2240</v>
      </c>
      <c r="E116" s="76" t="s">
        <v>2032</v>
      </c>
      <c r="F116" s="76" t="s">
        <v>2033</v>
      </c>
    </row>
    <row r="117" spans="1:6" ht="63.95" customHeight="1">
      <c r="A117" s="76" t="s">
        <v>1853</v>
      </c>
      <c r="B117" s="76" t="s">
        <v>2241</v>
      </c>
      <c r="C117" s="76"/>
      <c r="D117" s="76" t="s">
        <v>2242</v>
      </c>
      <c r="E117" s="76" t="s">
        <v>2032</v>
      </c>
      <c r="F117" s="76" t="s">
        <v>2033</v>
      </c>
    </row>
    <row r="118" spans="1:6" ht="63.95" customHeight="1">
      <c r="A118" s="76" t="s">
        <v>1853</v>
      </c>
      <c r="B118" s="76" t="s">
        <v>2243</v>
      </c>
      <c r="C118" s="76" t="s">
        <v>2244</v>
      </c>
      <c r="D118" s="76" t="s">
        <v>2026</v>
      </c>
      <c r="E118" s="76" t="s">
        <v>2027</v>
      </c>
      <c r="F118" s="76" t="s">
        <v>2028</v>
      </c>
    </row>
    <row r="119" spans="1:6" ht="63.95" customHeight="1">
      <c r="A119" s="76" t="s">
        <v>1853</v>
      </c>
      <c r="B119" s="76" t="s">
        <v>2245</v>
      </c>
      <c r="C119" s="76"/>
      <c r="D119" s="76" t="s">
        <v>2246</v>
      </c>
      <c r="E119" s="76" t="s">
        <v>2247</v>
      </c>
      <c r="F119" s="76" t="s">
        <v>2248</v>
      </c>
    </row>
    <row r="120" spans="1:6" ht="63.95" customHeight="1">
      <c r="A120" s="76" t="s">
        <v>1853</v>
      </c>
      <c r="B120" s="76" t="s">
        <v>2249</v>
      </c>
      <c r="C120" s="76" t="s">
        <v>2250</v>
      </c>
      <c r="D120" s="76" t="s">
        <v>2251</v>
      </c>
      <c r="E120" s="76" t="s">
        <v>2032</v>
      </c>
      <c r="F120" s="76" t="s">
        <v>2033</v>
      </c>
    </row>
    <row r="121" spans="1:6" ht="63.95" customHeight="1">
      <c r="A121" s="76" t="s">
        <v>1853</v>
      </c>
      <c r="B121" s="76" t="s">
        <v>2252</v>
      </c>
      <c r="C121" s="76" t="s">
        <v>1418</v>
      </c>
      <c r="D121" s="76" t="s">
        <v>2253</v>
      </c>
      <c r="E121" s="76" t="s">
        <v>2254</v>
      </c>
      <c r="F121" s="76" t="s">
        <v>2248</v>
      </c>
    </row>
    <row r="122" spans="1:6" ht="63.95" customHeight="1">
      <c r="A122" s="76" t="s">
        <v>1853</v>
      </c>
      <c r="B122" s="76" t="s">
        <v>2255</v>
      </c>
      <c r="C122" s="76"/>
      <c r="D122" s="76" t="s">
        <v>2256</v>
      </c>
      <c r="E122" s="76" t="s">
        <v>2032</v>
      </c>
      <c r="F122" s="76" t="s">
        <v>2033</v>
      </c>
    </row>
    <row r="123" spans="1:6" ht="63.95" customHeight="1">
      <c r="A123" s="76" t="s">
        <v>1853</v>
      </c>
      <c r="B123" s="76" t="s">
        <v>2257</v>
      </c>
      <c r="C123" s="76"/>
      <c r="D123" s="76" t="s">
        <v>2258</v>
      </c>
      <c r="E123" s="76" t="s">
        <v>2032</v>
      </c>
      <c r="F123" s="76" t="s">
        <v>2033</v>
      </c>
    </row>
    <row r="124" spans="1:6" ht="63.95" customHeight="1">
      <c r="A124" s="76" t="s">
        <v>1853</v>
      </c>
      <c r="B124" s="76" t="s">
        <v>2259</v>
      </c>
      <c r="C124" s="76" t="s">
        <v>2260</v>
      </c>
      <c r="D124" s="76" t="s">
        <v>2026</v>
      </c>
      <c r="E124" s="76" t="s">
        <v>2027</v>
      </c>
      <c r="F124" s="76" t="s">
        <v>2028</v>
      </c>
    </row>
    <row r="125" spans="1:6" ht="63.95" customHeight="1">
      <c r="A125" s="76" t="s">
        <v>1853</v>
      </c>
      <c r="B125" s="76" t="s">
        <v>2261</v>
      </c>
      <c r="C125" s="76" t="s">
        <v>2262</v>
      </c>
      <c r="D125" s="76" t="s">
        <v>2263</v>
      </c>
      <c r="E125" s="76" t="s">
        <v>2032</v>
      </c>
      <c r="F125" s="76" t="s">
        <v>2033</v>
      </c>
    </row>
    <row r="126" spans="1:6" ht="63.95" customHeight="1">
      <c r="A126" s="76" t="s">
        <v>1853</v>
      </c>
      <c r="B126" s="76" t="s">
        <v>2264</v>
      </c>
      <c r="C126" s="76"/>
      <c r="D126" s="76" t="s">
        <v>2265</v>
      </c>
      <c r="E126" s="76" t="s">
        <v>2032</v>
      </c>
      <c r="F126" s="76" t="s">
        <v>2033</v>
      </c>
    </row>
    <row r="127" spans="1:6" ht="63.95" customHeight="1">
      <c r="A127" s="76" t="s">
        <v>1853</v>
      </c>
      <c r="B127" s="76" t="s">
        <v>2266</v>
      </c>
      <c r="C127" s="76"/>
      <c r="D127" s="76" t="s">
        <v>2267</v>
      </c>
      <c r="E127" s="76" t="s">
        <v>2032</v>
      </c>
      <c r="F127" s="76" t="s">
        <v>2033</v>
      </c>
    </row>
    <row r="128" spans="1:6" ht="63.95" customHeight="1">
      <c r="A128" s="76" t="s">
        <v>1853</v>
      </c>
      <c r="B128" s="76" t="s">
        <v>2268</v>
      </c>
      <c r="C128" s="76" t="s">
        <v>2269</v>
      </c>
      <c r="D128" s="76" t="s">
        <v>2026</v>
      </c>
      <c r="E128" s="76" t="s">
        <v>2027</v>
      </c>
      <c r="F128" s="76" t="s">
        <v>2028</v>
      </c>
    </row>
    <row r="129" spans="1:6" ht="63.95" customHeight="1">
      <c r="A129" s="76" t="s">
        <v>1853</v>
      </c>
      <c r="B129" s="76" t="s">
        <v>2270</v>
      </c>
      <c r="C129" s="76" t="s">
        <v>2271</v>
      </c>
      <c r="D129" s="76" t="s">
        <v>2272</v>
      </c>
      <c r="E129" s="76" t="s">
        <v>2032</v>
      </c>
      <c r="F129" s="76" t="s">
        <v>2033</v>
      </c>
    </row>
    <row r="130" spans="1:6" ht="63.95" customHeight="1">
      <c r="A130" s="76" t="s">
        <v>1853</v>
      </c>
      <c r="B130" s="76" t="s">
        <v>2273</v>
      </c>
      <c r="C130" s="76"/>
      <c r="D130" s="76" t="s">
        <v>2274</v>
      </c>
      <c r="E130" s="76" t="s">
        <v>2032</v>
      </c>
      <c r="F130" s="76" t="s">
        <v>2033</v>
      </c>
    </row>
    <row r="131" spans="1:6" ht="63.95" customHeight="1">
      <c r="A131" s="76" t="s">
        <v>1853</v>
      </c>
      <c r="B131" s="76" t="s">
        <v>2275</v>
      </c>
      <c r="C131" s="76"/>
      <c r="D131" s="76" t="s">
        <v>2276</v>
      </c>
      <c r="E131" s="76" t="s">
        <v>2032</v>
      </c>
      <c r="F131" s="76" t="s">
        <v>2033</v>
      </c>
    </row>
    <row r="132" spans="1:6" ht="63.95" customHeight="1">
      <c r="A132" s="76" t="s">
        <v>1853</v>
      </c>
      <c r="B132" s="76" t="s">
        <v>2277</v>
      </c>
      <c r="C132" s="76" t="s">
        <v>2278</v>
      </c>
      <c r="D132" s="76" t="s">
        <v>2026</v>
      </c>
      <c r="E132" s="76" t="s">
        <v>2027</v>
      </c>
      <c r="F132" s="76" t="s">
        <v>2028</v>
      </c>
    </row>
    <row r="133" spans="1:6" ht="63.95" customHeight="1">
      <c r="A133" s="76" t="s">
        <v>1853</v>
      </c>
      <c r="B133" s="76" t="s">
        <v>2279</v>
      </c>
      <c r="C133" s="76" t="s">
        <v>2280</v>
      </c>
      <c r="D133" s="76" t="s">
        <v>2281</v>
      </c>
      <c r="E133" s="76" t="s">
        <v>2032</v>
      </c>
      <c r="F133" s="76" t="s">
        <v>2033</v>
      </c>
    </row>
    <row r="134" spans="1:6" ht="63.95" customHeight="1">
      <c r="A134" s="76" t="s">
        <v>1853</v>
      </c>
      <c r="B134" s="76" t="s">
        <v>2282</v>
      </c>
      <c r="C134" s="76"/>
      <c r="D134" s="76" t="s">
        <v>2283</v>
      </c>
      <c r="E134" s="76" t="s">
        <v>2032</v>
      </c>
      <c r="F134" s="76" t="s">
        <v>2033</v>
      </c>
    </row>
    <row r="135" spans="1:6" ht="63.95" customHeight="1">
      <c r="A135" s="76" t="s">
        <v>1853</v>
      </c>
      <c r="B135" s="76" t="s">
        <v>2284</v>
      </c>
      <c r="C135" s="76"/>
      <c r="D135" s="76" t="s">
        <v>2285</v>
      </c>
      <c r="E135" s="76" t="s">
        <v>2032</v>
      </c>
      <c r="F135" s="76" t="s">
        <v>2033</v>
      </c>
    </row>
    <row r="136" spans="1:6" ht="63.95" customHeight="1">
      <c r="A136" s="76" t="s">
        <v>1853</v>
      </c>
      <c r="B136" s="76" t="s">
        <v>2286</v>
      </c>
      <c r="C136" s="76" t="s">
        <v>2287</v>
      </c>
      <c r="D136" s="76" t="s">
        <v>2026</v>
      </c>
      <c r="E136" s="76" t="s">
        <v>2027</v>
      </c>
      <c r="F136" s="76" t="s">
        <v>2028</v>
      </c>
    </row>
    <row r="137" spans="1:6" ht="63.95" customHeight="1">
      <c r="A137" s="76" t="s">
        <v>1853</v>
      </c>
      <c r="B137" s="76" t="s">
        <v>2288</v>
      </c>
      <c r="C137" s="76" t="s">
        <v>2289</v>
      </c>
      <c r="D137" s="76" t="s">
        <v>2290</v>
      </c>
      <c r="E137" s="76" t="s">
        <v>2032</v>
      </c>
      <c r="F137" s="76" t="s">
        <v>2033</v>
      </c>
    </row>
    <row r="138" spans="1:6" ht="63.95" customHeight="1">
      <c r="A138" s="76" t="s">
        <v>1853</v>
      </c>
      <c r="B138" s="76" t="s">
        <v>2291</v>
      </c>
      <c r="C138" s="76"/>
      <c r="D138" s="76" t="s">
        <v>2292</v>
      </c>
      <c r="E138" s="76" t="s">
        <v>2032</v>
      </c>
      <c r="F138" s="76" t="s">
        <v>2033</v>
      </c>
    </row>
    <row r="139" spans="1:6" ht="63.95" customHeight="1">
      <c r="A139" s="76" t="s">
        <v>1853</v>
      </c>
      <c r="B139" s="76" t="s">
        <v>2293</v>
      </c>
      <c r="C139" s="76"/>
      <c r="D139" s="76" t="s">
        <v>2294</v>
      </c>
      <c r="E139" s="76" t="s">
        <v>2032</v>
      </c>
      <c r="F139" s="76" t="s">
        <v>2033</v>
      </c>
    </row>
    <row r="140" spans="1:6" ht="63.95" customHeight="1">
      <c r="A140" s="76" t="s">
        <v>1853</v>
      </c>
      <c r="B140" s="76" t="s">
        <v>2295</v>
      </c>
      <c r="C140" s="76" t="s">
        <v>2296</v>
      </c>
      <c r="D140" s="76" t="s">
        <v>2026</v>
      </c>
      <c r="E140" s="76" t="s">
        <v>2027</v>
      </c>
      <c r="F140" s="76" t="s">
        <v>2028</v>
      </c>
    </row>
    <row r="141" spans="1:6" ht="63.95" customHeight="1">
      <c r="A141" s="76" t="s">
        <v>1853</v>
      </c>
      <c r="B141" s="76" t="s">
        <v>2297</v>
      </c>
      <c r="C141" s="76" t="s">
        <v>2298</v>
      </c>
      <c r="D141" s="76" t="s">
        <v>2299</v>
      </c>
      <c r="E141" s="76" t="s">
        <v>2032</v>
      </c>
      <c r="F141" s="76" t="s">
        <v>2033</v>
      </c>
    </row>
    <row r="142" spans="1:6" ht="63.95" customHeight="1">
      <c r="A142" s="76" t="s">
        <v>1853</v>
      </c>
      <c r="B142" s="76" t="s">
        <v>2300</v>
      </c>
      <c r="C142" s="76"/>
      <c r="D142" s="76" t="s">
        <v>2301</v>
      </c>
      <c r="E142" s="76" t="s">
        <v>2032</v>
      </c>
      <c r="F142" s="76" t="s">
        <v>2033</v>
      </c>
    </row>
    <row r="143" spans="1:6" ht="63.95" customHeight="1">
      <c r="A143" s="76" t="s">
        <v>1853</v>
      </c>
      <c r="B143" s="76" t="s">
        <v>2302</v>
      </c>
      <c r="C143" s="76"/>
      <c r="D143" s="76" t="s">
        <v>2303</v>
      </c>
      <c r="E143" s="76" t="s">
        <v>2032</v>
      </c>
      <c r="F143" s="76" t="s">
        <v>2033</v>
      </c>
    </row>
    <row r="144" spans="1:6" ht="63.95" customHeight="1">
      <c r="A144" s="76" t="s">
        <v>1853</v>
      </c>
      <c r="B144" s="76" t="s">
        <v>2304</v>
      </c>
      <c r="C144" s="76" t="s">
        <v>2305</v>
      </c>
      <c r="D144" s="76" t="s">
        <v>2306</v>
      </c>
      <c r="E144" s="76" t="s">
        <v>2307</v>
      </c>
      <c r="F144" s="76" t="s">
        <v>2308</v>
      </c>
    </row>
    <row r="145" spans="1:6" ht="63.95" customHeight="1">
      <c r="A145" s="76" t="s">
        <v>1853</v>
      </c>
      <c r="B145" s="76" t="s">
        <v>2309</v>
      </c>
      <c r="C145" s="76" t="s">
        <v>2310</v>
      </c>
      <c r="D145" s="76" t="s">
        <v>2311</v>
      </c>
      <c r="E145" s="76" t="s">
        <v>2032</v>
      </c>
      <c r="F145" s="76" t="s">
        <v>2033</v>
      </c>
    </row>
    <row r="146" spans="1:6" ht="63.95" customHeight="1">
      <c r="A146" s="76" t="s">
        <v>1853</v>
      </c>
      <c r="B146" s="76" t="s">
        <v>2312</v>
      </c>
      <c r="C146" s="76"/>
      <c r="D146" s="76" t="s">
        <v>2313</v>
      </c>
      <c r="E146" s="76" t="s">
        <v>2032</v>
      </c>
      <c r="F146" s="76" t="s">
        <v>2033</v>
      </c>
    </row>
    <row r="147" spans="1:6" ht="63.95" customHeight="1">
      <c r="A147" s="76" t="s">
        <v>1853</v>
      </c>
      <c r="B147" s="76" t="s">
        <v>2314</v>
      </c>
      <c r="C147" s="76"/>
      <c r="D147" s="76" t="s">
        <v>2315</v>
      </c>
      <c r="E147" s="76" t="s">
        <v>2032</v>
      </c>
      <c r="F147" s="76" t="s">
        <v>2033</v>
      </c>
    </row>
    <row r="148" spans="1:6" ht="63.95" customHeight="1">
      <c r="A148" s="76" t="s">
        <v>1853</v>
      </c>
      <c r="B148" s="76" t="s">
        <v>2316</v>
      </c>
      <c r="C148" s="76" t="s">
        <v>2317</v>
      </c>
      <c r="D148" s="76" t="s">
        <v>2026</v>
      </c>
      <c r="E148" s="76" t="s">
        <v>2027</v>
      </c>
      <c r="F148" s="76" t="s">
        <v>2028</v>
      </c>
    </row>
    <row r="149" spans="1:6" ht="63.95" customHeight="1">
      <c r="A149" s="76" t="s">
        <v>1853</v>
      </c>
      <c r="B149" s="76" t="s">
        <v>2318</v>
      </c>
      <c r="C149" s="76" t="s">
        <v>2319</v>
      </c>
      <c r="D149" s="76" t="s">
        <v>2320</v>
      </c>
      <c r="E149" s="76" t="s">
        <v>2032</v>
      </c>
      <c r="F149" s="76" t="s">
        <v>2033</v>
      </c>
    </row>
    <row r="150" spans="1:6" ht="63.95" customHeight="1">
      <c r="A150" s="76" t="s">
        <v>1853</v>
      </c>
      <c r="B150" s="76" t="s">
        <v>2321</v>
      </c>
      <c r="C150" s="76" t="s">
        <v>1442</v>
      </c>
      <c r="D150" s="76" t="s">
        <v>2322</v>
      </c>
      <c r="E150" s="76" t="s">
        <v>2323</v>
      </c>
      <c r="F150" s="76" t="s">
        <v>2324</v>
      </c>
    </row>
    <row r="151" spans="1:6" ht="63.95" customHeight="1">
      <c r="A151" s="76" t="s">
        <v>1853</v>
      </c>
      <c r="B151" s="76" t="s">
        <v>2325</v>
      </c>
      <c r="C151" s="76" t="s">
        <v>1440</v>
      </c>
      <c r="D151" s="76" t="s">
        <v>2326</v>
      </c>
      <c r="E151" s="76" t="s">
        <v>2327</v>
      </c>
      <c r="F151" s="76" t="s">
        <v>2324</v>
      </c>
    </row>
    <row r="152" spans="1:6" ht="63.95" customHeight="1">
      <c r="A152" s="76" t="s">
        <v>1853</v>
      </c>
      <c r="B152" s="76" t="s">
        <v>2328</v>
      </c>
      <c r="C152" s="76"/>
      <c r="D152" s="76" t="s">
        <v>2329</v>
      </c>
      <c r="E152" s="76" t="s">
        <v>2032</v>
      </c>
      <c r="F152" s="76" t="s">
        <v>2033</v>
      </c>
    </row>
    <row r="153" spans="1:6" ht="63.95" customHeight="1">
      <c r="A153" s="76" t="s">
        <v>1853</v>
      </c>
      <c r="B153" s="76" t="s">
        <v>2330</v>
      </c>
      <c r="C153" s="76"/>
      <c r="D153" s="76" t="s">
        <v>2331</v>
      </c>
      <c r="E153" s="76" t="s">
        <v>2032</v>
      </c>
      <c r="F153" s="76" t="s">
        <v>2033</v>
      </c>
    </row>
    <row r="154" spans="1:6" ht="63.95" customHeight="1">
      <c r="A154" s="76" t="s">
        <v>1853</v>
      </c>
      <c r="B154" s="76" t="s">
        <v>2332</v>
      </c>
      <c r="C154" s="76" t="s">
        <v>2333</v>
      </c>
      <c r="D154" s="76" t="s">
        <v>2334</v>
      </c>
      <c r="E154" s="76" t="s">
        <v>2307</v>
      </c>
      <c r="F154" s="76" t="s">
        <v>2308</v>
      </c>
    </row>
    <row r="155" spans="1:6" ht="63.95" customHeight="1">
      <c r="A155" s="76" t="s">
        <v>1853</v>
      </c>
      <c r="B155" s="76" t="s">
        <v>2335</v>
      </c>
      <c r="C155" s="76" t="s">
        <v>2336</v>
      </c>
      <c r="D155" s="76" t="s">
        <v>2337</v>
      </c>
      <c r="E155" s="76" t="s">
        <v>2032</v>
      </c>
      <c r="F155" s="76" t="s">
        <v>2033</v>
      </c>
    </row>
    <row r="156" spans="1:6" ht="63.95" customHeight="1">
      <c r="A156" s="76" t="s">
        <v>1853</v>
      </c>
      <c r="B156" s="76" t="s">
        <v>2338</v>
      </c>
      <c r="C156" s="76"/>
      <c r="D156" s="76" t="s">
        <v>2339</v>
      </c>
      <c r="E156" s="76" t="s">
        <v>2032</v>
      </c>
      <c r="F156" s="76" t="s">
        <v>2033</v>
      </c>
    </row>
    <row r="157" spans="1:6" ht="63.95" customHeight="1">
      <c r="A157" s="76" t="s">
        <v>1853</v>
      </c>
      <c r="B157" s="76" t="s">
        <v>2340</v>
      </c>
      <c r="C157" s="76"/>
      <c r="D157" s="76" t="s">
        <v>2341</v>
      </c>
      <c r="E157" s="76" t="s">
        <v>2032</v>
      </c>
      <c r="F157" s="76" t="s">
        <v>2033</v>
      </c>
    </row>
    <row r="158" spans="1:6" ht="63.95" customHeight="1">
      <c r="A158" s="76" t="s">
        <v>1853</v>
      </c>
      <c r="B158" s="76" t="s">
        <v>2342</v>
      </c>
      <c r="C158" s="76" t="s">
        <v>2343</v>
      </c>
      <c r="D158" s="76" t="s">
        <v>2344</v>
      </c>
      <c r="E158" s="76" t="s">
        <v>2345</v>
      </c>
      <c r="F158" s="76" t="s">
        <v>2346</v>
      </c>
    </row>
    <row r="159" spans="1:6" ht="63.95" customHeight="1">
      <c r="A159" s="76" t="s">
        <v>1853</v>
      </c>
      <c r="B159" s="76" t="s">
        <v>2347</v>
      </c>
      <c r="C159" s="76" t="s">
        <v>1460</v>
      </c>
      <c r="D159" s="76" t="s">
        <v>2348</v>
      </c>
      <c r="E159" s="76" t="s">
        <v>2349</v>
      </c>
      <c r="F159" s="76" t="s">
        <v>2350</v>
      </c>
    </row>
    <row r="160" spans="1:6" ht="63.95" customHeight="1">
      <c r="A160" s="76" t="s">
        <v>1853</v>
      </c>
      <c r="B160" s="76" t="s">
        <v>2351</v>
      </c>
      <c r="C160" s="76" t="s">
        <v>2352</v>
      </c>
      <c r="D160" s="76" t="s">
        <v>2353</v>
      </c>
      <c r="E160" s="76" t="s">
        <v>2032</v>
      </c>
      <c r="F160" s="76" t="s">
        <v>2033</v>
      </c>
    </row>
    <row r="161" spans="1:6" ht="63.95" customHeight="1">
      <c r="A161" s="76" t="s">
        <v>1853</v>
      </c>
      <c r="B161" s="76" t="s">
        <v>2354</v>
      </c>
      <c r="C161" s="76" t="s">
        <v>1420</v>
      </c>
      <c r="D161" s="76" t="s">
        <v>1472</v>
      </c>
      <c r="E161" s="76" t="s">
        <v>2355</v>
      </c>
      <c r="F161" s="76" t="s">
        <v>2356</v>
      </c>
    </row>
    <row r="162" spans="1:6" ht="63.95" customHeight="1">
      <c r="A162" s="76" t="s">
        <v>1853</v>
      </c>
      <c r="B162" s="76" t="s">
        <v>2357</v>
      </c>
      <c r="C162" s="76"/>
      <c r="D162" s="76" t="s">
        <v>2358</v>
      </c>
      <c r="E162" s="76" t="s">
        <v>2032</v>
      </c>
      <c r="F162" s="76" t="s">
        <v>2033</v>
      </c>
    </row>
    <row r="163" spans="1:6" ht="63.95" customHeight="1">
      <c r="A163" s="76" t="s">
        <v>1853</v>
      </c>
      <c r="B163" s="76" t="s">
        <v>2359</v>
      </c>
      <c r="C163" s="76"/>
      <c r="D163" s="76" t="s">
        <v>2360</v>
      </c>
      <c r="E163" s="76" t="s">
        <v>2032</v>
      </c>
      <c r="F163" s="76" t="s">
        <v>2033</v>
      </c>
    </row>
    <row r="164" spans="1:6" ht="63.95" customHeight="1">
      <c r="A164" s="76" t="s">
        <v>1853</v>
      </c>
      <c r="B164" s="76" t="s">
        <v>2361</v>
      </c>
      <c r="C164" s="76" t="s">
        <v>2362</v>
      </c>
      <c r="D164" s="76" t="s">
        <v>2363</v>
      </c>
      <c r="E164" s="76" t="s">
        <v>2307</v>
      </c>
      <c r="F164" s="76" t="s">
        <v>2308</v>
      </c>
    </row>
    <row r="165" spans="1:6" ht="63.95" customHeight="1">
      <c r="A165" s="76" t="s">
        <v>1853</v>
      </c>
      <c r="B165" s="76" t="s">
        <v>2364</v>
      </c>
      <c r="C165" s="76" t="s">
        <v>2365</v>
      </c>
      <c r="D165" s="76" t="s">
        <v>2366</v>
      </c>
      <c r="E165" s="76" t="s">
        <v>2032</v>
      </c>
      <c r="F165" s="76" t="s">
        <v>2033</v>
      </c>
    </row>
    <row r="166" spans="1:6" ht="63.95" customHeight="1">
      <c r="A166" s="76" t="s">
        <v>1853</v>
      </c>
      <c r="B166" s="76" t="s">
        <v>2367</v>
      </c>
      <c r="C166" s="76"/>
      <c r="D166" s="76" t="s">
        <v>2368</v>
      </c>
      <c r="E166" s="76" t="s">
        <v>2032</v>
      </c>
      <c r="F166" s="76" t="s">
        <v>2033</v>
      </c>
    </row>
    <row r="167" spans="1:6" ht="63.95" customHeight="1">
      <c r="A167" s="76" t="s">
        <v>1853</v>
      </c>
      <c r="B167" s="76" t="s">
        <v>2369</v>
      </c>
      <c r="C167" s="76"/>
      <c r="D167" s="76" t="s">
        <v>2370</v>
      </c>
      <c r="E167" s="76" t="s">
        <v>2032</v>
      </c>
      <c r="F167" s="76" t="s">
        <v>2033</v>
      </c>
    </row>
    <row r="168" spans="1:6" ht="63.95" customHeight="1">
      <c r="A168" s="76" t="s">
        <v>1853</v>
      </c>
      <c r="B168" s="76" t="s">
        <v>2371</v>
      </c>
      <c r="C168" s="76" t="s">
        <v>2372</v>
      </c>
      <c r="D168" s="76" t="s">
        <v>2373</v>
      </c>
      <c r="E168" s="76" t="s">
        <v>2307</v>
      </c>
      <c r="F168" s="76" t="s">
        <v>2308</v>
      </c>
    </row>
    <row r="169" spans="1:6" ht="63.95" customHeight="1">
      <c r="A169" s="76" t="s">
        <v>1853</v>
      </c>
      <c r="B169" s="76" t="s">
        <v>2374</v>
      </c>
      <c r="C169" s="76" t="s">
        <v>1459</v>
      </c>
      <c r="D169" s="76" t="s">
        <v>2348</v>
      </c>
      <c r="E169" s="76" t="s">
        <v>2349</v>
      </c>
      <c r="F169" s="76" t="s">
        <v>2350</v>
      </c>
    </row>
    <row r="170" spans="1:6" ht="63.95" customHeight="1">
      <c r="A170" s="76" t="s">
        <v>1853</v>
      </c>
      <c r="B170" s="76" t="s">
        <v>2375</v>
      </c>
      <c r="C170" s="76" t="s">
        <v>2376</v>
      </c>
      <c r="D170" s="76" t="s">
        <v>2377</v>
      </c>
      <c r="E170" s="76" t="s">
        <v>2032</v>
      </c>
      <c r="F170" s="76" t="s">
        <v>2033</v>
      </c>
    </row>
    <row r="171" spans="1:6" ht="63.95" customHeight="1">
      <c r="A171" s="76" t="s">
        <v>1853</v>
      </c>
      <c r="B171" s="76" t="s">
        <v>2378</v>
      </c>
      <c r="C171" s="76" t="s">
        <v>1420</v>
      </c>
      <c r="D171" s="76" t="s">
        <v>1472</v>
      </c>
      <c r="E171" s="76" t="s">
        <v>2355</v>
      </c>
      <c r="F171" s="76" t="s">
        <v>2379</v>
      </c>
    </row>
    <row r="172" spans="1:6" ht="63.95" customHeight="1">
      <c r="A172" s="76" t="s">
        <v>1853</v>
      </c>
      <c r="B172" s="76" t="s">
        <v>2380</v>
      </c>
      <c r="C172" s="76"/>
      <c r="D172" s="76" t="s">
        <v>2381</v>
      </c>
      <c r="E172" s="76" t="s">
        <v>2032</v>
      </c>
      <c r="F172" s="76" t="s">
        <v>2033</v>
      </c>
    </row>
    <row r="173" spans="1:6" ht="63.95" customHeight="1">
      <c r="A173" s="76" t="s">
        <v>1853</v>
      </c>
      <c r="B173" s="76" t="s">
        <v>2382</v>
      </c>
      <c r="C173" s="76"/>
      <c r="D173" s="76" t="s">
        <v>2383</v>
      </c>
      <c r="E173" s="76" t="s">
        <v>2032</v>
      </c>
      <c r="F173" s="76" t="s">
        <v>2033</v>
      </c>
    </row>
    <row r="174" spans="1:6" ht="63.95" customHeight="1">
      <c r="A174" s="76" t="s">
        <v>1853</v>
      </c>
      <c r="B174" s="76" t="s">
        <v>2384</v>
      </c>
      <c r="C174" s="76" t="s">
        <v>2385</v>
      </c>
      <c r="D174" s="76" t="s">
        <v>2386</v>
      </c>
      <c r="E174" s="76" t="s">
        <v>2345</v>
      </c>
      <c r="F174" s="76" t="s">
        <v>2346</v>
      </c>
    </row>
    <row r="175" spans="1:6" ht="63.95" customHeight="1">
      <c r="A175" s="76" t="s">
        <v>1853</v>
      </c>
      <c r="B175" s="76" t="s">
        <v>2387</v>
      </c>
      <c r="C175" s="76" t="s">
        <v>1459</v>
      </c>
      <c r="D175" s="76" t="s">
        <v>2348</v>
      </c>
      <c r="E175" s="76" t="s">
        <v>2349</v>
      </c>
      <c r="F175" s="76" t="s">
        <v>2350</v>
      </c>
    </row>
    <row r="176" spans="1:6" ht="63.95" customHeight="1">
      <c r="A176" s="76" t="s">
        <v>1853</v>
      </c>
      <c r="B176" s="76" t="s">
        <v>2388</v>
      </c>
      <c r="C176" s="76" t="s">
        <v>2389</v>
      </c>
      <c r="D176" s="76" t="s">
        <v>2390</v>
      </c>
      <c r="E176" s="76" t="s">
        <v>2032</v>
      </c>
      <c r="F176" s="76" t="s">
        <v>2033</v>
      </c>
    </row>
    <row r="177" spans="1:6" ht="63.95" customHeight="1">
      <c r="A177" s="76" t="s">
        <v>1853</v>
      </c>
      <c r="B177" s="76" t="s">
        <v>2391</v>
      </c>
      <c r="C177" s="76" t="s">
        <v>1420</v>
      </c>
      <c r="D177" s="76" t="s">
        <v>1472</v>
      </c>
      <c r="E177" s="76" t="s">
        <v>2355</v>
      </c>
      <c r="F177" s="76" t="s">
        <v>2392</v>
      </c>
    </row>
    <row r="178" spans="1:6" ht="63.95" customHeight="1">
      <c r="A178" s="76" t="s">
        <v>1853</v>
      </c>
      <c r="B178" s="76" t="s">
        <v>2393</v>
      </c>
      <c r="C178" s="76"/>
      <c r="D178" s="76" t="s">
        <v>2394</v>
      </c>
      <c r="E178" s="76" t="s">
        <v>2032</v>
      </c>
      <c r="F178" s="76" t="s">
        <v>2033</v>
      </c>
    </row>
    <row r="179" spans="1:6" ht="63.95" customHeight="1">
      <c r="A179" s="76" t="s">
        <v>1853</v>
      </c>
      <c r="B179" s="76" t="s">
        <v>2395</v>
      </c>
      <c r="C179" s="76"/>
      <c r="D179" s="76" t="s">
        <v>2396</v>
      </c>
      <c r="E179" s="76" t="s">
        <v>2032</v>
      </c>
      <c r="F179" s="76" t="s">
        <v>2033</v>
      </c>
    </row>
    <row r="180" spans="1:6" ht="63.95" customHeight="1">
      <c r="A180" s="76" t="s">
        <v>1853</v>
      </c>
      <c r="B180" s="76" t="s">
        <v>2397</v>
      </c>
      <c r="C180" s="76"/>
      <c r="D180" s="76" t="s">
        <v>2398</v>
      </c>
      <c r="E180" s="76" t="s">
        <v>2399</v>
      </c>
      <c r="F180" s="76" t="s">
        <v>2400</v>
      </c>
    </row>
    <row r="181" spans="1:6" ht="63.95" customHeight="1">
      <c r="A181" s="76" t="s">
        <v>1853</v>
      </c>
      <c r="B181" s="76" t="s">
        <v>2401</v>
      </c>
      <c r="C181" s="76"/>
      <c r="D181" s="76" t="s">
        <v>2402</v>
      </c>
      <c r="E181" s="76" t="s">
        <v>2403</v>
      </c>
      <c r="F181" s="76" t="s">
        <v>2400</v>
      </c>
    </row>
    <row r="182" spans="1:6" ht="63.95" customHeight="1">
      <c r="A182" s="76" t="s">
        <v>1853</v>
      </c>
      <c r="B182" s="76" t="s">
        <v>2404</v>
      </c>
      <c r="C182" s="76" t="s">
        <v>2405</v>
      </c>
      <c r="D182" s="76" t="s">
        <v>2406</v>
      </c>
      <c r="E182" s="76" t="s">
        <v>2032</v>
      </c>
      <c r="F182" s="76" t="s">
        <v>2033</v>
      </c>
    </row>
    <row r="183" spans="1:6" ht="63.95" customHeight="1">
      <c r="A183" s="76" t="s">
        <v>1853</v>
      </c>
      <c r="B183" s="76" t="s">
        <v>2407</v>
      </c>
      <c r="C183" s="76" t="s">
        <v>1471</v>
      </c>
      <c r="D183" s="76" t="s">
        <v>2408</v>
      </c>
      <c r="E183" s="76" t="s">
        <v>2409</v>
      </c>
      <c r="F183" s="76" t="s">
        <v>2410</v>
      </c>
    </row>
    <row r="184" spans="1:6" ht="63.95" customHeight="1">
      <c r="A184" s="76" t="s">
        <v>1853</v>
      </c>
      <c r="B184" s="76" t="s">
        <v>2411</v>
      </c>
      <c r="C184" s="76" t="s">
        <v>1418</v>
      </c>
      <c r="D184" s="76" t="s">
        <v>2402</v>
      </c>
      <c r="E184" s="76" t="s">
        <v>2412</v>
      </c>
      <c r="F184" s="76" t="s">
        <v>2400</v>
      </c>
    </row>
    <row r="185" spans="1:6" ht="63.95" customHeight="1">
      <c r="A185" s="76" t="s">
        <v>1853</v>
      </c>
      <c r="B185" s="76" t="s">
        <v>2413</v>
      </c>
      <c r="C185" s="76"/>
      <c r="D185" s="76" t="s">
        <v>2414</v>
      </c>
      <c r="E185" s="76" t="s">
        <v>2032</v>
      </c>
      <c r="F185" s="76" t="s">
        <v>2033</v>
      </c>
    </row>
    <row r="186" spans="1:6" ht="63.95" customHeight="1">
      <c r="A186" s="76" t="s">
        <v>1853</v>
      </c>
      <c r="B186" s="76" t="s">
        <v>2415</v>
      </c>
      <c r="C186" s="76"/>
      <c r="D186" s="76" t="s">
        <v>2416</v>
      </c>
      <c r="E186" s="76" t="s">
        <v>2032</v>
      </c>
      <c r="F186" s="76" t="s">
        <v>2033</v>
      </c>
    </row>
    <row r="187" spans="1:6" ht="63.95" customHeight="1">
      <c r="A187" s="76" t="s">
        <v>1853</v>
      </c>
      <c r="B187" s="76" t="s">
        <v>2417</v>
      </c>
      <c r="C187" s="76" t="s">
        <v>2418</v>
      </c>
      <c r="D187" s="76" t="s">
        <v>2419</v>
      </c>
      <c r="E187" s="76" t="s">
        <v>2345</v>
      </c>
      <c r="F187" s="76" t="s">
        <v>2346</v>
      </c>
    </row>
    <row r="188" spans="1:6" ht="63.95" customHeight="1">
      <c r="A188" s="76" t="s">
        <v>1853</v>
      </c>
      <c r="B188" s="76" t="s">
        <v>2420</v>
      </c>
      <c r="C188" s="76" t="s">
        <v>2421</v>
      </c>
      <c r="D188" s="76" t="s">
        <v>2422</v>
      </c>
      <c r="E188" s="76" t="s">
        <v>2032</v>
      </c>
      <c r="F188" s="76" t="s">
        <v>2033</v>
      </c>
    </row>
    <row r="189" spans="1:6" ht="63.95" customHeight="1">
      <c r="A189" s="76" t="s">
        <v>1853</v>
      </c>
      <c r="B189" s="76" t="s">
        <v>2423</v>
      </c>
      <c r="C189" s="76"/>
      <c r="D189" s="76" t="s">
        <v>2424</v>
      </c>
      <c r="E189" s="76" t="s">
        <v>2032</v>
      </c>
      <c r="F189" s="76" t="s">
        <v>2033</v>
      </c>
    </row>
    <row r="190" spans="1:6" ht="63.95" customHeight="1">
      <c r="A190" s="76" t="s">
        <v>1853</v>
      </c>
      <c r="B190" s="76" t="s">
        <v>2425</v>
      </c>
      <c r="C190" s="76"/>
      <c r="D190" s="76" t="s">
        <v>2426</v>
      </c>
      <c r="E190" s="76" t="s">
        <v>2032</v>
      </c>
      <c r="F190" s="76" t="s">
        <v>2033</v>
      </c>
    </row>
    <row r="191" spans="1:6" ht="63.95" customHeight="1">
      <c r="A191" s="76" t="s">
        <v>1853</v>
      </c>
      <c r="B191" s="76" t="s">
        <v>2427</v>
      </c>
      <c r="C191" s="76" t="s">
        <v>2428</v>
      </c>
      <c r="D191" s="76" t="s">
        <v>2429</v>
      </c>
      <c r="E191" s="76" t="s">
        <v>2032</v>
      </c>
      <c r="F191" s="76" t="s">
        <v>2033</v>
      </c>
    </row>
    <row r="192" spans="1:6" ht="63.95" customHeight="1">
      <c r="A192" s="76" t="s">
        <v>1853</v>
      </c>
      <c r="B192" s="76" t="s">
        <v>2430</v>
      </c>
      <c r="C192" s="76"/>
      <c r="D192" s="76" t="s">
        <v>2431</v>
      </c>
      <c r="E192" s="76" t="s">
        <v>2032</v>
      </c>
      <c r="F192" s="76" t="s">
        <v>2033</v>
      </c>
    </row>
    <row r="193" spans="1:6" ht="63.95" customHeight="1">
      <c r="A193" s="76" t="s">
        <v>1853</v>
      </c>
      <c r="B193" s="76" t="s">
        <v>2432</v>
      </c>
      <c r="C193" s="76"/>
      <c r="D193" s="76" t="s">
        <v>2433</v>
      </c>
      <c r="E193" s="76" t="s">
        <v>2032</v>
      </c>
      <c r="F193" s="76" t="s">
        <v>2033</v>
      </c>
    </row>
    <row r="194" spans="1:6" ht="63.95" customHeight="1">
      <c r="A194" s="76" t="s">
        <v>1853</v>
      </c>
      <c r="B194" s="76" t="s">
        <v>2434</v>
      </c>
      <c r="C194" s="76" t="s">
        <v>2435</v>
      </c>
      <c r="D194" s="76" t="s">
        <v>2436</v>
      </c>
      <c r="E194" s="76" t="s">
        <v>2307</v>
      </c>
      <c r="F194" s="76" t="s">
        <v>2308</v>
      </c>
    </row>
    <row r="195" spans="1:6" ht="63.95" customHeight="1">
      <c r="A195" s="76" t="s">
        <v>1853</v>
      </c>
      <c r="B195" s="76" t="s">
        <v>2437</v>
      </c>
      <c r="C195" s="76" t="s">
        <v>2438</v>
      </c>
      <c r="D195" s="76" t="s">
        <v>2439</v>
      </c>
      <c r="E195" s="76" t="s">
        <v>2032</v>
      </c>
      <c r="F195" s="76" t="s">
        <v>2033</v>
      </c>
    </row>
    <row r="196" spans="1:6" ht="63.95" customHeight="1">
      <c r="A196" s="76" t="s">
        <v>1853</v>
      </c>
      <c r="B196" s="76" t="s">
        <v>2440</v>
      </c>
      <c r="C196" s="76"/>
      <c r="D196" s="76" t="s">
        <v>2441</v>
      </c>
      <c r="E196" s="76" t="s">
        <v>2032</v>
      </c>
      <c r="F196" s="76" t="s">
        <v>2033</v>
      </c>
    </row>
    <row r="197" spans="1:6" ht="63.95" customHeight="1">
      <c r="A197" s="76" t="s">
        <v>1853</v>
      </c>
      <c r="B197" s="76" t="s">
        <v>2442</v>
      </c>
      <c r="C197" s="76"/>
      <c r="D197" s="76" t="s">
        <v>2443</v>
      </c>
      <c r="E197" s="76" t="s">
        <v>2032</v>
      </c>
      <c r="F197" s="76" t="s">
        <v>2033</v>
      </c>
    </row>
    <row r="198" spans="1:6" ht="63.95" customHeight="1">
      <c r="A198" s="76" t="s">
        <v>1853</v>
      </c>
      <c r="B198" s="76" t="s">
        <v>2444</v>
      </c>
      <c r="C198" s="76" t="s">
        <v>2445</v>
      </c>
      <c r="D198" s="76" t="s">
        <v>2026</v>
      </c>
      <c r="E198" s="76" t="s">
        <v>2027</v>
      </c>
      <c r="F198" s="76" t="s">
        <v>2028</v>
      </c>
    </row>
    <row r="199" spans="1:6" ht="63.95" customHeight="1">
      <c r="A199" s="76" t="s">
        <v>1853</v>
      </c>
      <c r="B199" s="76" t="s">
        <v>2446</v>
      </c>
      <c r="C199" s="76" t="s">
        <v>2447</v>
      </c>
      <c r="D199" s="76" t="s">
        <v>2448</v>
      </c>
      <c r="E199" s="76" t="s">
        <v>2032</v>
      </c>
      <c r="F199" s="76" t="s">
        <v>2033</v>
      </c>
    </row>
    <row r="200" spans="1:6" ht="63.95" customHeight="1">
      <c r="A200" s="76" t="s">
        <v>1853</v>
      </c>
      <c r="B200" s="76" t="s">
        <v>2449</v>
      </c>
      <c r="C200" s="76"/>
      <c r="D200" s="76" t="s">
        <v>2450</v>
      </c>
      <c r="E200" s="76" t="s">
        <v>2032</v>
      </c>
      <c r="F200" s="76" t="s">
        <v>2033</v>
      </c>
    </row>
    <row r="201" spans="1:6" ht="63.95" customHeight="1">
      <c r="A201" s="76" t="s">
        <v>1853</v>
      </c>
      <c r="B201" s="76" t="s">
        <v>2451</v>
      </c>
      <c r="C201" s="76"/>
      <c r="D201" s="76" t="s">
        <v>2452</v>
      </c>
      <c r="E201" s="76" t="s">
        <v>2032</v>
      </c>
      <c r="F201" s="76" t="s">
        <v>2033</v>
      </c>
    </row>
    <row r="202" spans="1:6" ht="63.95" customHeight="1">
      <c r="A202" s="76" t="s">
        <v>1853</v>
      </c>
      <c r="B202" s="76" t="s">
        <v>2453</v>
      </c>
      <c r="C202" s="76" t="s">
        <v>2454</v>
      </c>
      <c r="D202" s="76" t="s">
        <v>2455</v>
      </c>
      <c r="E202" s="76" t="s">
        <v>2032</v>
      </c>
      <c r="F202" s="76" t="s">
        <v>2033</v>
      </c>
    </row>
    <row r="203" spans="1:6" ht="63.95" customHeight="1">
      <c r="A203" s="76" t="s">
        <v>1853</v>
      </c>
      <c r="B203" s="76" t="s">
        <v>2456</v>
      </c>
      <c r="C203" s="76"/>
      <c r="D203" s="76" t="s">
        <v>2457</v>
      </c>
      <c r="E203" s="76" t="s">
        <v>2032</v>
      </c>
      <c r="F203" s="76" t="s">
        <v>2033</v>
      </c>
    </row>
    <row r="204" spans="1:6" ht="63.95" customHeight="1">
      <c r="A204" s="76" t="s">
        <v>1853</v>
      </c>
      <c r="B204" s="76" t="s">
        <v>2458</v>
      </c>
      <c r="C204" s="76"/>
      <c r="D204" s="76" t="s">
        <v>2459</v>
      </c>
      <c r="E204" s="76" t="s">
        <v>2032</v>
      </c>
      <c r="F204" s="76" t="s">
        <v>2033</v>
      </c>
    </row>
    <row r="205" spans="1:6" ht="63.95" customHeight="1">
      <c r="A205" s="76" t="s">
        <v>1853</v>
      </c>
      <c r="B205" s="76" t="s">
        <v>2460</v>
      </c>
      <c r="C205" s="76" t="s">
        <v>2461</v>
      </c>
      <c r="D205" s="76" t="s">
        <v>2026</v>
      </c>
      <c r="E205" s="76" t="s">
        <v>2027</v>
      </c>
      <c r="F205" s="76" t="s">
        <v>2028</v>
      </c>
    </row>
    <row r="206" spans="1:6" ht="63.95" customHeight="1">
      <c r="A206" s="76" t="s">
        <v>1853</v>
      </c>
      <c r="B206" s="76" t="s">
        <v>2462</v>
      </c>
      <c r="C206" s="76" t="s">
        <v>2463</v>
      </c>
      <c r="D206" s="76" t="s">
        <v>2464</v>
      </c>
      <c r="E206" s="76" t="s">
        <v>2032</v>
      </c>
      <c r="F206" s="76" t="s">
        <v>2033</v>
      </c>
    </row>
    <row r="207" spans="1:6" ht="63.95" customHeight="1">
      <c r="A207" s="76" t="s">
        <v>1853</v>
      </c>
      <c r="B207" s="76" t="s">
        <v>2465</v>
      </c>
      <c r="C207" s="76"/>
      <c r="D207" s="76" t="s">
        <v>2466</v>
      </c>
      <c r="E207" s="76" t="s">
        <v>2032</v>
      </c>
      <c r="F207" s="76" t="s">
        <v>2033</v>
      </c>
    </row>
    <row r="208" spans="1:6" ht="63.95" customHeight="1">
      <c r="A208" s="76" t="s">
        <v>1853</v>
      </c>
      <c r="B208" s="76" t="s">
        <v>2467</v>
      </c>
      <c r="C208" s="76"/>
      <c r="D208" s="76" t="s">
        <v>2468</v>
      </c>
      <c r="E208" s="76" t="s">
        <v>2032</v>
      </c>
      <c r="F208" s="76" t="s">
        <v>2033</v>
      </c>
    </row>
    <row r="209" spans="1:6" ht="63.95" customHeight="1">
      <c r="A209" s="76" t="s">
        <v>1853</v>
      </c>
      <c r="B209" s="76" t="s">
        <v>2469</v>
      </c>
      <c r="C209" s="76" t="s">
        <v>2470</v>
      </c>
      <c r="D209" s="76" t="s">
        <v>2471</v>
      </c>
      <c r="E209" s="76" t="s">
        <v>2032</v>
      </c>
      <c r="F209" s="76" t="s">
        <v>2033</v>
      </c>
    </row>
    <row r="210" spans="1:6" ht="63.95" customHeight="1">
      <c r="A210" s="76" t="s">
        <v>1853</v>
      </c>
      <c r="B210" s="76" t="s">
        <v>2472</v>
      </c>
      <c r="C210" s="76"/>
      <c r="D210" s="76" t="s">
        <v>2473</v>
      </c>
      <c r="E210" s="76" t="s">
        <v>2032</v>
      </c>
      <c r="F210" s="76" t="s">
        <v>2033</v>
      </c>
    </row>
    <row r="211" spans="1:6" ht="63.95" customHeight="1">
      <c r="A211" s="76" t="s">
        <v>1853</v>
      </c>
      <c r="B211" s="76" t="s">
        <v>2474</v>
      </c>
      <c r="C211" s="76"/>
      <c r="D211" s="76" t="s">
        <v>2475</v>
      </c>
      <c r="E211" s="76" t="s">
        <v>2032</v>
      </c>
      <c r="F211" s="76" t="s">
        <v>2033</v>
      </c>
    </row>
    <row r="212" spans="1:6" ht="63.95" customHeight="1">
      <c r="A212" s="76" t="s">
        <v>1853</v>
      </c>
      <c r="B212" s="76" t="s">
        <v>2476</v>
      </c>
      <c r="C212" s="76" t="s">
        <v>2477</v>
      </c>
      <c r="D212" s="76" t="s">
        <v>2478</v>
      </c>
      <c r="E212" s="76" t="s">
        <v>2032</v>
      </c>
      <c r="F212" s="76" t="s">
        <v>2033</v>
      </c>
    </row>
    <row r="213" spans="1:6" ht="63.95" customHeight="1">
      <c r="A213" s="76" t="s">
        <v>1853</v>
      </c>
      <c r="B213" s="76" t="s">
        <v>2479</v>
      </c>
      <c r="C213" s="76"/>
      <c r="D213" s="76" t="s">
        <v>2480</v>
      </c>
      <c r="E213" s="76" t="s">
        <v>2032</v>
      </c>
      <c r="F213" s="76" t="s">
        <v>2033</v>
      </c>
    </row>
    <row r="214" spans="1:6" ht="63.95" customHeight="1">
      <c r="A214" s="76" t="s">
        <v>1853</v>
      </c>
      <c r="B214" s="76" t="s">
        <v>2481</v>
      </c>
      <c r="C214" s="76"/>
      <c r="D214" s="76" t="s">
        <v>2482</v>
      </c>
      <c r="E214" s="76" t="s">
        <v>2032</v>
      </c>
      <c r="F214" s="76" t="s">
        <v>2033</v>
      </c>
    </row>
    <row r="215" spans="1:6" ht="63.95" customHeight="1">
      <c r="A215" s="76" t="s">
        <v>1853</v>
      </c>
      <c r="B215" s="76" t="s">
        <v>2483</v>
      </c>
      <c r="C215" s="76" t="s">
        <v>2484</v>
      </c>
      <c r="D215" s="76" t="s">
        <v>2485</v>
      </c>
      <c r="E215" s="76" t="s">
        <v>2032</v>
      </c>
      <c r="F215" s="76" t="s">
        <v>2033</v>
      </c>
    </row>
    <row r="216" spans="1:6" ht="63.95" customHeight="1">
      <c r="A216" s="76" t="s">
        <v>1853</v>
      </c>
      <c r="B216" s="76" t="s">
        <v>2486</v>
      </c>
      <c r="C216" s="76"/>
      <c r="D216" s="76" t="s">
        <v>2487</v>
      </c>
      <c r="E216" s="76" t="s">
        <v>2032</v>
      </c>
      <c r="F216" s="76" t="s">
        <v>2033</v>
      </c>
    </row>
    <row r="217" spans="1:6" ht="63.95" customHeight="1">
      <c r="A217" s="76" t="s">
        <v>1853</v>
      </c>
      <c r="B217" s="76" t="s">
        <v>2488</v>
      </c>
      <c r="C217" s="76"/>
      <c r="D217" s="76" t="s">
        <v>2489</v>
      </c>
      <c r="E217" s="76" t="s">
        <v>2032</v>
      </c>
      <c r="F217" s="76" t="s">
        <v>2033</v>
      </c>
    </row>
    <row r="218" spans="1:6" ht="63.95" customHeight="1">
      <c r="A218" s="76" t="s">
        <v>1853</v>
      </c>
      <c r="B218" s="76" t="s">
        <v>2490</v>
      </c>
      <c r="C218" s="76" t="s">
        <v>2491</v>
      </c>
      <c r="D218" s="76" t="s">
        <v>2492</v>
      </c>
      <c r="E218" s="76" t="s">
        <v>2032</v>
      </c>
      <c r="F218" s="76" t="s">
        <v>2033</v>
      </c>
    </row>
    <row r="219" spans="1:6" ht="63.95" customHeight="1">
      <c r="A219" s="76" t="s">
        <v>1853</v>
      </c>
      <c r="B219" s="76" t="s">
        <v>2493</v>
      </c>
      <c r="C219" s="76"/>
      <c r="D219" s="76" t="s">
        <v>2494</v>
      </c>
      <c r="E219" s="76" t="s">
        <v>2032</v>
      </c>
      <c r="F219" s="76" t="s">
        <v>2033</v>
      </c>
    </row>
    <row r="220" spans="1:6" ht="63.95" customHeight="1">
      <c r="A220" s="76" t="s">
        <v>1853</v>
      </c>
      <c r="B220" s="76" t="s">
        <v>2495</v>
      </c>
      <c r="C220" s="76"/>
      <c r="D220" s="76" t="s">
        <v>2496</v>
      </c>
      <c r="E220" s="76" t="s">
        <v>2032</v>
      </c>
      <c r="F220" s="76" t="s">
        <v>2033</v>
      </c>
    </row>
    <row r="221" spans="1:6" ht="63.95" customHeight="1">
      <c r="A221" s="76" t="s">
        <v>1853</v>
      </c>
      <c r="B221" s="76" t="s">
        <v>2497</v>
      </c>
      <c r="C221" s="76" t="s">
        <v>2498</v>
      </c>
      <c r="D221" s="76" t="s">
        <v>2499</v>
      </c>
      <c r="E221" s="76" t="s">
        <v>2032</v>
      </c>
      <c r="F221" s="76" t="s">
        <v>2033</v>
      </c>
    </row>
    <row r="222" spans="1:6" ht="63.95" customHeight="1">
      <c r="A222" s="76" t="s">
        <v>1853</v>
      </c>
      <c r="B222" s="76" t="s">
        <v>2500</v>
      </c>
      <c r="C222" s="76"/>
      <c r="D222" s="76" t="s">
        <v>2501</v>
      </c>
      <c r="E222" s="76" t="s">
        <v>2032</v>
      </c>
      <c r="F222" s="76" t="s">
        <v>2033</v>
      </c>
    </row>
    <row r="223" spans="1:6" ht="63.95" customHeight="1">
      <c r="A223" s="76" t="s">
        <v>1853</v>
      </c>
      <c r="B223" s="76" t="s">
        <v>2502</v>
      </c>
      <c r="C223" s="76"/>
      <c r="D223" s="76" t="s">
        <v>2503</v>
      </c>
      <c r="E223" s="76" t="s">
        <v>2032</v>
      </c>
      <c r="F223" s="76" t="s">
        <v>2033</v>
      </c>
    </row>
    <row r="224" spans="1:6" ht="63.95" customHeight="1">
      <c r="A224" s="76" t="s">
        <v>1853</v>
      </c>
      <c r="B224" s="76" t="s">
        <v>2504</v>
      </c>
      <c r="C224" s="76" t="s">
        <v>1459</v>
      </c>
      <c r="D224" s="76" t="s">
        <v>2348</v>
      </c>
      <c r="E224" s="76" t="s">
        <v>2349</v>
      </c>
      <c r="F224" s="76" t="s">
        <v>2350</v>
      </c>
    </row>
    <row r="225" spans="1:6" ht="63.95" customHeight="1">
      <c r="A225" s="76" t="s">
        <v>1853</v>
      </c>
      <c r="B225" s="76" t="s">
        <v>2505</v>
      </c>
      <c r="C225" s="76" t="s">
        <v>2506</v>
      </c>
      <c r="D225" s="76" t="s">
        <v>2507</v>
      </c>
      <c r="E225" s="76" t="s">
        <v>2032</v>
      </c>
      <c r="F225" s="76" t="s">
        <v>2033</v>
      </c>
    </row>
    <row r="226" spans="1:6" ht="63.95" customHeight="1">
      <c r="A226" s="76" t="s">
        <v>1853</v>
      </c>
      <c r="B226" s="76" t="s">
        <v>2508</v>
      </c>
      <c r="C226" s="76" t="s">
        <v>1420</v>
      </c>
      <c r="D226" s="76" t="s">
        <v>1472</v>
      </c>
      <c r="E226" s="76" t="s">
        <v>2355</v>
      </c>
      <c r="F226" s="76" t="s">
        <v>2509</v>
      </c>
    </row>
    <row r="227" spans="1:6" ht="63.95" customHeight="1">
      <c r="A227" s="76" t="s">
        <v>1853</v>
      </c>
      <c r="B227" s="76" t="s">
        <v>2510</v>
      </c>
      <c r="C227" s="76"/>
      <c r="D227" s="76" t="s">
        <v>2511</v>
      </c>
      <c r="E227" s="76" t="s">
        <v>2032</v>
      </c>
      <c r="F227" s="76" t="s">
        <v>2033</v>
      </c>
    </row>
    <row r="228" spans="1:6" ht="63.95" customHeight="1">
      <c r="A228" s="76" t="s">
        <v>1853</v>
      </c>
      <c r="B228" s="76" t="s">
        <v>2512</v>
      </c>
      <c r="C228" s="76"/>
      <c r="D228" s="76" t="s">
        <v>2513</v>
      </c>
      <c r="E228" s="76" t="s">
        <v>2032</v>
      </c>
      <c r="F228" s="76" t="s">
        <v>2033</v>
      </c>
    </row>
    <row r="229" spans="1:6" ht="63.95" customHeight="1">
      <c r="A229" s="76" t="s">
        <v>1853</v>
      </c>
      <c r="B229" s="76" t="s">
        <v>2514</v>
      </c>
      <c r="C229" s="76" t="s">
        <v>2515</v>
      </c>
      <c r="D229" s="76" t="s">
        <v>2026</v>
      </c>
      <c r="E229" s="76" t="s">
        <v>2027</v>
      </c>
      <c r="F229" s="76" t="s">
        <v>2028</v>
      </c>
    </row>
    <row r="230" spans="1:6" ht="63.95" customHeight="1">
      <c r="A230" s="76" t="s">
        <v>1853</v>
      </c>
      <c r="B230" s="76" t="s">
        <v>2516</v>
      </c>
      <c r="C230" s="76" t="s">
        <v>2517</v>
      </c>
      <c r="D230" s="76" t="s">
        <v>2518</v>
      </c>
      <c r="E230" s="76" t="s">
        <v>2032</v>
      </c>
      <c r="F230" s="76" t="s">
        <v>2033</v>
      </c>
    </row>
    <row r="231" spans="1:6" ht="63.95" customHeight="1">
      <c r="A231" s="76" t="s">
        <v>1853</v>
      </c>
      <c r="B231" s="76" t="s">
        <v>2519</v>
      </c>
      <c r="C231" s="76"/>
      <c r="D231" s="76" t="s">
        <v>2520</v>
      </c>
      <c r="E231" s="76" t="s">
        <v>2032</v>
      </c>
      <c r="F231" s="76" t="s">
        <v>2033</v>
      </c>
    </row>
    <row r="232" spans="1:6" ht="63.95" customHeight="1">
      <c r="A232" s="76" t="s">
        <v>1853</v>
      </c>
      <c r="B232" s="76" t="s">
        <v>2521</v>
      </c>
      <c r="C232" s="76"/>
      <c r="D232" s="76" t="s">
        <v>2522</v>
      </c>
      <c r="E232" s="76" t="s">
        <v>2032</v>
      </c>
      <c r="F232" s="76" t="s">
        <v>2033</v>
      </c>
    </row>
    <row r="233" spans="1:6" ht="63.95" customHeight="1">
      <c r="A233" s="76" t="s">
        <v>1853</v>
      </c>
      <c r="B233" s="76" t="s">
        <v>2523</v>
      </c>
      <c r="C233" s="76" t="s">
        <v>2524</v>
      </c>
      <c r="D233" s="76" t="s">
        <v>2026</v>
      </c>
      <c r="E233" s="76" t="s">
        <v>2027</v>
      </c>
      <c r="F233" s="76" t="s">
        <v>2028</v>
      </c>
    </row>
    <row r="234" spans="1:6" ht="63.95" customHeight="1">
      <c r="A234" s="76" t="s">
        <v>1853</v>
      </c>
      <c r="B234" s="76" t="s">
        <v>2525</v>
      </c>
      <c r="C234" s="76" t="s">
        <v>2526</v>
      </c>
      <c r="D234" s="76" t="s">
        <v>2527</v>
      </c>
      <c r="E234" s="76" t="s">
        <v>2032</v>
      </c>
      <c r="F234" s="76" t="s">
        <v>2033</v>
      </c>
    </row>
    <row r="235" spans="1:6" ht="63.95" customHeight="1">
      <c r="A235" s="76" t="s">
        <v>1853</v>
      </c>
      <c r="B235" s="76" t="s">
        <v>2528</v>
      </c>
      <c r="C235" s="76"/>
      <c r="D235" s="76" t="s">
        <v>2529</v>
      </c>
      <c r="E235" s="76" t="s">
        <v>2032</v>
      </c>
      <c r="F235" s="76" t="s">
        <v>2033</v>
      </c>
    </row>
    <row r="236" spans="1:6" ht="63.95" customHeight="1">
      <c r="A236" s="76" t="s">
        <v>1853</v>
      </c>
      <c r="B236" s="76" t="s">
        <v>2530</v>
      </c>
      <c r="C236" s="76"/>
      <c r="D236" s="76" t="s">
        <v>2531</v>
      </c>
      <c r="E236" s="76" t="s">
        <v>2032</v>
      </c>
      <c r="F236" s="76" t="s">
        <v>2033</v>
      </c>
    </row>
    <row r="237" spans="1:6" ht="63.95" customHeight="1">
      <c r="A237" s="76" t="s">
        <v>1853</v>
      </c>
      <c r="B237" s="76" t="s">
        <v>2532</v>
      </c>
      <c r="C237" s="76"/>
      <c r="D237" s="76" t="s">
        <v>2533</v>
      </c>
      <c r="E237" s="76" t="s">
        <v>2534</v>
      </c>
      <c r="F237" s="76" t="s">
        <v>2410</v>
      </c>
    </row>
    <row r="238" spans="1:6" ht="63.95" customHeight="1">
      <c r="A238" s="76" t="s">
        <v>1853</v>
      </c>
      <c r="B238" s="76" t="s">
        <v>2535</v>
      </c>
      <c r="C238" s="76"/>
      <c r="D238" s="76" t="s">
        <v>2536</v>
      </c>
      <c r="E238" s="76" t="s">
        <v>2537</v>
      </c>
      <c r="F238" s="76" t="s">
        <v>2410</v>
      </c>
    </row>
    <row r="239" spans="1:6" ht="63.95" customHeight="1">
      <c r="A239" s="76" t="s">
        <v>1853</v>
      </c>
      <c r="B239" s="76" t="s">
        <v>2538</v>
      </c>
      <c r="C239" s="76" t="s">
        <v>1459</v>
      </c>
      <c r="D239" s="76" t="s">
        <v>2348</v>
      </c>
      <c r="E239" s="76" t="s">
        <v>2349</v>
      </c>
      <c r="F239" s="76" t="s">
        <v>2350</v>
      </c>
    </row>
    <row r="240" spans="1:6" ht="63.95" customHeight="1">
      <c r="A240" s="76" t="s">
        <v>1853</v>
      </c>
      <c r="B240" s="76" t="s">
        <v>2539</v>
      </c>
      <c r="C240" s="76" t="s">
        <v>2540</v>
      </c>
      <c r="D240" s="76" t="s">
        <v>2541</v>
      </c>
      <c r="E240" s="76" t="s">
        <v>2032</v>
      </c>
      <c r="F240" s="76" t="s">
        <v>2033</v>
      </c>
    </row>
    <row r="241" spans="1:6" ht="63.95" customHeight="1">
      <c r="A241" s="76" t="s">
        <v>1853</v>
      </c>
      <c r="B241" s="76" t="s">
        <v>2542</v>
      </c>
      <c r="C241" s="76" t="s">
        <v>1471</v>
      </c>
      <c r="D241" s="76" t="s">
        <v>2543</v>
      </c>
      <c r="E241" s="76" t="s">
        <v>2409</v>
      </c>
      <c r="F241" s="76" t="s">
        <v>2410</v>
      </c>
    </row>
    <row r="242" spans="1:6" ht="63.95" customHeight="1">
      <c r="A242" s="76" t="s">
        <v>1853</v>
      </c>
      <c r="B242" s="76" t="s">
        <v>2544</v>
      </c>
      <c r="C242" s="76" t="s">
        <v>1418</v>
      </c>
      <c r="D242" s="76" t="s">
        <v>2536</v>
      </c>
      <c r="E242" s="76" t="s">
        <v>2545</v>
      </c>
      <c r="F242" s="76" t="s">
        <v>2410</v>
      </c>
    </row>
    <row r="243" spans="1:6" ht="63.95" customHeight="1">
      <c r="A243" s="76" t="s">
        <v>1853</v>
      </c>
      <c r="B243" s="76" t="s">
        <v>2546</v>
      </c>
      <c r="C243" s="76" t="s">
        <v>1420</v>
      </c>
      <c r="D243" s="76" t="s">
        <v>1472</v>
      </c>
      <c r="E243" s="76" t="s">
        <v>2355</v>
      </c>
      <c r="F243" s="76" t="s">
        <v>2547</v>
      </c>
    </row>
    <row r="244" spans="1:6" ht="63.95" customHeight="1">
      <c r="A244" s="76" t="s">
        <v>1853</v>
      </c>
      <c r="B244" s="76" t="s">
        <v>2548</v>
      </c>
      <c r="C244" s="76"/>
      <c r="D244" s="76" t="s">
        <v>2549</v>
      </c>
      <c r="E244" s="76" t="s">
        <v>2032</v>
      </c>
      <c r="F244" s="76" t="s">
        <v>2033</v>
      </c>
    </row>
    <row r="245" spans="1:6" ht="63.95" customHeight="1">
      <c r="A245" s="76" t="s">
        <v>1853</v>
      </c>
      <c r="B245" s="76" t="s">
        <v>2550</v>
      </c>
      <c r="C245" s="76"/>
      <c r="D245" s="76" t="s">
        <v>2551</v>
      </c>
      <c r="E245" s="76" t="s">
        <v>2032</v>
      </c>
      <c r="F245" s="76" t="s">
        <v>2033</v>
      </c>
    </row>
    <row r="246" spans="1:6" ht="63.95" customHeight="1">
      <c r="A246" s="76" t="s">
        <v>1853</v>
      </c>
      <c r="B246" s="76" t="s">
        <v>2552</v>
      </c>
      <c r="C246" s="76" t="s">
        <v>2515</v>
      </c>
      <c r="D246" s="76" t="s">
        <v>2026</v>
      </c>
      <c r="E246" s="76" t="s">
        <v>2027</v>
      </c>
      <c r="F246" s="76" t="s">
        <v>2028</v>
      </c>
    </row>
    <row r="247" spans="1:6" ht="63.95" customHeight="1">
      <c r="A247" s="76" t="s">
        <v>1853</v>
      </c>
      <c r="B247" s="76" t="s">
        <v>2553</v>
      </c>
      <c r="C247" s="76" t="s">
        <v>2554</v>
      </c>
      <c r="D247" s="76" t="s">
        <v>2555</v>
      </c>
      <c r="E247" s="76" t="s">
        <v>2032</v>
      </c>
      <c r="F247" s="76" t="s">
        <v>2033</v>
      </c>
    </row>
    <row r="248" spans="1:6" ht="63.95" customHeight="1">
      <c r="A248" s="76" t="s">
        <v>1853</v>
      </c>
      <c r="B248" s="76" t="s">
        <v>2556</v>
      </c>
      <c r="C248" s="76"/>
      <c r="D248" s="76" t="s">
        <v>2557</v>
      </c>
      <c r="E248" s="76" t="s">
        <v>2032</v>
      </c>
      <c r="F248" s="76" t="s">
        <v>2033</v>
      </c>
    </row>
    <row r="249" spans="1:6" ht="63.95" customHeight="1">
      <c r="A249" s="76" t="s">
        <v>1853</v>
      </c>
      <c r="B249" s="76" t="s">
        <v>2558</v>
      </c>
      <c r="C249" s="76"/>
      <c r="D249" s="76" t="s">
        <v>2559</v>
      </c>
      <c r="E249" s="76" t="s">
        <v>2032</v>
      </c>
      <c r="F249" s="76" t="s">
        <v>2033</v>
      </c>
    </row>
    <row r="250" spans="1:6" ht="63.95" customHeight="1">
      <c r="A250" s="76" t="s">
        <v>1853</v>
      </c>
      <c r="B250" s="76" t="s">
        <v>2560</v>
      </c>
      <c r="C250" s="76" t="s">
        <v>2561</v>
      </c>
      <c r="D250" s="76" t="s">
        <v>2562</v>
      </c>
      <c r="E250" s="76" t="s">
        <v>2032</v>
      </c>
      <c r="F250" s="76" t="s">
        <v>2033</v>
      </c>
    </row>
    <row r="251" spans="1:6" ht="63.95" customHeight="1">
      <c r="A251" s="76" t="s">
        <v>1853</v>
      </c>
      <c r="B251" s="76" t="s">
        <v>2563</v>
      </c>
      <c r="C251" s="76" t="s">
        <v>1429</v>
      </c>
      <c r="D251" s="76" t="s">
        <v>2564</v>
      </c>
      <c r="E251" s="76" t="s">
        <v>2565</v>
      </c>
      <c r="F251" s="76" t="s">
        <v>2410</v>
      </c>
    </row>
    <row r="252" spans="1:6" ht="63.95" customHeight="1">
      <c r="A252" s="76" t="s">
        <v>1853</v>
      </c>
      <c r="B252" s="76" t="s">
        <v>2566</v>
      </c>
      <c r="C252" s="76"/>
      <c r="D252" s="76" t="s">
        <v>2567</v>
      </c>
      <c r="E252" s="76" t="s">
        <v>2032</v>
      </c>
      <c r="F252" s="76" t="s">
        <v>2033</v>
      </c>
    </row>
    <row r="253" spans="1:6" ht="63.95" customHeight="1">
      <c r="A253" s="76" t="s">
        <v>1853</v>
      </c>
      <c r="B253" s="76" t="s">
        <v>2568</v>
      </c>
      <c r="C253" s="76"/>
      <c r="D253" s="76" t="s">
        <v>2569</v>
      </c>
      <c r="E253" s="76" t="s">
        <v>2032</v>
      </c>
      <c r="F253" s="76" t="s">
        <v>2033</v>
      </c>
    </row>
    <row r="254" spans="1:6" ht="63.95" customHeight="1">
      <c r="A254" s="76" t="s">
        <v>1853</v>
      </c>
      <c r="B254" s="76" t="s">
        <v>2570</v>
      </c>
      <c r="C254" s="76" t="s">
        <v>2571</v>
      </c>
      <c r="D254" s="76" t="s">
        <v>2572</v>
      </c>
      <c r="E254" s="76" t="s">
        <v>2032</v>
      </c>
      <c r="F254" s="76" t="s">
        <v>2033</v>
      </c>
    </row>
    <row r="255" spans="1:6" ht="63.95" customHeight="1">
      <c r="A255" s="76" t="s">
        <v>1853</v>
      </c>
      <c r="B255" s="76" t="s">
        <v>2573</v>
      </c>
      <c r="C255" s="76"/>
      <c r="D255" s="76" t="s">
        <v>2574</v>
      </c>
      <c r="E255" s="76" t="s">
        <v>2032</v>
      </c>
      <c r="F255" s="76" t="s">
        <v>2033</v>
      </c>
    </row>
    <row r="256" spans="1:6" ht="63.95" customHeight="1">
      <c r="A256" s="76" t="s">
        <v>1853</v>
      </c>
      <c r="B256" s="76" t="s">
        <v>2575</v>
      </c>
      <c r="C256" s="76"/>
      <c r="D256" s="76" t="s">
        <v>2576</v>
      </c>
      <c r="E256" s="76" t="s">
        <v>2032</v>
      </c>
      <c r="F256" s="76" t="s">
        <v>2033</v>
      </c>
    </row>
    <row r="257" spans="1:6" ht="63.95" customHeight="1">
      <c r="A257" s="76" t="s">
        <v>1853</v>
      </c>
      <c r="B257" s="76" t="s">
        <v>2577</v>
      </c>
      <c r="C257" s="76" t="s">
        <v>2578</v>
      </c>
      <c r="D257" s="76" t="s">
        <v>2026</v>
      </c>
      <c r="E257" s="76" t="s">
        <v>2027</v>
      </c>
      <c r="F257" s="76" t="s">
        <v>2028</v>
      </c>
    </row>
    <row r="258" spans="1:6" ht="63.95" customHeight="1">
      <c r="A258" s="76" t="s">
        <v>1853</v>
      </c>
      <c r="B258" s="76" t="s">
        <v>2579</v>
      </c>
      <c r="C258" s="76" t="s">
        <v>2580</v>
      </c>
      <c r="D258" s="76" t="s">
        <v>2581</v>
      </c>
      <c r="E258" s="76" t="s">
        <v>2032</v>
      </c>
      <c r="F258" s="76" t="s">
        <v>2033</v>
      </c>
    </row>
    <row r="259" spans="1:6" ht="63.95" customHeight="1">
      <c r="A259" s="76" t="s">
        <v>1853</v>
      </c>
      <c r="B259" s="76" t="s">
        <v>2582</v>
      </c>
      <c r="C259" s="76"/>
      <c r="D259" s="76" t="s">
        <v>2583</v>
      </c>
      <c r="E259" s="76" t="s">
        <v>2032</v>
      </c>
      <c r="F259" s="76" t="s">
        <v>2033</v>
      </c>
    </row>
    <row r="260" spans="1:6" ht="63.95" customHeight="1">
      <c r="A260" s="76" t="s">
        <v>1853</v>
      </c>
      <c r="B260" s="76" t="s">
        <v>2584</v>
      </c>
      <c r="C260" s="76"/>
      <c r="D260" s="76" t="s">
        <v>2585</v>
      </c>
      <c r="E260" s="76" t="s">
        <v>2032</v>
      </c>
      <c r="F260" s="76" t="s">
        <v>2033</v>
      </c>
    </row>
    <row r="261" spans="1:6" ht="63.95" customHeight="1">
      <c r="A261" s="76" t="s">
        <v>1853</v>
      </c>
      <c r="B261" s="76" t="s">
        <v>2586</v>
      </c>
      <c r="C261" s="76" t="s">
        <v>537</v>
      </c>
      <c r="D261" s="76" t="s">
        <v>615</v>
      </c>
      <c r="E261" s="76" t="s">
        <v>2587</v>
      </c>
      <c r="F261" s="76" t="s">
        <v>2588</v>
      </c>
    </row>
    <row r="262" spans="1:6" ht="63.95" customHeight="1">
      <c r="A262" s="76" t="s">
        <v>1853</v>
      </c>
      <c r="B262" s="76" t="s">
        <v>2589</v>
      </c>
      <c r="C262" s="76" t="s">
        <v>2590</v>
      </c>
      <c r="D262" s="76" t="s">
        <v>2591</v>
      </c>
      <c r="E262" s="76" t="s">
        <v>2592</v>
      </c>
      <c r="F262" s="76" t="s">
        <v>2588</v>
      </c>
    </row>
    <row r="263" spans="1:6" ht="63.95" customHeight="1">
      <c r="A263" s="76" t="s">
        <v>1853</v>
      </c>
      <c r="B263" s="76" t="s">
        <v>2593</v>
      </c>
      <c r="C263" s="76"/>
      <c r="D263" s="76" t="s">
        <v>2594</v>
      </c>
      <c r="E263" s="76" t="s">
        <v>2534</v>
      </c>
      <c r="F263" s="76" t="s">
        <v>2588</v>
      </c>
    </row>
    <row r="264" spans="1:6" ht="63.95" customHeight="1">
      <c r="A264" s="76" t="s">
        <v>1853</v>
      </c>
      <c r="B264" s="76" t="s">
        <v>2595</v>
      </c>
      <c r="C264" s="76" t="s">
        <v>836</v>
      </c>
      <c r="D264" s="76"/>
      <c r="E264" s="76" t="s">
        <v>2596</v>
      </c>
      <c r="F264" s="76" t="s">
        <v>2597</v>
      </c>
    </row>
    <row r="265" spans="1:6" ht="63.95" customHeight="1">
      <c r="A265" s="76" t="s">
        <v>1853</v>
      </c>
      <c r="B265" s="76" t="s">
        <v>2598</v>
      </c>
      <c r="C265" s="76"/>
      <c r="D265" s="76" t="s">
        <v>2599</v>
      </c>
      <c r="E265" s="76" t="s">
        <v>2537</v>
      </c>
      <c r="F265" s="76" t="s">
        <v>2588</v>
      </c>
    </row>
    <row r="266" spans="1:6" ht="63.95" customHeight="1">
      <c r="A266" s="76" t="s">
        <v>1853</v>
      </c>
      <c r="B266" s="76" t="s">
        <v>2600</v>
      </c>
      <c r="C266" s="76" t="s">
        <v>1459</v>
      </c>
      <c r="D266" s="76" t="s">
        <v>2348</v>
      </c>
      <c r="E266" s="76" t="s">
        <v>2349</v>
      </c>
      <c r="F266" s="76" t="s">
        <v>2350</v>
      </c>
    </row>
    <row r="267" spans="1:6" ht="63.95" customHeight="1">
      <c r="A267" s="76" t="s">
        <v>1853</v>
      </c>
      <c r="B267" s="76" t="s">
        <v>2601</v>
      </c>
      <c r="C267" s="76" t="s">
        <v>2602</v>
      </c>
      <c r="D267" s="76" t="s">
        <v>2603</v>
      </c>
      <c r="E267" s="76" t="s">
        <v>2032</v>
      </c>
      <c r="F267" s="76" t="s">
        <v>2033</v>
      </c>
    </row>
    <row r="268" spans="1:6" ht="63.95" customHeight="1">
      <c r="A268" s="76" t="s">
        <v>1853</v>
      </c>
      <c r="B268" s="76" t="s">
        <v>2604</v>
      </c>
      <c r="C268" s="76" t="s">
        <v>1429</v>
      </c>
      <c r="D268" s="76" t="s">
        <v>2605</v>
      </c>
      <c r="E268" s="76" t="s">
        <v>2409</v>
      </c>
      <c r="F268" s="76" t="s">
        <v>2588</v>
      </c>
    </row>
    <row r="269" spans="1:6" ht="63.95" customHeight="1">
      <c r="A269" s="76" t="s">
        <v>1853</v>
      </c>
      <c r="B269" s="76" t="s">
        <v>2606</v>
      </c>
      <c r="C269" s="76" t="s">
        <v>1418</v>
      </c>
      <c r="D269" s="76" t="s">
        <v>2599</v>
      </c>
      <c r="E269" s="76" t="s">
        <v>2545</v>
      </c>
      <c r="F269" s="76" t="s">
        <v>2588</v>
      </c>
    </row>
    <row r="270" spans="1:6" ht="63.95" customHeight="1">
      <c r="A270" s="76" t="s">
        <v>1853</v>
      </c>
      <c r="B270" s="76" t="s">
        <v>2607</v>
      </c>
      <c r="C270" s="76" t="s">
        <v>1420</v>
      </c>
      <c r="D270" s="76" t="s">
        <v>1472</v>
      </c>
      <c r="E270" s="76" t="s">
        <v>2355</v>
      </c>
      <c r="F270" s="76" t="s">
        <v>2608</v>
      </c>
    </row>
    <row r="271" spans="1:6" ht="63.95" customHeight="1">
      <c r="A271" s="76" t="s">
        <v>1853</v>
      </c>
      <c r="B271" s="76" t="s">
        <v>2609</v>
      </c>
      <c r="C271" s="76"/>
      <c r="D271" s="76" t="s">
        <v>2610</v>
      </c>
      <c r="E271" s="76" t="s">
        <v>2032</v>
      </c>
      <c r="F271" s="76" t="s">
        <v>2033</v>
      </c>
    </row>
    <row r="272" spans="1:6" ht="63.95" customHeight="1">
      <c r="A272" s="76" t="s">
        <v>1853</v>
      </c>
      <c r="B272" s="76" t="s">
        <v>2611</v>
      </c>
      <c r="C272" s="76"/>
      <c r="D272" s="76" t="s">
        <v>2612</v>
      </c>
      <c r="E272" s="76" t="s">
        <v>2032</v>
      </c>
      <c r="F272" s="76" t="s">
        <v>2033</v>
      </c>
    </row>
    <row r="273" spans="1:6" ht="63.95" customHeight="1">
      <c r="A273" s="76" t="s">
        <v>1853</v>
      </c>
      <c r="B273" s="76" t="s">
        <v>2613</v>
      </c>
      <c r="C273" s="76" t="s">
        <v>2614</v>
      </c>
      <c r="D273" s="76" t="s">
        <v>2615</v>
      </c>
      <c r="E273" s="76" t="s">
        <v>2032</v>
      </c>
      <c r="F273" s="76" t="s">
        <v>2033</v>
      </c>
    </row>
    <row r="274" spans="1:6" ht="63.95" customHeight="1">
      <c r="A274" s="76" t="s">
        <v>1853</v>
      </c>
      <c r="B274" s="76" t="s">
        <v>2616</v>
      </c>
      <c r="C274" s="76"/>
      <c r="D274" s="76" t="s">
        <v>2617</v>
      </c>
      <c r="E274" s="76" t="s">
        <v>2032</v>
      </c>
      <c r="F274" s="76" t="s">
        <v>2033</v>
      </c>
    </row>
    <row r="275" spans="1:6" ht="63.95" customHeight="1">
      <c r="A275" s="76" t="s">
        <v>1853</v>
      </c>
      <c r="B275" s="76" t="s">
        <v>2618</v>
      </c>
      <c r="C275" s="76"/>
      <c r="D275" s="76" t="s">
        <v>2619</v>
      </c>
      <c r="E275" s="76" t="s">
        <v>2032</v>
      </c>
      <c r="F275" s="76" t="s">
        <v>2033</v>
      </c>
    </row>
    <row r="276" spans="1:6" ht="63.95" customHeight="1">
      <c r="A276" s="76" t="s">
        <v>1853</v>
      </c>
      <c r="B276" s="76" t="s">
        <v>2620</v>
      </c>
      <c r="C276" s="76"/>
      <c r="D276" s="76" t="s">
        <v>1446</v>
      </c>
      <c r="E276" s="76" t="s">
        <v>2534</v>
      </c>
      <c r="F276" s="76" t="s">
        <v>2248</v>
      </c>
    </row>
    <row r="277" spans="1:6" ht="63.95" customHeight="1">
      <c r="A277" s="76" t="s">
        <v>1853</v>
      </c>
      <c r="B277" s="76" t="s">
        <v>2621</v>
      </c>
      <c r="C277" s="76" t="s">
        <v>1499</v>
      </c>
      <c r="D277" s="76" t="s">
        <v>1990</v>
      </c>
      <c r="E277" s="76" t="s">
        <v>2537</v>
      </c>
      <c r="F277" s="76" t="s">
        <v>2248</v>
      </c>
    </row>
    <row r="278" spans="1:6" ht="63.95" customHeight="1">
      <c r="A278" s="76" t="s">
        <v>1853</v>
      </c>
      <c r="B278" s="76" t="s">
        <v>2622</v>
      </c>
      <c r="C278" s="76" t="s">
        <v>2623</v>
      </c>
      <c r="D278" s="76" t="s">
        <v>2624</v>
      </c>
      <c r="E278" s="76" t="s">
        <v>2032</v>
      </c>
      <c r="F278" s="76" t="s">
        <v>2033</v>
      </c>
    </row>
    <row r="279" spans="1:6" ht="63.95" customHeight="1">
      <c r="A279" s="76" t="s">
        <v>1853</v>
      </c>
      <c r="B279" s="76" t="s">
        <v>2625</v>
      </c>
      <c r="C279" s="76" t="s">
        <v>1504</v>
      </c>
      <c r="D279" s="76" t="s">
        <v>2626</v>
      </c>
      <c r="E279" s="76" t="s">
        <v>2409</v>
      </c>
      <c r="F279" s="76" t="s">
        <v>2248</v>
      </c>
    </row>
    <row r="280" spans="1:6" ht="63.95" customHeight="1">
      <c r="A280" s="76" t="s">
        <v>1853</v>
      </c>
      <c r="B280" s="76" t="s">
        <v>2627</v>
      </c>
      <c r="C280" s="76" t="s">
        <v>1506</v>
      </c>
      <c r="D280" s="76" t="s">
        <v>1990</v>
      </c>
      <c r="E280" s="76" t="s">
        <v>2545</v>
      </c>
      <c r="F280" s="76" t="s">
        <v>2248</v>
      </c>
    </row>
    <row r="281" spans="1:6" ht="63.95" customHeight="1">
      <c r="A281" s="76" t="s">
        <v>1853</v>
      </c>
      <c r="B281" s="76" t="s">
        <v>2628</v>
      </c>
      <c r="C281" s="76"/>
      <c r="D281" s="76" t="s">
        <v>2246</v>
      </c>
      <c r="E281" s="76" t="s">
        <v>2629</v>
      </c>
      <c r="F281" s="76" t="s">
        <v>2248</v>
      </c>
    </row>
    <row r="282" spans="1:6" ht="63.95" customHeight="1">
      <c r="A282" s="76" t="s">
        <v>1853</v>
      </c>
      <c r="B282" s="76" t="s">
        <v>2630</v>
      </c>
      <c r="C282" s="76"/>
      <c r="D282" s="76" t="s">
        <v>2631</v>
      </c>
      <c r="E282" s="76" t="s">
        <v>2032</v>
      </c>
      <c r="F282" s="76" t="s">
        <v>2033</v>
      </c>
    </row>
    <row r="283" spans="1:6" ht="63.95" customHeight="1">
      <c r="A283" s="76" t="s">
        <v>1853</v>
      </c>
      <c r="B283" s="76" t="s">
        <v>2632</v>
      </c>
      <c r="C283" s="76"/>
      <c r="D283" s="76" t="s">
        <v>2633</v>
      </c>
      <c r="E283" s="76" t="s">
        <v>2032</v>
      </c>
      <c r="F283" s="76" t="s">
        <v>2033</v>
      </c>
    </row>
    <row r="284" spans="1:6" ht="63.95" customHeight="1">
      <c r="A284" s="76" t="s">
        <v>1853</v>
      </c>
      <c r="B284" s="76" t="s">
        <v>2634</v>
      </c>
      <c r="C284" s="76" t="s">
        <v>2635</v>
      </c>
      <c r="D284" s="76" t="s">
        <v>2636</v>
      </c>
      <c r="E284" s="76" t="s">
        <v>2032</v>
      </c>
      <c r="F284" s="76" t="s">
        <v>2033</v>
      </c>
    </row>
    <row r="285" spans="1:6" ht="63.95" customHeight="1">
      <c r="A285" s="76" t="s">
        <v>1853</v>
      </c>
      <c r="B285" s="76" t="s">
        <v>2637</v>
      </c>
      <c r="C285" s="76"/>
      <c r="D285" s="76" t="s">
        <v>2638</v>
      </c>
      <c r="E285" s="76" t="s">
        <v>2032</v>
      </c>
      <c r="F285" s="76" t="s">
        <v>2033</v>
      </c>
    </row>
    <row r="286" spans="1:6" ht="63.95" customHeight="1">
      <c r="A286" s="76" t="s">
        <v>1853</v>
      </c>
      <c r="B286" s="76" t="s">
        <v>2639</v>
      </c>
      <c r="C286" s="76"/>
      <c r="D286" s="76" t="s">
        <v>2640</v>
      </c>
      <c r="E286" s="76" t="s">
        <v>2032</v>
      </c>
      <c r="F286" s="76" t="s">
        <v>2033</v>
      </c>
    </row>
    <row r="287" spans="1:6" ht="63.95" customHeight="1">
      <c r="A287" s="76" t="s">
        <v>1853</v>
      </c>
      <c r="B287" s="76" t="s">
        <v>2641</v>
      </c>
      <c r="C287" s="76" t="s">
        <v>2642</v>
      </c>
      <c r="D287" s="76" t="s">
        <v>2643</v>
      </c>
      <c r="E287" s="76" t="s">
        <v>2032</v>
      </c>
      <c r="F287" s="76" t="s">
        <v>2033</v>
      </c>
    </row>
    <row r="288" spans="1:6" ht="63.95" customHeight="1">
      <c r="A288" s="76" t="s">
        <v>1853</v>
      </c>
      <c r="B288" s="76" t="s">
        <v>2644</v>
      </c>
      <c r="C288" s="76"/>
      <c r="D288" s="76" t="s">
        <v>2645</v>
      </c>
      <c r="E288" s="76" t="s">
        <v>2032</v>
      </c>
      <c r="F288" s="76" t="s">
        <v>2033</v>
      </c>
    </row>
    <row r="289" spans="1:6" ht="63.95" customHeight="1">
      <c r="A289" s="76" t="s">
        <v>1853</v>
      </c>
      <c r="B289" s="76" t="s">
        <v>2646</v>
      </c>
      <c r="C289" s="76"/>
      <c r="D289" s="76" t="s">
        <v>2647</v>
      </c>
      <c r="E289" s="76" t="s">
        <v>2032</v>
      </c>
      <c r="F289" s="76" t="s">
        <v>2033</v>
      </c>
    </row>
    <row r="290" spans="1:6" ht="63.95" customHeight="1">
      <c r="A290" s="76" t="s">
        <v>1853</v>
      </c>
      <c r="B290" s="76" t="s">
        <v>2648</v>
      </c>
      <c r="C290" s="76" t="s">
        <v>2649</v>
      </c>
      <c r="D290" s="76" t="s">
        <v>2650</v>
      </c>
      <c r="E290" s="76" t="s">
        <v>2032</v>
      </c>
      <c r="F290" s="76" t="s">
        <v>2033</v>
      </c>
    </row>
    <row r="291" spans="1:6" ht="63.95" customHeight="1">
      <c r="A291" s="76" t="s">
        <v>1853</v>
      </c>
      <c r="B291" s="76" t="s">
        <v>2651</v>
      </c>
      <c r="C291" s="76"/>
      <c r="D291" s="76" t="s">
        <v>2652</v>
      </c>
      <c r="E291" s="76" t="s">
        <v>2032</v>
      </c>
      <c r="F291" s="76" t="s">
        <v>2033</v>
      </c>
    </row>
    <row r="292" spans="1:6" ht="63.95" customHeight="1">
      <c r="A292" s="76" t="s">
        <v>1853</v>
      </c>
      <c r="B292" s="76" t="s">
        <v>2653</v>
      </c>
      <c r="C292" s="76"/>
      <c r="D292" s="76" t="s">
        <v>2654</v>
      </c>
      <c r="E292" s="76" t="s">
        <v>2032</v>
      </c>
      <c r="F292" s="76" t="s">
        <v>2033</v>
      </c>
    </row>
    <row r="293" spans="1:6" ht="63.95" customHeight="1">
      <c r="A293" s="76" t="s">
        <v>1853</v>
      </c>
      <c r="B293" s="76" t="s">
        <v>2655</v>
      </c>
      <c r="C293" s="76" t="s">
        <v>2656</v>
      </c>
      <c r="D293" s="76" t="s">
        <v>2657</v>
      </c>
      <c r="E293" s="76" t="s">
        <v>2032</v>
      </c>
      <c r="F293" s="76" t="s">
        <v>2033</v>
      </c>
    </row>
    <row r="294" spans="1:6" ht="63.95" customHeight="1">
      <c r="A294" s="76" t="s">
        <v>1853</v>
      </c>
      <c r="B294" s="76" t="s">
        <v>2658</v>
      </c>
      <c r="C294" s="76"/>
      <c r="D294" s="76" t="s">
        <v>2659</v>
      </c>
      <c r="E294" s="76" t="s">
        <v>2032</v>
      </c>
      <c r="F294" s="76" t="s">
        <v>2033</v>
      </c>
    </row>
    <row r="295" spans="1:6" ht="63.95" customHeight="1">
      <c r="A295" s="76" t="s">
        <v>1853</v>
      </c>
      <c r="B295" s="76" t="s">
        <v>2660</v>
      </c>
      <c r="C295" s="76"/>
      <c r="D295" s="76" t="s">
        <v>2661</v>
      </c>
      <c r="E295" s="76" t="s">
        <v>2032</v>
      </c>
      <c r="F295" s="76" t="s">
        <v>2033</v>
      </c>
    </row>
    <row r="296" spans="1:6" ht="63.95" customHeight="1">
      <c r="A296" s="76" t="s">
        <v>1853</v>
      </c>
      <c r="B296" s="76" t="s">
        <v>2662</v>
      </c>
      <c r="C296" s="76" t="s">
        <v>2663</v>
      </c>
      <c r="D296" s="76" t="s">
        <v>2026</v>
      </c>
      <c r="E296" s="76" t="s">
        <v>2027</v>
      </c>
      <c r="F296" s="76" t="s">
        <v>2028</v>
      </c>
    </row>
    <row r="297" spans="1:6" ht="63.95" customHeight="1">
      <c r="A297" s="76" t="s">
        <v>1853</v>
      </c>
      <c r="B297" s="76" t="s">
        <v>2664</v>
      </c>
      <c r="C297" s="76" t="s">
        <v>2665</v>
      </c>
      <c r="D297" s="76" t="s">
        <v>2666</v>
      </c>
      <c r="E297" s="76" t="s">
        <v>2032</v>
      </c>
      <c r="F297" s="76" t="s">
        <v>2033</v>
      </c>
    </row>
    <row r="298" spans="1:6" ht="63.95" customHeight="1">
      <c r="A298" s="76" t="s">
        <v>1853</v>
      </c>
      <c r="B298" s="76" t="s">
        <v>2667</v>
      </c>
      <c r="C298" s="76"/>
      <c r="D298" s="76" t="s">
        <v>2668</v>
      </c>
      <c r="E298" s="76" t="s">
        <v>2032</v>
      </c>
      <c r="F298" s="76" t="s">
        <v>2033</v>
      </c>
    </row>
    <row r="299" spans="1:6" ht="63.95" customHeight="1">
      <c r="A299" s="76" t="s">
        <v>1853</v>
      </c>
      <c r="B299" s="76" t="s">
        <v>2669</v>
      </c>
      <c r="C299" s="76"/>
      <c r="D299" s="76" t="s">
        <v>2670</v>
      </c>
      <c r="E299" s="76" t="s">
        <v>2032</v>
      </c>
      <c r="F299" s="76" t="s">
        <v>2033</v>
      </c>
    </row>
    <row r="300" spans="1:6" ht="63.95" customHeight="1">
      <c r="A300" s="76" t="s">
        <v>1853</v>
      </c>
      <c r="B300" s="76" t="s">
        <v>2671</v>
      </c>
      <c r="C300" s="76" t="s">
        <v>2663</v>
      </c>
      <c r="D300" s="76" t="s">
        <v>2026</v>
      </c>
      <c r="E300" s="76" t="s">
        <v>2027</v>
      </c>
      <c r="F300" s="76" t="s">
        <v>2028</v>
      </c>
    </row>
    <row r="301" spans="1:6" ht="63.95" customHeight="1">
      <c r="A301" s="76" t="s">
        <v>1853</v>
      </c>
      <c r="B301" s="76" t="s">
        <v>2672</v>
      </c>
      <c r="C301" s="76" t="s">
        <v>2673</v>
      </c>
      <c r="D301" s="76" t="s">
        <v>2674</v>
      </c>
      <c r="E301" s="76" t="s">
        <v>2032</v>
      </c>
      <c r="F301" s="76" t="s">
        <v>2033</v>
      </c>
    </row>
    <row r="302" spans="1:6" ht="63.95" customHeight="1">
      <c r="A302" s="76" t="s">
        <v>1853</v>
      </c>
      <c r="B302" s="76" t="s">
        <v>2675</v>
      </c>
      <c r="C302" s="76"/>
      <c r="D302" s="76" t="s">
        <v>2676</v>
      </c>
      <c r="E302" s="76" t="s">
        <v>2032</v>
      </c>
      <c r="F302" s="76" t="s">
        <v>2033</v>
      </c>
    </row>
    <row r="303" spans="1:6" ht="63.95" customHeight="1">
      <c r="A303" s="76" t="s">
        <v>1853</v>
      </c>
      <c r="B303" s="76" t="s">
        <v>2677</v>
      </c>
      <c r="C303" s="76"/>
      <c r="D303" s="76" t="s">
        <v>2678</v>
      </c>
      <c r="E303" s="76" t="s">
        <v>2032</v>
      </c>
      <c r="F303" s="76" t="s">
        <v>2033</v>
      </c>
    </row>
    <row r="304" spans="1:6" ht="63.95" customHeight="1">
      <c r="A304" s="76" t="s">
        <v>1853</v>
      </c>
      <c r="B304" s="76" t="s">
        <v>2679</v>
      </c>
      <c r="C304" s="76" t="s">
        <v>2663</v>
      </c>
      <c r="D304" s="76" t="s">
        <v>2026</v>
      </c>
      <c r="E304" s="76" t="s">
        <v>2027</v>
      </c>
      <c r="F304" s="76" t="s">
        <v>2028</v>
      </c>
    </row>
    <row r="305" spans="1:6" ht="63.95" customHeight="1">
      <c r="A305" s="76" t="s">
        <v>1853</v>
      </c>
      <c r="B305" s="76" t="s">
        <v>2680</v>
      </c>
      <c r="C305" s="76" t="s">
        <v>2681</v>
      </c>
      <c r="D305" s="76" t="s">
        <v>2682</v>
      </c>
      <c r="E305" s="76" t="s">
        <v>2032</v>
      </c>
      <c r="F305" s="76" t="s">
        <v>2033</v>
      </c>
    </row>
    <row r="306" spans="1:6" ht="63.95" customHeight="1">
      <c r="A306" s="76" t="s">
        <v>1853</v>
      </c>
      <c r="B306" s="76" t="s">
        <v>2683</v>
      </c>
      <c r="C306" s="76"/>
      <c r="D306" s="76" t="s">
        <v>2684</v>
      </c>
      <c r="E306" s="76" t="s">
        <v>2032</v>
      </c>
      <c r="F306" s="76" t="s">
        <v>2033</v>
      </c>
    </row>
    <row r="307" spans="1:6" ht="63.95" customHeight="1">
      <c r="A307" s="76" t="s">
        <v>1853</v>
      </c>
      <c r="B307" s="76" t="s">
        <v>2685</v>
      </c>
      <c r="C307" s="76"/>
      <c r="D307" s="76" t="s">
        <v>2686</v>
      </c>
      <c r="E307" s="76" t="s">
        <v>2032</v>
      </c>
      <c r="F307" s="76" t="s">
        <v>2033</v>
      </c>
    </row>
    <row r="308" spans="1:6" ht="63.95" customHeight="1">
      <c r="A308" s="76" t="s">
        <v>1853</v>
      </c>
      <c r="B308" s="76" t="s">
        <v>2687</v>
      </c>
      <c r="C308" s="76" t="s">
        <v>2663</v>
      </c>
      <c r="D308" s="76" t="s">
        <v>2026</v>
      </c>
      <c r="E308" s="76" t="s">
        <v>2027</v>
      </c>
      <c r="F308" s="76" t="s">
        <v>2028</v>
      </c>
    </row>
    <row r="309" spans="1:6" ht="63.95" customHeight="1">
      <c r="A309" s="76" t="s">
        <v>1853</v>
      </c>
      <c r="B309" s="76" t="s">
        <v>2688</v>
      </c>
      <c r="C309" s="76" t="s">
        <v>2689</v>
      </c>
      <c r="D309" s="76" t="s">
        <v>2690</v>
      </c>
      <c r="E309" s="76" t="s">
        <v>2032</v>
      </c>
      <c r="F309" s="76" t="s">
        <v>2033</v>
      </c>
    </row>
    <row r="310" spans="1:6" ht="63.95" customHeight="1">
      <c r="A310" s="76" t="s">
        <v>1853</v>
      </c>
      <c r="B310" s="76" t="s">
        <v>2691</v>
      </c>
      <c r="C310" s="76"/>
      <c r="D310" s="76" t="s">
        <v>2692</v>
      </c>
      <c r="E310" s="76" t="s">
        <v>2032</v>
      </c>
      <c r="F310" s="76" t="s">
        <v>2033</v>
      </c>
    </row>
    <row r="311" spans="1:6" ht="63.95" customHeight="1">
      <c r="A311" s="76" t="s">
        <v>1853</v>
      </c>
      <c r="B311" s="76" t="s">
        <v>2693</v>
      </c>
      <c r="C311" s="76"/>
      <c r="D311" s="76" t="s">
        <v>2694</v>
      </c>
      <c r="E311" s="76" t="s">
        <v>2032</v>
      </c>
      <c r="F311" s="76" t="s">
        <v>2033</v>
      </c>
    </row>
    <row r="312" spans="1:6" ht="63.95" customHeight="1">
      <c r="A312" s="76" t="s">
        <v>1853</v>
      </c>
      <c r="B312" s="76" t="s">
        <v>2695</v>
      </c>
      <c r="C312" s="76" t="s">
        <v>2663</v>
      </c>
      <c r="D312" s="76" t="s">
        <v>2026</v>
      </c>
      <c r="E312" s="76" t="s">
        <v>2027</v>
      </c>
      <c r="F312" s="76" t="s">
        <v>2028</v>
      </c>
    </row>
    <row r="313" spans="1:6" ht="63.95" customHeight="1">
      <c r="A313" s="76" t="s">
        <v>1853</v>
      </c>
      <c r="B313" s="76" t="s">
        <v>2696</v>
      </c>
      <c r="C313" s="76" t="s">
        <v>2697</v>
      </c>
      <c r="D313" s="76" t="s">
        <v>2698</v>
      </c>
      <c r="E313" s="76" t="s">
        <v>2032</v>
      </c>
      <c r="F313" s="76" t="s">
        <v>2033</v>
      </c>
    </row>
    <row r="314" spans="1:6" ht="63.95" customHeight="1">
      <c r="A314" s="76" t="s">
        <v>1853</v>
      </c>
      <c r="B314" s="76" t="s">
        <v>2699</v>
      </c>
      <c r="C314" s="76"/>
      <c r="D314" s="76" t="s">
        <v>2700</v>
      </c>
      <c r="E314" s="76" t="s">
        <v>2032</v>
      </c>
      <c r="F314" s="76" t="s">
        <v>2033</v>
      </c>
    </row>
    <row r="315" spans="1:6" ht="63.95" customHeight="1">
      <c r="A315" s="76" t="s">
        <v>1853</v>
      </c>
      <c r="B315" s="76" t="s">
        <v>2701</v>
      </c>
      <c r="C315" s="76"/>
      <c r="D315" s="76" t="s">
        <v>2702</v>
      </c>
      <c r="E315" s="76" t="s">
        <v>2032</v>
      </c>
      <c r="F315" s="76" t="s">
        <v>2033</v>
      </c>
    </row>
    <row r="316" spans="1:6" ht="63.95" customHeight="1">
      <c r="A316" s="76" t="s">
        <v>1853</v>
      </c>
      <c r="B316" s="76" t="s">
        <v>2703</v>
      </c>
      <c r="C316" s="76" t="s">
        <v>2663</v>
      </c>
      <c r="D316" s="76" t="s">
        <v>2026</v>
      </c>
      <c r="E316" s="76" t="s">
        <v>2027</v>
      </c>
      <c r="F316" s="76" t="s">
        <v>2028</v>
      </c>
    </row>
    <row r="317" spans="1:6" ht="63.95" customHeight="1">
      <c r="A317" s="76" t="s">
        <v>1853</v>
      </c>
      <c r="B317" s="76" t="s">
        <v>2704</v>
      </c>
      <c r="C317" s="76" t="s">
        <v>2705</v>
      </c>
      <c r="D317" s="76" t="s">
        <v>2706</v>
      </c>
      <c r="E317" s="76" t="s">
        <v>2032</v>
      </c>
      <c r="F317" s="76" t="s">
        <v>2033</v>
      </c>
    </row>
    <row r="318" spans="1:6" ht="63.95" customHeight="1">
      <c r="A318" s="76" t="s">
        <v>1853</v>
      </c>
      <c r="B318" s="76" t="s">
        <v>2707</v>
      </c>
      <c r="C318" s="76"/>
      <c r="D318" s="76" t="s">
        <v>2708</v>
      </c>
      <c r="E318" s="76" t="s">
        <v>2032</v>
      </c>
      <c r="F318" s="76" t="s">
        <v>2033</v>
      </c>
    </row>
    <row r="319" spans="1:6" ht="63.95" customHeight="1">
      <c r="A319" s="76" t="s">
        <v>1853</v>
      </c>
      <c r="B319" s="76" t="s">
        <v>2709</v>
      </c>
      <c r="C319" s="76"/>
      <c r="D319" s="76" t="s">
        <v>2710</v>
      </c>
      <c r="E319" s="76" t="s">
        <v>2032</v>
      </c>
      <c r="F319" s="76" t="s">
        <v>2033</v>
      </c>
    </row>
    <row r="320" spans="1:6" ht="63.95" customHeight="1">
      <c r="A320" s="76" t="s">
        <v>1853</v>
      </c>
      <c r="B320" s="76" t="s">
        <v>2711</v>
      </c>
      <c r="C320" s="76" t="s">
        <v>2663</v>
      </c>
      <c r="D320" s="76" t="s">
        <v>2026</v>
      </c>
      <c r="E320" s="76" t="s">
        <v>2027</v>
      </c>
      <c r="F320" s="76" t="s">
        <v>2028</v>
      </c>
    </row>
    <row r="321" spans="1:6" ht="63.95" customHeight="1">
      <c r="A321" s="76" t="s">
        <v>1853</v>
      </c>
      <c r="B321" s="76" t="s">
        <v>2712</v>
      </c>
      <c r="C321" s="76" t="s">
        <v>2713</v>
      </c>
      <c r="D321" s="76" t="s">
        <v>2714</v>
      </c>
      <c r="E321" s="76" t="s">
        <v>2032</v>
      </c>
      <c r="F321" s="76" t="s">
        <v>2033</v>
      </c>
    </row>
    <row r="322" spans="1:6" ht="63.95" customHeight="1">
      <c r="A322" s="76" t="s">
        <v>1853</v>
      </c>
      <c r="B322" s="76" t="s">
        <v>2715</v>
      </c>
      <c r="C322" s="76"/>
      <c r="D322" s="76" t="s">
        <v>2716</v>
      </c>
      <c r="E322" s="76" t="s">
        <v>2032</v>
      </c>
      <c r="F322" s="76" t="s">
        <v>2033</v>
      </c>
    </row>
    <row r="323" spans="1:6" ht="63.95" customHeight="1">
      <c r="A323" s="76" t="s">
        <v>1853</v>
      </c>
      <c r="B323" s="76" t="s">
        <v>2717</v>
      </c>
      <c r="C323" s="76"/>
      <c r="D323" s="76" t="s">
        <v>2718</v>
      </c>
      <c r="E323" s="76" t="s">
        <v>2032</v>
      </c>
      <c r="F323" s="76" t="s">
        <v>2033</v>
      </c>
    </row>
    <row r="324" spans="1:6" ht="63.95" customHeight="1">
      <c r="A324" s="76" t="s">
        <v>1853</v>
      </c>
      <c r="B324" s="76" t="s">
        <v>2719</v>
      </c>
      <c r="C324" s="76" t="s">
        <v>2663</v>
      </c>
      <c r="D324" s="76" t="s">
        <v>2026</v>
      </c>
      <c r="E324" s="76" t="s">
        <v>2027</v>
      </c>
      <c r="F324" s="76" t="s">
        <v>2028</v>
      </c>
    </row>
    <row r="325" spans="1:6" ht="63.95" customHeight="1">
      <c r="A325" s="76" t="s">
        <v>1853</v>
      </c>
      <c r="B325" s="76" t="s">
        <v>2720</v>
      </c>
      <c r="C325" s="76" t="s">
        <v>2721</v>
      </c>
      <c r="D325" s="76" t="s">
        <v>2722</v>
      </c>
      <c r="E325" s="76" t="s">
        <v>2032</v>
      </c>
      <c r="F325" s="76" t="s">
        <v>2033</v>
      </c>
    </row>
    <row r="326" spans="1:6" ht="63.95" customHeight="1">
      <c r="A326" s="76" t="s">
        <v>1853</v>
      </c>
      <c r="B326" s="76" t="s">
        <v>2723</v>
      </c>
      <c r="C326" s="76"/>
      <c r="D326" s="76" t="s">
        <v>2724</v>
      </c>
      <c r="E326" s="76" t="s">
        <v>2032</v>
      </c>
      <c r="F326" s="76" t="s">
        <v>2033</v>
      </c>
    </row>
    <row r="327" spans="1:6" ht="63.95" customHeight="1">
      <c r="A327" s="76" t="s">
        <v>1853</v>
      </c>
      <c r="B327" s="76" t="s">
        <v>2725</v>
      </c>
      <c r="C327" s="76"/>
      <c r="D327" s="76" t="s">
        <v>2726</v>
      </c>
      <c r="E327" s="76" t="s">
        <v>2032</v>
      </c>
      <c r="F327" s="76" t="s">
        <v>2033</v>
      </c>
    </row>
    <row r="328" spans="1:6" ht="63.95" customHeight="1">
      <c r="A328" s="76" t="s">
        <v>1853</v>
      </c>
      <c r="B328" s="76" t="s">
        <v>2727</v>
      </c>
      <c r="C328" s="76" t="s">
        <v>2663</v>
      </c>
      <c r="D328" s="76" t="s">
        <v>2026</v>
      </c>
      <c r="E328" s="76" t="s">
        <v>2027</v>
      </c>
      <c r="F328" s="76" t="s">
        <v>2028</v>
      </c>
    </row>
    <row r="329" spans="1:6" ht="63.95" customHeight="1">
      <c r="A329" s="76" t="s">
        <v>1853</v>
      </c>
      <c r="B329" s="76" t="s">
        <v>2728</v>
      </c>
      <c r="C329" s="76" t="s">
        <v>2729</v>
      </c>
      <c r="D329" s="76" t="s">
        <v>2730</v>
      </c>
      <c r="E329" s="76" t="s">
        <v>2032</v>
      </c>
      <c r="F329" s="76" t="s">
        <v>2033</v>
      </c>
    </row>
    <row r="330" spans="1:6" ht="63.95" customHeight="1">
      <c r="A330" s="76" t="s">
        <v>1853</v>
      </c>
      <c r="B330" s="76" t="s">
        <v>2731</v>
      </c>
      <c r="C330" s="76"/>
      <c r="D330" s="76" t="s">
        <v>2732</v>
      </c>
      <c r="E330" s="76" t="s">
        <v>2032</v>
      </c>
      <c r="F330" s="76" t="s">
        <v>2033</v>
      </c>
    </row>
    <row r="331" spans="1:6" ht="63.95" customHeight="1">
      <c r="A331" s="76" t="s">
        <v>1853</v>
      </c>
      <c r="B331" s="76" t="s">
        <v>2733</v>
      </c>
      <c r="C331" s="76"/>
      <c r="D331" s="76" t="s">
        <v>2734</v>
      </c>
      <c r="E331" s="76" t="s">
        <v>2032</v>
      </c>
      <c r="F331" s="76" t="s">
        <v>2033</v>
      </c>
    </row>
    <row r="332" spans="1:6" ht="63.95" customHeight="1">
      <c r="A332" s="76" t="s">
        <v>1853</v>
      </c>
      <c r="B332" s="76" t="s">
        <v>2735</v>
      </c>
      <c r="C332" s="76" t="s">
        <v>2663</v>
      </c>
      <c r="D332" s="76" t="s">
        <v>2026</v>
      </c>
      <c r="E332" s="76" t="s">
        <v>2027</v>
      </c>
      <c r="F332" s="76" t="s">
        <v>2028</v>
      </c>
    </row>
    <row r="333" spans="1:6" ht="63.95" customHeight="1">
      <c r="A333" s="76" t="s">
        <v>1853</v>
      </c>
      <c r="B333" s="76" t="s">
        <v>2736</v>
      </c>
      <c r="C333" s="76" t="s">
        <v>2737</v>
      </c>
      <c r="D333" s="76" t="s">
        <v>2738</v>
      </c>
      <c r="E333" s="76" t="s">
        <v>2032</v>
      </c>
      <c r="F333" s="76" t="s">
        <v>2033</v>
      </c>
    </row>
    <row r="334" spans="1:6" ht="63.95" customHeight="1">
      <c r="A334" s="76" t="s">
        <v>1853</v>
      </c>
      <c r="B334" s="76" t="s">
        <v>2739</v>
      </c>
      <c r="C334" s="76"/>
      <c r="D334" s="76" t="s">
        <v>2740</v>
      </c>
      <c r="E334" s="76" t="s">
        <v>2032</v>
      </c>
      <c r="F334" s="76" t="s">
        <v>2033</v>
      </c>
    </row>
    <row r="335" spans="1:6" ht="63.95" customHeight="1">
      <c r="A335" s="76" t="s">
        <v>1853</v>
      </c>
      <c r="B335" s="76" t="s">
        <v>2741</v>
      </c>
      <c r="C335" s="76"/>
      <c r="D335" s="76" t="s">
        <v>2742</v>
      </c>
      <c r="E335" s="76" t="s">
        <v>2032</v>
      </c>
      <c r="F335" s="76" t="s">
        <v>2033</v>
      </c>
    </row>
    <row r="336" spans="1:6" ht="63.95" customHeight="1">
      <c r="A336" s="76" t="s">
        <v>1853</v>
      </c>
      <c r="B336" s="76" t="s">
        <v>2743</v>
      </c>
      <c r="C336" s="76" t="s">
        <v>2663</v>
      </c>
      <c r="D336" s="76" t="s">
        <v>2026</v>
      </c>
      <c r="E336" s="76" t="s">
        <v>2027</v>
      </c>
      <c r="F336" s="76" t="s">
        <v>2028</v>
      </c>
    </row>
    <row r="337" spans="1:6" ht="63.95" customHeight="1">
      <c r="A337" s="76" t="s">
        <v>1853</v>
      </c>
      <c r="B337" s="76" t="s">
        <v>2744</v>
      </c>
      <c r="C337" s="76" t="s">
        <v>2745</v>
      </c>
      <c r="D337" s="76" t="s">
        <v>2746</v>
      </c>
      <c r="E337" s="76" t="s">
        <v>2032</v>
      </c>
      <c r="F337" s="76" t="s">
        <v>2033</v>
      </c>
    </row>
    <row r="338" spans="1:6" ht="63.95" customHeight="1">
      <c r="A338" s="76" t="s">
        <v>1853</v>
      </c>
      <c r="B338" s="76" t="s">
        <v>2747</v>
      </c>
      <c r="C338" s="76"/>
      <c r="D338" s="76" t="s">
        <v>2748</v>
      </c>
      <c r="E338" s="76" t="s">
        <v>2032</v>
      </c>
      <c r="F338" s="76" t="s">
        <v>2033</v>
      </c>
    </row>
    <row r="339" spans="1:6" ht="63.95" customHeight="1">
      <c r="A339" s="76" t="s">
        <v>1853</v>
      </c>
      <c r="B339" s="76" t="s">
        <v>2749</v>
      </c>
      <c r="C339" s="76"/>
      <c r="D339" s="76" t="s">
        <v>2750</v>
      </c>
      <c r="E339" s="76" t="s">
        <v>2032</v>
      </c>
      <c r="F339" s="76" t="s">
        <v>2033</v>
      </c>
    </row>
    <row r="340" spans="1:6" ht="63.95" customHeight="1">
      <c r="A340" s="76" t="s">
        <v>1853</v>
      </c>
      <c r="B340" s="76" t="s">
        <v>2751</v>
      </c>
      <c r="C340" s="76" t="s">
        <v>2663</v>
      </c>
      <c r="D340" s="76" t="s">
        <v>2026</v>
      </c>
      <c r="E340" s="76" t="s">
        <v>2027</v>
      </c>
      <c r="F340" s="76" t="s">
        <v>2028</v>
      </c>
    </row>
    <row r="341" spans="1:6" ht="63.95" customHeight="1">
      <c r="A341" s="76" t="s">
        <v>1853</v>
      </c>
      <c r="B341" s="76" t="s">
        <v>2752</v>
      </c>
      <c r="C341" s="76" t="s">
        <v>2753</v>
      </c>
      <c r="D341" s="76" t="s">
        <v>2754</v>
      </c>
      <c r="E341" s="76" t="s">
        <v>2032</v>
      </c>
      <c r="F341" s="76" t="s">
        <v>2033</v>
      </c>
    </row>
    <row r="342" spans="1:6" ht="63.95" customHeight="1">
      <c r="A342" s="76" t="s">
        <v>1853</v>
      </c>
      <c r="B342" s="76" t="s">
        <v>2755</v>
      </c>
      <c r="C342" s="76"/>
      <c r="D342" s="76" t="s">
        <v>2756</v>
      </c>
      <c r="E342" s="76" t="s">
        <v>2032</v>
      </c>
      <c r="F342" s="76" t="s">
        <v>2033</v>
      </c>
    </row>
    <row r="343" spans="1:6" ht="63.95" customHeight="1">
      <c r="A343" s="76" t="s">
        <v>1853</v>
      </c>
      <c r="B343" s="76" t="s">
        <v>2757</v>
      </c>
      <c r="C343" s="76"/>
      <c r="D343" s="76" t="s">
        <v>2758</v>
      </c>
      <c r="E343" s="76" t="s">
        <v>2032</v>
      </c>
      <c r="F343" s="76" t="s">
        <v>2033</v>
      </c>
    </row>
    <row r="344" spans="1:6" ht="63.95" customHeight="1">
      <c r="A344" s="76" t="s">
        <v>1853</v>
      </c>
      <c r="B344" s="76" t="s">
        <v>2759</v>
      </c>
      <c r="C344" s="76" t="s">
        <v>2663</v>
      </c>
      <c r="D344" s="76" t="s">
        <v>2026</v>
      </c>
      <c r="E344" s="76" t="s">
        <v>2027</v>
      </c>
      <c r="F344" s="76" t="s">
        <v>2028</v>
      </c>
    </row>
    <row r="345" spans="1:6" ht="63.95" customHeight="1">
      <c r="A345" s="76" t="s">
        <v>1853</v>
      </c>
      <c r="B345" s="76" t="s">
        <v>2760</v>
      </c>
      <c r="C345" s="76" t="s">
        <v>2761</v>
      </c>
      <c r="D345" s="76" t="s">
        <v>2762</v>
      </c>
      <c r="E345" s="76" t="s">
        <v>2032</v>
      </c>
      <c r="F345" s="76" t="s">
        <v>2033</v>
      </c>
    </row>
    <row r="346" spans="1:6" ht="63.95" customHeight="1">
      <c r="A346" s="76" t="s">
        <v>1853</v>
      </c>
      <c r="B346" s="76" t="s">
        <v>2763</v>
      </c>
      <c r="C346" s="76"/>
      <c r="D346" s="76" t="s">
        <v>2764</v>
      </c>
      <c r="E346" s="76" t="s">
        <v>2032</v>
      </c>
      <c r="F346" s="76" t="s">
        <v>2033</v>
      </c>
    </row>
    <row r="347" spans="1:6" ht="63.95" customHeight="1">
      <c r="A347" s="76" t="s">
        <v>1853</v>
      </c>
      <c r="B347" s="76" t="s">
        <v>2765</v>
      </c>
      <c r="C347" s="76"/>
      <c r="D347" s="76" t="s">
        <v>2766</v>
      </c>
      <c r="E347" s="76" t="s">
        <v>2032</v>
      </c>
      <c r="F347" s="76" t="s">
        <v>2033</v>
      </c>
    </row>
    <row r="348" spans="1:6" ht="63.95" customHeight="1">
      <c r="A348" s="76" t="s">
        <v>1853</v>
      </c>
      <c r="B348" s="76" t="s">
        <v>2767</v>
      </c>
      <c r="C348" s="76" t="s">
        <v>2663</v>
      </c>
      <c r="D348" s="76" t="s">
        <v>2026</v>
      </c>
      <c r="E348" s="76" t="s">
        <v>2027</v>
      </c>
      <c r="F348" s="76" t="s">
        <v>2028</v>
      </c>
    </row>
    <row r="349" spans="1:6" ht="63.95" customHeight="1">
      <c r="A349" s="76" t="s">
        <v>1853</v>
      </c>
      <c r="B349" s="76" t="s">
        <v>2768</v>
      </c>
      <c r="C349" s="76" t="s">
        <v>2769</v>
      </c>
      <c r="D349" s="76" t="s">
        <v>2770</v>
      </c>
      <c r="E349" s="76" t="s">
        <v>2032</v>
      </c>
      <c r="F349" s="76" t="s">
        <v>2033</v>
      </c>
    </row>
    <row r="350" spans="1:6" ht="63.95" customHeight="1">
      <c r="A350" s="76" t="s">
        <v>1853</v>
      </c>
      <c r="B350" s="76" t="s">
        <v>2771</v>
      </c>
      <c r="C350" s="76"/>
      <c r="D350" s="76" t="s">
        <v>2772</v>
      </c>
      <c r="E350" s="76" t="s">
        <v>2032</v>
      </c>
      <c r="F350" s="76" t="s">
        <v>2033</v>
      </c>
    </row>
    <row r="351" spans="1:6" ht="63.95" customHeight="1">
      <c r="A351" s="76" t="s">
        <v>1853</v>
      </c>
      <c r="B351" s="76" t="s">
        <v>2773</v>
      </c>
      <c r="C351" s="76"/>
      <c r="D351" s="76" t="s">
        <v>2774</v>
      </c>
      <c r="E351" s="76" t="s">
        <v>2032</v>
      </c>
      <c r="F351" s="76" t="s">
        <v>2033</v>
      </c>
    </row>
    <row r="352" spans="1:6" ht="63.95" customHeight="1">
      <c r="A352" s="76" t="s">
        <v>1853</v>
      </c>
      <c r="B352" s="76" t="s">
        <v>2775</v>
      </c>
      <c r="C352" s="76" t="s">
        <v>2663</v>
      </c>
      <c r="D352" s="76" t="s">
        <v>2026</v>
      </c>
      <c r="E352" s="76" t="s">
        <v>2027</v>
      </c>
      <c r="F352" s="76" t="s">
        <v>2028</v>
      </c>
    </row>
    <row r="353" spans="1:6" ht="63.95" customHeight="1">
      <c r="A353" s="76" t="s">
        <v>1853</v>
      </c>
      <c r="B353" s="76" t="s">
        <v>2776</v>
      </c>
      <c r="C353" s="76" t="s">
        <v>2777</v>
      </c>
      <c r="D353" s="76" t="s">
        <v>2778</v>
      </c>
      <c r="E353" s="76" t="s">
        <v>2032</v>
      </c>
      <c r="F353" s="76" t="s">
        <v>2033</v>
      </c>
    </row>
    <row r="354" spans="1:6" ht="63.95" customHeight="1">
      <c r="A354" s="76" t="s">
        <v>1853</v>
      </c>
      <c r="B354" s="76" t="s">
        <v>2779</v>
      </c>
      <c r="C354" s="76"/>
      <c r="D354" s="76" t="s">
        <v>2780</v>
      </c>
      <c r="E354" s="76" t="s">
        <v>2032</v>
      </c>
      <c r="F354" s="76" t="s">
        <v>2033</v>
      </c>
    </row>
    <row r="355" spans="1:6" ht="63.95" customHeight="1">
      <c r="A355" s="76" t="s">
        <v>1853</v>
      </c>
      <c r="B355" s="76" t="s">
        <v>2781</v>
      </c>
      <c r="C355" s="76"/>
      <c r="D355" s="76" t="s">
        <v>2782</v>
      </c>
      <c r="E355" s="76" t="s">
        <v>2032</v>
      </c>
      <c r="F355" s="76" t="s">
        <v>2033</v>
      </c>
    </row>
    <row r="356" spans="1:6" ht="63.95" customHeight="1">
      <c r="A356" s="76" t="s">
        <v>1853</v>
      </c>
      <c r="B356" s="76" t="s">
        <v>2783</v>
      </c>
      <c r="C356" s="76" t="s">
        <v>2663</v>
      </c>
      <c r="D356" s="76" t="s">
        <v>2026</v>
      </c>
      <c r="E356" s="76" t="s">
        <v>2027</v>
      </c>
      <c r="F356" s="76" t="s">
        <v>2028</v>
      </c>
    </row>
    <row r="357" spans="1:6" ht="63.95" customHeight="1">
      <c r="A357" s="76" t="s">
        <v>1853</v>
      </c>
      <c r="B357" s="76" t="s">
        <v>2784</v>
      </c>
      <c r="C357" s="76" t="s">
        <v>2785</v>
      </c>
      <c r="D357" s="76" t="s">
        <v>2786</v>
      </c>
      <c r="E357" s="76" t="s">
        <v>2032</v>
      </c>
      <c r="F357" s="76" t="s">
        <v>2033</v>
      </c>
    </row>
    <row r="358" spans="1:6" ht="63.95" customHeight="1">
      <c r="A358" s="76" t="s">
        <v>1853</v>
      </c>
      <c r="B358" s="76" t="s">
        <v>2787</v>
      </c>
      <c r="C358" s="76"/>
      <c r="D358" s="76" t="s">
        <v>2788</v>
      </c>
      <c r="E358" s="76" t="s">
        <v>2032</v>
      </c>
      <c r="F358" s="76" t="s">
        <v>2033</v>
      </c>
    </row>
    <row r="359" spans="1:6" ht="63.95" customHeight="1">
      <c r="A359" s="76" t="s">
        <v>1853</v>
      </c>
      <c r="B359" s="76" t="s">
        <v>2789</v>
      </c>
      <c r="C359" s="76"/>
      <c r="D359" s="76" t="s">
        <v>2790</v>
      </c>
      <c r="E359" s="76" t="s">
        <v>2032</v>
      </c>
      <c r="F359" s="76" t="s">
        <v>2033</v>
      </c>
    </row>
    <row r="360" spans="1:6" ht="63.95" customHeight="1">
      <c r="A360" s="76" t="s">
        <v>1853</v>
      </c>
      <c r="B360" s="76" t="s">
        <v>2791</v>
      </c>
      <c r="C360" s="76" t="s">
        <v>2792</v>
      </c>
      <c r="D360" s="76" t="s">
        <v>2793</v>
      </c>
      <c r="E360" s="76" t="s">
        <v>2032</v>
      </c>
      <c r="F360" s="76" t="s">
        <v>2033</v>
      </c>
    </row>
    <row r="361" spans="1:6" ht="63.95" customHeight="1">
      <c r="A361" s="76" t="s">
        <v>1853</v>
      </c>
      <c r="B361" s="76" t="s">
        <v>2794</v>
      </c>
      <c r="C361" s="76"/>
      <c r="D361" s="76" t="s">
        <v>2795</v>
      </c>
      <c r="E361" s="76" t="s">
        <v>2032</v>
      </c>
      <c r="F361" s="76" t="s">
        <v>2033</v>
      </c>
    </row>
    <row r="362" spans="1:6" ht="63.95" customHeight="1">
      <c r="A362" s="76" t="s">
        <v>1853</v>
      </c>
      <c r="B362" s="76" t="s">
        <v>2796</v>
      </c>
      <c r="C362" s="76"/>
      <c r="D362" s="76" t="s">
        <v>2797</v>
      </c>
      <c r="E362" s="76" t="s">
        <v>2032</v>
      </c>
      <c r="F362" s="76" t="s">
        <v>2033</v>
      </c>
    </row>
    <row r="363" spans="1:6" ht="63.95" customHeight="1">
      <c r="A363" s="76" t="s">
        <v>1853</v>
      </c>
      <c r="B363" s="76" t="s">
        <v>2798</v>
      </c>
      <c r="C363" s="76" t="s">
        <v>2799</v>
      </c>
      <c r="D363" s="76" t="s">
        <v>2800</v>
      </c>
      <c r="E363" s="76" t="s">
        <v>2032</v>
      </c>
      <c r="F363" s="76" t="s">
        <v>2033</v>
      </c>
    </row>
    <row r="364" spans="1:6" ht="63.95" customHeight="1">
      <c r="A364" s="76" t="s">
        <v>1853</v>
      </c>
      <c r="B364" s="76" t="s">
        <v>2801</v>
      </c>
      <c r="C364" s="76"/>
      <c r="D364" s="76" t="s">
        <v>2802</v>
      </c>
      <c r="E364" s="76" t="s">
        <v>2032</v>
      </c>
      <c r="F364" s="76" t="s">
        <v>2033</v>
      </c>
    </row>
    <row r="365" spans="1:6" ht="63.95" customHeight="1">
      <c r="A365" s="76" t="s">
        <v>1853</v>
      </c>
      <c r="B365" s="76" t="s">
        <v>2803</v>
      </c>
      <c r="C365" s="76"/>
      <c r="D365" s="76" t="s">
        <v>2804</v>
      </c>
      <c r="E365" s="76" t="s">
        <v>2032</v>
      </c>
      <c r="F365" s="76" t="s">
        <v>2033</v>
      </c>
    </row>
    <row r="366" spans="1:6" ht="63.95" customHeight="1">
      <c r="A366" s="76" t="s">
        <v>1853</v>
      </c>
      <c r="B366" s="76" t="s">
        <v>2805</v>
      </c>
      <c r="C366" s="76" t="s">
        <v>2806</v>
      </c>
      <c r="D366" s="76" t="s">
        <v>2026</v>
      </c>
      <c r="E366" s="76" t="s">
        <v>2027</v>
      </c>
      <c r="F366" s="76" t="s">
        <v>2028</v>
      </c>
    </row>
    <row r="367" spans="1:6" ht="63.95" customHeight="1">
      <c r="A367" s="76" t="s">
        <v>1853</v>
      </c>
      <c r="B367" s="76" t="s">
        <v>2807</v>
      </c>
      <c r="C367" s="76" t="s">
        <v>2808</v>
      </c>
      <c r="D367" s="76" t="s">
        <v>2809</v>
      </c>
      <c r="E367" s="76" t="s">
        <v>2032</v>
      </c>
      <c r="F367" s="76" t="s">
        <v>2033</v>
      </c>
    </row>
    <row r="368" spans="1:6" ht="63.95" customHeight="1">
      <c r="A368" s="76" t="s">
        <v>1853</v>
      </c>
      <c r="B368" s="76" t="s">
        <v>2810</v>
      </c>
      <c r="C368" s="76"/>
      <c r="D368" s="76" t="s">
        <v>2811</v>
      </c>
      <c r="E368" s="76" t="s">
        <v>2032</v>
      </c>
      <c r="F368" s="76" t="s">
        <v>2033</v>
      </c>
    </row>
    <row r="369" spans="1:6" ht="63.95" customHeight="1">
      <c r="A369" s="76" t="s">
        <v>1853</v>
      </c>
      <c r="B369" s="76" t="s">
        <v>2812</v>
      </c>
      <c r="C369" s="76"/>
      <c r="D369" s="76" t="s">
        <v>2813</v>
      </c>
      <c r="E369" s="76" t="s">
        <v>2032</v>
      </c>
      <c r="F369" s="76" t="s">
        <v>2033</v>
      </c>
    </row>
    <row r="370" spans="1:6" ht="63.95" customHeight="1">
      <c r="A370" s="76" t="s">
        <v>1853</v>
      </c>
      <c r="B370" s="76" t="s">
        <v>2814</v>
      </c>
      <c r="C370" s="76" t="s">
        <v>2815</v>
      </c>
      <c r="D370" s="76" t="s">
        <v>2026</v>
      </c>
      <c r="E370" s="76" t="s">
        <v>2027</v>
      </c>
      <c r="F370" s="76" t="s">
        <v>2028</v>
      </c>
    </row>
    <row r="371" spans="1:6" ht="63.95" customHeight="1">
      <c r="A371" s="76" t="s">
        <v>1853</v>
      </c>
      <c r="B371" s="76" t="s">
        <v>2816</v>
      </c>
      <c r="C371" s="76" t="s">
        <v>2817</v>
      </c>
      <c r="D371" s="76" t="s">
        <v>2818</v>
      </c>
      <c r="E371" s="76" t="s">
        <v>2032</v>
      </c>
      <c r="F371" s="76" t="s">
        <v>2033</v>
      </c>
    </row>
    <row r="372" spans="1:6" ht="63.95" customHeight="1">
      <c r="A372" s="76" t="s">
        <v>1853</v>
      </c>
      <c r="B372" s="76" t="s">
        <v>2819</v>
      </c>
      <c r="C372" s="76"/>
      <c r="D372" s="76" t="s">
        <v>2820</v>
      </c>
      <c r="E372" s="76" t="s">
        <v>2032</v>
      </c>
      <c r="F372" s="76" t="s">
        <v>2033</v>
      </c>
    </row>
    <row r="373" spans="1:6" ht="63.95" customHeight="1">
      <c r="A373" s="76" t="s">
        <v>1853</v>
      </c>
      <c r="B373" s="76" t="s">
        <v>2821</v>
      </c>
      <c r="C373" s="76"/>
      <c r="D373" s="76" t="s">
        <v>2822</v>
      </c>
      <c r="E373" s="76" t="s">
        <v>2032</v>
      </c>
      <c r="F373" s="76" t="s">
        <v>2033</v>
      </c>
    </row>
    <row r="374" spans="1:6" ht="63.95" customHeight="1">
      <c r="A374" s="76" t="s">
        <v>1853</v>
      </c>
      <c r="B374" s="76" t="s">
        <v>2823</v>
      </c>
      <c r="C374" s="76" t="s">
        <v>2824</v>
      </c>
      <c r="D374" s="76" t="s">
        <v>2026</v>
      </c>
      <c r="E374" s="76" t="s">
        <v>2027</v>
      </c>
      <c r="F374" s="76" t="s">
        <v>2028</v>
      </c>
    </row>
    <row r="375" spans="1:6" ht="63.95" customHeight="1">
      <c r="A375" s="76" t="s">
        <v>1853</v>
      </c>
      <c r="B375" s="76" t="s">
        <v>2825</v>
      </c>
      <c r="C375" s="76" t="s">
        <v>2826</v>
      </c>
      <c r="D375" s="76" t="s">
        <v>2827</v>
      </c>
      <c r="E375" s="76" t="s">
        <v>2032</v>
      </c>
      <c r="F375" s="76" t="s">
        <v>2033</v>
      </c>
    </row>
    <row r="376" spans="1:6" ht="63.95" customHeight="1">
      <c r="A376" s="76" t="s">
        <v>1853</v>
      </c>
      <c r="B376" s="76" t="s">
        <v>2828</v>
      </c>
      <c r="C376" s="76"/>
      <c r="D376" s="76" t="s">
        <v>2829</v>
      </c>
      <c r="E376" s="76" t="s">
        <v>2032</v>
      </c>
      <c r="F376" s="76" t="s">
        <v>2033</v>
      </c>
    </row>
    <row r="377" spans="1:6" ht="63.95" customHeight="1">
      <c r="A377" s="76" t="s">
        <v>1853</v>
      </c>
      <c r="B377" s="76" t="s">
        <v>2830</v>
      </c>
      <c r="C377" s="76"/>
      <c r="D377" s="76" t="s">
        <v>2831</v>
      </c>
      <c r="E377" s="76" t="s">
        <v>2032</v>
      </c>
      <c r="F377" s="76" t="s">
        <v>2033</v>
      </c>
    </row>
    <row r="378" spans="1:6" ht="63.95" customHeight="1">
      <c r="A378" s="76" t="s">
        <v>1853</v>
      </c>
      <c r="B378" s="76" t="s">
        <v>2832</v>
      </c>
      <c r="C378" s="76" t="s">
        <v>2833</v>
      </c>
      <c r="D378" s="76" t="s">
        <v>2026</v>
      </c>
      <c r="E378" s="76" t="s">
        <v>2027</v>
      </c>
      <c r="F378" s="76" t="s">
        <v>2028</v>
      </c>
    </row>
    <row r="379" spans="1:6" ht="63.95" customHeight="1">
      <c r="A379" s="76" t="s">
        <v>1853</v>
      </c>
      <c r="B379" s="76" t="s">
        <v>2834</v>
      </c>
      <c r="C379" s="76" t="s">
        <v>2835</v>
      </c>
      <c r="D379" s="76" t="s">
        <v>2836</v>
      </c>
      <c r="E379" s="76" t="s">
        <v>2032</v>
      </c>
      <c r="F379" s="76" t="s">
        <v>2033</v>
      </c>
    </row>
    <row r="380" spans="1:6" ht="63.95" customHeight="1">
      <c r="A380" s="76" t="s">
        <v>1853</v>
      </c>
      <c r="B380" s="76" t="s">
        <v>2837</v>
      </c>
      <c r="C380" s="76"/>
      <c r="D380" s="76" t="s">
        <v>2838</v>
      </c>
      <c r="E380" s="76" t="s">
        <v>2032</v>
      </c>
      <c r="F380" s="76" t="s">
        <v>2033</v>
      </c>
    </row>
    <row r="381" spans="1:6" ht="63.95" customHeight="1">
      <c r="A381" s="76" t="s">
        <v>1853</v>
      </c>
      <c r="B381" s="76" t="s">
        <v>2839</v>
      </c>
      <c r="C381" s="76"/>
      <c r="D381" s="76" t="s">
        <v>2840</v>
      </c>
      <c r="E381" s="76" t="s">
        <v>2032</v>
      </c>
      <c r="F381" s="76" t="s">
        <v>2033</v>
      </c>
    </row>
    <row r="382" spans="1:6" ht="63.95" customHeight="1">
      <c r="A382" s="76" t="s">
        <v>1853</v>
      </c>
      <c r="B382" s="76" t="s">
        <v>2841</v>
      </c>
      <c r="C382" s="76" t="s">
        <v>2842</v>
      </c>
      <c r="D382" s="76" t="s">
        <v>2843</v>
      </c>
      <c r="E382" s="76" t="s">
        <v>2032</v>
      </c>
      <c r="F382" s="76" t="s">
        <v>2033</v>
      </c>
    </row>
    <row r="383" spans="1:6" ht="63.95" customHeight="1">
      <c r="A383" s="76" t="s">
        <v>1853</v>
      </c>
      <c r="B383" s="76" t="s">
        <v>2844</v>
      </c>
      <c r="C383" s="76"/>
      <c r="D383" s="76" t="s">
        <v>2845</v>
      </c>
      <c r="E383" s="76" t="s">
        <v>2032</v>
      </c>
      <c r="F383" s="76" t="s">
        <v>2033</v>
      </c>
    </row>
    <row r="384" spans="1:6" ht="63.95" customHeight="1">
      <c r="A384" s="76" t="s">
        <v>1853</v>
      </c>
      <c r="B384" s="76" t="s">
        <v>2846</v>
      </c>
      <c r="C384" s="76"/>
      <c r="D384" s="76" t="s">
        <v>2847</v>
      </c>
      <c r="E384" s="76" t="s">
        <v>2032</v>
      </c>
      <c r="F384" s="76" t="s">
        <v>2033</v>
      </c>
    </row>
    <row r="385" spans="1:6" ht="63.95" customHeight="1">
      <c r="A385" s="76" t="s">
        <v>1853</v>
      </c>
      <c r="B385" s="76" t="s">
        <v>2848</v>
      </c>
      <c r="C385" s="76" t="s">
        <v>2849</v>
      </c>
      <c r="D385" s="76" t="s">
        <v>2850</v>
      </c>
      <c r="E385" s="76" t="s">
        <v>2032</v>
      </c>
      <c r="F385" s="76" t="s">
        <v>2033</v>
      </c>
    </row>
    <row r="386" spans="1:6" ht="63.95" customHeight="1">
      <c r="A386" s="76" t="s">
        <v>1853</v>
      </c>
      <c r="B386" s="76" t="s">
        <v>2851</v>
      </c>
      <c r="C386" s="76"/>
      <c r="D386" s="76" t="s">
        <v>2852</v>
      </c>
      <c r="E386" s="76" t="s">
        <v>2032</v>
      </c>
      <c r="F386" s="76" t="s">
        <v>2033</v>
      </c>
    </row>
    <row r="387" spans="1:6" ht="63.95" customHeight="1">
      <c r="A387" s="76" t="s">
        <v>1853</v>
      </c>
      <c r="B387" s="76" t="s">
        <v>2853</v>
      </c>
      <c r="C387" s="76"/>
      <c r="D387" s="76" t="s">
        <v>2854</v>
      </c>
      <c r="E387" s="76" t="s">
        <v>2032</v>
      </c>
      <c r="F387" s="76" t="s">
        <v>2033</v>
      </c>
    </row>
    <row r="388" spans="1:6" ht="63.95" customHeight="1">
      <c r="A388" s="76" t="s">
        <v>1853</v>
      </c>
      <c r="B388" s="76" t="s">
        <v>2855</v>
      </c>
      <c r="C388" s="76" t="s">
        <v>2856</v>
      </c>
      <c r="D388" s="76" t="s">
        <v>2026</v>
      </c>
      <c r="E388" s="76" t="s">
        <v>2027</v>
      </c>
      <c r="F388" s="76" t="s">
        <v>2028</v>
      </c>
    </row>
    <row r="389" spans="1:6" ht="63.95" customHeight="1">
      <c r="A389" s="76" t="s">
        <v>1853</v>
      </c>
      <c r="B389" s="76" t="s">
        <v>2857</v>
      </c>
      <c r="C389" s="76" t="s">
        <v>2858</v>
      </c>
      <c r="D389" s="76" t="s">
        <v>2859</v>
      </c>
      <c r="E389" s="76" t="s">
        <v>2032</v>
      </c>
      <c r="F389" s="76" t="s">
        <v>2033</v>
      </c>
    </row>
    <row r="390" spans="1:6" ht="63.95" customHeight="1">
      <c r="A390" s="76" t="s">
        <v>1853</v>
      </c>
      <c r="B390" s="76" t="s">
        <v>2860</v>
      </c>
      <c r="C390" s="76"/>
      <c r="D390" s="76" t="s">
        <v>2861</v>
      </c>
      <c r="E390" s="76" t="s">
        <v>2032</v>
      </c>
      <c r="F390" s="76" t="s">
        <v>2033</v>
      </c>
    </row>
    <row r="391" spans="1:6" ht="63.95" customHeight="1">
      <c r="A391" s="76" t="s">
        <v>1853</v>
      </c>
      <c r="B391" s="76" t="s">
        <v>2862</v>
      </c>
      <c r="C391" s="76"/>
      <c r="D391" s="76" t="s">
        <v>2863</v>
      </c>
      <c r="E391" s="76" t="s">
        <v>2032</v>
      </c>
      <c r="F391" s="76" t="s">
        <v>2033</v>
      </c>
    </row>
    <row r="392" spans="1:6" ht="63.95" customHeight="1">
      <c r="A392" s="76" t="s">
        <v>1853</v>
      </c>
      <c r="B392" s="76" t="s">
        <v>2864</v>
      </c>
      <c r="C392" s="76" t="s">
        <v>2865</v>
      </c>
      <c r="D392" s="76" t="s">
        <v>2026</v>
      </c>
      <c r="E392" s="76" t="s">
        <v>2027</v>
      </c>
      <c r="F392" s="76" t="s">
        <v>2028</v>
      </c>
    </row>
    <row r="393" spans="1:6" ht="63.95" customHeight="1">
      <c r="A393" s="76" t="s">
        <v>1853</v>
      </c>
      <c r="B393" s="76" t="s">
        <v>2866</v>
      </c>
      <c r="C393" s="76" t="s">
        <v>2867</v>
      </c>
      <c r="D393" s="76" t="s">
        <v>2868</v>
      </c>
      <c r="E393" s="76" t="s">
        <v>2032</v>
      </c>
      <c r="F393" s="76" t="s">
        <v>2033</v>
      </c>
    </row>
    <row r="394" spans="1:6" ht="63.95" customHeight="1">
      <c r="A394" s="76" t="s">
        <v>1853</v>
      </c>
      <c r="B394" s="76" t="s">
        <v>2869</v>
      </c>
      <c r="C394" s="76"/>
      <c r="D394" s="76" t="s">
        <v>2870</v>
      </c>
      <c r="E394" s="76" t="s">
        <v>2032</v>
      </c>
      <c r="F394" s="76" t="s">
        <v>2033</v>
      </c>
    </row>
    <row r="395" spans="1:6" ht="63.95" customHeight="1">
      <c r="A395" s="76" t="s">
        <v>1853</v>
      </c>
      <c r="B395" s="76" t="s">
        <v>2871</v>
      </c>
      <c r="C395" s="76"/>
      <c r="D395" s="76" t="s">
        <v>2872</v>
      </c>
      <c r="E395" s="76" t="s">
        <v>2032</v>
      </c>
      <c r="F395" s="76" t="s">
        <v>2033</v>
      </c>
    </row>
    <row r="396" spans="1:6" ht="63.95" customHeight="1">
      <c r="A396" s="76" t="s">
        <v>1853</v>
      </c>
      <c r="B396" s="76" t="s">
        <v>2873</v>
      </c>
      <c r="C396" s="76" t="s">
        <v>2874</v>
      </c>
      <c r="D396" s="76" t="s">
        <v>2875</v>
      </c>
      <c r="E396" s="76" t="s">
        <v>2032</v>
      </c>
      <c r="F396" s="76" t="s">
        <v>2033</v>
      </c>
    </row>
    <row r="397" spans="1:6" ht="63.95" customHeight="1">
      <c r="A397" s="76" t="s">
        <v>1853</v>
      </c>
      <c r="B397" s="76" t="s">
        <v>2876</v>
      </c>
      <c r="C397" s="76"/>
      <c r="D397" s="76" t="s">
        <v>2877</v>
      </c>
      <c r="E397" s="76" t="s">
        <v>2032</v>
      </c>
      <c r="F397" s="76" t="s">
        <v>2033</v>
      </c>
    </row>
    <row r="398" spans="1:6" ht="63.95" customHeight="1">
      <c r="A398" s="76" t="s">
        <v>1853</v>
      </c>
      <c r="B398" s="76" t="s">
        <v>2878</v>
      </c>
      <c r="C398" s="76"/>
      <c r="D398" s="76" t="s">
        <v>2879</v>
      </c>
      <c r="E398" s="76" t="s">
        <v>2032</v>
      </c>
      <c r="F398" s="76" t="s">
        <v>2033</v>
      </c>
    </row>
    <row r="399" spans="1:6" ht="63.95" customHeight="1">
      <c r="A399" s="76" t="s">
        <v>1853</v>
      </c>
      <c r="B399" s="76" t="s">
        <v>2880</v>
      </c>
      <c r="C399" s="76" t="s">
        <v>2881</v>
      </c>
      <c r="D399" s="76" t="s">
        <v>2882</v>
      </c>
      <c r="E399" s="76" t="s">
        <v>2345</v>
      </c>
      <c r="F399" s="76" t="s">
        <v>2346</v>
      </c>
    </row>
    <row r="400" spans="1:6" ht="63.95" customHeight="1">
      <c r="A400" s="76" t="s">
        <v>1853</v>
      </c>
      <c r="B400" s="76" t="s">
        <v>2883</v>
      </c>
      <c r="C400" s="76" t="s">
        <v>2884</v>
      </c>
      <c r="D400" s="76" t="s">
        <v>2885</v>
      </c>
      <c r="E400" s="76" t="s">
        <v>2032</v>
      </c>
      <c r="F400" s="76" t="s">
        <v>2033</v>
      </c>
    </row>
    <row r="401" spans="1:6" ht="63.95" customHeight="1">
      <c r="A401" s="76" t="s">
        <v>1853</v>
      </c>
      <c r="B401" s="76" t="s">
        <v>2886</v>
      </c>
      <c r="C401" s="76"/>
      <c r="D401" s="76" t="s">
        <v>2887</v>
      </c>
      <c r="E401" s="76" t="s">
        <v>2032</v>
      </c>
      <c r="F401" s="76" t="s">
        <v>2033</v>
      </c>
    </row>
    <row r="402" spans="1:6" ht="63.95" customHeight="1">
      <c r="A402" s="76" t="s">
        <v>1853</v>
      </c>
      <c r="B402" s="76" t="s">
        <v>2888</v>
      </c>
      <c r="C402" s="76"/>
      <c r="D402" s="76" t="s">
        <v>2889</v>
      </c>
      <c r="E402" s="76" t="s">
        <v>2032</v>
      </c>
      <c r="F402" s="76" t="s">
        <v>2033</v>
      </c>
    </row>
    <row r="403" spans="1:6" ht="63.95" customHeight="1">
      <c r="A403" s="76" t="s">
        <v>1853</v>
      </c>
      <c r="B403" s="76" t="s">
        <v>2890</v>
      </c>
      <c r="C403" s="76" t="s">
        <v>1172</v>
      </c>
      <c r="D403" s="76" t="s">
        <v>2891</v>
      </c>
      <c r="E403" s="76" t="s">
        <v>2307</v>
      </c>
      <c r="F403" s="76" t="s">
        <v>2308</v>
      </c>
    </row>
    <row r="404" spans="1:6" ht="63.95" customHeight="1">
      <c r="A404" s="76" t="s">
        <v>1853</v>
      </c>
      <c r="B404" s="76" t="s">
        <v>2892</v>
      </c>
      <c r="C404" s="76" t="s">
        <v>1459</v>
      </c>
      <c r="D404" s="76" t="s">
        <v>2348</v>
      </c>
      <c r="E404" s="76" t="s">
        <v>2349</v>
      </c>
      <c r="F404" s="76" t="s">
        <v>2350</v>
      </c>
    </row>
    <row r="405" spans="1:6" ht="63.95" customHeight="1">
      <c r="A405" s="76" t="s">
        <v>1853</v>
      </c>
      <c r="B405" s="76" t="s">
        <v>2893</v>
      </c>
      <c r="C405" s="76" t="s">
        <v>2894</v>
      </c>
      <c r="D405" s="76" t="s">
        <v>2895</v>
      </c>
      <c r="E405" s="76" t="s">
        <v>2032</v>
      </c>
      <c r="F405" s="76" t="s">
        <v>2033</v>
      </c>
    </row>
    <row r="406" spans="1:6" ht="63.95" customHeight="1">
      <c r="A406" s="76" t="s">
        <v>1853</v>
      </c>
      <c r="B406" s="76" t="s">
        <v>2896</v>
      </c>
      <c r="C406" s="76" t="s">
        <v>1420</v>
      </c>
      <c r="D406" s="76" t="s">
        <v>1472</v>
      </c>
      <c r="E406" s="76" t="s">
        <v>2355</v>
      </c>
      <c r="F406" s="76" t="s">
        <v>2897</v>
      </c>
    </row>
    <row r="407" spans="1:6" ht="63.95" customHeight="1">
      <c r="A407" s="76" t="s">
        <v>1853</v>
      </c>
      <c r="B407" s="76" t="s">
        <v>2898</v>
      </c>
      <c r="C407" s="76"/>
      <c r="D407" s="76" t="s">
        <v>2899</v>
      </c>
      <c r="E407" s="76" t="s">
        <v>2032</v>
      </c>
      <c r="F407" s="76" t="s">
        <v>2033</v>
      </c>
    </row>
    <row r="408" spans="1:6" ht="63.95" customHeight="1">
      <c r="A408" s="76" t="s">
        <v>1853</v>
      </c>
      <c r="B408" s="76" t="s">
        <v>2900</v>
      </c>
      <c r="C408" s="76"/>
      <c r="D408" s="76" t="s">
        <v>2901</v>
      </c>
      <c r="E408" s="76" t="s">
        <v>2032</v>
      </c>
      <c r="F408" s="76" t="s">
        <v>2033</v>
      </c>
    </row>
    <row r="409" spans="1:6" ht="63.95" customHeight="1">
      <c r="A409" s="76" t="s">
        <v>1853</v>
      </c>
      <c r="B409" s="76" t="s">
        <v>2902</v>
      </c>
      <c r="C409" s="76" t="s">
        <v>2903</v>
      </c>
      <c r="D409" s="76" t="s">
        <v>2904</v>
      </c>
      <c r="E409" s="76" t="s">
        <v>2345</v>
      </c>
      <c r="F409" s="76" t="s">
        <v>2346</v>
      </c>
    </row>
    <row r="410" spans="1:6" ht="63.95" customHeight="1">
      <c r="A410" s="76" t="s">
        <v>1853</v>
      </c>
      <c r="B410" s="76" t="s">
        <v>2905</v>
      </c>
      <c r="C410" s="76" t="s">
        <v>2906</v>
      </c>
      <c r="D410" s="76" t="s">
        <v>2907</v>
      </c>
      <c r="E410" s="76" t="s">
        <v>2032</v>
      </c>
      <c r="F410" s="76" t="s">
        <v>2033</v>
      </c>
    </row>
    <row r="411" spans="1:6" ht="63.95" customHeight="1">
      <c r="A411" s="76" t="s">
        <v>1853</v>
      </c>
      <c r="B411" s="76" t="s">
        <v>2908</v>
      </c>
      <c r="C411" s="76"/>
      <c r="D411" s="76" t="s">
        <v>2909</v>
      </c>
      <c r="E411" s="76" t="s">
        <v>2032</v>
      </c>
      <c r="F411" s="76" t="s">
        <v>2033</v>
      </c>
    </row>
    <row r="412" spans="1:6" ht="63.95" customHeight="1">
      <c r="A412" s="76" t="s">
        <v>1853</v>
      </c>
      <c r="B412" s="76" t="s">
        <v>2910</v>
      </c>
      <c r="C412" s="76"/>
      <c r="D412" s="76" t="s">
        <v>2911</v>
      </c>
      <c r="E412" s="76" t="s">
        <v>2032</v>
      </c>
      <c r="F412" s="76" t="s">
        <v>2033</v>
      </c>
    </row>
    <row r="413" spans="1:6" ht="63.95" customHeight="1">
      <c r="A413" s="76" t="s">
        <v>1853</v>
      </c>
      <c r="B413" s="76" t="s">
        <v>2912</v>
      </c>
      <c r="C413" s="76" t="s">
        <v>1172</v>
      </c>
      <c r="D413" s="76" t="s">
        <v>2891</v>
      </c>
      <c r="E413" s="76" t="s">
        <v>2307</v>
      </c>
      <c r="F413" s="76" t="s">
        <v>2308</v>
      </c>
    </row>
    <row r="414" spans="1:6" ht="63.95" customHeight="1">
      <c r="A414" s="76" t="s">
        <v>1853</v>
      </c>
      <c r="B414" s="76" t="s">
        <v>2913</v>
      </c>
      <c r="C414" s="76" t="s">
        <v>2914</v>
      </c>
      <c r="D414" s="76" t="s">
        <v>2915</v>
      </c>
      <c r="E414" s="76" t="s">
        <v>2032</v>
      </c>
      <c r="F414" s="76" t="s">
        <v>2033</v>
      </c>
    </row>
    <row r="415" spans="1:6" ht="63.95" customHeight="1">
      <c r="A415" s="76" t="s">
        <v>1853</v>
      </c>
      <c r="B415" s="76" t="s">
        <v>2916</v>
      </c>
      <c r="C415" s="76"/>
      <c r="D415" s="76" t="s">
        <v>2917</v>
      </c>
      <c r="E415" s="76" t="s">
        <v>2032</v>
      </c>
      <c r="F415" s="76" t="s">
        <v>2033</v>
      </c>
    </row>
    <row r="416" spans="1:6" ht="63.95" customHeight="1">
      <c r="A416" s="76" t="s">
        <v>1853</v>
      </c>
      <c r="B416" s="76" t="s">
        <v>2918</v>
      </c>
      <c r="C416" s="76"/>
      <c r="D416" s="76" t="s">
        <v>2919</v>
      </c>
      <c r="E416" s="76" t="s">
        <v>2032</v>
      </c>
      <c r="F416" s="76" t="s">
        <v>2033</v>
      </c>
    </row>
    <row r="417" spans="1:6" ht="63.95" customHeight="1">
      <c r="A417" s="76" t="s">
        <v>1853</v>
      </c>
      <c r="B417" s="76" t="s">
        <v>2920</v>
      </c>
      <c r="C417" s="76" t="s">
        <v>1172</v>
      </c>
      <c r="D417" s="76" t="s">
        <v>2891</v>
      </c>
      <c r="E417" s="76" t="s">
        <v>2307</v>
      </c>
      <c r="F417" s="76" t="s">
        <v>2308</v>
      </c>
    </row>
    <row r="418" spans="1:6" ht="63.95" customHeight="1">
      <c r="A418" s="76" t="s">
        <v>1853</v>
      </c>
      <c r="B418" s="76" t="s">
        <v>2921</v>
      </c>
      <c r="C418" s="76" t="s">
        <v>2922</v>
      </c>
      <c r="D418" s="76" t="s">
        <v>2923</v>
      </c>
      <c r="E418" s="76" t="s">
        <v>2032</v>
      </c>
      <c r="F418" s="76" t="s">
        <v>2033</v>
      </c>
    </row>
    <row r="419" spans="1:6" ht="63.95" customHeight="1">
      <c r="A419" s="76" t="s">
        <v>1853</v>
      </c>
      <c r="B419" s="76" t="s">
        <v>2924</v>
      </c>
      <c r="C419" s="76"/>
      <c r="D419" s="76" t="s">
        <v>2925</v>
      </c>
      <c r="E419" s="76" t="s">
        <v>2032</v>
      </c>
      <c r="F419" s="76" t="s">
        <v>2033</v>
      </c>
    </row>
    <row r="420" spans="1:6" ht="63.95" customHeight="1">
      <c r="A420" s="76" t="s">
        <v>1853</v>
      </c>
      <c r="B420" s="76" t="s">
        <v>2926</v>
      </c>
      <c r="C420" s="76"/>
      <c r="D420" s="76" t="s">
        <v>2927</v>
      </c>
      <c r="E420" s="76" t="s">
        <v>2032</v>
      </c>
      <c r="F420" s="76" t="s">
        <v>2033</v>
      </c>
    </row>
    <row r="421" spans="1:6" ht="63.95" customHeight="1">
      <c r="A421" s="76" t="s">
        <v>1853</v>
      </c>
      <c r="B421" s="76" t="s">
        <v>2928</v>
      </c>
      <c r="C421" s="76" t="s">
        <v>1172</v>
      </c>
      <c r="D421" s="76" t="s">
        <v>2891</v>
      </c>
      <c r="E421" s="76" t="s">
        <v>2307</v>
      </c>
      <c r="F421" s="76" t="s">
        <v>2308</v>
      </c>
    </row>
    <row r="422" spans="1:6" ht="63.95" customHeight="1">
      <c r="A422" s="76" t="s">
        <v>1853</v>
      </c>
      <c r="B422" s="76" t="s">
        <v>2929</v>
      </c>
      <c r="C422" s="76" t="s">
        <v>2930</v>
      </c>
      <c r="D422" s="76" t="s">
        <v>2931</v>
      </c>
      <c r="E422" s="76" t="s">
        <v>2032</v>
      </c>
      <c r="F422" s="76" t="s">
        <v>2033</v>
      </c>
    </row>
    <row r="423" spans="1:6" ht="63.95" customHeight="1">
      <c r="A423" s="76" t="s">
        <v>1853</v>
      </c>
      <c r="B423" s="76" t="s">
        <v>2932</v>
      </c>
      <c r="C423" s="76"/>
      <c r="D423" s="76" t="s">
        <v>2933</v>
      </c>
      <c r="E423" s="76" t="s">
        <v>2032</v>
      </c>
      <c r="F423" s="76" t="s">
        <v>2033</v>
      </c>
    </row>
    <row r="424" spans="1:6" ht="63.95" customHeight="1">
      <c r="A424" s="76" t="s">
        <v>1853</v>
      </c>
      <c r="B424" s="76" t="s">
        <v>2934</v>
      </c>
      <c r="C424" s="76"/>
      <c r="D424" s="76" t="s">
        <v>2935</v>
      </c>
      <c r="E424" s="76" t="s">
        <v>2032</v>
      </c>
      <c r="F424" s="76" t="s">
        <v>2033</v>
      </c>
    </row>
    <row r="425" spans="1:6" ht="63.95" customHeight="1">
      <c r="A425" s="76" t="s">
        <v>1853</v>
      </c>
      <c r="B425" s="76" t="s">
        <v>2936</v>
      </c>
      <c r="C425" s="76" t="s">
        <v>2937</v>
      </c>
      <c r="D425" s="76" t="s">
        <v>2938</v>
      </c>
      <c r="E425" s="76" t="s">
        <v>2307</v>
      </c>
      <c r="F425" s="76" t="s">
        <v>2308</v>
      </c>
    </row>
    <row r="426" spans="1:6" ht="63.95" customHeight="1">
      <c r="A426" s="76" t="s">
        <v>1853</v>
      </c>
      <c r="B426" s="76" t="s">
        <v>2939</v>
      </c>
      <c r="C426" s="76" t="s">
        <v>1459</v>
      </c>
      <c r="D426" s="76" t="s">
        <v>2348</v>
      </c>
      <c r="E426" s="76" t="s">
        <v>2349</v>
      </c>
      <c r="F426" s="76" t="s">
        <v>2350</v>
      </c>
    </row>
    <row r="427" spans="1:6" ht="63.95" customHeight="1">
      <c r="A427" s="76" t="s">
        <v>1853</v>
      </c>
      <c r="B427" s="76" t="s">
        <v>2940</v>
      </c>
      <c r="C427" s="76" t="s">
        <v>2941</v>
      </c>
      <c r="D427" s="76" t="s">
        <v>2942</v>
      </c>
      <c r="E427" s="76" t="s">
        <v>2032</v>
      </c>
      <c r="F427" s="76" t="s">
        <v>2033</v>
      </c>
    </row>
    <row r="428" spans="1:6" ht="63.95" customHeight="1">
      <c r="A428" s="76" t="s">
        <v>1853</v>
      </c>
      <c r="B428" s="76" t="s">
        <v>2943</v>
      </c>
      <c r="C428" s="76" t="s">
        <v>1420</v>
      </c>
      <c r="D428" s="76" t="s">
        <v>1472</v>
      </c>
      <c r="E428" s="76" t="s">
        <v>2355</v>
      </c>
      <c r="F428" s="76" t="s">
        <v>2944</v>
      </c>
    </row>
    <row r="429" spans="1:6" ht="63.95" customHeight="1">
      <c r="A429" s="76" t="s">
        <v>1853</v>
      </c>
      <c r="B429" s="76" t="s">
        <v>2945</v>
      </c>
      <c r="C429" s="76"/>
      <c r="D429" s="76" t="s">
        <v>2946</v>
      </c>
      <c r="E429" s="76" t="s">
        <v>2032</v>
      </c>
      <c r="F429" s="76" t="s">
        <v>2033</v>
      </c>
    </row>
    <row r="430" spans="1:6" ht="63.95" customHeight="1">
      <c r="A430" s="76" t="s">
        <v>1853</v>
      </c>
      <c r="B430" s="76" t="s">
        <v>2947</v>
      </c>
      <c r="C430" s="76"/>
      <c r="D430" s="76" t="s">
        <v>2948</v>
      </c>
      <c r="E430" s="76" t="s">
        <v>2032</v>
      </c>
      <c r="F430" s="76" t="s">
        <v>2033</v>
      </c>
    </row>
    <row r="431" spans="1:6" ht="63.95" customHeight="1">
      <c r="A431" s="76" t="s">
        <v>1853</v>
      </c>
      <c r="B431" s="76" t="s">
        <v>2949</v>
      </c>
      <c r="C431" s="76" t="s">
        <v>1172</v>
      </c>
      <c r="D431" s="76" t="s">
        <v>2891</v>
      </c>
      <c r="E431" s="76" t="s">
        <v>2307</v>
      </c>
      <c r="F431" s="76" t="s">
        <v>2308</v>
      </c>
    </row>
    <row r="432" spans="1:6" ht="63.95" customHeight="1">
      <c r="A432" s="76" t="s">
        <v>1853</v>
      </c>
      <c r="B432" s="76" t="s">
        <v>2950</v>
      </c>
      <c r="C432" s="76" t="s">
        <v>1459</v>
      </c>
      <c r="D432" s="76" t="s">
        <v>2348</v>
      </c>
      <c r="E432" s="76" t="s">
        <v>2349</v>
      </c>
      <c r="F432" s="76" t="s">
        <v>2350</v>
      </c>
    </row>
    <row r="433" spans="1:6" ht="63.95" customHeight="1">
      <c r="A433" s="76" t="s">
        <v>1853</v>
      </c>
      <c r="B433" s="76" t="s">
        <v>2951</v>
      </c>
      <c r="C433" s="76" t="s">
        <v>2952</v>
      </c>
      <c r="D433" s="76" t="s">
        <v>2953</v>
      </c>
      <c r="E433" s="76" t="s">
        <v>2032</v>
      </c>
      <c r="F433" s="76" t="s">
        <v>2033</v>
      </c>
    </row>
    <row r="434" spans="1:6" ht="63.95" customHeight="1">
      <c r="A434" s="76" t="s">
        <v>1853</v>
      </c>
      <c r="B434" s="76" t="s">
        <v>2954</v>
      </c>
      <c r="C434" s="76" t="s">
        <v>1420</v>
      </c>
      <c r="D434" s="76" t="s">
        <v>1472</v>
      </c>
      <c r="E434" s="76" t="s">
        <v>2355</v>
      </c>
      <c r="F434" s="76" t="s">
        <v>2955</v>
      </c>
    </row>
    <row r="435" spans="1:6" ht="63.95" customHeight="1">
      <c r="A435" s="76" t="s">
        <v>1853</v>
      </c>
      <c r="B435" s="76" t="s">
        <v>2956</v>
      </c>
      <c r="C435" s="76"/>
      <c r="D435" s="76" t="s">
        <v>2957</v>
      </c>
      <c r="E435" s="76" t="s">
        <v>2032</v>
      </c>
      <c r="F435" s="76" t="s">
        <v>2033</v>
      </c>
    </row>
    <row r="436" spans="1:6" ht="63.95" customHeight="1">
      <c r="A436" s="76" t="s">
        <v>1853</v>
      </c>
      <c r="B436" s="76" t="s">
        <v>2958</v>
      </c>
      <c r="C436" s="76"/>
      <c r="D436" s="76" t="s">
        <v>2959</v>
      </c>
      <c r="E436" s="76" t="s">
        <v>2032</v>
      </c>
      <c r="F436" s="76" t="s">
        <v>2033</v>
      </c>
    </row>
    <row r="437" spans="1:6" ht="63.95" customHeight="1">
      <c r="A437" s="76" t="s">
        <v>1853</v>
      </c>
      <c r="B437" s="76" t="s">
        <v>2960</v>
      </c>
      <c r="C437" s="76" t="s">
        <v>1172</v>
      </c>
      <c r="D437" s="76" t="s">
        <v>2891</v>
      </c>
      <c r="E437" s="76" t="s">
        <v>2307</v>
      </c>
      <c r="F437" s="76" t="s">
        <v>2308</v>
      </c>
    </row>
    <row r="438" spans="1:6" ht="63.95" customHeight="1">
      <c r="A438" s="76" t="s">
        <v>1853</v>
      </c>
      <c r="B438" s="76" t="s">
        <v>2961</v>
      </c>
      <c r="C438" s="76" t="s">
        <v>2962</v>
      </c>
      <c r="D438" s="76" t="s">
        <v>2963</v>
      </c>
      <c r="E438" s="76" t="s">
        <v>2032</v>
      </c>
      <c r="F438" s="76" t="s">
        <v>2033</v>
      </c>
    </row>
    <row r="439" spans="1:6" ht="63.95" customHeight="1">
      <c r="A439" s="76" t="s">
        <v>1853</v>
      </c>
      <c r="B439" s="76" t="s">
        <v>2964</v>
      </c>
      <c r="C439" s="76"/>
      <c r="D439" s="76" t="s">
        <v>2965</v>
      </c>
      <c r="E439" s="76" t="s">
        <v>2032</v>
      </c>
      <c r="F439" s="76" t="s">
        <v>2033</v>
      </c>
    </row>
    <row r="440" spans="1:6" ht="63.95" customHeight="1">
      <c r="A440" s="76" t="s">
        <v>1853</v>
      </c>
      <c r="B440" s="76" t="s">
        <v>2966</v>
      </c>
      <c r="C440" s="76"/>
      <c r="D440" s="76" t="s">
        <v>2967</v>
      </c>
      <c r="E440" s="76" t="s">
        <v>2032</v>
      </c>
      <c r="F440" s="76" t="s">
        <v>2033</v>
      </c>
    </row>
    <row r="441" spans="1:6" ht="63.95" customHeight="1">
      <c r="A441" s="76" t="s">
        <v>1853</v>
      </c>
      <c r="B441" s="76" t="s">
        <v>2968</v>
      </c>
      <c r="C441" s="76" t="s">
        <v>1172</v>
      </c>
      <c r="D441" s="76" t="s">
        <v>2891</v>
      </c>
      <c r="E441" s="76" t="s">
        <v>2307</v>
      </c>
      <c r="F441" s="76" t="s">
        <v>2308</v>
      </c>
    </row>
    <row r="442" spans="1:6" ht="63.95" customHeight="1">
      <c r="A442" s="76" t="s">
        <v>1853</v>
      </c>
      <c r="B442" s="76" t="s">
        <v>2969</v>
      </c>
      <c r="C442" s="76" t="s">
        <v>2970</v>
      </c>
      <c r="D442" s="76" t="s">
        <v>2971</v>
      </c>
      <c r="E442" s="76" t="s">
        <v>2032</v>
      </c>
      <c r="F442" s="76" t="s">
        <v>2033</v>
      </c>
    </row>
    <row r="443" spans="1:6" ht="63.95" customHeight="1">
      <c r="A443" s="76" t="s">
        <v>1853</v>
      </c>
      <c r="B443" s="76" t="s">
        <v>2972</v>
      </c>
      <c r="C443" s="76"/>
      <c r="D443" s="76" t="s">
        <v>2973</v>
      </c>
      <c r="E443" s="76" t="s">
        <v>2032</v>
      </c>
      <c r="F443" s="76" t="s">
        <v>2033</v>
      </c>
    </row>
    <row r="444" spans="1:6" ht="63.95" customHeight="1">
      <c r="A444" s="76" t="s">
        <v>1853</v>
      </c>
      <c r="B444" s="76" t="s">
        <v>2974</v>
      </c>
      <c r="C444" s="76"/>
      <c r="D444" s="76" t="s">
        <v>2975</v>
      </c>
      <c r="E444" s="76" t="s">
        <v>2032</v>
      </c>
      <c r="F444" s="76" t="s">
        <v>2033</v>
      </c>
    </row>
    <row r="445" spans="1:6" ht="63.95" customHeight="1">
      <c r="A445" s="76" t="s">
        <v>1853</v>
      </c>
      <c r="B445" s="76" t="s">
        <v>2976</v>
      </c>
      <c r="C445" s="76" t="s">
        <v>1172</v>
      </c>
      <c r="D445" s="76" t="s">
        <v>2891</v>
      </c>
      <c r="E445" s="76" t="s">
        <v>2307</v>
      </c>
      <c r="F445" s="76" t="s">
        <v>2308</v>
      </c>
    </row>
    <row r="446" spans="1:6" ht="63.95" customHeight="1">
      <c r="A446" s="76" t="s">
        <v>1853</v>
      </c>
      <c r="B446" s="76" t="s">
        <v>2977</v>
      </c>
      <c r="C446" s="76" t="s">
        <v>2978</v>
      </c>
      <c r="D446" s="76" t="s">
        <v>2979</v>
      </c>
      <c r="E446" s="76" t="s">
        <v>2032</v>
      </c>
      <c r="F446" s="76" t="s">
        <v>2033</v>
      </c>
    </row>
    <row r="447" spans="1:6" ht="63.95" customHeight="1">
      <c r="A447" s="76" t="s">
        <v>1853</v>
      </c>
      <c r="B447" s="76" t="s">
        <v>2980</v>
      </c>
      <c r="C447" s="76"/>
      <c r="D447" s="76" t="s">
        <v>2981</v>
      </c>
      <c r="E447" s="76" t="s">
        <v>2032</v>
      </c>
      <c r="F447" s="76" t="s">
        <v>2033</v>
      </c>
    </row>
    <row r="448" spans="1:6" ht="63.95" customHeight="1">
      <c r="A448" s="76" t="s">
        <v>1853</v>
      </c>
      <c r="B448" s="76" t="s">
        <v>2982</v>
      </c>
      <c r="C448" s="76"/>
      <c r="D448" s="76" t="s">
        <v>2983</v>
      </c>
      <c r="E448" s="76" t="s">
        <v>2032</v>
      </c>
      <c r="F448" s="76" t="s">
        <v>2033</v>
      </c>
    </row>
    <row r="449" spans="1:6" ht="63.95" customHeight="1">
      <c r="A449" s="76" t="s">
        <v>1853</v>
      </c>
      <c r="B449" s="76" t="s">
        <v>2984</v>
      </c>
      <c r="C449" s="76" t="s">
        <v>2985</v>
      </c>
      <c r="D449" s="76" t="s">
        <v>2986</v>
      </c>
      <c r="E449" s="76" t="s">
        <v>2345</v>
      </c>
      <c r="F449" s="76" t="s">
        <v>2346</v>
      </c>
    </row>
    <row r="450" spans="1:6" ht="63.95" customHeight="1">
      <c r="A450" s="76" t="s">
        <v>1853</v>
      </c>
      <c r="B450" s="76" t="s">
        <v>2987</v>
      </c>
      <c r="C450" s="76" t="s">
        <v>2988</v>
      </c>
      <c r="D450" s="76" t="s">
        <v>2989</v>
      </c>
      <c r="E450" s="76" t="s">
        <v>2032</v>
      </c>
      <c r="F450" s="76" t="s">
        <v>2033</v>
      </c>
    </row>
    <row r="451" spans="1:6" ht="63.95" customHeight="1">
      <c r="A451" s="76" t="s">
        <v>1853</v>
      </c>
      <c r="B451" s="76" t="s">
        <v>2990</v>
      </c>
      <c r="C451" s="76"/>
      <c r="D451" s="76" t="s">
        <v>2991</v>
      </c>
      <c r="E451" s="76" t="s">
        <v>2032</v>
      </c>
      <c r="F451" s="76" t="s">
        <v>2033</v>
      </c>
    </row>
    <row r="452" spans="1:6" ht="63.95" customHeight="1">
      <c r="A452" s="76" t="s">
        <v>1853</v>
      </c>
      <c r="B452" s="76" t="s">
        <v>2992</v>
      </c>
      <c r="C452" s="76"/>
      <c r="D452" s="76" t="s">
        <v>2993</v>
      </c>
      <c r="E452" s="76" t="s">
        <v>2032</v>
      </c>
      <c r="F452" s="76" t="s">
        <v>2033</v>
      </c>
    </row>
    <row r="453" spans="1:6" ht="63.95" customHeight="1">
      <c r="A453" s="76" t="s">
        <v>1853</v>
      </c>
      <c r="B453" s="76" t="s">
        <v>2994</v>
      </c>
      <c r="C453" s="76" t="s">
        <v>2995</v>
      </c>
      <c r="D453" s="76" t="s">
        <v>2996</v>
      </c>
      <c r="E453" s="76" t="s">
        <v>2032</v>
      </c>
      <c r="F453" s="76" t="s">
        <v>2033</v>
      </c>
    </row>
    <row r="454" spans="1:6" ht="63.95" customHeight="1">
      <c r="A454" s="76" t="s">
        <v>1853</v>
      </c>
      <c r="B454" s="76" t="s">
        <v>2997</v>
      </c>
      <c r="C454" s="76"/>
      <c r="D454" s="76" t="s">
        <v>2998</v>
      </c>
      <c r="E454" s="76" t="s">
        <v>2032</v>
      </c>
      <c r="F454" s="76" t="s">
        <v>2033</v>
      </c>
    </row>
    <row r="455" spans="1:6" ht="63.95" customHeight="1">
      <c r="A455" s="76" t="s">
        <v>1853</v>
      </c>
      <c r="B455" s="76" t="s">
        <v>2999</v>
      </c>
      <c r="C455" s="76"/>
      <c r="D455" s="76" t="s">
        <v>3000</v>
      </c>
      <c r="E455" s="76" t="s">
        <v>2032</v>
      </c>
      <c r="F455" s="76" t="s">
        <v>2033</v>
      </c>
    </row>
    <row r="456" spans="1:6" ht="63.95" customHeight="1">
      <c r="A456" s="76" t="s">
        <v>1853</v>
      </c>
      <c r="B456" s="76" t="s">
        <v>3001</v>
      </c>
      <c r="C456" s="76" t="s">
        <v>3002</v>
      </c>
      <c r="D456" s="76" t="s">
        <v>3003</v>
      </c>
      <c r="E456" s="76" t="s">
        <v>2032</v>
      </c>
      <c r="F456" s="76" t="s">
        <v>2033</v>
      </c>
    </row>
    <row r="457" spans="1:6" ht="63.95" customHeight="1">
      <c r="A457" s="76" t="s">
        <v>1853</v>
      </c>
      <c r="B457" s="76" t="s">
        <v>3004</v>
      </c>
      <c r="C457" s="76"/>
      <c r="D457" s="76" t="s">
        <v>3005</v>
      </c>
      <c r="E457" s="76" t="s">
        <v>2032</v>
      </c>
      <c r="F457" s="76" t="s">
        <v>2033</v>
      </c>
    </row>
    <row r="458" spans="1:6" ht="63.95" customHeight="1">
      <c r="A458" s="76" t="s">
        <v>1853</v>
      </c>
      <c r="B458" s="76" t="s">
        <v>3006</v>
      </c>
      <c r="C458" s="76"/>
      <c r="D458" s="76" t="s">
        <v>3007</v>
      </c>
      <c r="E458" s="76" t="s">
        <v>2032</v>
      </c>
      <c r="F458" s="76" t="s">
        <v>2033</v>
      </c>
    </row>
    <row r="459" spans="1:6" ht="63.95" customHeight="1">
      <c r="A459" s="76" t="s">
        <v>1853</v>
      </c>
      <c r="B459" s="76" t="s">
        <v>3008</v>
      </c>
      <c r="C459" s="76" t="s">
        <v>3009</v>
      </c>
      <c r="D459" s="76" t="s">
        <v>3010</v>
      </c>
      <c r="E459" s="76" t="s">
        <v>2032</v>
      </c>
      <c r="F459" s="76" t="s">
        <v>2033</v>
      </c>
    </row>
    <row r="460" spans="1:6" ht="63.95" customHeight="1">
      <c r="A460" s="76" t="s">
        <v>1853</v>
      </c>
      <c r="B460" s="76" t="s">
        <v>3011</v>
      </c>
      <c r="C460" s="76"/>
      <c r="D460" s="76" t="s">
        <v>3012</v>
      </c>
      <c r="E460" s="76" t="s">
        <v>2032</v>
      </c>
      <c r="F460" s="76" t="s">
        <v>2033</v>
      </c>
    </row>
    <row r="461" spans="1:6" ht="63.95" customHeight="1">
      <c r="A461" s="76" t="s">
        <v>1853</v>
      </c>
      <c r="B461" s="76" t="s">
        <v>3013</v>
      </c>
      <c r="C461" s="76"/>
      <c r="D461" s="76" t="s">
        <v>3014</v>
      </c>
      <c r="E461" s="76" t="s">
        <v>2032</v>
      </c>
      <c r="F461" s="76" t="s">
        <v>2033</v>
      </c>
    </row>
    <row r="462" spans="1:6" ht="63.95" customHeight="1">
      <c r="A462" s="76" t="s">
        <v>1853</v>
      </c>
      <c r="B462" s="76" t="s">
        <v>3015</v>
      </c>
      <c r="C462" s="76" t="s">
        <v>1459</v>
      </c>
      <c r="D462" s="76" t="s">
        <v>2348</v>
      </c>
      <c r="E462" s="76" t="s">
        <v>2349</v>
      </c>
      <c r="F462" s="76" t="s">
        <v>2350</v>
      </c>
    </row>
    <row r="463" spans="1:6" ht="63.95" customHeight="1">
      <c r="A463" s="76" t="s">
        <v>1853</v>
      </c>
      <c r="B463" s="76" t="s">
        <v>3016</v>
      </c>
      <c r="C463" s="76" t="s">
        <v>3017</v>
      </c>
      <c r="D463" s="76" t="s">
        <v>3018</v>
      </c>
      <c r="E463" s="76" t="s">
        <v>2032</v>
      </c>
      <c r="F463" s="76" t="s">
        <v>2033</v>
      </c>
    </row>
    <row r="464" spans="1:6" ht="63.95" customHeight="1">
      <c r="A464" s="76" t="s">
        <v>1853</v>
      </c>
      <c r="B464" s="76" t="s">
        <v>3019</v>
      </c>
      <c r="C464" s="76" t="s">
        <v>1420</v>
      </c>
      <c r="D464" s="76" t="s">
        <v>1472</v>
      </c>
      <c r="E464" s="76" t="s">
        <v>2355</v>
      </c>
      <c r="F464" s="76" t="s">
        <v>3020</v>
      </c>
    </row>
    <row r="465" spans="1:6" ht="63.95" customHeight="1">
      <c r="A465" s="76" t="s">
        <v>1853</v>
      </c>
      <c r="B465" s="76" t="s">
        <v>3021</v>
      </c>
      <c r="C465" s="76"/>
      <c r="D465" s="76" t="s">
        <v>3022</v>
      </c>
      <c r="E465" s="76" t="s">
        <v>2032</v>
      </c>
      <c r="F465" s="76" t="s">
        <v>2033</v>
      </c>
    </row>
    <row r="466" spans="1:6" ht="63.95" customHeight="1">
      <c r="A466" s="76" t="s">
        <v>1853</v>
      </c>
      <c r="B466" s="76" t="s">
        <v>3023</v>
      </c>
      <c r="C466" s="76"/>
      <c r="D466" s="76" t="s">
        <v>3024</v>
      </c>
      <c r="E466" s="76" t="s">
        <v>2032</v>
      </c>
      <c r="F466" s="76" t="s">
        <v>2033</v>
      </c>
    </row>
    <row r="467" spans="1:6" ht="63.95" customHeight="1">
      <c r="A467" s="76" t="s">
        <v>1853</v>
      </c>
      <c r="B467" s="76" t="s">
        <v>3025</v>
      </c>
      <c r="C467" s="76" t="s">
        <v>3026</v>
      </c>
      <c r="D467" s="76" t="s">
        <v>3027</v>
      </c>
      <c r="E467" s="76" t="s">
        <v>2345</v>
      </c>
      <c r="F467" s="76" t="s">
        <v>2346</v>
      </c>
    </row>
    <row r="468" spans="1:6" ht="63.95" customHeight="1">
      <c r="A468" s="76" t="s">
        <v>1853</v>
      </c>
      <c r="B468" s="76" t="s">
        <v>3028</v>
      </c>
      <c r="C468" s="76" t="s">
        <v>3029</v>
      </c>
      <c r="D468" s="76" t="s">
        <v>3030</v>
      </c>
      <c r="E468" s="76" t="s">
        <v>2032</v>
      </c>
      <c r="F468" s="76" t="s">
        <v>2033</v>
      </c>
    </row>
    <row r="469" spans="1:6" ht="63.95" customHeight="1">
      <c r="A469" s="76" t="s">
        <v>1853</v>
      </c>
      <c r="B469" s="76" t="s">
        <v>3031</v>
      </c>
      <c r="C469" s="76"/>
      <c r="D469" s="76" t="s">
        <v>3032</v>
      </c>
      <c r="E469" s="76" t="s">
        <v>2032</v>
      </c>
      <c r="F469" s="76" t="s">
        <v>2033</v>
      </c>
    </row>
    <row r="470" spans="1:6" ht="63.95" customHeight="1">
      <c r="A470" s="76" t="s">
        <v>1853</v>
      </c>
      <c r="B470" s="76" t="s">
        <v>3033</v>
      </c>
      <c r="C470" s="76"/>
      <c r="D470" s="76" t="s">
        <v>3034</v>
      </c>
      <c r="E470" s="76" t="s">
        <v>2032</v>
      </c>
      <c r="F470" s="76" t="s">
        <v>2033</v>
      </c>
    </row>
    <row r="471" spans="1:6" ht="63.95" customHeight="1">
      <c r="A471" s="76" t="s">
        <v>1853</v>
      </c>
      <c r="B471" s="76" t="s">
        <v>3035</v>
      </c>
      <c r="C471" s="76" t="s">
        <v>3036</v>
      </c>
      <c r="D471" s="76" t="s">
        <v>3037</v>
      </c>
      <c r="E471" s="76" t="s">
        <v>2032</v>
      </c>
      <c r="F471" s="76" t="s">
        <v>2033</v>
      </c>
    </row>
    <row r="472" spans="1:6" ht="63.95" customHeight="1">
      <c r="A472" s="76" t="s">
        <v>1853</v>
      </c>
      <c r="B472" s="76" t="s">
        <v>3038</v>
      </c>
      <c r="C472" s="76"/>
      <c r="D472" s="76" t="s">
        <v>3039</v>
      </c>
      <c r="E472" s="76" t="s">
        <v>2032</v>
      </c>
      <c r="F472" s="76" t="s">
        <v>2033</v>
      </c>
    </row>
    <row r="473" spans="1:6" ht="63.95" customHeight="1">
      <c r="A473" s="76" t="s">
        <v>1853</v>
      </c>
      <c r="B473" s="76" t="s">
        <v>3040</v>
      </c>
      <c r="C473" s="76"/>
      <c r="D473" s="76" t="s">
        <v>3041</v>
      </c>
      <c r="E473" s="76" t="s">
        <v>2032</v>
      </c>
      <c r="F473" s="76" t="s">
        <v>2033</v>
      </c>
    </row>
    <row r="474" spans="1:6" ht="63.95" customHeight="1">
      <c r="A474" s="76" t="s">
        <v>1853</v>
      </c>
      <c r="B474" s="76" t="s">
        <v>3042</v>
      </c>
      <c r="C474" s="76" t="s">
        <v>3043</v>
      </c>
      <c r="D474" s="76" t="s">
        <v>3044</v>
      </c>
      <c r="E474" s="76" t="s">
        <v>2032</v>
      </c>
      <c r="F474" s="76" t="s">
        <v>2033</v>
      </c>
    </row>
    <row r="475" spans="1:6" ht="63.95" customHeight="1">
      <c r="A475" s="76" t="s">
        <v>1853</v>
      </c>
      <c r="B475" s="76" t="s">
        <v>3045</v>
      </c>
      <c r="C475" s="76"/>
      <c r="D475" s="76" t="s">
        <v>3046</v>
      </c>
      <c r="E475" s="76" t="s">
        <v>2032</v>
      </c>
      <c r="F475" s="76" t="s">
        <v>2033</v>
      </c>
    </row>
    <row r="476" spans="1:6" ht="63.95" customHeight="1">
      <c r="A476" s="76" t="s">
        <v>1853</v>
      </c>
      <c r="B476" s="76" t="s">
        <v>3047</v>
      </c>
      <c r="C476" s="76"/>
      <c r="D476" s="76" t="s">
        <v>3048</v>
      </c>
      <c r="E476" s="76" t="s">
        <v>2032</v>
      </c>
      <c r="F476" s="76" t="s">
        <v>2033</v>
      </c>
    </row>
    <row r="477" spans="1:6" ht="63.95" customHeight="1">
      <c r="A477" s="76" t="s">
        <v>1853</v>
      </c>
      <c r="B477" s="76" t="s">
        <v>3049</v>
      </c>
      <c r="C477" s="76" t="s">
        <v>3050</v>
      </c>
      <c r="D477" s="76" t="s">
        <v>3051</v>
      </c>
      <c r="E477" s="76" t="s">
        <v>2032</v>
      </c>
      <c r="F477" s="76" t="s">
        <v>2033</v>
      </c>
    </row>
    <row r="478" spans="1:6" ht="63.95" customHeight="1">
      <c r="A478" s="76" t="s">
        <v>1853</v>
      </c>
      <c r="B478" s="76" t="s">
        <v>3052</v>
      </c>
      <c r="C478" s="76"/>
      <c r="D478" s="76" t="s">
        <v>3053</v>
      </c>
      <c r="E478" s="76" t="s">
        <v>2032</v>
      </c>
      <c r="F478" s="76" t="s">
        <v>2033</v>
      </c>
    </row>
    <row r="479" spans="1:6" ht="63.95" customHeight="1">
      <c r="A479" s="76" t="s">
        <v>1853</v>
      </c>
      <c r="B479" s="76" t="s">
        <v>3054</v>
      </c>
      <c r="C479" s="76"/>
      <c r="D479" s="76" t="s">
        <v>3055</v>
      </c>
      <c r="E479" s="76" t="s">
        <v>2032</v>
      </c>
      <c r="F479" s="76" t="s">
        <v>2033</v>
      </c>
    </row>
    <row r="480" spans="1:6" ht="63.95" customHeight="1">
      <c r="A480" s="76" t="s">
        <v>1853</v>
      </c>
      <c r="B480" s="76" t="s">
        <v>3056</v>
      </c>
      <c r="C480" s="76" t="s">
        <v>3057</v>
      </c>
      <c r="D480" s="76" t="s">
        <v>3058</v>
      </c>
      <c r="E480" s="76" t="s">
        <v>2032</v>
      </c>
      <c r="F480" s="76" t="s">
        <v>2033</v>
      </c>
    </row>
    <row r="481" spans="1:6" ht="63.95" customHeight="1">
      <c r="A481" s="76" t="s">
        <v>1853</v>
      </c>
      <c r="B481" s="76" t="s">
        <v>3059</v>
      </c>
      <c r="C481" s="76"/>
      <c r="D481" s="76" t="s">
        <v>3060</v>
      </c>
      <c r="E481" s="76" t="s">
        <v>2032</v>
      </c>
      <c r="F481" s="76" t="s">
        <v>2033</v>
      </c>
    </row>
    <row r="482" spans="1:6" ht="63.95" customHeight="1">
      <c r="A482" s="76" t="s">
        <v>1853</v>
      </c>
      <c r="B482" s="76" t="s">
        <v>3061</v>
      </c>
      <c r="C482" s="76"/>
      <c r="D482" s="76" t="s">
        <v>3062</v>
      </c>
      <c r="E482" s="76" t="s">
        <v>2032</v>
      </c>
      <c r="F482" s="76" t="s">
        <v>2033</v>
      </c>
    </row>
    <row r="483" spans="1:6" ht="63.95" customHeight="1">
      <c r="A483" s="76" t="s">
        <v>1853</v>
      </c>
      <c r="B483" s="76" t="s">
        <v>3063</v>
      </c>
      <c r="C483" s="76" t="s">
        <v>1459</v>
      </c>
      <c r="D483" s="76" t="s">
        <v>2348</v>
      </c>
      <c r="E483" s="76" t="s">
        <v>2349</v>
      </c>
      <c r="F483" s="76" t="s">
        <v>2350</v>
      </c>
    </row>
    <row r="484" spans="1:6" ht="63.95" customHeight="1">
      <c r="A484" s="76" t="s">
        <v>1853</v>
      </c>
      <c r="B484" s="76" t="s">
        <v>3064</v>
      </c>
      <c r="C484" s="76" t="s">
        <v>3065</v>
      </c>
      <c r="D484" s="76" t="s">
        <v>3066</v>
      </c>
      <c r="E484" s="76" t="s">
        <v>2032</v>
      </c>
      <c r="F484" s="76" t="s">
        <v>2033</v>
      </c>
    </row>
    <row r="485" spans="1:6" ht="63.95" customHeight="1">
      <c r="A485" s="76" t="s">
        <v>1853</v>
      </c>
      <c r="B485" s="76" t="s">
        <v>3067</v>
      </c>
      <c r="C485" s="76" t="s">
        <v>1420</v>
      </c>
      <c r="D485" s="76" t="s">
        <v>1472</v>
      </c>
      <c r="E485" s="76" t="s">
        <v>2355</v>
      </c>
      <c r="F485" s="76" t="s">
        <v>3068</v>
      </c>
    </row>
    <row r="486" spans="1:6" ht="63.95" customHeight="1">
      <c r="A486" s="76" t="s">
        <v>1853</v>
      </c>
      <c r="B486" s="76" t="s">
        <v>3069</v>
      </c>
      <c r="C486" s="76"/>
      <c r="D486" s="76" t="s">
        <v>3070</v>
      </c>
      <c r="E486" s="76" t="s">
        <v>2032</v>
      </c>
      <c r="F486" s="76" t="s">
        <v>2033</v>
      </c>
    </row>
    <row r="487" spans="1:6" ht="63.95" customHeight="1">
      <c r="A487" s="76" t="s">
        <v>1853</v>
      </c>
      <c r="B487" s="76" t="s">
        <v>3071</v>
      </c>
      <c r="C487" s="76"/>
      <c r="D487" s="76" t="s">
        <v>3072</v>
      </c>
      <c r="E487" s="76" t="s">
        <v>2032</v>
      </c>
      <c r="F487" s="76" t="s">
        <v>2033</v>
      </c>
    </row>
    <row r="488" spans="1:6" ht="63.95" customHeight="1">
      <c r="A488" s="76" t="s">
        <v>1853</v>
      </c>
      <c r="B488" s="76" t="s">
        <v>3073</v>
      </c>
      <c r="C488" s="76" t="s">
        <v>1459</v>
      </c>
      <c r="D488" s="76" t="s">
        <v>2348</v>
      </c>
      <c r="E488" s="76" t="s">
        <v>2349</v>
      </c>
      <c r="F488" s="76" t="s">
        <v>2350</v>
      </c>
    </row>
    <row r="489" spans="1:6" ht="63.95" customHeight="1">
      <c r="A489" s="76" t="s">
        <v>1853</v>
      </c>
      <c r="B489" s="76" t="s">
        <v>3074</v>
      </c>
      <c r="C489" s="76" t="s">
        <v>3075</v>
      </c>
      <c r="D489" s="76" t="s">
        <v>3076</v>
      </c>
      <c r="E489" s="76" t="s">
        <v>2032</v>
      </c>
      <c r="F489" s="76" t="s">
        <v>2033</v>
      </c>
    </row>
    <row r="490" spans="1:6" ht="63.95" customHeight="1">
      <c r="A490" s="76" t="s">
        <v>1853</v>
      </c>
      <c r="B490" s="76" t="s">
        <v>3077</v>
      </c>
      <c r="C490" s="76" t="s">
        <v>1420</v>
      </c>
      <c r="D490" s="76" t="s">
        <v>1472</v>
      </c>
      <c r="E490" s="76" t="s">
        <v>2355</v>
      </c>
      <c r="F490" s="76" t="s">
        <v>3078</v>
      </c>
    </row>
    <row r="491" spans="1:6" ht="63.95" customHeight="1">
      <c r="A491" s="76" t="s">
        <v>1853</v>
      </c>
      <c r="B491" s="76" t="s">
        <v>3079</v>
      </c>
      <c r="C491" s="76"/>
      <c r="D491" s="76" t="s">
        <v>3080</v>
      </c>
      <c r="E491" s="76" t="s">
        <v>2032</v>
      </c>
      <c r="F491" s="76" t="s">
        <v>2033</v>
      </c>
    </row>
    <row r="492" spans="1:6" ht="63.95" customHeight="1">
      <c r="A492" s="76" t="s">
        <v>1853</v>
      </c>
      <c r="B492" s="76" t="s">
        <v>3081</v>
      </c>
      <c r="C492" s="76"/>
      <c r="D492" s="76" t="s">
        <v>3082</v>
      </c>
      <c r="E492" s="76" t="s">
        <v>2032</v>
      </c>
      <c r="F492" s="76" t="s">
        <v>2033</v>
      </c>
    </row>
    <row r="493" spans="1:6" ht="63.95" customHeight="1">
      <c r="A493" s="76" t="s">
        <v>1853</v>
      </c>
      <c r="B493" s="76" t="s">
        <v>3083</v>
      </c>
      <c r="C493" s="76" t="s">
        <v>3084</v>
      </c>
      <c r="D493" s="76" t="s">
        <v>3085</v>
      </c>
      <c r="E493" s="76" t="s">
        <v>2032</v>
      </c>
      <c r="F493" s="76" t="s">
        <v>2033</v>
      </c>
    </row>
    <row r="494" spans="1:6" ht="63.95" customHeight="1">
      <c r="A494" s="76" t="s">
        <v>1853</v>
      </c>
      <c r="B494" s="76" t="s">
        <v>3086</v>
      </c>
      <c r="C494" s="76"/>
      <c r="D494" s="76" t="s">
        <v>3087</v>
      </c>
      <c r="E494" s="76" t="s">
        <v>2032</v>
      </c>
      <c r="F494" s="76" t="s">
        <v>2033</v>
      </c>
    </row>
    <row r="495" spans="1:6" ht="63.95" customHeight="1">
      <c r="A495" s="76" t="s">
        <v>1853</v>
      </c>
      <c r="B495" s="76" t="s">
        <v>3088</v>
      </c>
      <c r="C495" s="76"/>
      <c r="D495" s="76" t="s">
        <v>3089</v>
      </c>
      <c r="E495" s="76" t="s">
        <v>2032</v>
      </c>
      <c r="F495" s="76" t="s">
        <v>2033</v>
      </c>
    </row>
    <row r="496" spans="1:6" ht="63.95" customHeight="1">
      <c r="A496" s="76" t="s">
        <v>1853</v>
      </c>
      <c r="B496" s="76" t="s">
        <v>3090</v>
      </c>
      <c r="C496" s="76" t="s">
        <v>3091</v>
      </c>
      <c r="D496" s="76" t="s">
        <v>3092</v>
      </c>
      <c r="E496" s="76" t="s">
        <v>2032</v>
      </c>
      <c r="F496" s="76" t="s">
        <v>2033</v>
      </c>
    </row>
    <row r="497" spans="1:6" ht="63.95" customHeight="1">
      <c r="A497" s="76" t="s">
        <v>1853</v>
      </c>
      <c r="B497" s="76" t="s">
        <v>3093</v>
      </c>
      <c r="C497" s="76"/>
      <c r="D497" s="76" t="s">
        <v>3094</v>
      </c>
      <c r="E497" s="76" t="s">
        <v>2032</v>
      </c>
      <c r="F497" s="76" t="s">
        <v>2033</v>
      </c>
    </row>
    <row r="498" spans="1:6" ht="63.95" customHeight="1">
      <c r="A498" s="76" t="s">
        <v>1853</v>
      </c>
      <c r="B498" s="76" t="s">
        <v>3095</v>
      </c>
      <c r="C498" s="76"/>
      <c r="D498" s="76" t="s">
        <v>3096</v>
      </c>
      <c r="E498" s="76" t="s">
        <v>2032</v>
      </c>
      <c r="F498" s="76" t="s">
        <v>2033</v>
      </c>
    </row>
    <row r="499" spans="1:6" ht="63.95" customHeight="1">
      <c r="A499" s="76" t="s">
        <v>1853</v>
      </c>
      <c r="B499" s="76" t="s">
        <v>3097</v>
      </c>
      <c r="C499" s="76" t="s">
        <v>1172</v>
      </c>
      <c r="D499" s="76" t="s">
        <v>2891</v>
      </c>
      <c r="E499" s="76" t="s">
        <v>2307</v>
      </c>
      <c r="F499" s="76" t="s">
        <v>2308</v>
      </c>
    </row>
    <row r="500" spans="1:6" ht="63.95" customHeight="1">
      <c r="A500" s="76" t="s">
        <v>1853</v>
      </c>
      <c r="B500" s="76" t="s">
        <v>3098</v>
      </c>
      <c r="C500" s="76" t="s">
        <v>1459</v>
      </c>
      <c r="D500" s="76" t="s">
        <v>2348</v>
      </c>
      <c r="E500" s="76" t="s">
        <v>2349</v>
      </c>
      <c r="F500" s="76" t="s">
        <v>2350</v>
      </c>
    </row>
    <row r="501" spans="1:6" ht="63.95" customHeight="1">
      <c r="A501" s="76" t="s">
        <v>1853</v>
      </c>
      <c r="B501" s="76" t="s">
        <v>3099</v>
      </c>
      <c r="C501" s="76" t="s">
        <v>3100</v>
      </c>
      <c r="D501" s="76" t="s">
        <v>3101</v>
      </c>
      <c r="E501" s="76" t="s">
        <v>2032</v>
      </c>
      <c r="F501" s="76" t="s">
        <v>2033</v>
      </c>
    </row>
    <row r="502" spans="1:6" ht="63.95" customHeight="1">
      <c r="A502" s="76" t="s">
        <v>1853</v>
      </c>
      <c r="B502" s="76" t="s">
        <v>3102</v>
      </c>
      <c r="C502" s="76" t="s">
        <v>1420</v>
      </c>
      <c r="D502" s="76" t="s">
        <v>1472</v>
      </c>
      <c r="E502" s="76" t="s">
        <v>2355</v>
      </c>
      <c r="F502" s="76" t="s">
        <v>3103</v>
      </c>
    </row>
    <row r="503" spans="1:6" ht="63.95" customHeight="1">
      <c r="A503" s="76" t="s">
        <v>1853</v>
      </c>
      <c r="B503" s="76" t="s">
        <v>3104</v>
      </c>
      <c r="C503" s="76"/>
      <c r="D503" s="76" t="s">
        <v>3105</v>
      </c>
      <c r="E503" s="76" t="s">
        <v>2032</v>
      </c>
      <c r="F503" s="76" t="s">
        <v>2033</v>
      </c>
    </row>
    <row r="504" spans="1:6" ht="63.95" customHeight="1">
      <c r="A504" s="76" t="s">
        <v>1853</v>
      </c>
      <c r="B504" s="76" t="s">
        <v>3106</v>
      </c>
      <c r="C504" s="76"/>
      <c r="D504" s="76" t="s">
        <v>3107</v>
      </c>
      <c r="E504" s="76" t="s">
        <v>2032</v>
      </c>
      <c r="F504" s="76" t="s">
        <v>2033</v>
      </c>
    </row>
    <row r="505" spans="1:6" ht="63.95" customHeight="1">
      <c r="A505" s="76" t="s">
        <v>1853</v>
      </c>
      <c r="B505" s="76" t="s">
        <v>3108</v>
      </c>
      <c r="C505" s="76" t="s">
        <v>1172</v>
      </c>
      <c r="D505" s="76" t="s">
        <v>2891</v>
      </c>
      <c r="E505" s="76" t="s">
        <v>2307</v>
      </c>
      <c r="F505" s="76" t="s">
        <v>2308</v>
      </c>
    </row>
    <row r="506" spans="1:6" ht="63.95" customHeight="1">
      <c r="A506" s="76" t="s">
        <v>1853</v>
      </c>
      <c r="B506" s="76" t="s">
        <v>3109</v>
      </c>
      <c r="C506" s="76" t="s">
        <v>3110</v>
      </c>
      <c r="D506" s="76" t="s">
        <v>3111</v>
      </c>
      <c r="E506" s="76" t="s">
        <v>2032</v>
      </c>
      <c r="F506" s="76" t="s">
        <v>2033</v>
      </c>
    </row>
    <row r="507" spans="1:6" ht="63.95" customHeight="1">
      <c r="A507" s="76" t="s">
        <v>1853</v>
      </c>
      <c r="B507" s="76" t="s">
        <v>3112</v>
      </c>
      <c r="C507" s="76"/>
      <c r="D507" s="76" t="s">
        <v>3113</v>
      </c>
      <c r="E507" s="76" t="s">
        <v>2032</v>
      </c>
      <c r="F507" s="76" t="s">
        <v>2033</v>
      </c>
    </row>
    <row r="508" spans="1:6" ht="63.95" customHeight="1">
      <c r="A508" s="76" t="s">
        <v>1853</v>
      </c>
      <c r="B508" s="76" t="s">
        <v>3114</v>
      </c>
      <c r="C508" s="76"/>
      <c r="D508" s="76" t="s">
        <v>3115</v>
      </c>
      <c r="E508" s="76" t="s">
        <v>2032</v>
      </c>
      <c r="F508" s="76" t="s">
        <v>2033</v>
      </c>
    </row>
    <row r="509" spans="1:6" ht="63.95" customHeight="1">
      <c r="A509" s="76" t="s">
        <v>1853</v>
      </c>
      <c r="B509" s="76" t="s">
        <v>3116</v>
      </c>
      <c r="C509" s="76" t="s">
        <v>3117</v>
      </c>
      <c r="D509" s="76" t="s">
        <v>3118</v>
      </c>
      <c r="E509" s="76" t="s">
        <v>2345</v>
      </c>
      <c r="F509" s="76" t="s">
        <v>2346</v>
      </c>
    </row>
    <row r="510" spans="1:6" ht="63.95" customHeight="1">
      <c r="A510" s="76" t="s">
        <v>1853</v>
      </c>
      <c r="B510" s="76" t="s">
        <v>3119</v>
      </c>
      <c r="C510" s="76" t="s">
        <v>3120</v>
      </c>
      <c r="D510" s="76" t="s">
        <v>3121</v>
      </c>
      <c r="E510" s="76" t="s">
        <v>2032</v>
      </c>
      <c r="F510" s="76" t="s">
        <v>2033</v>
      </c>
    </row>
    <row r="511" spans="1:6" ht="63.95" customHeight="1">
      <c r="A511" s="76" t="s">
        <v>1853</v>
      </c>
      <c r="B511" s="76" t="s">
        <v>3122</v>
      </c>
      <c r="C511" s="76"/>
      <c r="D511" s="76" t="s">
        <v>3123</v>
      </c>
      <c r="E511" s="76" t="s">
        <v>2032</v>
      </c>
      <c r="F511" s="76" t="s">
        <v>2033</v>
      </c>
    </row>
    <row r="512" spans="1:6" ht="63.95" customHeight="1">
      <c r="A512" s="76" t="s">
        <v>1853</v>
      </c>
      <c r="B512" s="76" t="s">
        <v>3124</v>
      </c>
      <c r="C512" s="76"/>
      <c r="D512" s="76" t="s">
        <v>3125</v>
      </c>
      <c r="E512" s="76" t="s">
        <v>2032</v>
      </c>
      <c r="F512" s="76" t="s">
        <v>2033</v>
      </c>
    </row>
    <row r="513" spans="1:6" ht="63.95" customHeight="1">
      <c r="A513" s="76" t="s">
        <v>1853</v>
      </c>
      <c r="B513" s="76" t="s">
        <v>3126</v>
      </c>
      <c r="C513" s="76" t="s">
        <v>3127</v>
      </c>
      <c r="D513" s="76" t="s">
        <v>3128</v>
      </c>
      <c r="E513" s="76" t="s">
        <v>2032</v>
      </c>
      <c r="F513" s="76" t="s">
        <v>2033</v>
      </c>
    </row>
    <row r="514" spans="1:6" ht="63.95" customHeight="1">
      <c r="A514" s="76" t="s">
        <v>1853</v>
      </c>
      <c r="B514" s="76" t="s">
        <v>3129</v>
      </c>
      <c r="C514" s="76"/>
      <c r="D514" s="76" t="s">
        <v>3130</v>
      </c>
      <c r="E514" s="76" t="s">
        <v>2032</v>
      </c>
      <c r="F514" s="76" t="s">
        <v>2033</v>
      </c>
    </row>
    <row r="515" spans="1:6" ht="63.95" customHeight="1">
      <c r="A515" s="76" t="s">
        <v>1853</v>
      </c>
      <c r="B515" s="76" t="s">
        <v>3131</v>
      </c>
      <c r="C515" s="76"/>
      <c r="D515" s="76" t="s">
        <v>3132</v>
      </c>
      <c r="E515" s="76" t="s">
        <v>2032</v>
      </c>
      <c r="F515" s="76" t="s">
        <v>2033</v>
      </c>
    </row>
    <row r="516" spans="1:6" ht="63.95" customHeight="1">
      <c r="A516" s="76" t="s">
        <v>1853</v>
      </c>
      <c r="B516" s="76" t="s">
        <v>3133</v>
      </c>
      <c r="C516" s="76" t="s">
        <v>3134</v>
      </c>
      <c r="D516" s="76" t="s">
        <v>3135</v>
      </c>
      <c r="E516" s="76" t="s">
        <v>2032</v>
      </c>
      <c r="F516" s="76" t="s">
        <v>2033</v>
      </c>
    </row>
    <row r="517" spans="1:6" ht="63.95" customHeight="1">
      <c r="A517" s="76" t="s">
        <v>1853</v>
      </c>
      <c r="B517" s="76" t="s">
        <v>3136</v>
      </c>
      <c r="C517" s="76"/>
      <c r="D517" s="76" t="s">
        <v>3137</v>
      </c>
      <c r="E517" s="76" t="s">
        <v>2032</v>
      </c>
      <c r="F517" s="76" t="s">
        <v>2033</v>
      </c>
    </row>
    <row r="518" spans="1:6" ht="63.95" customHeight="1">
      <c r="A518" s="76" t="s">
        <v>1853</v>
      </c>
      <c r="B518" s="76" t="s">
        <v>3138</v>
      </c>
      <c r="C518" s="76"/>
      <c r="D518" s="76" t="s">
        <v>3139</v>
      </c>
      <c r="E518" s="76" t="s">
        <v>2032</v>
      </c>
      <c r="F518" s="76" t="s">
        <v>2033</v>
      </c>
    </row>
    <row r="519" spans="1:6" ht="63.95" customHeight="1">
      <c r="A519" s="76" t="s">
        <v>1853</v>
      </c>
      <c r="B519" s="76" t="s">
        <v>3140</v>
      </c>
      <c r="C519" s="76" t="s">
        <v>3141</v>
      </c>
      <c r="D519" s="76" t="s">
        <v>3142</v>
      </c>
      <c r="E519" s="76" t="s">
        <v>2032</v>
      </c>
      <c r="F519" s="76" t="s">
        <v>2033</v>
      </c>
    </row>
    <row r="520" spans="1:6" ht="63.95" customHeight="1">
      <c r="A520" s="76" t="s">
        <v>1853</v>
      </c>
      <c r="B520" s="76" t="s">
        <v>3143</v>
      </c>
      <c r="C520" s="76"/>
      <c r="D520" s="76" t="s">
        <v>3144</v>
      </c>
      <c r="E520" s="76" t="s">
        <v>2032</v>
      </c>
      <c r="F520" s="76" t="s">
        <v>2033</v>
      </c>
    </row>
    <row r="521" spans="1:6" ht="63.95" customHeight="1">
      <c r="A521" s="76" t="s">
        <v>1853</v>
      </c>
      <c r="B521" s="76" t="s">
        <v>3145</v>
      </c>
      <c r="C521" s="76"/>
      <c r="D521" s="76" t="s">
        <v>3146</v>
      </c>
      <c r="E521" s="76" t="s">
        <v>2032</v>
      </c>
      <c r="F521" s="76" t="s">
        <v>2033</v>
      </c>
    </row>
    <row r="522" spans="1:6" ht="63.95" customHeight="1">
      <c r="A522" s="76" t="s">
        <v>1853</v>
      </c>
      <c r="B522" s="76" t="s">
        <v>3147</v>
      </c>
      <c r="C522" s="76" t="s">
        <v>3148</v>
      </c>
      <c r="D522" s="76" t="s">
        <v>3149</v>
      </c>
      <c r="E522" s="76" t="s">
        <v>2307</v>
      </c>
      <c r="F522" s="76" t="s">
        <v>2308</v>
      </c>
    </row>
    <row r="523" spans="1:6" ht="63.95" customHeight="1">
      <c r="A523" s="76" t="s">
        <v>1853</v>
      </c>
      <c r="B523" s="76" t="s">
        <v>3150</v>
      </c>
      <c r="C523" s="76" t="s">
        <v>3151</v>
      </c>
      <c r="D523" s="76" t="s">
        <v>3152</v>
      </c>
      <c r="E523" s="76" t="s">
        <v>2032</v>
      </c>
      <c r="F523" s="76" t="s">
        <v>2033</v>
      </c>
    </row>
    <row r="524" spans="1:6" ht="63.95" customHeight="1">
      <c r="A524" s="76" t="s">
        <v>1853</v>
      </c>
      <c r="B524" s="76" t="s">
        <v>3153</v>
      </c>
      <c r="C524" s="76"/>
      <c r="D524" s="76" t="s">
        <v>3154</v>
      </c>
      <c r="E524" s="76" t="s">
        <v>2032</v>
      </c>
      <c r="F524" s="76" t="s">
        <v>2033</v>
      </c>
    </row>
    <row r="525" spans="1:6" ht="63.95" customHeight="1">
      <c r="A525" s="76" t="s">
        <v>1853</v>
      </c>
      <c r="B525" s="76" t="s">
        <v>3155</v>
      </c>
      <c r="C525" s="76"/>
      <c r="D525" s="76" t="s">
        <v>3156</v>
      </c>
      <c r="E525" s="76" t="s">
        <v>2032</v>
      </c>
      <c r="F525" s="76" t="s">
        <v>2033</v>
      </c>
    </row>
    <row r="526" spans="1:6" ht="63.95" customHeight="1">
      <c r="A526" s="76" t="s">
        <v>1853</v>
      </c>
      <c r="B526" s="76" t="s">
        <v>3157</v>
      </c>
      <c r="C526" s="76" t="s">
        <v>3158</v>
      </c>
      <c r="D526" s="76" t="s">
        <v>3159</v>
      </c>
      <c r="E526" s="76" t="s">
        <v>2307</v>
      </c>
      <c r="F526" s="76" t="s">
        <v>2308</v>
      </c>
    </row>
    <row r="527" spans="1:6" ht="63.95" customHeight="1">
      <c r="A527" s="76" t="s">
        <v>1853</v>
      </c>
      <c r="B527" s="76" t="s">
        <v>3160</v>
      </c>
      <c r="C527" s="76" t="s">
        <v>3161</v>
      </c>
      <c r="D527" s="76" t="s">
        <v>3162</v>
      </c>
      <c r="E527" s="76" t="s">
        <v>2032</v>
      </c>
      <c r="F527" s="76" t="s">
        <v>2033</v>
      </c>
    </row>
    <row r="528" spans="1:6" ht="63.95" customHeight="1">
      <c r="A528" s="76" t="s">
        <v>1853</v>
      </c>
      <c r="B528" s="76" t="s">
        <v>3163</v>
      </c>
      <c r="C528" s="76"/>
      <c r="D528" s="76" t="s">
        <v>3164</v>
      </c>
      <c r="E528" s="76" t="s">
        <v>2032</v>
      </c>
      <c r="F528" s="76" t="s">
        <v>2033</v>
      </c>
    </row>
    <row r="529" spans="1:6" ht="63.95" customHeight="1">
      <c r="A529" s="76" t="s">
        <v>1853</v>
      </c>
      <c r="B529" s="76" t="s">
        <v>3165</v>
      </c>
      <c r="C529" s="76"/>
      <c r="D529" s="76" t="s">
        <v>3166</v>
      </c>
      <c r="E529" s="76" t="s">
        <v>2032</v>
      </c>
      <c r="F529" s="76" t="s">
        <v>2033</v>
      </c>
    </row>
    <row r="530" spans="1:6" ht="63.95" customHeight="1">
      <c r="A530" s="76" t="s">
        <v>1853</v>
      </c>
      <c r="B530" s="76" t="s">
        <v>3167</v>
      </c>
      <c r="C530" s="76" t="s">
        <v>3168</v>
      </c>
      <c r="D530" s="76" t="s">
        <v>3169</v>
      </c>
      <c r="E530" s="76" t="s">
        <v>2307</v>
      </c>
      <c r="F530" s="76" t="s">
        <v>2308</v>
      </c>
    </row>
    <row r="531" spans="1:6" ht="63.95" customHeight="1">
      <c r="A531" s="76" t="s">
        <v>1853</v>
      </c>
      <c r="B531" s="76" t="s">
        <v>3170</v>
      </c>
      <c r="C531" s="76" t="s">
        <v>3171</v>
      </c>
      <c r="D531" s="76" t="s">
        <v>3172</v>
      </c>
      <c r="E531" s="76" t="s">
        <v>2032</v>
      </c>
      <c r="F531" s="76" t="s">
        <v>2033</v>
      </c>
    </row>
    <row r="532" spans="1:6" ht="63.95" customHeight="1">
      <c r="A532" s="76" t="s">
        <v>1853</v>
      </c>
      <c r="B532" s="76" t="s">
        <v>3173</v>
      </c>
      <c r="C532" s="76"/>
      <c r="D532" s="76" t="s">
        <v>3174</v>
      </c>
      <c r="E532" s="76" t="s">
        <v>2032</v>
      </c>
      <c r="F532" s="76" t="s">
        <v>2033</v>
      </c>
    </row>
    <row r="533" spans="1:6" ht="63.95" customHeight="1">
      <c r="A533" s="76" t="s">
        <v>1853</v>
      </c>
      <c r="B533" s="76" t="s">
        <v>3175</v>
      </c>
      <c r="C533" s="76"/>
      <c r="D533" s="76" t="s">
        <v>3176</v>
      </c>
      <c r="E533" s="76" t="s">
        <v>2032</v>
      </c>
      <c r="F533" s="76" t="s">
        <v>2033</v>
      </c>
    </row>
    <row r="534" spans="1:6" ht="63.95" customHeight="1">
      <c r="A534" s="76" t="s">
        <v>1853</v>
      </c>
      <c r="B534" s="76" t="s">
        <v>3177</v>
      </c>
      <c r="C534" s="76" t="s">
        <v>3178</v>
      </c>
      <c r="D534" s="76" t="s">
        <v>3179</v>
      </c>
      <c r="E534" s="76" t="s">
        <v>2307</v>
      </c>
      <c r="F534" s="76" t="s">
        <v>2308</v>
      </c>
    </row>
    <row r="535" spans="1:6" ht="63.95" customHeight="1">
      <c r="A535" s="76" t="s">
        <v>1853</v>
      </c>
      <c r="B535" s="76" t="s">
        <v>3180</v>
      </c>
      <c r="C535" s="76" t="s">
        <v>3181</v>
      </c>
      <c r="D535" s="76" t="s">
        <v>3182</v>
      </c>
      <c r="E535" s="76" t="s">
        <v>2032</v>
      </c>
      <c r="F535" s="76" t="s">
        <v>2033</v>
      </c>
    </row>
    <row r="536" spans="1:6" ht="63.95" customHeight="1">
      <c r="A536" s="76" t="s">
        <v>1853</v>
      </c>
      <c r="B536" s="76" t="s">
        <v>3183</v>
      </c>
      <c r="C536" s="76"/>
      <c r="D536" s="76" t="s">
        <v>3184</v>
      </c>
      <c r="E536" s="76" t="s">
        <v>2032</v>
      </c>
      <c r="F536" s="76" t="s">
        <v>2033</v>
      </c>
    </row>
    <row r="537" spans="1:6" ht="63.95" customHeight="1">
      <c r="A537" s="76" t="s">
        <v>1853</v>
      </c>
      <c r="B537" s="76" t="s">
        <v>3185</v>
      </c>
      <c r="C537" s="76"/>
      <c r="D537" s="76" t="s">
        <v>3186</v>
      </c>
      <c r="E537" s="76" t="s">
        <v>2032</v>
      </c>
      <c r="F537" s="76" t="s">
        <v>2033</v>
      </c>
    </row>
    <row r="538" spans="1:6" ht="63.95" customHeight="1">
      <c r="A538" s="76" t="s">
        <v>1853</v>
      </c>
      <c r="B538" s="76" t="s">
        <v>3187</v>
      </c>
      <c r="C538" s="76" t="s">
        <v>3188</v>
      </c>
      <c r="D538" s="76" t="s">
        <v>3189</v>
      </c>
      <c r="E538" s="76" t="s">
        <v>2307</v>
      </c>
      <c r="F538" s="76" t="s">
        <v>2308</v>
      </c>
    </row>
    <row r="539" spans="1:6" ht="63.95" customHeight="1">
      <c r="A539" s="76" t="s">
        <v>1853</v>
      </c>
      <c r="B539" s="76" t="s">
        <v>3190</v>
      </c>
      <c r="C539" s="76" t="s">
        <v>3191</v>
      </c>
      <c r="D539" s="76" t="s">
        <v>3192</v>
      </c>
      <c r="E539" s="76" t="s">
        <v>2032</v>
      </c>
      <c r="F539" s="76" t="s">
        <v>2033</v>
      </c>
    </row>
    <row r="540" spans="1:6" ht="63.95" customHeight="1">
      <c r="A540" s="76" t="s">
        <v>1853</v>
      </c>
      <c r="B540" s="76" t="s">
        <v>3193</v>
      </c>
      <c r="C540" s="76"/>
      <c r="D540" s="76" t="s">
        <v>3194</v>
      </c>
      <c r="E540" s="76" t="s">
        <v>2032</v>
      </c>
      <c r="F540" s="76" t="s">
        <v>2033</v>
      </c>
    </row>
    <row r="541" spans="1:6" ht="63.95" customHeight="1">
      <c r="A541" s="76" t="s">
        <v>1853</v>
      </c>
      <c r="B541" s="76" t="s">
        <v>3195</v>
      </c>
      <c r="C541" s="76"/>
      <c r="D541" s="76" t="s">
        <v>3196</v>
      </c>
      <c r="E541" s="76" t="s">
        <v>2032</v>
      </c>
      <c r="F541" s="76" t="s">
        <v>2033</v>
      </c>
    </row>
    <row r="542" spans="1:6" ht="63.95" customHeight="1">
      <c r="A542" s="76" t="s">
        <v>1853</v>
      </c>
      <c r="B542" s="76" t="s">
        <v>3197</v>
      </c>
      <c r="C542" s="76" t="s">
        <v>3198</v>
      </c>
      <c r="D542" s="76" t="s">
        <v>3199</v>
      </c>
      <c r="E542" s="76" t="s">
        <v>2307</v>
      </c>
      <c r="F542" s="76" t="s">
        <v>2308</v>
      </c>
    </row>
    <row r="543" spans="1:6" ht="63.95" customHeight="1">
      <c r="A543" s="76" t="s">
        <v>1853</v>
      </c>
      <c r="B543" s="76" t="s">
        <v>3200</v>
      </c>
      <c r="C543" s="76" t="s">
        <v>3201</v>
      </c>
      <c r="D543" s="76" t="s">
        <v>3202</v>
      </c>
      <c r="E543" s="76" t="s">
        <v>2032</v>
      </c>
      <c r="F543" s="76" t="s">
        <v>2033</v>
      </c>
    </row>
    <row r="544" spans="1:6" ht="63.95" customHeight="1">
      <c r="A544" s="76" t="s">
        <v>1853</v>
      </c>
      <c r="B544" s="76" t="s">
        <v>3203</v>
      </c>
      <c r="C544" s="76"/>
      <c r="D544" s="76" t="s">
        <v>3204</v>
      </c>
      <c r="E544" s="76" t="s">
        <v>2032</v>
      </c>
      <c r="F544" s="76" t="s">
        <v>2033</v>
      </c>
    </row>
    <row r="545" spans="1:6" ht="63.95" customHeight="1">
      <c r="A545" s="76" t="s">
        <v>1853</v>
      </c>
      <c r="B545" s="76" t="s">
        <v>3205</v>
      </c>
      <c r="C545" s="76"/>
      <c r="D545" s="76" t="s">
        <v>3206</v>
      </c>
      <c r="E545" s="76" t="s">
        <v>2032</v>
      </c>
      <c r="F545" s="76" t="s">
        <v>2033</v>
      </c>
    </row>
    <row r="546" spans="1:6" ht="63.95" customHeight="1">
      <c r="A546" s="76" t="s">
        <v>1853</v>
      </c>
      <c r="B546" s="76" t="s">
        <v>3207</v>
      </c>
      <c r="C546" s="76" t="s">
        <v>3208</v>
      </c>
      <c r="D546" s="76" t="s">
        <v>3209</v>
      </c>
      <c r="E546" s="76" t="s">
        <v>2032</v>
      </c>
      <c r="F546" s="76" t="s">
        <v>2033</v>
      </c>
    </row>
    <row r="547" spans="1:6" ht="63.95" customHeight="1">
      <c r="A547" s="76" t="s">
        <v>1853</v>
      </c>
      <c r="B547" s="76" t="s">
        <v>3210</v>
      </c>
      <c r="C547" s="76"/>
      <c r="D547" s="76" t="s">
        <v>3211</v>
      </c>
      <c r="E547" s="76" t="s">
        <v>2032</v>
      </c>
      <c r="F547" s="76" t="s">
        <v>2033</v>
      </c>
    </row>
    <row r="548" spans="1:6" ht="63.95" customHeight="1">
      <c r="A548" s="76" t="s">
        <v>1853</v>
      </c>
      <c r="B548" s="76" t="s">
        <v>3212</v>
      </c>
      <c r="C548" s="76"/>
      <c r="D548" s="76" t="s">
        <v>3213</v>
      </c>
      <c r="E548" s="76" t="s">
        <v>2032</v>
      </c>
      <c r="F548" s="76" t="s">
        <v>2033</v>
      </c>
    </row>
    <row r="549" spans="1:6" ht="63.95" customHeight="1">
      <c r="A549" s="76" t="s">
        <v>1853</v>
      </c>
      <c r="B549" s="76" t="s">
        <v>3214</v>
      </c>
      <c r="C549" s="76" t="s">
        <v>3215</v>
      </c>
      <c r="D549" s="76" t="s">
        <v>3216</v>
      </c>
      <c r="E549" s="76" t="s">
        <v>2032</v>
      </c>
      <c r="F549" s="76" t="s">
        <v>2033</v>
      </c>
    </row>
    <row r="550" spans="1:6" ht="63.95" customHeight="1">
      <c r="A550" s="76" t="s">
        <v>1853</v>
      </c>
      <c r="B550" s="76" t="s">
        <v>3217</v>
      </c>
      <c r="C550" s="76"/>
      <c r="D550" s="76" t="s">
        <v>3218</v>
      </c>
      <c r="E550" s="76" t="s">
        <v>2032</v>
      </c>
      <c r="F550" s="76" t="s">
        <v>2033</v>
      </c>
    </row>
    <row r="551" spans="1:6" ht="63.95" customHeight="1">
      <c r="A551" s="76" t="s">
        <v>1853</v>
      </c>
      <c r="B551" s="76" t="s">
        <v>3219</v>
      </c>
      <c r="C551" s="76"/>
      <c r="D551" s="76" t="s">
        <v>3220</v>
      </c>
      <c r="E551" s="76" t="s">
        <v>2032</v>
      </c>
      <c r="F551" s="76" t="s">
        <v>2033</v>
      </c>
    </row>
    <row r="552" spans="1:6" ht="63.95" customHeight="1">
      <c r="A552" s="76" t="s">
        <v>1853</v>
      </c>
      <c r="B552" s="76" t="s">
        <v>3221</v>
      </c>
      <c r="C552" s="76" t="s">
        <v>3222</v>
      </c>
      <c r="D552" s="76" t="s">
        <v>3223</v>
      </c>
      <c r="E552" s="76" t="s">
        <v>2032</v>
      </c>
      <c r="F552" s="76" t="s">
        <v>2033</v>
      </c>
    </row>
    <row r="553" spans="1:6" ht="63.95" customHeight="1">
      <c r="A553" s="76" t="s">
        <v>1853</v>
      </c>
      <c r="B553" s="76" t="s">
        <v>3224</v>
      </c>
      <c r="C553" s="76"/>
      <c r="D553" s="76" t="s">
        <v>3225</v>
      </c>
      <c r="E553" s="76" t="s">
        <v>2032</v>
      </c>
      <c r="F553" s="76" t="s">
        <v>2033</v>
      </c>
    </row>
    <row r="554" spans="1:6" ht="63.95" customHeight="1">
      <c r="A554" s="76" t="s">
        <v>1853</v>
      </c>
      <c r="B554" s="76" t="s">
        <v>3226</v>
      </c>
      <c r="C554" s="76"/>
      <c r="D554" s="76" t="s">
        <v>3227</v>
      </c>
      <c r="E554" s="76" t="s">
        <v>2032</v>
      </c>
      <c r="F554" s="76" t="s">
        <v>2033</v>
      </c>
    </row>
    <row r="555" spans="1:6" ht="63.95" customHeight="1">
      <c r="A555" s="76" t="s">
        <v>1853</v>
      </c>
      <c r="B555" s="76" t="s">
        <v>3228</v>
      </c>
      <c r="C555" s="76" t="s">
        <v>3229</v>
      </c>
      <c r="D555" s="76" t="s">
        <v>3230</v>
      </c>
      <c r="E555" s="76" t="s">
        <v>2032</v>
      </c>
      <c r="F555" s="76" t="s">
        <v>2033</v>
      </c>
    </row>
    <row r="556" spans="1:6" ht="63.95" customHeight="1">
      <c r="A556" s="76" t="s">
        <v>1853</v>
      </c>
      <c r="B556" s="76" t="s">
        <v>3231</v>
      </c>
      <c r="C556" s="76"/>
      <c r="D556" s="76" t="s">
        <v>3232</v>
      </c>
      <c r="E556" s="76" t="s">
        <v>2032</v>
      </c>
      <c r="F556" s="76" t="s">
        <v>2033</v>
      </c>
    </row>
    <row r="557" spans="1:6" ht="63.95" customHeight="1">
      <c r="A557" s="76" t="s">
        <v>1853</v>
      </c>
      <c r="B557" s="76" t="s">
        <v>3233</v>
      </c>
      <c r="C557" s="76"/>
      <c r="D557" s="76" t="s">
        <v>3234</v>
      </c>
      <c r="E557" s="76" t="s">
        <v>2032</v>
      </c>
      <c r="F557" s="76" t="s">
        <v>2033</v>
      </c>
    </row>
    <row r="558" spans="1:6" ht="63.95" customHeight="1">
      <c r="A558" s="76" t="s">
        <v>1853</v>
      </c>
      <c r="B558" s="76" t="s">
        <v>3235</v>
      </c>
      <c r="C558" s="76" t="s">
        <v>3236</v>
      </c>
      <c r="D558" s="76" t="s">
        <v>3237</v>
      </c>
      <c r="E558" s="76" t="s">
        <v>2032</v>
      </c>
      <c r="F558" s="76" t="s">
        <v>2033</v>
      </c>
    </row>
    <row r="559" spans="1:6" ht="63.95" customHeight="1">
      <c r="A559" s="76" t="s">
        <v>1853</v>
      </c>
      <c r="B559" s="76" t="s">
        <v>3238</v>
      </c>
      <c r="C559" s="76"/>
      <c r="D559" s="76" t="s">
        <v>3239</v>
      </c>
      <c r="E559" s="76" t="s">
        <v>2032</v>
      </c>
      <c r="F559" s="76" t="s">
        <v>2033</v>
      </c>
    </row>
    <row r="560" spans="1:6" ht="63.95" customHeight="1">
      <c r="A560" s="76" t="s">
        <v>1853</v>
      </c>
      <c r="B560" s="76" t="s">
        <v>3240</v>
      </c>
      <c r="C560" s="76"/>
      <c r="D560" s="76" t="s">
        <v>3241</v>
      </c>
      <c r="E560" s="76" t="s">
        <v>2032</v>
      </c>
      <c r="F560" s="76" t="s">
        <v>2033</v>
      </c>
    </row>
    <row r="561" spans="1:6" ht="63.95" customHeight="1">
      <c r="A561" s="76" t="s">
        <v>1853</v>
      </c>
      <c r="B561" s="76" t="s">
        <v>3242</v>
      </c>
      <c r="C561" s="76" t="s">
        <v>1459</v>
      </c>
      <c r="D561" s="76" t="s">
        <v>2348</v>
      </c>
      <c r="E561" s="76" t="s">
        <v>2349</v>
      </c>
      <c r="F561" s="76" t="s">
        <v>2350</v>
      </c>
    </row>
    <row r="562" spans="1:6" ht="63.95" customHeight="1">
      <c r="A562" s="76" t="s">
        <v>1853</v>
      </c>
      <c r="B562" s="76" t="s">
        <v>3243</v>
      </c>
      <c r="C562" s="76" t="s">
        <v>3244</v>
      </c>
      <c r="D562" s="76" t="s">
        <v>3245</v>
      </c>
      <c r="E562" s="76" t="s">
        <v>2032</v>
      </c>
      <c r="F562" s="76" t="s">
        <v>2033</v>
      </c>
    </row>
    <row r="563" spans="1:6" ht="63.95" customHeight="1">
      <c r="A563" s="76" t="s">
        <v>1853</v>
      </c>
      <c r="B563" s="76" t="s">
        <v>3246</v>
      </c>
      <c r="C563" s="76" t="s">
        <v>1420</v>
      </c>
      <c r="D563" s="76" t="s">
        <v>1472</v>
      </c>
      <c r="E563" s="76" t="s">
        <v>2355</v>
      </c>
      <c r="F563" s="76" t="s">
        <v>3247</v>
      </c>
    </row>
    <row r="564" spans="1:6" ht="63.95" customHeight="1">
      <c r="A564" s="76" t="s">
        <v>1853</v>
      </c>
      <c r="B564" s="76" t="s">
        <v>3248</v>
      </c>
      <c r="C564" s="76"/>
      <c r="D564" s="76" t="s">
        <v>3249</v>
      </c>
      <c r="E564" s="76" t="s">
        <v>2032</v>
      </c>
      <c r="F564" s="76" t="s">
        <v>2033</v>
      </c>
    </row>
    <row r="565" spans="1:6" ht="63.95" customHeight="1">
      <c r="A565" s="76" t="s">
        <v>1853</v>
      </c>
      <c r="B565" s="76" t="s">
        <v>3250</v>
      </c>
      <c r="C565" s="76"/>
      <c r="D565" s="76" t="s">
        <v>3251</v>
      </c>
      <c r="E565" s="76" t="s">
        <v>2032</v>
      </c>
      <c r="F565" s="76" t="s">
        <v>2033</v>
      </c>
    </row>
    <row r="566" spans="1:6" ht="63.95" customHeight="1">
      <c r="A566" s="76" t="s">
        <v>1853</v>
      </c>
      <c r="B566" s="76" t="s">
        <v>3252</v>
      </c>
      <c r="C566" s="76" t="s">
        <v>3253</v>
      </c>
      <c r="D566" s="76" t="s">
        <v>3254</v>
      </c>
      <c r="E566" s="76" t="s">
        <v>2032</v>
      </c>
      <c r="F566" s="76" t="s">
        <v>2033</v>
      </c>
    </row>
    <row r="567" spans="1:6" ht="63.95" customHeight="1">
      <c r="A567" s="76" t="s">
        <v>1853</v>
      </c>
      <c r="B567" s="76" t="s">
        <v>3255</v>
      </c>
      <c r="C567" s="76"/>
      <c r="D567" s="76" t="s">
        <v>3256</v>
      </c>
      <c r="E567" s="76" t="s">
        <v>2032</v>
      </c>
      <c r="F567" s="76" t="s">
        <v>2033</v>
      </c>
    </row>
    <row r="568" spans="1:6" ht="63.95" customHeight="1">
      <c r="A568" s="76" t="s">
        <v>1853</v>
      </c>
      <c r="B568" s="76" t="s">
        <v>3257</v>
      </c>
      <c r="C568" s="76"/>
      <c r="D568" s="76" t="s">
        <v>3258</v>
      </c>
      <c r="E568" s="76" t="s">
        <v>2032</v>
      </c>
      <c r="F568" s="76" t="s">
        <v>2033</v>
      </c>
    </row>
    <row r="569" spans="1:6" ht="63.95" customHeight="1">
      <c r="A569" s="76" t="s">
        <v>1853</v>
      </c>
      <c r="B569" s="76" t="s">
        <v>3259</v>
      </c>
      <c r="C569" s="76" t="s">
        <v>3260</v>
      </c>
      <c r="D569" s="76" t="s">
        <v>3261</v>
      </c>
      <c r="E569" s="76" t="s">
        <v>2345</v>
      </c>
      <c r="F569" s="76" t="s">
        <v>2346</v>
      </c>
    </row>
    <row r="570" spans="1:6" ht="63.95" customHeight="1">
      <c r="A570" s="76" t="s">
        <v>1853</v>
      </c>
      <c r="B570" s="76" t="s">
        <v>3262</v>
      </c>
      <c r="C570" s="76" t="s">
        <v>3263</v>
      </c>
      <c r="D570" s="76" t="s">
        <v>3264</v>
      </c>
      <c r="E570" s="76" t="s">
        <v>2032</v>
      </c>
      <c r="F570" s="76" t="s">
        <v>2033</v>
      </c>
    </row>
    <row r="571" spans="1:6" ht="63.95" customHeight="1">
      <c r="A571" s="76" t="s">
        <v>1853</v>
      </c>
      <c r="B571" s="76" t="s">
        <v>3265</v>
      </c>
      <c r="C571" s="76"/>
      <c r="D571" s="76" t="s">
        <v>3266</v>
      </c>
      <c r="E571" s="76" t="s">
        <v>2032</v>
      </c>
      <c r="F571" s="76" t="s">
        <v>2033</v>
      </c>
    </row>
    <row r="572" spans="1:6" ht="63.95" customHeight="1">
      <c r="A572" s="76" t="s">
        <v>1853</v>
      </c>
      <c r="B572" s="76" t="s">
        <v>3267</v>
      </c>
      <c r="C572" s="76"/>
      <c r="D572" s="76" t="s">
        <v>3268</v>
      </c>
      <c r="E572" s="76" t="s">
        <v>2032</v>
      </c>
      <c r="F572" s="76" t="s">
        <v>2033</v>
      </c>
    </row>
    <row r="573" spans="1:6" ht="63.95" customHeight="1">
      <c r="A573" s="76" t="s">
        <v>1853</v>
      </c>
      <c r="B573" s="76" t="s">
        <v>3269</v>
      </c>
      <c r="C573" s="76" t="s">
        <v>3270</v>
      </c>
      <c r="D573" s="76" t="s">
        <v>3271</v>
      </c>
      <c r="E573" s="76" t="s">
        <v>2032</v>
      </c>
      <c r="F573" s="76" t="s">
        <v>2033</v>
      </c>
    </row>
    <row r="574" spans="1:6" ht="63.95" customHeight="1">
      <c r="A574" s="76" t="s">
        <v>1853</v>
      </c>
      <c r="B574" s="76" t="s">
        <v>3272</v>
      </c>
      <c r="C574" s="76"/>
      <c r="D574" s="76" t="s">
        <v>3273</v>
      </c>
      <c r="E574" s="76" t="s">
        <v>2032</v>
      </c>
      <c r="F574" s="76" t="s">
        <v>2033</v>
      </c>
    </row>
    <row r="575" spans="1:6" ht="63.95" customHeight="1">
      <c r="A575" s="76" t="s">
        <v>1853</v>
      </c>
      <c r="B575" s="76" t="s">
        <v>3274</v>
      </c>
      <c r="C575" s="76"/>
      <c r="D575" s="76" t="s">
        <v>3275</v>
      </c>
      <c r="E575" s="76" t="s">
        <v>2032</v>
      </c>
      <c r="F575" s="76" t="s">
        <v>2033</v>
      </c>
    </row>
    <row r="576" spans="1:6" ht="63.95" customHeight="1">
      <c r="A576" s="76" t="s">
        <v>1853</v>
      </c>
      <c r="B576" s="76" t="s">
        <v>3276</v>
      </c>
      <c r="C576" s="76" t="s">
        <v>3277</v>
      </c>
      <c r="D576" s="76" t="s">
        <v>3278</v>
      </c>
      <c r="E576" s="76" t="s">
        <v>2032</v>
      </c>
      <c r="F576" s="76" t="s">
        <v>2033</v>
      </c>
    </row>
    <row r="577" spans="1:6" ht="63.95" customHeight="1">
      <c r="A577" s="76" t="s">
        <v>1853</v>
      </c>
      <c r="B577" s="76" t="s">
        <v>3279</v>
      </c>
      <c r="C577" s="76"/>
      <c r="D577" s="76" t="s">
        <v>3280</v>
      </c>
      <c r="E577" s="76" t="s">
        <v>2032</v>
      </c>
      <c r="F577" s="76" t="s">
        <v>2033</v>
      </c>
    </row>
    <row r="578" spans="1:6" ht="63.95" customHeight="1">
      <c r="A578" s="76" t="s">
        <v>1853</v>
      </c>
      <c r="B578" s="76" t="s">
        <v>3281</v>
      </c>
      <c r="C578" s="76"/>
      <c r="D578" s="76" t="s">
        <v>3282</v>
      </c>
      <c r="E578" s="76" t="s">
        <v>2032</v>
      </c>
      <c r="F578" s="76" t="s">
        <v>2033</v>
      </c>
    </row>
    <row r="579" spans="1:6" ht="63.95" customHeight="1">
      <c r="A579" s="76" t="s">
        <v>1853</v>
      </c>
      <c r="B579" s="76" t="s">
        <v>3283</v>
      </c>
      <c r="C579" s="76" t="s">
        <v>3284</v>
      </c>
      <c r="D579" s="76" t="s">
        <v>3285</v>
      </c>
      <c r="E579" s="76" t="s">
        <v>2032</v>
      </c>
      <c r="F579" s="76" t="s">
        <v>2033</v>
      </c>
    </row>
    <row r="580" spans="1:6" ht="63.95" customHeight="1">
      <c r="A580" s="76" t="s">
        <v>1853</v>
      </c>
      <c r="B580" s="76" t="s">
        <v>3286</v>
      </c>
      <c r="C580" s="76"/>
      <c r="D580" s="76" t="s">
        <v>3287</v>
      </c>
      <c r="E580" s="76" t="s">
        <v>2032</v>
      </c>
      <c r="F580" s="76" t="s">
        <v>2033</v>
      </c>
    </row>
    <row r="581" spans="1:6" ht="63.95" customHeight="1">
      <c r="A581" s="76" t="s">
        <v>1853</v>
      </c>
      <c r="B581" s="76" t="s">
        <v>3288</v>
      </c>
      <c r="C581" s="76"/>
      <c r="D581" s="76" t="s">
        <v>3289</v>
      </c>
      <c r="E581" s="76" t="s">
        <v>2032</v>
      </c>
      <c r="F581" s="76" t="s">
        <v>2033</v>
      </c>
    </row>
    <row r="582" spans="1:6" ht="63.95" customHeight="1">
      <c r="A582" s="76" t="s">
        <v>1853</v>
      </c>
      <c r="B582" s="76" t="s">
        <v>3290</v>
      </c>
      <c r="C582" s="76" t="s">
        <v>3291</v>
      </c>
      <c r="D582" s="76" t="s">
        <v>3292</v>
      </c>
      <c r="E582" s="76" t="s">
        <v>2032</v>
      </c>
      <c r="F582" s="76" t="s">
        <v>2033</v>
      </c>
    </row>
    <row r="583" spans="1:6" ht="63.95" customHeight="1">
      <c r="A583" s="76" t="s">
        <v>1853</v>
      </c>
      <c r="B583" s="76" t="s">
        <v>3293</v>
      </c>
      <c r="C583" s="76"/>
      <c r="D583" s="76" t="s">
        <v>3294</v>
      </c>
      <c r="E583" s="76" t="s">
        <v>2032</v>
      </c>
      <c r="F583" s="76" t="s">
        <v>2033</v>
      </c>
    </row>
    <row r="584" spans="1:6" ht="63.95" customHeight="1">
      <c r="A584" s="76" t="s">
        <v>1853</v>
      </c>
      <c r="B584" s="76" t="s">
        <v>3295</v>
      </c>
      <c r="C584" s="76"/>
      <c r="D584" s="76" t="s">
        <v>3296</v>
      </c>
      <c r="E584" s="76" t="s">
        <v>2032</v>
      </c>
      <c r="F584" s="76" t="s">
        <v>2033</v>
      </c>
    </row>
    <row r="585" spans="1:6" ht="63.95" customHeight="1">
      <c r="A585" s="76" t="s">
        <v>1853</v>
      </c>
      <c r="B585" s="76" t="s">
        <v>3297</v>
      </c>
      <c r="C585" s="76" t="s">
        <v>3298</v>
      </c>
      <c r="D585" s="76" t="s">
        <v>3299</v>
      </c>
      <c r="E585" s="76" t="s">
        <v>2032</v>
      </c>
      <c r="F585" s="76" t="s">
        <v>2033</v>
      </c>
    </row>
    <row r="586" spans="1:6" ht="63.95" customHeight="1">
      <c r="A586" s="76" t="s">
        <v>1853</v>
      </c>
      <c r="B586" s="76" t="s">
        <v>3300</v>
      </c>
      <c r="C586" s="76"/>
      <c r="D586" s="76" t="s">
        <v>3301</v>
      </c>
      <c r="E586" s="76" t="s">
        <v>2032</v>
      </c>
      <c r="F586" s="76" t="s">
        <v>2033</v>
      </c>
    </row>
    <row r="587" spans="1:6" ht="63.95" customHeight="1">
      <c r="A587" s="76" t="s">
        <v>1853</v>
      </c>
      <c r="B587" s="76" t="s">
        <v>3302</v>
      </c>
      <c r="C587" s="76"/>
      <c r="D587" s="76" t="s">
        <v>3303</v>
      </c>
      <c r="E587" s="76" t="s">
        <v>2032</v>
      </c>
      <c r="F587" s="76" t="s">
        <v>2033</v>
      </c>
    </row>
    <row r="588" spans="1:6" ht="63.95" customHeight="1">
      <c r="A588" s="76" t="s">
        <v>1853</v>
      </c>
      <c r="B588" s="76" t="s">
        <v>3304</v>
      </c>
      <c r="C588" s="76" t="s">
        <v>3305</v>
      </c>
      <c r="D588" s="76" t="s">
        <v>3306</v>
      </c>
      <c r="E588" s="76" t="s">
        <v>2345</v>
      </c>
      <c r="F588" s="76" t="s">
        <v>2346</v>
      </c>
    </row>
    <row r="589" spans="1:6" ht="63.95" customHeight="1">
      <c r="A589" s="76" t="s">
        <v>1853</v>
      </c>
      <c r="B589" s="76" t="s">
        <v>3307</v>
      </c>
      <c r="C589" s="76" t="s">
        <v>3308</v>
      </c>
      <c r="D589" s="76" t="s">
        <v>3309</v>
      </c>
      <c r="E589" s="76" t="s">
        <v>2032</v>
      </c>
      <c r="F589" s="76" t="s">
        <v>2033</v>
      </c>
    </row>
    <row r="590" spans="1:6" ht="63.95" customHeight="1">
      <c r="A590" s="76" t="s">
        <v>1853</v>
      </c>
      <c r="B590" s="76" t="s">
        <v>3310</v>
      </c>
      <c r="C590" s="76"/>
      <c r="D590" s="76" t="s">
        <v>3311</v>
      </c>
      <c r="E590" s="76" t="s">
        <v>2032</v>
      </c>
      <c r="F590" s="76" t="s">
        <v>2033</v>
      </c>
    </row>
    <row r="591" spans="1:6" ht="63.95" customHeight="1">
      <c r="A591" s="76" t="s">
        <v>1853</v>
      </c>
      <c r="B591" s="76" t="s">
        <v>3312</v>
      </c>
      <c r="C591" s="76"/>
      <c r="D591" s="76" t="s">
        <v>3313</v>
      </c>
      <c r="E591" s="76" t="s">
        <v>2032</v>
      </c>
      <c r="F591" s="76" t="s">
        <v>2033</v>
      </c>
    </row>
    <row r="592" spans="1:6" ht="63.95" customHeight="1">
      <c r="A592" s="76" t="s">
        <v>1853</v>
      </c>
      <c r="B592" s="76" t="s">
        <v>3314</v>
      </c>
      <c r="C592" s="76" t="s">
        <v>3315</v>
      </c>
      <c r="D592" s="76" t="s">
        <v>3316</v>
      </c>
      <c r="E592" s="76" t="s">
        <v>2345</v>
      </c>
      <c r="F592" s="76" t="s">
        <v>2346</v>
      </c>
    </row>
    <row r="593" spans="1:6" ht="63.95" customHeight="1">
      <c r="A593" s="76" t="s">
        <v>1853</v>
      </c>
      <c r="B593" s="76" t="s">
        <v>3317</v>
      </c>
      <c r="C593" s="76" t="s">
        <v>3318</v>
      </c>
      <c r="D593" s="76" t="s">
        <v>3319</v>
      </c>
      <c r="E593" s="76" t="s">
        <v>2032</v>
      </c>
      <c r="F593" s="76" t="s">
        <v>2033</v>
      </c>
    </row>
    <row r="594" spans="1:6" ht="63.95" customHeight="1">
      <c r="A594" s="76" t="s">
        <v>1853</v>
      </c>
      <c r="B594" s="76" t="s">
        <v>3320</v>
      </c>
      <c r="C594" s="76"/>
      <c r="D594" s="76" t="s">
        <v>3321</v>
      </c>
      <c r="E594" s="76" t="s">
        <v>2032</v>
      </c>
      <c r="F594" s="76" t="s">
        <v>2033</v>
      </c>
    </row>
    <row r="595" spans="1:6" ht="63.95" customHeight="1">
      <c r="A595" s="76" t="s">
        <v>1853</v>
      </c>
      <c r="B595" s="76" t="s">
        <v>3322</v>
      </c>
      <c r="C595" s="76"/>
      <c r="D595" s="76" t="s">
        <v>3323</v>
      </c>
      <c r="E595" s="76" t="s">
        <v>2032</v>
      </c>
      <c r="F595" s="76" t="s">
        <v>2033</v>
      </c>
    </row>
    <row r="596" spans="1:6" ht="63.95" customHeight="1">
      <c r="A596" s="76" t="s">
        <v>1853</v>
      </c>
      <c r="B596" s="76" t="s">
        <v>3324</v>
      </c>
      <c r="C596" s="76" t="s">
        <v>3325</v>
      </c>
      <c r="D596" s="76" t="s">
        <v>3326</v>
      </c>
      <c r="E596" s="76" t="s">
        <v>2032</v>
      </c>
      <c r="F596" s="76" t="s">
        <v>2033</v>
      </c>
    </row>
    <row r="597" spans="1:6" ht="63.95" customHeight="1">
      <c r="A597" s="76" t="s">
        <v>1853</v>
      </c>
      <c r="B597" s="76" t="s">
        <v>3327</v>
      </c>
      <c r="C597" s="76"/>
      <c r="D597" s="76" t="s">
        <v>3328</v>
      </c>
      <c r="E597" s="76" t="s">
        <v>2032</v>
      </c>
      <c r="F597" s="76" t="s">
        <v>2033</v>
      </c>
    </row>
    <row r="598" spans="1:6" ht="63.95" customHeight="1">
      <c r="A598" s="76" t="s">
        <v>1853</v>
      </c>
      <c r="B598" s="76" t="s">
        <v>3329</v>
      </c>
      <c r="C598" s="76"/>
      <c r="D598" s="76" t="s">
        <v>3330</v>
      </c>
      <c r="E598" s="76" t="s">
        <v>2032</v>
      </c>
      <c r="F598" s="76" t="s">
        <v>2033</v>
      </c>
    </row>
    <row r="599" spans="1:6" ht="63.95" customHeight="1">
      <c r="A599" s="76" t="s">
        <v>1853</v>
      </c>
      <c r="B599" s="76" t="s">
        <v>3331</v>
      </c>
      <c r="C599" s="76" t="s">
        <v>3332</v>
      </c>
      <c r="D599" s="76" t="s">
        <v>3333</v>
      </c>
      <c r="E599" s="76" t="s">
        <v>2032</v>
      </c>
      <c r="F599" s="76" t="s">
        <v>2033</v>
      </c>
    </row>
    <row r="600" spans="1:6" ht="63.95" customHeight="1">
      <c r="A600" s="76" t="s">
        <v>1853</v>
      </c>
      <c r="B600" s="76" t="s">
        <v>3334</v>
      </c>
      <c r="C600" s="76"/>
      <c r="D600" s="76" t="s">
        <v>3335</v>
      </c>
      <c r="E600" s="76" t="s">
        <v>2032</v>
      </c>
      <c r="F600" s="76" t="s">
        <v>2033</v>
      </c>
    </row>
    <row r="601" spans="1:6" ht="63.95" customHeight="1">
      <c r="A601" s="76" t="s">
        <v>1853</v>
      </c>
      <c r="B601" s="76" t="s">
        <v>3336</v>
      </c>
      <c r="C601" s="76"/>
      <c r="D601" s="76" t="s">
        <v>3337</v>
      </c>
      <c r="E601" s="76" t="s">
        <v>2032</v>
      </c>
      <c r="F601" s="76" t="s">
        <v>2033</v>
      </c>
    </row>
    <row r="602" spans="1:6" ht="63.95" customHeight="1">
      <c r="A602" s="76" t="s">
        <v>1853</v>
      </c>
      <c r="B602" s="76" t="s">
        <v>3338</v>
      </c>
      <c r="C602" s="76" t="s">
        <v>3339</v>
      </c>
      <c r="D602" s="76" t="s">
        <v>3340</v>
      </c>
      <c r="E602" s="76" t="s">
        <v>2032</v>
      </c>
      <c r="F602" s="76" t="s">
        <v>2033</v>
      </c>
    </row>
    <row r="603" spans="1:6" ht="63.95" customHeight="1">
      <c r="A603" s="76" t="s">
        <v>1853</v>
      </c>
      <c r="B603" s="76" t="s">
        <v>3341</v>
      </c>
      <c r="C603" s="76"/>
      <c r="D603" s="76" t="s">
        <v>3342</v>
      </c>
      <c r="E603" s="76" t="s">
        <v>2032</v>
      </c>
      <c r="F603" s="76" t="s">
        <v>2033</v>
      </c>
    </row>
    <row r="604" spans="1:6" ht="63.95" customHeight="1">
      <c r="A604" s="76" t="s">
        <v>1853</v>
      </c>
      <c r="B604" s="76" t="s">
        <v>3343</v>
      </c>
      <c r="C604" s="76"/>
      <c r="D604" s="76" t="s">
        <v>3344</v>
      </c>
      <c r="E604" s="76" t="s">
        <v>2032</v>
      </c>
      <c r="F604" s="76" t="s">
        <v>2033</v>
      </c>
    </row>
    <row r="605" spans="1:6" ht="63.95" customHeight="1">
      <c r="A605" s="76" t="s">
        <v>1853</v>
      </c>
      <c r="B605" s="76" t="s">
        <v>3345</v>
      </c>
      <c r="C605" s="76" t="s">
        <v>3346</v>
      </c>
      <c r="D605" s="76" t="s">
        <v>3347</v>
      </c>
      <c r="E605" s="76" t="s">
        <v>2032</v>
      </c>
      <c r="F605" s="76" t="s">
        <v>2033</v>
      </c>
    </row>
    <row r="606" spans="1:6" ht="63.95" customHeight="1">
      <c r="A606" s="76" t="s">
        <v>1853</v>
      </c>
      <c r="B606" s="76" t="s">
        <v>3348</v>
      </c>
      <c r="C606" s="76"/>
      <c r="D606" s="76" t="s">
        <v>3349</v>
      </c>
      <c r="E606" s="76" t="s">
        <v>2032</v>
      </c>
      <c r="F606" s="76" t="s">
        <v>2033</v>
      </c>
    </row>
    <row r="607" spans="1:6" ht="63.95" customHeight="1">
      <c r="A607" s="76" t="s">
        <v>1853</v>
      </c>
      <c r="B607" s="76" t="s">
        <v>3350</v>
      </c>
      <c r="C607" s="76"/>
      <c r="D607" s="76" t="s">
        <v>3351</v>
      </c>
      <c r="E607" s="76" t="s">
        <v>2032</v>
      </c>
      <c r="F607" s="76" t="s">
        <v>2033</v>
      </c>
    </row>
    <row r="608" spans="1:6" ht="63.95" customHeight="1">
      <c r="A608" s="76" t="s">
        <v>1853</v>
      </c>
      <c r="B608" s="76" t="s">
        <v>3352</v>
      </c>
      <c r="C608" s="76" t="s">
        <v>3353</v>
      </c>
      <c r="D608" s="76" t="s">
        <v>3354</v>
      </c>
      <c r="E608" s="76" t="s">
        <v>2032</v>
      </c>
      <c r="F608" s="76" t="s">
        <v>2033</v>
      </c>
    </row>
    <row r="609" spans="1:6" ht="63.95" customHeight="1">
      <c r="A609" s="76" t="s">
        <v>1853</v>
      </c>
      <c r="B609" s="76" t="s">
        <v>3355</v>
      </c>
      <c r="C609" s="76"/>
      <c r="D609" s="76" t="s">
        <v>3356</v>
      </c>
      <c r="E609" s="76" t="s">
        <v>2032</v>
      </c>
      <c r="F609" s="76" t="s">
        <v>2033</v>
      </c>
    </row>
    <row r="610" spans="1:6" ht="63.95" customHeight="1">
      <c r="A610" s="76" t="s">
        <v>1853</v>
      </c>
      <c r="B610" s="76" t="s">
        <v>3357</v>
      </c>
      <c r="C610" s="76"/>
      <c r="D610" s="76" t="s">
        <v>3358</v>
      </c>
      <c r="E610" s="76" t="s">
        <v>2032</v>
      </c>
      <c r="F610" s="76" t="s">
        <v>2033</v>
      </c>
    </row>
    <row r="611" spans="1:6" ht="63.95" customHeight="1">
      <c r="A611" s="76" t="s">
        <v>1853</v>
      </c>
      <c r="B611" s="76" t="s">
        <v>3359</v>
      </c>
      <c r="C611" s="76" t="s">
        <v>3360</v>
      </c>
      <c r="D611" s="76" t="s">
        <v>3361</v>
      </c>
      <c r="E611" s="76" t="s">
        <v>2032</v>
      </c>
      <c r="F611" s="76" t="s">
        <v>2033</v>
      </c>
    </row>
    <row r="612" spans="1:6" ht="63.95" customHeight="1">
      <c r="A612" s="76" t="s">
        <v>1853</v>
      </c>
      <c r="B612" s="76" t="s">
        <v>3362</v>
      </c>
      <c r="C612" s="76"/>
      <c r="D612" s="76" t="s">
        <v>3363</v>
      </c>
      <c r="E612" s="76" t="s">
        <v>2032</v>
      </c>
      <c r="F612" s="76" t="s">
        <v>2033</v>
      </c>
    </row>
    <row r="613" spans="1:6" ht="63.95" customHeight="1">
      <c r="A613" s="76" t="s">
        <v>1853</v>
      </c>
      <c r="B613" s="76" t="s">
        <v>3364</v>
      </c>
      <c r="C613" s="76"/>
      <c r="D613" s="76" t="s">
        <v>3365</v>
      </c>
      <c r="E613" s="76" t="s">
        <v>2032</v>
      </c>
      <c r="F613" s="76" t="s">
        <v>2033</v>
      </c>
    </row>
    <row r="614" spans="1:6" ht="63.95" customHeight="1">
      <c r="A614" s="76" t="s">
        <v>1853</v>
      </c>
      <c r="B614" s="76" t="s">
        <v>3366</v>
      </c>
      <c r="C614" s="76" t="s">
        <v>3367</v>
      </c>
      <c r="D614" s="76" t="s">
        <v>3368</v>
      </c>
      <c r="E614" s="76" t="s">
        <v>2032</v>
      </c>
      <c r="F614" s="76" t="s">
        <v>2033</v>
      </c>
    </row>
    <row r="615" spans="1:6" ht="63.95" customHeight="1">
      <c r="A615" s="76" t="s">
        <v>1853</v>
      </c>
      <c r="B615" s="76" t="s">
        <v>3369</v>
      </c>
      <c r="C615" s="76"/>
      <c r="D615" s="76" t="s">
        <v>3370</v>
      </c>
      <c r="E615" s="76" t="s">
        <v>2032</v>
      </c>
      <c r="F615" s="76" t="s">
        <v>2033</v>
      </c>
    </row>
    <row r="616" spans="1:6" ht="63.95" customHeight="1">
      <c r="A616" s="76" t="s">
        <v>1853</v>
      </c>
      <c r="B616" s="76" t="s">
        <v>3371</v>
      </c>
      <c r="C616" s="76"/>
      <c r="D616" s="76" t="s">
        <v>3372</v>
      </c>
      <c r="E616" s="76" t="s">
        <v>2032</v>
      </c>
      <c r="F616" s="76" t="s">
        <v>2033</v>
      </c>
    </row>
    <row r="617" spans="1:6" ht="63.95" customHeight="1">
      <c r="A617" s="76" t="s">
        <v>1853</v>
      </c>
      <c r="B617" s="76" t="s">
        <v>3373</v>
      </c>
      <c r="C617" s="76" t="s">
        <v>3374</v>
      </c>
      <c r="D617" s="76" t="s">
        <v>3375</v>
      </c>
      <c r="E617" s="76" t="s">
        <v>2032</v>
      </c>
      <c r="F617" s="76" t="s">
        <v>2033</v>
      </c>
    </row>
    <row r="618" spans="1:6" ht="63.95" customHeight="1">
      <c r="A618" s="76" t="s">
        <v>1853</v>
      </c>
      <c r="B618" s="76" t="s">
        <v>3376</v>
      </c>
      <c r="C618" s="76"/>
      <c r="D618" s="76" t="s">
        <v>3377</v>
      </c>
      <c r="E618" s="76" t="s">
        <v>2032</v>
      </c>
      <c r="F618" s="76" t="s">
        <v>2033</v>
      </c>
    </row>
    <row r="619" spans="1:6" ht="63.95" customHeight="1">
      <c r="A619" s="76" t="s">
        <v>1853</v>
      </c>
      <c r="B619" s="76" t="s">
        <v>3378</v>
      </c>
      <c r="C619" s="76"/>
      <c r="D619" s="76" t="s">
        <v>3379</v>
      </c>
      <c r="E619" s="76" t="s">
        <v>2032</v>
      </c>
      <c r="F619" s="76" t="s">
        <v>2033</v>
      </c>
    </row>
    <row r="620" spans="1:6" ht="63.95" customHeight="1">
      <c r="A620" s="76" t="s">
        <v>1853</v>
      </c>
      <c r="B620" s="76" t="s">
        <v>3380</v>
      </c>
      <c r="C620" s="76" t="s">
        <v>1459</v>
      </c>
      <c r="D620" s="76" t="s">
        <v>2348</v>
      </c>
      <c r="E620" s="76" t="s">
        <v>2349</v>
      </c>
      <c r="F620" s="76" t="s">
        <v>2350</v>
      </c>
    </row>
    <row r="621" spans="1:6" ht="63.95" customHeight="1">
      <c r="A621" s="76" t="s">
        <v>1853</v>
      </c>
      <c r="B621" s="76" t="s">
        <v>3381</v>
      </c>
      <c r="C621" s="76" t="s">
        <v>3382</v>
      </c>
      <c r="D621" s="76" t="s">
        <v>3383</v>
      </c>
      <c r="E621" s="76" t="s">
        <v>2032</v>
      </c>
      <c r="F621" s="76" t="s">
        <v>2033</v>
      </c>
    </row>
    <row r="622" spans="1:6" ht="63.95" customHeight="1">
      <c r="A622" s="76" t="s">
        <v>1853</v>
      </c>
      <c r="B622" s="76" t="s">
        <v>3384</v>
      </c>
      <c r="C622" s="76" t="s">
        <v>1420</v>
      </c>
      <c r="D622" s="76" t="s">
        <v>1472</v>
      </c>
      <c r="E622" s="76" t="s">
        <v>2355</v>
      </c>
      <c r="F622" s="76" t="s">
        <v>3385</v>
      </c>
    </row>
    <row r="623" spans="1:6" ht="63.95" customHeight="1">
      <c r="A623" s="76" t="s">
        <v>1853</v>
      </c>
      <c r="B623" s="76" t="s">
        <v>3386</v>
      </c>
      <c r="C623" s="76"/>
      <c r="D623" s="76" t="s">
        <v>3387</v>
      </c>
      <c r="E623" s="76" t="s">
        <v>2032</v>
      </c>
      <c r="F623" s="76" t="s">
        <v>2033</v>
      </c>
    </row>
    <row r="624" spans="1:6" ht="63.95" customHeight="1">
      <c r="A624" s="76" t="s">
        <v>1853</v>
      </c>
      <c r="B624" s="76" t="s">
        <v>3388</v>
      </c>
      <c r="C624" s="76"/>
      <c r="D624" s="76" t="s">
        <v>3389</v>
      </c>
      <c r="E624" s="76" t="s">
        <v>2032</v>
      </c>
      <c r="F624" s="76" t="s">
        <v>2033</v>
      </c>
    </row>
    <row r="625" spans="1:6" ht="63.95" customHeight="1">
      <c r="A625" s="76" t="s">
        <v>1853</v>
      </c>
      <c r="B625" s="76" t="s">
        <v>3390</v>
      </c>
      <c r="C625" s="76" t="s">
        <v>1459</v>
      </c>
      <c r="D625" s="76" t="s">
        <v>2348</v>
      </c>
      <c r="E625" s="76" t="s">
        <v>2349</v>
      </c>
      <c r="F625" s="76" t="s">
        <v>2350</v>
      </c>
    </row>
    <row r="626" spans="1:6" ht="63.95" customHeight="1">
      <c r="A626" s="76" t="s">
        <v>1853</v>
      </c>
      <c r="B626" s="76" t="s">
        <v>3391</v>
      </c>
      <c r="C626" s="76" t="s">
        <v>3392</v>
      </c>
      <c r="D626" s="76" t="s">
        <v>3393</v>
      </c>
      <c r="E626" s="76" t="s">
        <v>2032</v>
      </c>
      <c r="F626" s="76" t="s">
        <v>2033</v>
      </c>
    </row>
    <row r="627" spans="1:6" ht="63.95" customHeight="1">
      <c r="A627" s="76" t="s">
        <v>1853</v>
      </c>
      <c r="B627" s="76" t="s">
        <v>3394</v>
      </c>
      <c r="C627" s="76" t="s">
        <v>1420</v>
      </c>
      <c r="D627" s="76" t="s">
        <v>1472</v>
      </c>
      <c r="E627" s="76" t="s">
        <v>2355</v>
      </c>
      <c r="F627" s="76" t="s">
        <v>3395</v>
      </c>
    </row>
    <row r="628" spans="1:6" ht="63.95" customHeight="1">
      <c r="A628" s="76" t="s">
        <v>1853</v>
      </c>
      <c r="B628" s="76" t="s">
        <v>3396</v>
      </c>
      <c r="C628" s="76"/>
      <c r="D628" s="76" t="s">
        <v>3397</v>
      </c>
      <c r="E628" s="76" t="s">
        <v>2032</v>
      </c>
      <c r="F628" s="76" t="s">
        <v>2033</v>
      </c>
    </row>
    <row r="629" spans="1:6" ht="63.95" customHeight="1">
      <c r="A629" s="76" t="s">
        <v>1853</v>
      </c>
      <c r="B629" s="76" t="s">
        <v>3398</v>
      </c>
      <c r="C629" s="76"/>
      <c r="D629" s="76" t="s">
        <v>3399</v>
      </c>
      <c r="E629" s="76" t="s">
        <v>2032</v>
      </c>
      <c r="F629" s="76" t="s">
        <v>2033</v>
      </c>
    </row>
    <row r="630" spans="1:6" ht="63.95" customHeight="1">
      <c r="A630" s="76" t="s">
        <v>1853</v>
      </c>
      <c r="B630" s="76" t="s">
        <v>3400</v>
      </c>
      <c r="C630" s="76" t="s">
        <v>3401</v>
      </c>
      <c r="D630" s="76" t="s">
        <v>3402</v>
      </c>
      <c r="E630" s="76" t="s">
        <v>2345</v>
      </c>
      <c r="F630" s="76" t="s">
        <v>2346</v>
      </c>
    </row>
    <row r="631" spans="1:6" ht="63.95" customHeight="1">
      <c r="A631" s="76" t="s">
        <v>1853</v>
      </c>
      <c r="B631" s="76" t="s">
        <v>3403</v>
      </c>
      <c r="C631" s="76" t="s">
        <v>3404</v>
      </c>
      <c r="D631" s="76" t="s">
        <v>3405</v>
      </c>
      <c r="E631" s="76" t="s">
        <v>2032</v>
      </c>
      <c r="F631" s="76" t="s">
        <v>2033</v>
      </c>
    </row>
    <row r="632" spans="1:6" ht="63.95" customHeight="1">
      <c r="A632" s="76" t="s">
        <v>1853</v>
      </c>
      <c r="B632" s="76" t="s">
        <v>3406</v>
      </c>
      <c r="C632" s="76"/>
      <c r="D632" s="76" t="s">
        <v>3407</v>
      </c>
      <c r="E632" s="76" t="s">
        <v>2032</v>
      </c>
      <c r="F632" s="76" t="s">
        <v>2033</v>
      </c>
    </row>
    <row r="633" spans="1:6" ht="63.95" customHeight="1">
      <c r="A633" s="76" t="s">
        <v>1853</v>
      </c>
      <c r="B633" s="76" t="s">
        <v>3408</v>
      </c>
      <c r="C633" s="76"/>
      <c r="D633" s="76" t="s">
        <v>3409</v>
      </c>
      <c r="E633" s="76" t="s">
        <v>2032</v>
      </c>
      <c r="F633" s="76" t="s">
        <v>2033</v>
      </c>
    </row>
    <row r="634" spans="1:6" ht="63.95" customHeight="1">
      <c r="A634" s="76" t="s">
        <v>1853</v>
      </c>
      <c r="B634" s="76" t="s">
        <v>3410</v>
      </c>
      <c r="C634" s="76" t="s">
        <v>3411</v>
      </c>
      <c r="D634" s="76" t="s">
        <v>3412</v>
      </c>
      <c r="E634" s="76" t="s">
        <v>2032</v>
      </c>
      <c r="F634" s="76" t="s">
        <v>2033</v>
      </c>
    </row>
    <row r="635" spans="1:6" ht="63.95" customHeight="1">
      <c r="A635" s="76" t="s">
        <v>1853</v>
      </c>
      <c r="B635" s="76" t="s">
        <v>3413</v>
      </c>
      <c r="C635" s="76"/>
      <c r="D635" s="76" t="s">
        <v>3414</v>
      </c>
      <c r="E635" s="76" t="s">
        <v>2032</v>
      </c>
      <c r="F635" s="76" t="s">
        <v>2033</v>
      </c>
    </row>
    <row r="636" spans="1:6" ht="63.95" customHeight="1">
      <c r="A636" s="76" t="s">
        <v>1853</v>
      </c>
      <c r="B636" s="76" t="s">
        <v>3415</v>
      </c>
      <c r="C636" s="76"/>
      <c r="D636" s="76" t="s">
        <v>3416</v>
      </c>
      <c r="E636" s="76" t="s">
        <v>2032</v>
      </c>
      <c r="F636" s="76" t="s">
        <v>2033</v>
      </c>
    </row>
    <row r="637" spans="1:6" ht="63.95" customHeight="1">
      <c r="A637" s="76" t="s">
        <v>1853</v>
      </c>
      <c r="B637" s="76" t="s">
        <v>3417</v>
      </c>
      <c r="C637" s="76" t="s">
        <v>3418</v>
      </c>
      <c r="D637" s="76" t="s">
        <v>3419</v>
      </c>
      <c r="E637" s="76" t="s">
        <v>2032</v>
      </c>
      <c r="F637" s="76" t="s">
        <v>2033</v>
      </c>
    </row>
    <row r="638" spans="1:6" ht="63.95" customHeight="1">
      <c r="A638" s="76" t="s">
        <v>1853</v>
      </c>
      <c r="B638" s="76" t="s">
        <v>3420</v>
      </c>
      <c r="C638" s="76"/>
      <c r="D638" s="76" t="s">
        <v>3421</v>
      </c>
      <c r="E638" s="76" t="s">
        <v>2032</v>
      </c>
      <c r="F638" s="76" t="s">
        <v>2033</v>
      </c>
    </row>
    <row r="639" spans="1:6" ht="63.95" customHeight="1">
      <c r="A639" s="76" t="s">
        <v>1853</v>
      </c>
      <c r="B639" s="76" t="s">
        <v>3422</v>
      </c>
      <c r="C639" s="76"/>
      <c r="D639" s="76" t="s">
        <v>3423</v>
      </c>
      <c r="E639" s="76" t="s">
        <v>2032</v>
      </c>
      <c r="F639" s="76" t="s">
        <v>2033</v>
      </c>
    </row>
    <row r="640" spans="1:6" ht="63.95" customHeight="1">
      <c r="A640" s="76" t="s">
        <v>1853</v>
      </c>
      <c r="B640" s="76" t="s">
        <v>3424</v>
      </c>
      <c r="C640" s="76" t="s">
        <v>3425</v>
      </c>
      <c r="D640" s="76" t="s">
        <v>3426</v>
      </c>
      <c r="E640" s="76" t="s">
        <v>2032</v>
      </c>
      <c r="F640" s="76" t="s">
        <v>2033</v>
      </c>
    </row>
    <row r="641" spans="1:6" ht="63.95" customHeight="1">
      <c r="A641" s="76" t="s">
        <v>1853</v>
      </c>
      <c r="B641" s="76" t="s">
        <v>3427</v>
      </c>
      <c r="C641" s="76"/>
      <c r="D641" s="76" t="s">
        <v>3428</v>
      </c>
      <c r="E641" s="76" t="s">
        <v>2032</v>
      </c>
      <c r="F641" s="76" t="s">
        <v>2033</v>
      </c>
    </row>
    <row r="642" spans="1:6" ht="63.95" customHeight="1">
      <c r="A642" s="76" t="s">
        <v>1853</v>
      </c>
      <c r="B642" s="76" t="s">
        <v>3429</v>
      </c>
      <c r="C642" s="76"/>
      <c r="D642" s="76" t="s">
        <v>3430</v>
      </c>
      <c r="E642" s="76" t="s">
        <v>2032</v>
      </c>
      <c r="F642" s="76" t="s">
        <v>2033</v>
      </c>
    </row>
    <row r="643" spans="1:6" ht="63.95" customHeight="1">
      <c r="A643" s="76" t="s">
        <v>1853</v>
      </c>
      <c r="B643" s="76" t="s">
        <v>3431</v>
      </c>
      <c r="C643" s="76" t="s">
        <v>1459</v>
      </c>
      <c r="D643" s="76" t="s">
        <v>2348</v>
      </c>
      <c r="E643" s="76" t="s">
        <v>2349</v>
      </c>
      <c r="F643" s="76" t="s">
        <v>2350</v>
      </c>
    </row>
    <row r="644" spans="1:6" ht="63.95" customHeight="1">
      <c r="A644" s="76" t="s">
        <v>1853</v>
      </c>
      <c r="B644" s="76" t="s">
        <v>3432</v>
      </c>
      <c r="C644" s="76" t="s">
        <v>3433</v>
      </c>
      <c r="D644" s="76" t="s">
        <v>3434</v>
      </c>
      <c r="E644" s="76" t="s">
        <v>2032</v>
      </c>
      <c r="F644" s="76" t="s">
        <v>2033</v>
      </c>
    </row>
    <row r="645" spans="1:6" ht="63.95" customHeight="1">
      <c r="A645" s="76" t="s">
        <v>1853</v>
      </c>
      <c r="B645" s="76" t="s">
        <v>3435</v>
      </c>
      <c r="C645" s="76" t="s">
        <v>1420</v>
      </c>
      <c r="D645" s="76" t="s">
        <v>1472</v>
      </c>
      <c r="E645" s="76" t="s">
        <v>2355</v>
      </c>
      <c r="F645" s="76" t="s">
        <v>3436</v>
      </c>
    </row>
    <row r="646" spans="1:6" ht="63.95" customHeight="1">
      <c r="A646" s="76" t="s">
        <v>1853</v>
      </c>
      <c r="B646" s="76" t="s">
        <v>3437</v>
      </c>
      <c r="C646" s="76"/>
      <c r="D646" s="76" t="s">
        <v>3438</v>
      </c>
      <c r="E646" s="76" t="s">
        <v>2032</v>
      </c>
      <c r="F646" s="76" t="s">
        <v>2033</v>
      </c>
    </row>
    <row r="647" spans="1:6" ht="63.95" customHeight="1">
      <c r="A647" s="76" t="s">
        <v>1853</v>
      </c>
      <c r="B647" s="76" t="s">
        <v>3439</v>
      </c>
      <c r="C647" s="76"/>
      <c r="D647" s="76" t="s">
        <v>3440</v>
      </c>
      <c r="E647" s="76" t="s">
        <v>2032</v>
      </c>
      <c r="F647" s="76" t="s">
        <v>2033</v>
      </c>
    </row>
    <row r="648" spans="1:6" ht="63.95" customHeight="1">
      <c r="A648" s="76" t="s">
        <v>1853</v>
      </c>
      <c r="B648" s="76" t="s">
        <v>3441</v>
      </c>
      <c r="C648" s="76" t="s">
        <v>3442</v>
      </c>
      <c r="D648" s="76" t="s">
        <v>3443</v>
      </c>
      <c r="E648" s="76" t="s">
        <v>2345</v>
      </c>
      <c r="F648" s="76" t="s">
        <v>2346</v>
      </c>
    </row>
    <row r="649" spans="1:6" ht="63.95" customHeight="1">
      <c r="A649" s="76" t="s">
        <v>1853</v>
      </c>
      <c r="B649" s="76" t="s">
        <v>3444</v>
      </c>
      <c r="C649" s="76" t="s">
        <v>3445</v>
      </c>
      <c r="D649" s="76" t="s">
        <v>3446</v>
      </c>
      <c r="E649" s="76" t="s">
        <v>2032</v>
      </c>
      <c r="F649" s="76" t="s">
        <v>2033</v>
      </c>
    </row>
    <row r="650" spans="1:6" ht="63.95" customHeight="1">
      <c r="A650" s="76" t="s">
        <v>1853</v>
      </c>
      <c r="B650" s="76" t="s">
        <v>3447</v>
      </c>
      <c r="C650" s="76"/>
      <c r="D650" s="76" t="s">
        <v>3448</v>
      </c>
      <c r="E650" s="76" t="s">
        <v>2032</v>
      </c>
      <c r="F650" s="76" t="s">
        <v>2033</v>
      </c>
    </row>
    <row r="651" spans="1:6" ht="63.95" customHeight="1">
      <c r="A651" s="76" t="s">
        <v>1853</v>
      </c>
      <c r="B651" s="76" t="s">
        <v>3449</v>
      </c>
      <c r="C651" s="76"/>
      <c r="D651" s="76" t="s">
        <v>3450</v>
      </c>
      <c r="E651" s="76" t="s">
        <v>2032</v>
      </c>
      <c r="F651" s="76" t="s">
        <v>2033</v>
      </c>
    </row>
    <row r="652" spans="1:6" ht="63.95" customHeight="1">
      <c r="A652" s="76" t="s">
        <v>1853</v>
      </c>
      <c r="B652" s="76" t="s">
        <v>3451</v>
      </c>
      <c r="C652" s="76" t="s">
        <v>3452</v>
      </c>
      <c r="D652" s="76" t="s">
        <v>3453</v>
      </c>
      <c r="E652" s="76" t="s">
        <v>2032</v>
      </c>
      <c r="F652" s="76" t="s">
        <v>2033</v>
      </c>
    </row>
    <row r="653" spans="1:6" ht="63.95" customHeight="1">
      <c r="A653" s="76" t="s">
        <v>1853</v>
      </c>
      <c r="B653" s="76" t="s">
        <v>3454</v>
      </c>
      <c r="C653" s="76"/>
      <c r="D653" s="76" t="s">
        <v>3455</v>
      </c>
      <c r="E653" s="76" t="s">
        <v>2032</v>
      </c>
      <c r="F653" s="76" t="s">
        <v>2033</v>
      </c>
    </row>
    <row r="654" spans="1:6" ht="63.95" customHeight="1">
      <c r="A654" s="76" t="s">
        <v>1853</v>
      </c>
      <c r="B654" s="76" t="s">
        <v>3456</v>
      </c>
      <c r="C654" s="76"/>
      <c r="D654" s="76" t="s">
        <v>3457</v>
      </c>
      <c r="E654" s="76" t="s">
        <v>2032</v>
      </c>
      <c r="F654" s="76" t="s">
        <v>2033</v>
      </c>
    </row>
    <row r="655" spans="1:6" ht="63.95" customHeight="1">
      <c r="A655" s="76" t="s">
        <v>1853</v>
      </c>
      <c r="B655" s="76" t="s">
        <v>3458</v>
      </c>
      <c r="C655" s="76" t="s">
        <v>3459</v>
      </c>
      <c r="D655" s="76" t="s">
        <v>3460</v>
      </c>
      <c r="E655" s="76" t="s">
        <v>2345</v>
      </c>
      <c r="F655" s="76" t="s">
        <v>2346</v>
      </c>
    </row>
    <row r="656" spans="1:6" ht="63.95" customHeight="1">
      <c r="A656" s="76" t="s">
        <v>1853</v>
      </c>
      <c r="B656" s="76" t="s">
        <v>3461</v>
      </c>
      <c r="C656" s="76" t="s">
        <v>3462</v>
      </c>
      <c r="D656" s="76" t="s">
        <v>3463</v>
      </c>
      <c r="E656" s="76" t="s">
        <v>2032</v>
      </c>
      <c r="F656" s="76" t="s">
        <v>2033</v>
      </c>
    </row>
    <row r="657" spans="1:6" ht="63.95" customHeight="1">
      <c r="A657" s="76" t="s">
        <v>1853</v>
      </c>
      <c r="B657" s="76" t="s">
        <v>3464</v>
      </c>
      <c r="C657" s="76"/>
      <c r="D657" s="76" t="s">
        <v>3465</v>
      </c>
      <c r="E657" s="76" t="s">
        <v>2032</v>
      </c>
      <c r="F657" s="76" t="s">
        <v>2033</v>
      </c>
    </row>
    <row r="658" spans="1:6" ht="63.95" customHeight="1">
      <c r="A658" s="76" t="s">
        <v>1853</v>
      </c>
      <c r="B658" s="76" t="s">
        <v>3466</v>
      </c>
      <c r="C658" s="76"/>
      <c r="D658" s="76" t="s">
        <v>3467</v>
      </c>
      <c r="E658" s="76" t="s">
        <v>2032</v>
      </c>
      <c r="F658" s="76" t="s">
        <v>2033</v>
      </c>
    </row>
    <row r="659" spans="1:6" ht="63.95" customHeight="1">
      <c r="A659" s="76" t="s">
        <v>1853</v>
      </c>
      <c r="B659" s="76" t="s">
        <v>3468</v>
      </c>
      <c r="C659" s="76" t="s">
        <v>3469</v>
      </c>
      <c r="D659" s="76" t="s">
        <v>3470</v>
      </c>
      <c r="E659" s="76" t="s">
        <v>2345</v>
      </c>
      <c r="F659" s="76" t="s">
        <v>2346</v>
      </c>
    </row>
    <row r="660" spans="1:6" ht="63.95" customHeight="1">
      <c r="A660" s="76" t="s">
        <v>1853</v>
      </c>
      <c r="B660" s="76" t="s">
        <v>3471</v>
      </c>
      <c r="C660" s="76" t="s">
        <v>1459</v>
      </c>
      <c r="D660" s="76" t="s">
        <v>2348</v>
      </c>
      <c r="E660" s="76" t="s">
        <v>2349</v>
      </c>
      <c r="F660" s="76" t="s">
        <v>2350</v>
      </c>
    </row>
    <row r="661" spans="1:6" ht="63.95" customHeight="1">
      <c r="A661" s="76" t="s">
        <v>1853</v>
      </c>
      <c r="B661" s="76" t="s">
        <v>3472</v>
      </c>
      <c r="C661" s="76" t="s">
        <v>3473</v>
      </c>
      <c r="D661" s="76" t="s">
        <v>3474</v>
      </c>
      <c r="E661" s="76" t="s">
        <v>2032</v>
      </c>
      <c r="F661" s="76" t="s">
        <v>2033</v>
      </c>
    </row>
    <row r="662" spans="1:6" ht="63.95" customHeight="1">
      <c r="A662" s="76" t="s">
        <v>1853</v>
      </c>
      <c r="B662" s="76" t="s">
        <v>3475</v>
      </c>
      <c r="C662" s="76" t="s">
        <v>1420</v>
      </c>
      <c r="D662" s="76" t="s">
        <v>1472</v>
      </c>
      <c r="E662" s="76" t="s">
        <v>2355</v>
      </c>
      <c r="F662" s="76" t="s">
        <v>3476</v>
      </c>
    </row>
    <row r="663" spans="1:6" ht="63.95" customHeight="1">
      <c r="A663" s="76" t="s">
        <v>1853</v>
      </c>
      <c r="B663" s="76" t="s">
        <v>3477</v>
      </c>
      <c r="C663" s="76"/>
      <c r="D663" s="76" t="s">
        <v>3478</v>
      </c>
      <c r="E663" s="76" t="s">
        <v>2032</v>
      </c>
      <c r="F663" s="76" t="s">
        <v>2033</v>
      </c>
    </row>
    <row r="664" spans="1:6" ht="63.95" customHeight="1">
      <c r="A664" s="76" t="s">
        <v>1853</v>
      </c>
      <c r="B664" s="76" t="s">
        <v>3479</v>
      </c>
      <c r="C664" s="76"/>
      <c r="D664" s="76" t="s">
        <v>3480</v>
      </c>
      <c r="E664" s="76" t="s">
        <v>2032</v>
      </c>
      <c r="F664" s="76" t="s">
        <v>2033</v>
      </c>
    </row>
    <row r="665" spans="1:6" ht="63.95" customHeight="1">
      <c r="A665" s="76" t="s">
        <v>1853</v>
      </c>
      <c r="B665" s="76" t="s">
        <v>3481</v>
      </c>
      <c r="C665" s="76" t="s">
        <v>3482</v>
      </c>
      <c r="D665" s="76" t="s">
        <v>3483</v>
      </c>
      <c r="E665" s="76" t="s">
        <v>2032</v>
      </c>
      <c r="F665" s="76" t="s">
        <v>2033</v>
      </c>
    </row>
    <row r="666" spans="1:6" ht="63.95" customHeight="1">
      <c r="A666" s="76" t="s">
        <v>1853</v>
      </c>
      <c r="B666" s="76" t="s">
        <v>3484</v>
      </c>
      <c r="C666" s="76"/>
      <c r="D666" s="76" t="s">
        <v>3485</v>
      </c>
      <c r="E666" s="76" t="s">
        <v>2032</v>
      </c>
      <c r="F666" s="76" t="s">
        <v>2033</v>
      </c>
    </row>
    <row r="667" spans="1:6" ht="63.95" customHeight="1">
      <c r="A667" s="76" t="s">
        <v>1853</v>
      </c>
      <c r="B667" s="76" t="s">
        <v>3486</v>
      </c>
      <c r="C667" s="76"/>
      <c r="D667" s="76" t="s">
        <v>3487</v>
      </c>
      <c r="E667" s="76" t="s">
        <v>2032</v>
      </c>
      <c r="F667" s="76" t="s">
        <v>2033</v>
      </c>
    </row>
    <row r="668" spans="1:6" ht="63.95" customHeight="1">
      <c r="A668" s="76" t="s">
        <v>1853</v>
      </c>
      <c r="B668" s="76" t="s">
        <v>3488</v>
      </c>
      <c r="C668" s="76" t="s">
        <v>3489</v>
      </c>
      <c r="D668" s="76" t="s">
        <v>3490</v>
      </c>
      <c r="E668" s="76" t="s">
        <v>2032</v>
      </c>
      <c r="F668" s="76" t="s">
        <v>2033</v>
      </c>
    </row>
    <row r="669" spans="1:6" ht="63.95" customHeight="1">
      <c r="A669" s="76" t="s">
        <v>1853</v>
      </c>
      <c r="B669" s="76" t="s">
        <v>3491</v>
      </c>
      <c r="C669" s="76"/>
      <c r="D669" s="76" t="s">
        <v>3492</v>
      </c>
      <c r="E669" s="76" t="s">
        <v>2032</v>
      </c>
      <c r="F669" s="76" t="s">
        <v>2033</v>
      </c>
    </row>
    <row r="670" spans="1:6" ht="63.95" customHeight="1">
      <c r="A670" s="76" t="s">
        <v>1853</v>
      </c>
      <c r="B670" s="76" t="s">
        <v>3493</v>
      </c>
      <c r="C670" s="76"/>
      <c r="D670" s="76" t="s">
        <v>3494</v>
      </c>
      <c r="E670" s="76" t="s">
        <v>2032</v>
      </c>
      <c r="F670" s="76" t="s">
        <v>2033</v>
      </c>
    </row>
    <row r="671" spans="1:6" ht="63.95" customHeight="1">
      <c r="A671" s="76" t="s">
        <v>1853</v>
      </c>
      <c r="B671" s="76" t="s">
        <v>3495</v>
      </c>
      <c r="C671" s="76" t="s">
        <v>3496</v>
      </c>
      <c r="D671" s="76" t="s">
        <v>3497</v>
      </c>
      <c r="E671" s="76" t="s">
        <v>2032</v>
      </c>
      <c r="F671" s="76" t="s">
        <v>2033</v>
      </c>
    </row>
    <row r="672" spans="1:6" ht="63.95" customHeight="1">
      <c r="A672" s="76" t="s">
        <v>1853</v>
      </c>
      <c r="B672" s="76" t="s">
        <v>3498</v>
      </c>
      <c r="C672" s="76"/>
      <c r="D672" s="76" t="s">
        <v>3499</v>
      </c>
      <c r="E672" s="76" t="s">
        <v>2032</v>
      </c>
      <c r="F672" s="76" t="s">
        <v>2033</v>
      </c>
    </row>
    <row r="673" spans="1:6" ht="63.95" customHeight="1">
      <c r="A673" s="76" t="s">
        <v>1853</v>
      </c>
      <c r="B673" s="76" t="s">
        <v>3500</v>
      </c>
      <c r="C673" s="76"/>
      <c r="D673" s="76" t="s">
        <v>3501</v>
      </c>
      <c r="E673" s="76" t="s">
        <v>2032</v>
      </c>
      <c r="F673" s="76" t="s">
        <v>2033</v>
      </c>
    </row>
    <row r="674" spans="1:6" ht="63.95" customHeight="1">
      <c r="A674" s="76" t="s">
        <v>1853</v>
      </c>
      <c r="B674" s="76" t="s">
        <v>3502</v>
      </c>
      <c r="C674" s="76" t="s">
        <v>1459</v>
      </c>
      <c r="D674" s="76" t="s">
        <v>2348</v>
      </c>
      <c r="E674" s="76" t="s">
        <v>2349</v>
      </c>
      <c r="F674" s="76" t="s">
        <v>2350</v>
      </c>
    </row>
    <row r="675" spans="1:6" ht="63.95" customHeight="1">
      <c r="A675" s="76" t="s">
        <v>1853</v>
      </c>
      <c r="B675" s="76" t="s">
        <v>3503</v>
      </c>
      <c r="C675" s="76" t="s">
        <v>3504</v>
      </c>
      <c r="D675" s="76" t="s">
        <v>3505</v>
      </c>
      <c r="E675" s="76" t="s">
        <v>2032</v>
      </c>
      <c r="F675" s="76" t="s">
        <v>2033</v>
      </c>
    </row>
    <row r="676" spans="1:6" ht="63.95" customHeight="1">
      <c r="A676" s="76" t="s">
        <v>1853</v>
      </c>
      <c r="B676" s="76" t="s">
        <v>3506</v>
      </c>
      <c r="C676" s="76" t="s">
        <v>1420</v>
      </c>
      <c r="D676" s="76" t="s">
        <v>1472</v>
      </c>
      <c r="E676" s="76" t="s">
        <v>2355</v>
      </c>
      <c r="F676" s="76" t="s">
        <v>3507</v>
      </c>
    </row>
    <row r="677" spans="1:6" ht="63.95" customHeight="1">
      <c r="A677" s="76" t="s">
        <v>1853</v>
      </c>
      <c r="B677" s="76" t="s">
        <v>3508</v>
      </c>
      <c r="C677" s="76"/>
      <c r="D677" s="76" t="s">
        <v>3509</v>
      </c>
      <c r="E677" s="76" t="s">
        <v>2032</v>
      </c>
      <c r="F677" s="76" t="s">
        <v>2033</v>
      </c>
    </row>
    <row r="678" spans="1:6" ht="63.95" customHeight="1">
      <c r="A678" s="76" t="s">
        <v>1853</v>
      </c>
      <c r="B678" s="76" t="s">
        <v>3510</v>
      </c>
      <c r="C678" s="76"/>
      <c r="D678" s="76" t="s">
        <v>3511</v>
      </c>
      <c r="E678" s="76" t="s">
        <v>2032</v>
      </c>
      <c r="F678" s="76" t="s">
        <v>2033</v>
      </c>
    </row>
    <row r="679" spans="1:6" ht="63.95" customHeight="1">
      <c r="A679" s="76" t="s">
        <v>1853</v>
      </c>
      <c r="B679" s="76" t="s">
        <v>3512</v>
      </c>
      <c r="C679" s="76" t="s">
        <v>3513</v>
      </c>
      <c r="D679" s="76" t="s">
        <v>3514</v>
      </c>
      <c r="E679" s="76" t="s">
        <v>2032</v>
      </c>
      <c r="F679" s="76" t="s">
        <v>2033</v>
      </c>
    </row>
    <row r="680" spans="1:6" ht="63.95" customHeight="1">
      <c r="A680" s="76" t="s">
        <v>1853</v>
      </c>
      <c r="B680" s="76" t="s">
        <v>3515</v>
      </c>
      <c r="C680" s="76"/>
      <c r="D680" s="76" t="s">
        <v>3516</v>
      </c>
      <c r="E680" s="76" t="s">
        <v>2032</v>
      </c>
      <c r="F680" s="76" t="s">
        <v>2033</v>
      </c>
    </row>
    <row r="681" spans="1:6" ht="63.95" customHeight="1">
      <c r="A681" s="76" t="s">
        <v>1853</v>
      </c>
      <c r="B681" s="76" t="s">
        <v>3517</v>
      </c>
      <c r="C681" s="76"/>
      <c r="D681" s="76" t="s">
        <v>3518</v>
      </c>
      <c r="E681" s="76" t="s">
        <v>2032</v>
      </c>
      <c r="F681" s="76" t="s">
        <v>2033</v>
      </c>
    </row>
    <row r="682" spans="1:6" ht="63.95" customHeight="1">
      <c r="A682" s="76" t="s">
        <v>1853</v>
      </c>
      <c r="B682" s="76" t="s">
        <v>3519</v>
      </c>
      <c r="C682" s="76" t="s">
        <v>3520</v>
      </c>
      <c r="D682" s="76" t="s">
        <v>3521</v>
      </c>
      <c r="E682" s="76" t="s">
        <v>2032</v>
      </c>
      <c r="F682" s="76" t="s">
        <v>2033</v>
      </c>
    </row>
    <row r="683" spans="1:6" ht="63.95" customHeight="1">
      <c r="A683" s="76" t="s">
        <v>1853</v>
      </c>
      <c r="B683" s="76" t="s">
        <v>3522</v>
      </c>
      <c r="C683" s="76"/>
      <c r="D683" s="76" t="s">
        <v>3523</v>
      </c>
      <c r="E683" s="76" t="s">
        <v>2032</v>
      </c>
      <c r="F683" s="76" t="s">
        <v>2033</v>
      </c>
    </row>
    <row r="684" spans="1:6" ht="63.95" customHeight="1">
      <c r="A684" s="76" t="s">
        <v>1853</v>
      </c>
      <c r="B684" s="76" t="s">
        <v>3524</v>
      </c>
      <c r="C684" s="76"/>
      <c r="D684" s="76" t="s">
        <v>3525</v>
      </c>
      <c r="E684" s="76" t="s">
        <v>2032</v>
      </c>
      <c r="F684" s="76" t="s">
        <v>2033</v>
      </c>
    </row>
    <row r="685" spans="1:6" ht="63.95" customHeight="1">
      <c r="A685" s="76" t="s">
        <v>1853</v>
      </c>
      <c r="B685" s="76" t="s">
        <v>3526</v>
      </c>
      <c r="C685" s="76" t="s">
        <v>3527</v>
      </c>
      <c r="D685" s="76" t="s">
        <v>3528</v>
      </c>
      <c r="E685" s="76" t="s">
        <v>2032</v>
      </c>
      <c r="F685" s="76" t="s">
        <v>2033</v>
      </c>
    </row>
    <row r="686" spans="1:6" ht="63.95" customHeight="1">
      <c r="A686" s="76" t="s">
        <v>1853</v>
      </c>
      <c r="B686" s="76" t="s">
        <v>3529</v>
      </c>
      <c r="C686" s="76"/>
      <c r="D686" s="76" t="s">
        <v>3530</v>
      </c>
      <c r="E686" s="76" t="s">
        <v>2032</v>
      </c>
      <c r="F686" s="76" t="s">
        <v>2033</v>
      </c>
    </row>
    <row r="687" spans="1:6" ht="63.95" customHeight="1">
      <c r="A687" s="76" t="s">
        <v>1853</v>
      </c>
      <c r="B687" s="76" t="s">
        <v>3531</v>
      </c>
      <c r="C687" s="76"/>
      <c r="D687" s="76" t="s">
        <v>3532</v>
      </c>
      <c r="E687" s="76" t="s">
        <v>2032</v>
      </c>
      <c r="F687" s="76" t="s">
        <v>2033</v>
      </c>
    </row>
    <row r="688" spans="1:6" ht="63.95" customHeight="1">
      <c r="A688" s="76" t="s">
        <v>1853</v>
      </c>
      <c r="B688" s="76" t="s">
        <v>3533</v>
      </c>
      <c r="C688" s="76" t="s">
        <v>3534</v>
      </c>
      <c r="D688" s="76" t="s">
        <v>3535</v>
      </c>
      <c r="E688" s="76" t="s">
        <v>2032</v>
      </c>
      <c r="F688" s="76" t="s">
        <v>2033</v>
      </c>
    </row>
    <row r="689" spans="1:6" ht="63.95" customHeight="1">
      <c r="A689" s="76" t="s">
        <v>1853</v>
      </c>
      <c r="B689" s="76" t="s">
        <v>3536</v>
      </c>
      <c r="C689" s="76"/>
      <c r="D689" s="76" t="s">
        <v>3537</v>
      </c>
      <c r="E689" s="76" t="s">
        <v>2032</v>
      </c>
      <c r="F689" s="76" t="s">
        <v>2033</v>
      </c>
    </row>
    <row r="690" spans="1:6" ht="63.95" customHeight="1">
      <c r="A690" s="76" t="s">
        <v>1853</v>
      </c>
      <c r="B690" s="76" t="s">
        <v>3538</v>
      </c>
      <c r="C690" s="76"/>
      <c r="D690" s="76" t="s">
        <v>3539</v>
      </c>
      <c r="E690" s="76" t="s">
        <v>2032</v>
      </c>
      <c r="F690" s="76" t="s">
        <v>2033</v>
      </c>
    </row>
    <row r="691" spans="1:6" ht="63.95" customHeight="1">
      <c r="A691" s="76" t="s">
        <v>1853</v>
      </c>
      <c r="B691" s="76" t="s">
        <v>3540</v>
      </c>
      <c r="C691" s="76" t="s">
        <v>3541</v>
      </c>
      <c r="D691" s="76" t="s">
        <v>3542</v>
      </c>
      <c r="E691" s="76" t="s">
        <v>2032</v>
      </c>
      <c r="F691" s="76" t="s">
        <v>2033</v>
      </c>
    </row>
    <row r="692" spans="1:6" ht="63.95" customHeight="1">
      <c r="A692" s="76" t="s">
        <v>1853</v>
      </c>
      <c r="B692" s="76" t="s">
        <v>3543</v>
      </c>
      <c r="C692" s="76"/>
      <c r="D692" s="76" t="s">
        <v>3544</v>
      </c>
      <c r="E692" s="76" t="s">
        <v>2032</v>
      </c>
      <c r="F692" s="76" t="s">
        <v>2033</v>
      </c>
    </row>
    <row r="693" spans="1:6" ht="63.95" customHeight="1">
      <c r="A693" s="76" t="s">
        <v>1853</v>
      </c>
      <c r="B693" s="76" t="s">
        <v>3545</v>
      </c>
      <c r="C693" s="76"/>
      <c r="D693" s="76" t="s">
        <v>3546</v>
      </c>
      <c r="E693" s="76" t="s">
        <v>2032</v>
      </c>
      <c r="F693" s="76" t="s">
        <v>2033</v>
      </c>
    </row>
    <row r="694" spans="1:6" ht="63.95" customHeight="1">
      <c r="A694" s="76" t="s">
        <v>1853</v>
      </c>
      <c r="B694" s="76" t="s">
        <v>3547</v>
      </c>
      <c r="C694" s="76" t="s">
        <v>3548</v>
      </c>
      <c r="D694" s="76" t="s">
        <v>3549</v>
      </c>
      <c r="E694" s="76" t="s">
        <v>2032</v>
      </c>
      <c r="F694" s="76" t="s">
        <v>2033</v>
      </c>
    </row>
    <row r="695" spans="1:6" ht="63.95" customHeight="1">
      <c r="A695" s="76" t="s">
        <v>1853</v>
      </c>
      <c r="B695" s="76" t="s">
        <v>3550</v>
      </c>
      <c r="C695" s="76"/>
      <c r="D695" s="76" t="s">
        <v>3551</v>
      </c>
      <c r="E695" s="76" t="s">
        <v>2032</v>
      </c>
      <c r="F695" s="76" t="s">
        <v>2033</v>
      </c>
    </row>
    <row r="696" spans="1:6" ht="63.95" customHeight="1">
      <c r="A696" s="76" t="s">
        <v>1853</v>
      </c>
      <c r="B696" s="76" t="s">
        <v>3552</v>
      </c>
      <c r="C696" s="76"/>
      <c r="D696" s="76" t="s">
        <v>3553</v>
      </c>
      <c r="E696" s="76" t="s">
        <v>2032</v>
      </c>
      <c r="F696" s="76" t="s">
        <v>2033</v>
      </c>
    </row>
    <row r="697" spans="1:6" ht="63.95" customHeight="1">
      <c r="A697" s="76" t="s">
        <v>1853</v>
      </c>
      <c r="B697" s="76" t="s">
        <v>3554</v>
      </c>
      <c r="C697" s="76" t="s">
        <v>3555</v>
      </c>
      <c r="D697" s="76" t="s">
        <v>3556</v>
      </c>
      <c r="E697" s="76" t="s">
        <v>2032</v>
      </c>
      <c r="F697" s="76" t="s">
        <v>2033</v>
      </c>
    </row>
    <row r="698" spans="1:6" ht="63.95" customHeight="1">
      <c r="A698" s="76" t="s">
        <v>1853</v>
      </c>
      <c r="B698" s="76" t="s">
        <v>3557</v>
      </c>
      <c r="C698" s="76"/>
      <c r="D698" s="76" t="s">
        <v>3558</v>
      </c>
      <c r="E698" s="76" t="s">
        <v>2032</v>
      </c>
      <c r="F698" s="76" t="s">
        <v>2033</v>
      </c>
    </row>
    <row r="699" spans="1:6" ht="63.95" customHeight="1">
      <c r="A699" s="76" t="s">
        <v>1853</v>
      </c>
      <c r="B699" s="76" t="s">
        <v>3559</v>
      </c>
      <c r="C699" s="76"/>
      <c r="D699" s="76" t="s">
        <v>3560</v>
      </c>
      <c r="E699" s="76" t="s">
        <v>2032</v>
      </c>
      <c r="F699" s="76" t="s">
        <v>2033</v>
      </c>
    </row>
    <row r="700" spans="1:6" ht="63.95" customHeight="1">
      <c r="A700" s="76" t="s">
        <v>1853</v>
      </c>
      <c r="B700" s="76" t="s">
        <v>3561</v>
      </c>
      <c r="C700" s="76" t="s">
        <v>3562</v>
      </c>
      <c r="D700" s="76" t="s">
        <v>3563</v>
      </c>
      <c r="E700" s="76" t="s">
        <v>2032</v>
      </c>
      <c r="F700" s="76" t="s">
        <v>2033</v>
      </c>
    </row>
    <row r="701" spans="1:6" ht="63.95" customHeight="1">
      <c r="A701" s="76" t="s">
        <v>1853</v>
      </c>
      <c r="B701" s="76" t="s">
        <v>3564</v>
      </c>
      <c r="C701" s="76"/>
      <c r="D701" s="76" t="s">
        <v>3565</v>
      </c>
      <c r="E701" s="76" t="s">
        <v>2032</v>
      </c>
      <c r="F701" s="76" t="s">
        <v>2033</v>
      </c>
    </row>
    <row r="702" spans="1:6" ht="63.95" customHeight="1">
      <c r="A702" s="76" t="s">
        <v>1853</v>
      </c>
      <c r="B702" s="76" t="s">
        <v>3566</v>
      </c>
      <c r="C702" s="76"/>
      <c r="D702" s="76" t="s">
        <v>3567</v>
      </c>
      <c r="E702" s="76" t="s">
        <v>2032</v>
      </c>
      <c r="F702" s="76" t="s">
        <v>2033</v>
      </c>
    </row>
    <row r="703" spans="1:6" ht="63.95" customHeight="1">
      <c r="A703" s="76" t="s">
        <v>1853</v>
      </c>
      <c r="B703" s="76" t="s">
        <v>3568</v>
      </c>
      <c r="C703" s="76" t="s">
        <v>3569</v>
      </c>
      <c r="D703" s="76" t="s">
        <v>3570</v>
      </c>
      <c r="E703" s="76" t="s">
        <v>2032</v>
      </c>
      <c r="F703" s="76" t="s">
        <v>2033</v>
      </c>
    </row>
    <row r="704" spans="1:6" ht="63.95" customHeight="1">
      <c r="A704" s="76" t="s">
        <v>1853</v>
      </c>
      <c r="B704" s="76" t="s">
        <v>3571</v>
      </c>
      <c r="C704" s="76"/>
      <c r="D704" s="76" t="s">
        <v>3572</v>
      </c>
      <c r="E704" s="76" t="s">
        <v>2032</v>
      </c>
      <c r="F704" s="76" t="s">
        <v>2033</v>
      </c>
    </row>
    <row r="705" spans="1:6" ht="63.95" customHeight="1">
      <c r="A705" s="76" t="s">
        <v>1853</v>
      </c>
      <c r="B705" s="76" t="s">
        <v>3573</v>
      </c>
      <c r="C705" s="76"/>
      <c r="D705" s="76" t="s">
        <v>3574</v>
      </c>
      <c r="E705" s="76" t="s">
        <v>2032</v>
      </c>
      <c r="F705" s="76" t="s">
        <v>2033</v>
      </c>
    </row>
    <row r="706" spans="1:6" ht="63.95" customHeight="1">
      <c r="A706" s="76" t="s">
        <v>1853</v>
      </c>
      <c r="B706" s="76" t="s">
        <v>3575</v>
      </c>
      <c r="C706" s="76" t="s">
        <v>3576</v>
      </c>
      <c r="D706" s="76" t="s">
        <v>3577</v>
      </c>
      <c r="E706" s="76" t="s">
        <v>2032</v>
      </c>
      <c r="F706" s="76" t="s">
        <v>2033</v>
      </c>
    </row>
    <row r="707" spans="1:6" ht="63.95" customHeight="1">
      <c r="A707" s="76" t="s">
        <v>1853</v>
      </c>
      <c r="B707" s="76" t="s">
        <v>3578</v>
      </c>
      <c r="C707" s="76"/>
      <c r="D707" s="76" t="s">
        <v>3579</v>
      </c>
      <c r="E707" s="76" t="s">
        <v>2032</v>
      </c>
      <c r="F707" s="76" t="s">
        <v>2033</v>
      </c>
    </row>
    <row r="708" spans="1:6" ht="63.95" customHeight="1">
      <c r="A708" s="76" t="s">
        <v>1853</v>
      </c>
      <c r="B708" s="76" t="s">
        <v>3580</v>
      </c>
      <c r="C708" s="76"/>
      <c r="D708" s="76" t="s">
        <v>3581</v>
      </c>
      <c r="E708" s="76" t="s">
        <v>2032</v>
      </c>
      <c r="F708" s="76" t="s">
        <v>2033</v>
      </c>
    </row>
    <row r="709" spans="1:6" ht="63.95" customHeight="1">
      <c r="A709" s="76" t="s">
        <v>1853</v>
      </c>
      <c r="B709" s="76" t="s">
        <v>3582</v>
      </c>
      <c r="C709" s="76" t="s">
        <v>3583</v>
      </c>
      <c r="D709" s="76" t="s">
        <v>3584</v>
      </c>
      <c r="E709" s="76" t="s">
        <v>2032</v>
      </c>
      <c r="F709" s="76" t="s">
        <v>2033</v>
      </c>
    </row>
    <row r="710" spans="1:6" ht="63.95" customHeight="1">
      <c r="A710" s="76" t="s">
        <v>1853</v>
      </c>
      <c r="B710" s="76" t="s">
        <v>3585</v>
      </c>
      <c r="C710" s="76"/>
      <c r="D710" s="76" t="s">
        <v>3586</v>
      </c>
      <c r="E710" s="76" t="s">
        <v>2032</v>
      </c>
      <c r="F710" s="76" t="s">
        <v>2033</v>
      </c>
    </row>
    <row r="711" spans="1:6" ht="63.95" customHeight="1">
      <c r="A711" s="76" t="s">
        <v>1853</v>
      </c>
      <c r="B711" s="76" t="s">
        <v>3587</v>
      </c>
      <c r="C711" s="76"/>
      <c r="D711" s="76" t="s">
        <v>3588</v>
      </c>
      <c r="E711" s="76" t="s">
        <v>2032</v>
      </c>
      <c r="F711" s="76" t="s">
        <v>2033</v>
      </c>
    </row>
    <row r="712" spans="1:6" ht="63.95" customHeight="1">
      <c r="A712" s="76" t="s">
        <v>1853</v>
      </c>
      <c r="B712" s="76" t="s">
        <v>3589</v>
      </c>
      <c r="C712" s="76" t="s">
        <v>3590</v>
      </c>
      <c r="D712" s="76" t="s">
        <v>3591</v>
      </c>
      <c r="E712" s="76" t="s">
        <v>2032</v>
      </c>
      <c r="F712" s="76" t="s">
        <v>2033</v>
      </c>
    </row>
    <row r="713" spans="1:6" ht="63.95" customHeight="1">
      <c r="A713" s="76" t="s">
        <v>1853</v>
      </c>
      <c r="B713" s="76" t="s">
        <v>3592</v>
      </c>
      <c r="C713" s="76"/>
      <c r="D713" s="76" t="s">
        <v>3593</v>
      </c>
      <c r="E713" s="76" t="s">
        <v>2032</v>
      </c>
      <c r="F713" s="76" t="s">
        <v>2033</v>
      </c>
    </row>
    <row r="714" spans="1:6" ht="63.95" customHeight="1">
      <c r="A714" s="76" t="s">
        <v>1853</v>
      </c>
      <c r="B714" s="76" t="s">
        <v>3594</v>
      </c>
      <c r="C714" s="76"/>
      <c r="D714" s="76" t="s">
        <v>3595</v>
      </c>
      <c r="E714" s="76" t="s">
        <v>2032</v>
      </c>
      <c r="F714" s="76" t="s">
        <v>2033</v>
      </c>
    </row>
    <row r="715" spans="1:6" ht="63.95" customHeight="1">
      <c r="A715" s="76" t="s">
        <v>1853</v>
      </c>
      <c r="B715" s="76" t="s">
        <v>3596</v>
      </c>
      <c r="C715" s="76" t="s">
        <v>3597</v>
      </c>
      <c r="D715" s="76" t="s">
        <v>3598</v>
      </c>
      <c r="E715" s="76" t="s">
        <v>2032</v>
      </c>
      <c r="F715" s="76" t="s">
        <v>2033</v>
      </c>
    </row>
    <row r="716" spans="1:6" ht="63.95" customHeight="1">
      <c r="A716" s="76" t="s">
        <v>1853</v>
      </c>
      <c r="B716" s="76" t="s">
        <v>3599</v>
      </c>
      <c r="C716" s="76"/>
      <c r="D716" s="76" t="s">
        <v>3600</v>
      </c>
      <c r="E716" s="76" t="s">
        <v>2032</v>
      </c>
      <c r="F716" s="76" t="s">
        <v>2033</v>
      </c>
    </row>
    <row r="717" spans="1:6" ht="63.95" customHeight="1">
      <c r="A717" s="76" t="s">
        <v>1853</v>
      </c>
      <c r="B717" s="76" t="s">
        <v>3601</v>
      </c>
      <c r="C717" s="76"/>
      <c r="D717" s="76" t="s">
        <v>3602</v>
      </c>
      <c r="E717" s="76" t="s">
        <v>2032</v>
      </c>
      <c r="F717" s="76" t="s">
        <v>2033</v>
      </c>
    </row>
    <row r="718" spans="1:6" ht="63.95" customHeight="1">
      <c r="A718" s="76" t="s">
        <v>1853</v>
      </c>
      <c r="B718" s="76" t="s">
        <v>3603</v>
      </c>
      <c r="C718" s="76" t="s">
        <v>3604</v>
      </c>
      <c r="D718" s="76" t="s">
        <v>3605</v>
      </c>
      <c r="E718" s="76" t="s">
        <v>2032</v>
      </c>
      <c r="F718" s="76" t="s">
        <v>2033</v>
      </c>
    </row>
    <row r="719" spans="1:6" ht="63.95" customHeight="1">
      <c r="A719" s="76" t="s">
        <v>1853</v>
      </c>
      <c r="B719" s="76" t="s">
        <v>3606</v>
      </c>
      <c r="C719" s="76"/>
      <c r="D719" s="76" t="s">
        <v>3607</v>
      </c>
      <c r="E719" s="76" t="s">
        <v>2032</v>
      </c>
      <c r="F719" s="76" t="s">
        <v>2033</v>
      </c>
    </row>
    <row r="720" spans="1:6" ht="63.95" customHeight="1">
      <c r="A720" s="76" t="s">
        <v>1853</v>
      </c>
      <c r="B720" s="76" t="s">
        <v>3608</v>
      </c>
      <c r="C720" s="76"/>
      <c r="D720" s="76" t="s">
        <v>3609</v>
      </c>
      <c r="E720" s="76" t="s">
        <v>2032</v>
      </c>
      <c r="F720" s="76" t="s">
        <v>2033</v>
      </c>
    </row>
    <row r="721" spans="1:6" ht="63.95" customHeight="1">
      <c r="A721" s="76" t="s">
        <v>1855</v>
      </c>
      <c r="B721" s="76" t="s">
        <v>1967</v>
      </c>
      <c r="C721" s="76" t="s">
        <v>3610</v>
      </c>
      <c r="D721" s="76" t="s">
        <v>3611</v>
      </c>
      <c r="E721" s="76" t="s">
        <v>3612</v>
      </c>
      <c r="F721" s="76"/>
    </row>
    <row r="722" spans="1:6" ht="63.95" customHeight="1">
      <c r="A722" s="76" t="s">
        <v>1855</v>
      </c>
      <c r="B722" s="76" t="s">
        <v>3613</v>
      </c>
      <c r="C722" s="76" t="s">
        <v>3614</v>
      </c>
      <c r="D722" s="76" t="s">
        <v>1280</v>
      </c>
      <c r="E722" s="76" t="s">
        <v>3612</v>
      </c>
      <c r="F722" s="76"/>
    </row>
    <row r="723" spans="1:6" ht="63.95" customHeight="1">
      <c r="A723" s="76" t="s">
        <v>1855</v>
      </c>
      <c r="B723" s="76" t="s">
        <v>3615</v>
      </c>
      <c r="C723" s="76" t="s">
        <v>3616</v>
      </c>
      <c r="D723" s="76" t="s">
        <v>3617</v>
      </c>
      <c r="E723" s="76" t="s">
        <v>3612</v>
      </c>
      <c r="F723" s="76"/>
    </row>
    <row r="724" spans="1:6" ht="63.95" customHeight="1">
      <c r="A724" s="76" t="s">
        <v>1855</v>
      </c>
      <c r="B724" s="76" t="s">
        <v>3618</v>
      </c>
      <c r="C724" s="76" t="s">
        <v>3619</v>
      </c>
      <c r="D724" s="76" t="s">
        <v>3620</v>
      </c>
      <c r="E724" s="76" t="s">
        <v>3612</v>
      </c>
      <c r="F724" s="76"/>
    </row>
    <row r="725" spans="1:6" ht="63.95" customHeight="1">
      <c r="A725" s="76" t="s">
        <v>1855</v>
      </c>
      <c r="B725" s="76" t="s">
        <v>3621</v>
      </c>
      <c r="C725" s="76" t="s">
        <v>3622</v>
      </c>
      <c r="D725" s="76" t="s">
        <v>3623</v>
      </c>
      <c r="E725" s="76" t="s">
        <v>3624</v>
      </c>
      <c r="F725" s="76"/>
    </row>
    <row r="726" spans="1:6" ht="63.95" customHeight="1">
      <c r="A726" s="76" t="s">
        <v>1855</v>
      </c>
      <c r="B726" s="76" t="s">
        <v>3625</v>
      </c>
      <c r="C726" s="76" t="s">
        <v>3626</v>
      </c>
      <c r="D726" s="76" t="s">
        <v>3627</v>
      </c>
      <c r="E726" s="76" t="s">
        <v>3624</v>
      </c>
      <c r="F726" s="76"/>
    </row>
    <row r="727" spans="1:6" ht="63.95" customHeight="1">
      <c r="A727" s="76" t="s">
        <v>1855</v>
      </c>
      <c r="B727" s="76" t="s">
        <v>3628</v>
      </c>
      <c r="C727" s="76" t="s">
        <v>3629</v>
      </c>
      <c r="D727" s="76" t="s">
        <v>3630</v>
      </c>
      <c r="E727" s="76" t="s">
        <v>3624</v>
      </c>
      <c r="F727" s="76"/>
    </row>
    <row r="728" spans="1:6" ht="63.95" customHeight="1">
      <c r="A728" s="76" t="s">
        <v>1855</v>
      </c>
      <c r="B728" s="76" t="s">
        <v>3631</v>
      </c>
      <c r="C728" s="76" t="s">
        <v>3632</v>
      </c>
      <c r="D728" s="76" t="s">
        <v>3633</v>
      </c>
      <c r="E728" s="76" t="s">
        <v>3624</v>
      </c>
      <c r="F728" s="76"/>
    </row>
    <row r="729" spans="1:6" ht="63.95" customHeight="1">
      <c r="A729" s="76" t="s">
        <v>1855</v>
      </c>
      <c r="B729" s="76" t="s">
        <v>3634</v>
      </c>
      <c r="C729" s="76" t="s">
        <v>3635</v>
      </c>
      <c r="D729" s="76" t="s">
        <v>3636</v>
      </c>
      <c r="E729" s="76" t="s">
        <v>3624</v>
      </c>
      <c r="F729" s="76"/>
    </row>
    <row r="730" spans="1:6" ht="63.95" customHeight="1">
      <c r="A730" s="76" t="s">
        <v>1855</v>
      </c>
      <c r="B730" s="76" t="s">
        <v>3637</v>
      </c>
      <c r="C730" s="76" t="s">
        <v>3638</v>
      </c>
      <c r="D730" s="76" t="s">
        <v>3639</v>
      </c>
      <c r="E730" s="76" t="s">
        <v>3624</v>
      </c>
      <c r="F730" s="76"/>
    </row>
    <row r="731" spans="1:6" ht="63.95" customHeight="1">
      <c r="A731" s="76" t="s">
        <v>1855</v>
      </c>
      <c r="B731" s="76" t="s">
        <v>3640</v>
      </c>
      <c r="C731" s="76" t="s">
        <v>3641</v>
      </c>
      <c r="D731" s="76" t="s">
        <v>3642</v>
      </c>
      <c r="E731" s="76" t="s">
        <v>3624</v>
      </c>
      <c r="F731" s="76"/>
    </row>
    <row r="732" spans="1:6" ht="63.95" customHeight="1">
      <c r="A732" s="76" t="s">
        <v>1855</v>
      </c>
      <c r="B732" s="76" t="s">
        <v>3643</v>
      </c>
      <c r="C732" s="76" t="s">
        <v>3644</v>
      </c>
      <c r="D732" s="76" t="s">
        <v>3645</v>
      </c>
      <c r="E732" s="76" t="s">
        <v>3624</v>
      </c>
      <c r="F732" s="76"/>
    </row>
    <row r="733" spans="1:6" ht="63.95" customHeight="1">
      <c r="A733" s="76" t="s">
        <v>1855</v>
      </c>
      <c r="B733" s="76" t="s">
        <v>3646</v>
      </c>
      <c r="C733" s="76" t="s">
        <v>3647</v>
      </c>
      <c r="D733" s="76" t="s">
        <v>3648</v>
      </c>
      <c r="E733" s="76" t="s">
        <v>3624</v>
      </c>
      <c r="F733" s="76"/>
    </row>
    <row r="734" spans="1:6" ht="63.95" customHeight="1">
      <c r="A734" s="76" t="s">
        <v>1855</v>
      </c>
      <c r="B734" s="76" t="s">
        <v>3649</v>
      </c>
      <c r="C734" s="76" t="s">
        <v>3650</v>
      </c>
      <c r="D734" s="76" t="s">
        <v>3651</v>
      </c>
      <c r="E734" s="76" t="s">
        <v>3624</v>
      </c>
      <c r="F734" s="76"/>
    </row>
    <row r="735" spans="1:6" ht="63.95" customHeight="1">
      <c r="A735" s="76" t="s">
        <v>1855</v>
      </c>
      <c r="B735" s="76" t="s">
        <v>3652</v>
      </c>
      <c r="C735" s="76" t="s">
        <v>3653</v>
      </c>
      <c r="D735" s="76" t="s">
        <v>3654</v>
      </c>
      <c r="E735" s="76" t="s">
        <v>3624</v>
      </c>
      <c r="F735" s="76"/>
    </row>
    <row r="736" spans="1:6" ht="63.95" customHeight="1">
      <c r="A736" s="76" t="s">
        <v>1855</v>
      </c>
      <c r="B736" s="76" t="s">
        <v>3655</v>
      </c>
      <c r="C736" s="76" t="s">
        <v>3656</v>
      </c>
      <c r="D736" s="76" t="s">
        <v>3657</v>
      </c>
      <c r="E736" s="76" t="s">
        <v>3624</v>
      </c>
      <c r="F736" s="76"/>
    </row>
    <row r="737" spans="1:6" ht="63.95" customHeight="1">
      <c r="A737" s="76" t="s">
        <v>1855</v>
      </c>
      <c r="B737" s="76" t="s">
        <v>3658</v>
      </c>
      <c r="C737" s="76" t="s">
        <v>3659</v>
      </c>
      <c r="D737" s="76" t="s">
        <v>3660</v>
      </c>
      <c r="E737" s="76" t="s">
        <v>3624</v>
      </c>
      <c r="F737" s="76"/>
    </row>
    <row r="738" spans="1:6" ht="63.95" customHeight="1">
      <c r="A738" s="76" t="s">
        <v>1855</v>
      </c>
      <c r="B738" s="76" t="s">
        <v>3661</v>
      </c>
      <c r="C738" s="76" t="s">
        <v>3662</v>
      </c>
      <c r="D738" s="76" t="s">
        <v>3663</v>
      </c>
      <c r="E738" s="76" t="s">
        <v>3624</v>
      </c>
      <c r="F738" s="76"/>
    </row>
    <row r="739" spans="1:6" ht="63.95" customHeight="1">
      <c r="A739" s="76" t="s">
        <v>1855</v>
      </c>
      <c r="B739" s="76" t="s">
        <v>3664</v>
      </c>
      <c r="C739" s="76" t="s">
        <v>3665</v>
      </c>
      <c r="D739" s="76" t="s">
        <v>3666</v>
      </c>
      <c r="E739" s="76" t="s">
        <v>3624</v>
      </c>
      <c r="F739" s="76"/>
    </row>
    <row r="740" spans="1:6" ht="63.95" customHeight="1">
      <c r="A740" s="76" t="s">
        <v>1855</v>
      </c>
      <c r="B740" s="76" t="s">
        <v>3667</v>
      </c>
      <c r="C740" s="76" t="s">
        <v>3668</v>
      </c>
      <c r="D740" s="76" t="s">
        <v>3669</v>
      </c>
      <c r="E740" s="76" t="s">
        <v>3624</v>
      </c>
      <c r="F740" s="76"/>
    </row>
    <row r="741" spans="1:6" ht="63.95" customHeight="1">
      <c r="A741" s="76" t="s">
        <v>1855</v>
      </c>
      <c r="B741" s="76" t="s">
        <v>3670</v>
      </c>
      <c r="C741" s="76" t="s">
        <v>3671</v>
      </c>
      <c r="D741" s="76" t="s">
        <v>3672</v>
      </c>
      <c r="E741" s="76" t="s">
        <v>3624</v>
      </c>
      <c r="F741" s="76"/>
    </row>
    <row r="742" spans="1:6" ht="63.95" customHeight="1">
      <c r="A742" s="76" t="s">
        <v>1855</v>
      </c>
      <c r="B742" s="76" t="s">
        <v>3673</v>
      </c>
      <c r="C742" s="76" t="s">
        <v>3674</v>
      </c>
      <c r="D742" s="76" t="s">
        <v>3675</v>
      </c>
      <c r="E742" s="76" t="s">
        <v>3624</v>
      </c>
      <c r="F742" s="76"/>
    </row>
    <row r="743" spans="1:6" ht="63.95" customHeight="1">
      <c r="A743" s="76" t="s">
        <v>1855</v>
      </c>
      <c r="B743" s="76" t="s">
        <v>3676</v>
      </c>
      <c r="C743" s="76" t="s">
        <v>3677</v>
      </c>
      <c r="D743" s="76" t="s">
        <v>3678</v>
      </c>
      <c r="E743" s="76" t="s">
        <v>3624</v>
      </c>
      <c r="F743" s="76"/>
    </row>
    <row r="744" spans="1:6" ht="63.95" customHeight="1">
      <c r="A744" s="76" t="s">
        <v>1855</v>
      </c>
      <c r="B744" s="76" t="s">
        <v>3679</v>
      </c>
      <c r="C744" s="76" t="s">
        <v>3680</v>
      </c>
      <c r="D744" s="76" t="s">
        <v>3681</v>
      </c>
      <c r="E744" s="76" t="s">
        <v>3624</v>
      </c>
      <c r="F744" s="76"/>
    </row>
    <row r="745" spans="1:6" ht="63.95" customHeight="1">
      <c r="A745" s="76" t="s">
        <v>1856</v>
      </c>
      <c r="B745" s="76" t="s">
        <v>3682</v>
      </c>
      <c r="C745" s="76" t="s">
        <v>3683</v>
      </c>
      <c r="D745" s="76" t="s">
        <v>3684</v>
      </c>
      <c r="E745" s="76" t="s">
        <v>3612</v>
      </c>
      <c r="F745" s="76"/>
    </row>
    <row r="746" spans="1:6" ht="63.95" customHeight="1">
      <c r="A746" s="76" t="s">
        <v>1856</v>
      </c>
      <c r="B746" s="76" t="s">
        <v>3685</v>
      </c>
      <c r="C746" s="76" t="s">
        <v>3686</v>
      </c>
      <c r="D746" s="76" t="s">
        <v>57</v>
      </c>
      <c r="E746" s="76" t="s">
        <v>3612</v>
      </c>
      <c r="F746" s="76"/>
    </row>
    <row r="747" spans="1:6" ht="63.95" customHeight="1">
      <c r="A747" s="76" t="s">
        <v>1856</v>
      </c>
      <c r="B747" s="76" t="s">
        <v>3687</v>
      </c>
      <c r="C747" s="76" t="s">
        <v>3688</v>
      </c>
      <c r="D747" s="76" t="s">
        <v>3689</v>
      </c>
      <c r="E747" s="76" t="s">
        <v>3624</v>
      </c>
      <c r="F747" s="76"/>
    </row>
    <row r="748" spans="1:6" ht="63.95" customHeight="1">
      <c r="A748" s="76" t="s">
        <v>1856</v>
      </c>
      <c r="B748" s="76" t="s">
        <v>3690</v>
      </c>
      <c r="C748" s="76" t="s">
        <v>3691</v>
      </c>
      <c r="D748" s="76" t="s">
        <v>3692</v>
      </c>
      <c r="E748" s="76" t="s">
        <v>3624</v>
      </c>
      <c r="F748" s="76"/>
    </row>
    <row r="749" spans="1:6" ht="63.95" customHeight="1">
      <c r="A749" s="76" t="s">
        <v>1856</v>
      </c>
      <c r="B749" s="76" t="s">
        <v>3693</v>
      </c>
      <c r="C749" s="76" t="s">
        <v>3694</v>
      </c>
      <c r="D749" s="76" t="s">
        <v>3695</v>
      </c>
      <c r="E749" s="76" t="s">
        <v>3624</v>
      </c>
      <c r="F749" s="76"/>
    </row>
    <row r="750" spans="1:6" ht="63.95" customHeight="1">
      <c r="A750" s="76" t="s">
        <v>1856</v>
      </c>
      <c r="B750" s="76" t="s">
        <v>3696</v>
      </c>
      <c r="C750" s="76" t="s">
        <v>3697</v>
      </c>
      <c r="D750" s="76" t="s">
        <v>3698</v>
      </c>
      <c r="E750" s="76" t="s">
        <v>3624</v>
      </c>
      <c r="F750" s="76"/>
    </row>
    <row r="751" spans="1:6" ht="63.95" customHeight="1">
      <c r="A751" s="76" t="s">
        <v>1856</v>
      </c>
      <c r="B751" s="76" t="s">
        <v>3699</v>
      </c>
      <c r="C751" s="76" t="s">
        <v>3700</v>
      </c>
      <c r="D751" s="76" t="s">
        <v>3701</v>
      </c>
      <c r="E751" s="76" t="s">
        <v>3624</v>
      </c>
      <c r="F751" s="76"/>
    </row>
    <row r="752" spans="1:6" ht="63.95" customHeight="1">
      <c r="A752" s="76" t="s">
        <v>1856</v>
      </c>
      <c r="B752" s="76" t="s">
        <v>3702</v>
      </c>
      <c r="C752" s="76" t="s">
        <v>3703</v>
      </c>
      <c r="D752" s="76" t="s">
        <v>3704</v>
      </c>
      <c r="E752" s="76" t="s">
        <v>3624</v>
      </c>
      <c r="F752" s="76"/>
    </row>
    <row r="753" spans="1:6" ht="63.95" customHeight="1">
      <c r="A753" s="76" t="s">
        <v>1856</v>
      </c>
      <c r="B753" s="76" t="s">
        <v>3705</v>
      </c>
      <c r="C753" s="76" t="s">
        <v>3706</v>
      </c>
      <c r="D753" s="76" t="s">
        <v>3707</v>
      </c>
      <c r="E753" s="76" t="s">
        <v>3624</v>
      </c>
      <c r="F753" s="76"/>
    </row>
    <row r="754" spans="1:6" ht="63.95" customHeight="1">
      <c r="A754" s="76" t="s">
        <v>1856</v>
      </c>
      <c r="B754" s="76" t="s">
        <v>3708</v>
      </c>
      <c r="C754" s="76" t="s">
        <v>3709</v>
      </c>
      <c r="D754" s="76" t="s">
        <v>3710</v>
      </c>
      <c r="E754" s="76" t="s">
        <v>3624</v>
      </c>
      <c r="F754" s="76"/>
    </row>
    <row r="755" spans="1:6" ht="63.95" customHeight="1">
      <c r="A755" s="76" t="s">
        <v>1856</v>
      </c>
      <c r="B755" s="76" t="s">
        <v>3711</v>
      </c>
      <c r="C755" s="76" t="s">
        <v>3712</v>
      </c>
      <c r="D755" s="76" t="s">
        <v>3713</v>
      </c>
      <c r="E755" s="76" t="s">
        <v>3624</v>
      </c>
      <c r="F755" s="76"/>
    </row>
    <row r="756" spans="1:6" ht="63.95" customHeight="1">
      <c r="A756" s="76" t="s">
        <v>1856</v>
      </c>
      <c r="B756" s="76" t="s">
        <v>3714</v>
      </c>
      <c r="C756" s="76" t="s">
        <v>3715</v>
      </c>
      <c r="D756" s="76" t="s">
        <v>3716</v>
      </c>
      <c r="E756" s="76" t="s">
        <v>3624</v>
      </c>
      <c r="F756" s="76"/>
    </row>
    <row r="757" spans="1:6" ht="63.95" customHeight="1">
      <c r="A757" s="76" t="s">
        <v>1856</v>
      </c>
      <c r="B757" s="76" t="s">
        <v>3717</v>
      </c>
      <c r="C757" s="76" t="s">
        <v>3718</v>
      </c>
      <c r="D757" s="76" t="s">
        <v>3719</v>
      </c>
      <c r="E757" s="76" t="s">
        <v>3624</v>
      </c>
      <c r="F757" s="76"/>
    </row>
    <row r="758" spans="1:6" ht="63.95" customHeight="1">
      <c r="A758" s="76" t="s">
        <v>1856</v>
      </c>
      <c r="B758" s="76" t="s">
        <v>3720</v>
      </c>
      <c r="C758" s="76" t="s">
        <v>3721</v>
      </c>
      <c r="D758" s="76" t="s">
        <v>3722</v>
      </c>
      <c r="E758" s="76" t="s">
        <v>3624</v>
      </c>
      <c r="F758" s="76"/>
    </row>
    <row r="759" spans="1:6" ht="63.95" customHeight="1">
      <c r="A759" s="76" t="s">
        <v>1856</v>
      </c>
      <c r="B759" s="76" t="s">
        <v>3723</v>
      </c>
      <c r="C759" s="76" t="s">
        <v>3724</v>
      </c>
      <c r="D759" s="76" t="s">
        <v>3725</v>
      </c>
      <c r="E759" s="76" t="s">
        <v>3624</v>
      </c>
      <c r="F759" s="76"/>
    </row>
    <row r="760" spans="1:6" ht="63.95" customHeight="1">
      <c r="A760" s="76" t="s">
        <v>1856</v>
      </c>
      <c r="B760" s="76" t="s">
        <v>3726</v>
      </c>
      <c r="C760" s="76" t="s">
        <v>3727</v>
      </c>
      <c r="D760" s="76" t="s">
        <v>3728</v>
      </c>
      <c r="E760" s="76" t="s">
        <v>3624</v>
      </c>
      <c r="F760" s="76"/>
    </row>
    <row r="761" spans="1:6" ht="63.95" customHeight="1">
      <c r="A761" s="76" t="s">
        <v>1856</v>
      </c>
      <c r="B761" s="76" t="s">
        <v>3729</v>
      </c>
      <c r="C761" s="76" t="s">
        <v>3730</v>
      </c>
      <c r="D761" s="76" t="s">
        <v>3731</v>
      </c>
      <c r="E761" s="76" t="s">
        <v>3624</v>
      </c>
      <c r="F761" s="76"/>
    </row>
    <row r="762" spans="1:6" ht="63.95" customHeight="1">
      <c r="A762" s="76" t="s">
        <v>1856</v>
      </c>
      <c r="B762" s="76" t="s">
        <v>3732</v>
      </c>
      <c r="C762" s="76" t="s">
        <v>3733</v>
      </c>
      <c r="D762" s="76" t="s">
        <v>3734</v>
      </c>
      <c r="E762" s="76" t="s">
        <v>3624</v>
      </c>
      <c r="F762" s="76"/>
    </row>
    <row r="763" spans="1:6" ht="63.95" customHeight="1">
      <c r="A763" s="76" t="s">
        <v>1856</v>
      </c>
      <c r="B763" s="76" t="s">
        <v>3735</v>
      </c>
      <c r="C763" s="76" t="s">
        <v>3736</v>
      </c>
      <c r="D763" s="76" t="s">
        <v>3737</v>
      </c>
      <c r="E763" s="76" t="s">
        <v>3624</v>
      </c>
      <c r="F763" s="76"/>
    </row>
    <row r="764" spans="1:6" ht="63.95" customHeight="1">
      <c r="A764" s="76" t="s">
        <v>1856</v>
      </c>
      <c r="B764" s="76" t="s">
        <v>3738</v>
      </c>
      <c r="C764" s="76" t="s">
        <v>3739</v>
      </c>
      <c r="D764" s="76" t="s">
        <v>3740</v>
      </c>
      <c r="E764" s="76" t="s">
        <v>3624</v>
      </c>
      <c r="F764" s="76"/>
    </row>
    <row r="765" spans="1:6" ht="63.95" customHeight="1">
      <c r="A765" s="76" t="s">
        <v>1856</v>
      </c>
      <c r="B765" s="76" t="s">
        <v>3741</v>
      </c>
      <c r="C765" s="76" t="s">
        <v>3742</v>
      </c>
      <c r="D765" s="76" t="s">
        <v>3743</v>
      </c>
      <c r="E765" s="76" t="s">
        <v>3624</v>
      </c>
      <c r="F765" s="76"/>
    </row>
    <row r="766" spans="1:6" ht="63.95" customHeight="1">
      <c r="A766" s="76" t="s">
        <v>1856</v>
      </c>
      <c r="B766" s="76" t="s">
        <v>3744</v>
      </c>
      <c r="C766" s="76" t="s">
        <v>3745</v>
      </c>
      <c r="D766" s="76" t="s">
        <v>3746</v>
      </c>
      <c r="E766" s="76" t="s">
        <v>3624</v>
      </c>
      <c r="F766" s="76"/>
    </row>
    <row r="767" spans="1:6" ht="63.95" customHeight="1">
      <c r="A767" s="76" t="s">
        <v>1856</v>
      </c>
      <c r="B767" s="76" t="s">
        <v>3747</v>
      </c>
      <c r="C767" s="76" t="s">
        <v>3748</v>
      </c>
      <c r="D767" s="76" t="s">
        <v>3749</v>
      </c>
      <c r="E767" s="76" t="s">
        <v>3624</v>
      </c>
      <c r="F767" s="76"/>
    </row>
    <row r="768" spans="1:6" ht="63.95" customHeight="1">
      <c r="A768" s="76" t="s">
        <v>1856</v>
      </c>
      <c r="B768" s="76" t="s">
        <v>3750</v>
      </c>
      <c r="C768" s="76" t="s">
        <v>3751</v>
      </c>
      <c r="D768" s="76" t="s">
        <v>3752</v>
      </c>
      <c r="E768" s="76" t="s">
        <v>3624</v>
      </c>
      <c r="F768" s="76"/>
    </row>
    <row r="769" spans="1:6" ht="63.95" customHeight="1">
      <c r="A769" s="76" t="s">
        <v>1856</v>
      </c>
      <c r="B769" s="76" t="s">
        <v>3753</v>
      </c>
      <c r="C769" s="76" t="s">
        <v>3754</v>
      </c>
      <c r="D769" s="76" t="s">
        <v>3755</v>
      </c>
      <c r="E769" s="76" t="s">
        <v>3624</v>
      </c>
      <c r="F769" s="76"/>
    </row>
    <row r="770" spans="1:6" ht="63.95" customHeight="1">
      <c r="A770" s="76" t="s">
        <v>1856</v>
      </c>
      <c r="B770" s="76" t="s">
        <v>3756</v>
      </c>
      <c r="C770" s="76" t="s">
        <v>3757</v>
      </c>
      <c r="D770" s="76" t="s">
        <v>3758</v>
      </c>
      <c r="E770" s="76" t="s">
        <v>3624</v>
      </c>
      <c r="F770" s="76"/>
    </row>
    <row r="771" spans="1:6" ht="63.95" customHeight="1">
      <c r="A771" s="76" t="s">
        <v>1856</v>
      </c>
      <c r="B771" s="76" t="s">
        <v>3759</v>
      </c>
      <c r="C771" s="76" t="s">
        <v>3760</v>
      </c>
      <c r="D771" s="76" t="s">
        <v>3761</v>
      </c>
      <c r="E771" s="76" t="s">
        <v>3624</v>
      </c>
      <c r="F771" s="76"/>
    </row>
    <row r="772" spans="1:6" ht="63.95" customHeight="1">
      <c r="A772" s="76" t="s">
        <v>1856</v>
      </c>
      <c r="B772" s="76" t="s">
        <v>3762</v>
      </c>
      <c r="C772" s="76" t="s">
        <v>3763</v>
      </c>
      <c r="D772" s="76" t="s">
        <v>3764</v>
      </c>
      <c r="E772" s="76" t="s">
        <v>3624</v>
      </c>
      <c r="F772" s="76"/>
    </row>
    <row r="773" spans="1:6" ht="63.95" customHeight="1">
      <c r="A773" s="76" t="s">
        <v>1856</v>
      </c>
      <c r="B773" s="76" t="s">
        <v>3765</v>
      </c>
      <c r="C773" s="76" t="s">
        <v>3766</v>
      </c>
      <c r="D773" s="76" t="s">
        <v>3767</v>
      </c>
      <c r="E773" s="76" t="s">
        <v>3624</v>
      </c>
      <c r="F773" s="76"/>
    </row>
    <row r="774" spans="1:6" ht="63.95" customHeight="1">
      <c r="A774" s="76" t="s">
        <v>1856</v>
      </c>
      <c r="B774" s="76" t="s">
        <v>3768</v>
      </c>
      <c r="C774" s="76" t="s">
        <v>3769</v>
      </c>
      <c r="D774" s="76" t="s">
        <v>3770</v>
      </c>
      <c r="E774" s="76" t="s">
        <v>3624</v>
      </c>
      <c r="F774" s="76"/>
    </row>
    <row r="775" spans="1:6" ht="63.95" customHeight="1">
      <c r="A775" s="76" t="s">
        <v>1856</v>
      </c>
      <c r="B775" s="76" t="s">
        <v>3771</v>
      </c>
      <c r="C775" s="76" t="s">
        <v>3772</v>
      </c>
      <c r="D775" s="76" t="s">
        <v>3773</v>
      </c>
      <c r="E775" s="76" t="s">
        <v>3624</v>
      </c>
      <c r="F775" s="76"/>
    </row>
    <row r="776" spans="1:6" ht="63.95" customHeight="1">
      <c r="A776" s="76" t="s">
        <v>1856</v>
      </c>
      <c r="B776" s="76" t="s">
        <v>3774</v>
      </c>
      <c r="C776" s="76" t="s">
        <v>3775</v>
      </c>
      <c r="D776" s="76" t="s">
        <v>3776</v>
      </c>
      <c r="E776" s="76" t="s">
        <v>3624</v>
      </c>
      <c r="F776" s="76"/>
    </row>
    <row r="777" spans="1:6" ht="63.95" customHeight="1">
      <c r="A777" s="76" t="s">
        <v>1856</v>
      </c>
      <c r="B777" s="76" t="s">
        <v>3777</v>
      </c>
      <c r="C777" s="76" t="s">
        <v>3778</v>
      </c>
      <c r="D777" s="76" t="s">
        <v>3779</v>
      </c>
      <c r="E777" s="76" t="s">
        <v>3624</v>
      </c>
      <c r="F777" s="76"/>
    </row>
    <row r="778" spans="1:6" ht="63.95" customHeight="1">
      <c r="A778" s="76" t="s">
        <v>1856</v>
      </c>
      <c r="B778" s="76" t="s">
        <v>3780</v>
      </c>
      <c r="C778" s="76" t="s">
        <v>3781</v>
      </c>
      <c r="D778" s="76" t="s">
        <v>3782</v>
      </c>
      <c r="E778" s="76" t="s">
        <v>3624</v>
      </c>
      <c r="F778" s="76"/>
    </row>
    <row r="779" spans="1:6" ht="63.95" customHeight="1">
      <c r="A779" s="76" t="s">
        <v>1856</v>
      </c>
      <c r="B779" s="76" t="s">
        <v>3783</v>
      </c>
      <c r="C779" s="76" t="s">
        <v>3784</v>
      </c>
      <c r="D779" s="76" t="s">
        <v>3785</v>
      </c>
      <c r="E779" s="76" t="s">
        <v>3624</v>
      </c>
      <c r="F779" s="76"/>
    </row>
    <row r="780" spans="1:6" ht="63.95" customHeight="1">
      <c r="A780" s="76" t="s">
        <v>1856</v>
      </c>
      <c r="B780" s="76" t="s">
        <v>3786</v>
      </c>
      <c r="C780" s="76" t="s">
        <v>3787</v>
      </c>
      <c r="D780" s="76" t="s">
        <v>3788</v>
      </c>
      <c r="E780" s="76" t="s">
        <v>3624</v>
      </c>
      <c r="F780" s="76"/>
    </row>
    <row r="781" spans="1:6" ht="63.95" customHeight="1">
      <c r="A781" s="76" t="s">
        <v>1856</v>
      </c>
      <c r="B781" s="76" t="s">
        <v>3789</v>
      </c>
      <c r="C781" s="76" t="s">
        <v>3790</v>
      </c>
      <c r="D781" s="76" t="s">
        <v>3791</v>
      </c>
      <c r="E781" s="76" t="s">
        <v>3624</v>
      </c>
      <c r="F781" s="76"/>
    </row>
    <row r="782" spans="1:6" ht="63.95" customHeight="1">
      <c r="A782" s="76" t="s">
        <v>1856</v>
      </c>
      <c r="B782" s="76" t="s">
        <v>3792</v>
      </c>
      <c r="C782" s="76" t="s">
        <v>3793</v>
      </c>
      <c r="D782" s="76" t="s">
        <v>3794</v>
      </c>
      <c r="E782" s="76" t="s">
        <v>3624</v>
      </c>
      <c r="F782" s="76"/>
    </row>
    <row r="783" spans="1:6" ht="63.95" customHeight="1">
      <c r="A783" s="76" t="s">
        <v>1856</v>
      </c>
      <c r="B783" s="76" t="s">
        <v>3795</v>
      </c>
      <c r="C783" s="76" t="s">
        <v>3796</v>
      </c>
      <c r="D783" s="76" t="s">
        <v>3797</v>
      </c>
      <c r="E783" s="76" t="s">
        <v>3624</v>
      </c>
      <c r="F783" s="76"/>
    </row>
    <row r="784" spans="1:6" ht="63.95" customHeight="1">
      <c r="A784" s="76" t="s">
        <v>1856</v>
      </c>
      <c r="B784" s="76" t="s">
        <v>3798</v>
      </c>
      <c r="C784" s="76" t="s">
        <v>3799</v>
      </c>
      <c r="D784" s="76" t="s">
        <v>3800</v>
      </c>
      <c r="E784" s="76" t="s">
        <v>3624</v>
      </c>
      <c r="F784" s="76"/>
    </row>
    <row r="785" spans="1:6" ht="63.95" customHeight="1">
      <c r="A785" s="76" t="s">
        <v>1856</v>
      </c>
      <c r="B785" s="76" t="s">
        <v>3801</v>
      </c>
      <c r="C785" s="76" t="s">
        <v>3802</v>
      </c>
      <c r="D785" s="76" t="s">
        <v>3803</v>
      </c>
      <c r="E785" s="76" t="s">
        <v>3624</v>
      </c>
      <c r="F785" s="76"/>
    </row>
    <row r="786" spans="1:6" ht="63.95" customHeight="1">
      <c r="A786" s="76" t="s">
        <v>1856</v>
      </c>
      <c r="B786" s="76" t="s">
        <v>3804</v>
      </c>
      <c r="C786" s="76" t="s">
        <v>3805</v>
      </c>
      <c r="D786" s="76" t="s">
        <v>3806</v>
      </c>
      <c r="E786" s="76" t="s">
        <v>3624</v>
      </c>
      <c r="F786" s="76"/>
    </row>
    <row r="787" spans="1:6" ht="63.95" customHeight="1">
      <c r="A787" s="76" t="s">
        <v>1856</v>
      </c>
      <c r="B787" s="76" t="s">
        <v>3807</v>
      </c>
      <c r="C787" s="76" t="s">
        <v>3808</v>
      </c>
      <c r="D787" s="76" t="s">
        <v>3809</v>
      </c>
      <c r="E787" s="76" t="s">
        <v>3624</v>
      </c>
      <c r="F787" s="76"/>
    </row>
    <row r="788" spans="1:6" ht="63.95" customHeight="1">
      <c r="A788" s="76" t="s">
        <v>1856</v>
      </c>
      <c r="B788" s="76" t="s">
        <v>3810</v>
      </c>
      <c r="C788" s="76" t="s">
        <v>3811</v>
      </c>
      <c r="D788" s="76" t="s">
        <v>3812</v>
      </c>
      <c r="E788" s="76" t="s">
        <v>3624</v>
      </c>
      <c r="F788" s="76"/>
    </row>
    <row r="789" spans="1:6" ht="63.95" customHeight="1">
      <c r="A789" s="76" t="s">
        <v>1856</v>
      </c>
      <c r="B789" s="76" t="s">
        <v>3813</v>
      </c>
      <c r="C789" s="76" t="s">
        <v>3814</v>
      </c>
      <c r="D789" s="76" t="s">
        <v>3815</v>
      </c>
      <c r="E789" s="76" t="s">
        <v>3624</v>
      </c>
      <c r="F789" s="76"/>
    </row>
    <row r="790" spans="1:6" ht="63.95" customHeight="1">
      <c r="A790" s="76" t="s">
        <v>1856</v>
      </c>
      <c r="B790" s="76" t="s">
        <v>3816</v>
      </c>
      <c r="C790" s="76" t="s">
        <v>3817</v>
      </c>
      <c r="D790" s="76" t="s">
        <v>3818</v>
      </c>
      <c r="E790" s="76" t="s">
        <v>3624</v>
      </c>
      <c r="F790" s="76"/>
    </row>
    <row r="791" spans="1:6" ht="63.95" customHeight="1">
      <c r="A791" s="76" t="s">
        <v>1856</v>
      </c>
      <c r="B791" s="76" t="s">
        <v>3819</v>
      </c>
      <c r="C791" s="76" t="s">
        <v>3820</v>
      </c>
      <c r="D791" s="76" t="s">
        <v>3821</v>
      </c>
      <c r="E791" s="76" t="s">
        <v>3624</v>
      </c>
      <c r="F791" s="76"/>
    </row>
    <row r="792" spans="1:6" ht="63.95" customHeight="1">
      <c r="A792" s="76" t="s">
        <v>1856</v>
      </c>
      <c r="B792" s="76" t="s">
        <v>3822</v>
      </c>
      <c r="C792" s="76" t="s">
        <v>3823</v>
      </c>
      <c r="D792" s="76" t="s">
        <v>3824</v>
      </c>
      <c r="E792" s="76" t="s">
        <v>3624</v>
      </c>
      <c r="F792" s="76"/>
    </row>
    <row r="793" spans="1:6" ht="63.95" customHeight="1">
      <c r="A793" s="76" t="s">
        <v>1856</v>
      </c>
      <c r="B793" s="76" t="s">
        <v>3825</v>
      </c>
      <c r="C793" s="76" t="s">
        <v>3826</v>
      </c>
      <c r="D793" s="76" t="s">
        <v>3827</v>
      </c>
      <c r="E793" s="76" t="s">
        <v>3624</v>
      </c>
      <c r="F793" s="76"/>
    </row>
    <row r="794" spans="1:6" ht="63.95" customHeight="1">
      <c r="A794" s="76" t="s">
        <v>1856</v>
      </c>
      <c r="B794" s="76" t="s">
        <v>3828</v>
      </c>
      <c r="C794" s="76" t="s">
        <v>3829</v>
      </c>
      <c r="D794" s="76" t="s">
        <v>3830</v>
      </c>
      <c r="E794" s="76" t="s">
        <v>3624</v>
      </c>
      <c r="F794" s="76"/>
    </row>
    <row r="795" spans="1:6" ht="63.95" customHeight="1">
      <c r="A795" s="76" t="s">
        <v>1856</v>
      </c>
      <c r="B795" s="76" t="s">
        <v>3831</v>
      </c>
      <c r="C795" s="76" t="s">
        <v>3832</v>
      </c>
      <c r="D795" s="76" t="s">
        <v>3833</v>
      </c>
      <c r="E795" s="76" t="s">
        <v>3624</v>
      </c>
      <c r="F795" s="76"/>
    </row>
    <row r="796" spans="1:6" ht="63.95" customHeight="1">
      <c r="A796" s="76" t="s">
        <v>1856</v>
      </c>
      <c r="B796" s="76" t="s">
        <v>3834</v>
      </c>
      <c r="C796" s="76" t="s">
        <v>3835</v>
      </c>
      <c r="D796" s="76" t="s">
        <v>3836</v>
      </c>
      <c r="E796" s="76" t="s">
        <v>3624</v>
      </c>
      <c r="F796" s="76"/>
    </row>
    <row r="797" spans="1:6" ht="63.95" customHeight="1">
      <c r="A797" s="76" t="s">
        <v>1856</v>
      </c>
      <c r="B797" s="76" t="s">
        <v>3837</v>
      </c>
      <c r="C797" s="76" t="s">
        <v>3838</v>
      </c>
      <c r="D797" s="76" t="s">
        <v>3839</v>
      </c>
      <c r="E797" s="76" t="s">
        <v>3624</v>
      </c>
      <c r="F797" s="76"/>
    </row>
    <row r="798" spans="1:6" ht="63.95" customHeight="1">
      <c r="A798" s="76" t="s">
        <v>1856</v>
      </c>
      <c r="B798" s="76" t="s">
        <v>3840</v>
      </c>
      <c r="C798" s="76" t="s">
        <v>3841</v>
      </c>
      <c r="D798" s="76" t="s">
        <v>3842</v>
      </c>
      <c r="E798" s="76" t="s">
        <v>3624</v>
      </c>
      <c r="F798" s="76"/>
    </row>
    <row r="799" spans="1:6" ht="63.95" customHeight="1">
      <c r="A799" s="76" t="s">
        <v>1856</v>
      </c>
      <c r="B799" s="76" t="s">
        <v>3843</v>
      </c>
      <c r="C799" s="76" t="s">
        <v>3844</v>
      </c>
      <c r="D799" s="76" t="s">
        <v>3845</v>
      </c>
      <c r="E799" s="76" t="s">
        <v>3624</v>
      </c>
      <c r="F799" s="76"/>
    </row>
    <row r="800" spans="1:6" ht="63.95" customHeight="1">
      <c r="A800" s="76" t="s">
        <v>1856</v>
      </c>
      <c r="B800" s="76" t="s">
        <v>3846</v>
      </c>
      <c r="C800" s="76" t="s">
        <v>3847</v>
      </c>
      <c r="D800" s="76" t="s">
        <v>3848</v>
      </c>
      <c r="E800" s="76" t="s">
        <v>3624</v>
      </c>
      <c r="F800" s="76"/>
    </row>
    <row r="801" spans="1:6" ht="63.95" customHeight="1">
      <c r="A801" s="76" t="s">
        <v>1856</v>
      </c>
      <c r="B801" s="76" t="s">
        <v>3849</v>
      </c>
      <c r="C801" s="76" t="s">
        <v>3850</v>
      </c>
      <c r="D801" s="76" t="s">
        <v>3851</v>
      </c>
      <c r="E801" s="76" t="s">
        <v>3624</v>
      </c>
      <c r="F801" s="76"/>
    </row>
    <row r="802" spans="1:6" ht="63.95" customHeight="1">
      <c r="A802" s="76" t="s">
        <v>1856</v>
      </c>
      <c r="B802" s="76" t="s">
        <v>3852</v>
      </c>
      <c r="C802" s="76" t="s">
        <v>3853</v>
      </c>
      <c r="D802" s="76" t="s">
        <v>3854</v>
      </c>
      <c r="E802" s="76" t="s">
        <v>3624</v>
      </c>
      <c r="F802" s="76"/>
    </row>
    <row r="803" spans="1:6" ht="63.95" customHeight="1">
      <c r="A803" s="76" t="s">
        <v>1856</v>
      </c>
      <c r="B803" s="76" t="s">
        <v>3855</v>
      </c>
      <c r="C803" s="76" t="s">
        <v>3856</v>
      </c>
      <c r="D803" s="76" t="s">
        <v>3857</v>
      </c>
      <c r="E803" s="76" t="s">
        <v>3624</v>
      </c>
      <c r="F803" s="76"/>
    </row>
    <row r="804" spans="1:6" ht="63.95" customHeight="1">
      <c r="A804" s="76" t="s">
        <v>1856</v>
      </c>
      <c r="B804" s="76" t="s">
        <v>3858</v>
      </c>
      <c r="C804" s="76" t="s">
        <v>3859</v>
      </c>
      <c r="D804" s="76" t="s">
        <v>3860</v>
      </c>
      <c r="E804" s="76" t="s">
        <v>3624</v>
      </c>
      <c r="F804" s="76"/>
    </row>
    <row r="805" spans="1:6" ht="63.95" customHeight="1">
      <c r="A805" s="76" t="s">
        <v>1856</v>
      </c>
      <c r="B805" s="76" t="s">
        <v>3861</v>
      </c>
      <c r="C805" s="76" t="s">
        <v>3862</v>
      </c>
      <c r="D805" s="76" t="s">
        <v>3863</v>
      </c>
      <c r="E805" s="76" t="s">
        <v>3624</v>
      </c>
      <c r="F805" s="76"/>
    </row>
    <row r="806" spans="1:6" ht="63.95" customHeight="1">
      <c r="A806" s="76" t="s">
        <v>1856</v>
      </c>
      <c r="B806" s="76" t="s">
        <v>3864</v>
      </c>
      <c r="C806" s="76" t="s">
        <v>3865</v>
      </c>
      <c r="D806" s="76" t="s">
        <v>3866</v>
      </c>
      <c r="E806" s="76" t="s">
        <v>3624</v>
      </c>
      <c r="F806" s="76"/>
    </row>
    <row r="807" spans="1:6" ht="63.95" customHeight="1">
      <c r="A807" s="76" t="s">
        <v>1856</v>
      </c>
      <c r="B807" s="76" t="s">
        <v>3867</v>
      </c>
      <c r="C807" s="76" t="s">
        <v>3868</v>
      </c>
      <c r="D807" s="76" t="s">
        <v>3869</v>
      </c>
      <c r="E807" s="76" t="s">
        <v>3624</v>
      </c>
      <c r="F807" s="76"/>
    </row>
    <row r="808" spans="1:6" ht="63.95" customHeight="1">
      <c r="A808" s="76" t="s">
        <v>1856</v>
      </c>
      <c r="B808" s="76" t="s">
        <v>3870</v>
      </c>
      <c r="C808" s="76" t="s">
        <v>3871</v>
      </c>
      <c r="D808" s="76" t="s">
        <v>3872</v>
      </c>
      <c r="E808" s="76" t="s">
        <v>3624</v>
      </c>
      <c r="F808" s="76"/>
    </row>
    <row r="809" spans="1:6" ht="63.95" customHeight="1">
      <c r="A809" s="76" t="s">
        <v>1856</v>
      </c>
      <c r="B809" s="76" t="s">
        <v>3873</v>
      </c>
      <c r="C809" s="76" t="s">
        <v>3874</v>
      </c>
      <c r="D809" s="76" t="s">
        <v>3875</v>
      </c>
      <c r="E809" s="76" t="s">
        <v>3624</v>
      </c>
      <c r="F809" s="76"/>
    </row>
    <row r="810" spans="1:6" ht="63.95" customHeight="1">
      <c r="A810" s="76" t="s">
        <v>1856</v>
      </c>
      <c r="B810" s="76" t="s">
        <v>3876</v>
      </c>
      <c r="C810" s="76" t="s">
        <v>3877</v>
      </c>
      <c r="D810" s="76" t="s">
        <v>3878</v>
      </c>
      <c r="E810" s="76" t="s">
        <v>3624</v>
      </c>
      <c r="F810" s="76"/>
    </row>
    <row r="811" spans="1:6" ht="63.95" customHeight="1">
      <c r="A811" s="76" t="s">
        <v>1856</v>
      </c>
      <c r="B811" s="76" t="s">
        <v>3879</v>
      </c>
      <c r="C811" s="76" t="s">
        <v>3880</v>
      </c>
      <c r="D811" s="76" t="s">
        <v>3881</v>
      </c>
      <c r="E811" s="76" t="s">
        <v>3624</v>
      </c>
      <c r="F811" s="76"/>
    </row>
    <row r="812" spans="1:6" ht="63.95" customHeight="1">
      <c r="A812" s="76" t="s">
        <v>1856</v>
      </c>
      <c r="B812" s="76" t="s">
        <v>3882</v>
      </c>
      <c r="C812" s="76" t="s">
        <v>3883</v>
      </c>
      <c r="D812" s="76" t="s">
        <v>3884</v>
      </c>
      <c r="E812" s="76" t="s">
        <v>3624</v>
      </c>
      <c r="F812" s="76"/>
    </row>
    <row r="813" spans="1:6" ht="63.95" customHeight="1">
      <c r="A813" s="76" t="s">
        <v>1856</v>
      </c>
      <c r="B813" s="76" t="s">
        <v>3885</v>
      </c>
      <c r="C813" s="76" t="s">
        <v>3886</v>
      </c>
      <c r="D813" s="76" t="s">
        <v>3887</v>
      </c>
      <c r="E813" s="76" t="s">
        <v>3624</v>
      </c>
      <c r="F813" s="76"/>
    </row>
    <row r="814" spans="1:6" ht="63.95" customHeight="1">
      <c r="A814" s="76" t="s">
        <v>1856</v>
      </c>
      <c r="B814" s="76" t="s">
        <v>3888</v>
      </c>
      <c r="C814" s="76" t="s">
        <v>3889</v>
      </c>
      <c r="D814" s="76" t="s">
        <v>3890</v>
      </c>
      <c r="E814" s="76" t="s">
        <v>3624</v>
      </c>
      <c r="F814" s="76"/>
    </row>
    <row r="815" spans="1:6" ht="63.95" customHeight="1">
      <c r="A815" s="76" t="s">
        <v>1856</v>
      </c>
      <c r="B815" s="76" t="s">
        <v>3891</v>
      </c>
      <c r="C815" s="76" t="s">
        <v>3892</v>
      </c>
      <c r="D815" s="76" t="s">
        <v>3893</v>
      </c>
      <c r="E815" s="76" t="s">
        <v>3624</v>
      </c>
      <c r="F815" s="76"/>
    </row>
    <row r="816" spans="1:6" ht="63.95" customHeight="1">
      <c r="A816" s="76" t="s">
        <v>1856</v>
      </c>
      <c r="B816" s="76" t="s">
        <v>3894</v>
      </c>
      <c r="C816" s="76" t="s">
        <v>3895</v>
      </c>
      <c r="D816" s="76" t="s">
        <v>3896</v>
      </c>
      <c r="E816" s="76" t="s">
        <v>3624</v>
      </c>
      <c r="F816" s="76"/>
    </row>
    <row r="817" spans="1:6" ht="63.95" customHeight="1">
      <c r="A817" s="76" t="s">
        <v>1856</v>
      </c>
      <c r="B817" s="76" t="s">
        <v>3897</v>
      </c>
      <c r="C817" s="76" t="s">
        <v>3898</v>
      </c>
      <c r="D817" s="76" t="s">
        <v>3899</v>
      </c>
      <c r="E817" s="76" t="s">
        <v>3624</v>
      </c>
      <c r="F817" s="76"/>
    </row>
    <row r="818" spans="1:6" ht="63.95" customHeight="1">
      <c r="A818" s="76" t="s">
        <v>1856</v>
      </c>
      <c r="B818" s="76" t="s">
        <v>3900</v>
      </c>
      <c r="C818" s="76" t="s">
        <v>3901</v>
      </c>
      <c r="D818" s="76" t="s">
        <v>3902</v>
      </c>
      <c r="E818" s="76" t="s">
        <v>3624</v>
      </c>
      <c r="F818" s="76"/>
    </row>
    <row r="819" spans="1:6" ht="63.95" customHeight="1">
      <c r="A819" s="76" t="s">
        <v>1856</v>
      </c>
      <c r="B819" s="76" t="s">
        <v>3903</v>
      </c>
      <c r="C819" s="76" t="s">
        <v>3904</v>
      </c>
      <c r="D819" s="76" t="s">
        <v>3905</v>
      </c>
      <c r="E819" s="76" t="s">
        <v>3624</v>
      </c>
      <c r="F819" s="76"/>
    </row>
    <row r="820" spans="1:6" ht="63.95" customHeight="1">
      <c r="A820" s="76" t="s">
        <v>1856</v>
      </c>
      <c r="B820" s="76" t="s">
        <v>3906</v>
      </c>
      <c r="C820" s="76" t="s">
        <v>3907</v>
      </c>
      <c r="D820" s="76" t="s">
        <v>3908</v>
      </c>
      <c r="E820" s="76" t="s">
        <v>3624</v>
      </c>
      <c r="F820" s="76"/>
    </row>
    <row r="821" spans="1:6" ht="63.95" customHeight="1">
      <c r="A821" s="76" t="s">
        <v>1856</v>
      </c>
      <c r="B821" s="76" t="s">
        <v>3909</v>
      </c>
      <c r="C821" s="76" t="s">
        <v>3910</v>
      </c>
      <c r="D821" s="76" t="s">
        <v>3911</v>
      </c>
      <c r="E821" s="76" t="s">
        <v>3624</v>
      </c>
      <c r="F821" s="76"/>
    </row>
    <row r="822" spans="1:6" ht="63.95" customHeight="1">
      <c r="A822" s="76" t="s">
        <v>1856</v>
      </c>
      <c r="B822" s="76" t="s">
        <v>3912</v>
      </c>
      <c r="C822" s="76" t="s">
        <v>3913</v>
      </c>
      <c r="D822" s="76" t="s">
        <v>3914</v>
      </c>
      <c r="E822" s="76" t="s">
        <v>3624</v>
      </c>
      <c r="F822" s="76"/>
    </row>
    <row r="823" spans="1:6" ht="63.95" customHeight="1">
      <c r="A823" s="76" t="s">
        <v>1856</v>
      </c>
      <c r="B823" s="76" t="s">
        <v>3915</v>
      </c>
      <c r="C823" s="76" t="s">
        <v>3916</v>
      </c>
      <c r="D823" s="76" t="s">
        <v>3917</v>
      </c>
      <c r="E823" s="76" t="s">
        <v>3624</v>
      </c>
      <c r="F823" s="76"/>
    </row>
    <row r="824" spans="1:6" ht="63.95" customHeight="1">
      <c r="A824" s="76" t="s">
        <v>1856</v>
      </c>
      <c r="B824" s="76" t="s">
        <v>3918</v>
      </c>
      <c r="C824" s="76" t="s">
        <v>3919</v>
      </c>
      <c r="D824" s="76" t="s">
        <v>3920</v>
      </c>
      <c r="E824" s="76" t="s">
        <v>3624</v>
      </c>
      <c r="F824" s="76"/>
    </row>
    <row r="825" spans="1:6" ht="63.95" customHeight="1">
      <c r="A825" s="76" t="s">
        <v>1856</v>
      </c>
      <c r="B825" s="76" t="s">
        <v>3921</v>
      </c>
      <c r="C825" s="76" t="s">
        <v>3922</v>
      </c>
      <c r="D825" s="76" t="s">
        <v>3923</v>
      </c>
      <c r="E825" s="76" t="s">
        <v>3624</v>
      </c>
      <c r="F825" s="76"/>
    </row>
    <row r="826" spans="1:6" ht="63.95" customHeight="1">
      <c r="A826" s="76" t="s">
        <v>1856</v>
      </c>
      <c r="B826" s="76" t="s">
        <v>3924</v>
      </c>
      <c r="C826" s="76" t="s">
        <v>3925</v>
      </c>
      <c r="D826" s="76" t="s">
        <v>3926</v>
      </c>
      <c r="E826" s="76" t="s">
        <v>3624</v>
      </c>
      <c r="F826" s="76"/>
    </row>
    <row r="827" spans="1:6" ht="63.95" customHeight="1">
      <c r="A827" s="76" t="s">
        <v>1856</v>
      </c>
      <c r="B827" s="76" t="s">
        <v>3927</v>
      </c>
      <c r="C827" s="76" t="s">
        <v>3928</v>
      </c>
      <c r="D827" s="76" t="s">
        <v>3929</v>
      </c>
      <c r="E827" s="76" t="s">
        <v>3624</v>
      </c>
      <c r="F827" s="76"/>
    </row>
    <row r="828" spans="1:6" ht="63.95" customHeight="1">
      <c r="A828" s="76" t="s">
        <v>1856</v>
      </c>
      <c r="B828" s="76" t="s">
        <v>3930</v>
      </c>
      <c r="C828" s="76" t="s">
        <v>3931</v>
      </c>
      <c r="D828" s="76" t="s">
        <v>3932</v>
      </c>
      <c r="E828" s="76" t="s">
        <v>3624</v>
      </c>
      <c r="F828" s="76"/>
    </row>
    <row r="829" spans="1:6" ht="63.95" customHeight="1">
      <c r="A829" s="76" t="s">
        <v>1856</v>
      </c>
      <c r="B829" s="76" t="s">
        <v>3933</v>
      </c>
      <c r="C829" s="76" t="s">
        <v>3934</v>
      </c>
      <c r="D829" s="76" t="s">
        <v>3935</v>
      </c>
      <c r="E829" s="76" t="s">
        <v>3624</v>
      </c>
      <c r="F829" s="76"/>
    </row>
    <row r="830" spans="1:6" ht="63.95" customHeight="1">
      <c r="A830" s="76" t="s">
        <v>1856</v>
      </c>
      <c r="B830" s="76" t="s">
        <v>3936</v>
      </c>
      <c r="C830" s="76" t="s">
        <v>3937</v>
      </c>
      <c r="D830" s="76" t="s">
        <v>3938</v>
      </c>
      <c r="E830" s="76" t="s">
        <v>3624</v>
      </c>
      <c r="F830" s="76"/>
    </row>
    <row r="831" spans="1:6" ht="63.95" customHeight="1">
      <c r="A831" s="76" t="s">
        <v>1856</v>
      </c>
      <c r="B831" s="76" t="s">
        <v>3939</v>
      </c>
      <c r="C831" s="76" t="s">
        <v>3940</v>
      </c>
      <c r="D831" s="76" t="s">
        <v>3941</v>
      </c>
      <c r="E831" s="76" t="s">
        <v>3624</v>
      </c>
      <c r="F831" s="76"/>
    </row>
    <row r="832" spans="1:6" ht="63.95" customHeight="1">
      <c r="A832" s="76" t="s">
        <v>1856</v>
      </c>
      <c r="B832" s="76" t="s">
        <v>3942</v>
      </c>
      <c r="C832" s="76" t="s">
        <v>3943</v>
      </c>
      <c r="D832" s="76" t="s">
        <v>3944</v>
      </c>
      <c r="E832" s="76" t="s">
        <v>3624</v>
      </c>
      <c r="F832" s="76"/>
    </row>
    <row r="833" spans="1:6" ht="63.95" customHeight="1">
      <c r="A833" s="76" t="s">
        <v>1856</v>
      </c>
      <c r="B833" s="76" t="s">
        <v>3945</v>
      </c>
      <c r="C833" s="76" t="s">
        <v>3946</v>
      </c>
      <c r="D833" s="76" t="s">
        <v>3947</v>
      </c>
      <c r="E833" s="76" t="s">
        <v>3624</v>
      </c>
      <c r="F833" s="76"/>
    </row>
    <row r="834" spans="1:6" ht="63.95" customHeight="1">
      <c r="A834" s="76" t="s">
        <v>1856</v>
      </c>
      <c r="B834" s="76" t="s">
        <v>3948</v>
      </c>
      <c r="C834" s="76" t="s">
        <v>3949</v>
      </c>
      <c r="D834" s="76" t="s">
        <v>3950</v>
      </c>
      <c r="E834" s="76" t="s">
        <v>3624</v>
      </c>
      <c r="F834" s="76"/>
    </row>
    <row r="835" spans="1:6" ht="63.95" customHeight="1">
      <c r="A835" s="76" t="s">
        <v>1856</v>
      </c>
      <c r="B835" s="76" t="s">
        <v>3951</v>
      </c>
      <c r="C835" s="76" t="s">
        <v>3952</v>
      </c>
      <c r="D835" s="76" t="s">
        <v>3953</v>
      </c>
      <c r="E835" s="76" t="s">
        <v>3624</v>
      </c>
      <c r="F835" s="76"/>
    </row>
    <row r="836" spans="1:6" ht="63.95" customHeight="1">
      <c r="A836" s="76" t="s">
        <v>1856</v>
      </c>
      <c r="B836" s="76" t="s">
        <v>3954</v>
      </c>
      <c r="C836" s="76" t="s">
        <v>3955</v>
      </c>
      <c r="D836" s="76" t="s">
        <v>3956</v>
      </c>
      <c r="E836" s="76" t="s">
        <v>3624</v>
      </c>
      <c r="F836" s="76"/>
    </row>
    <row r="837" spans="1:6" ht="63.95" customHeight="1">
      <c r="A837" s="76" t="s">
        <v>1856</v>
      </c>
      <c r="B837" s="76" t="s">
        <v>3957</v>
      </c>
      <c r="C837" s="76" t="s">
        <v>3958</v>
      </c>
      <c r="D837" s="76" t="s">
        <v>3959</v>
      </c>
      <c r="E837" s="76" t="s">
        <v>3624</v>
      </c>
      <c r="F837" s="76"/>
    </row>
    <row r="838" spans="1:6" ht="63.95" customHeight="1">
      <c r="A838" s="76" t="s">
        <v>1856</v>
      </c>
      <c r="B838" s="76" t="s">
        <v>3960</v>
      </c>
      <c r="C838" s="76" t="s">
        <v>3961</v>
      </c>
      <c r="D838" s="76" t="s">
        <v>3962</v>
      </c>
      <c r="E838" s="76" t="s">
        <v>3624</v>
      </c>
      <c r="F838" s="76"/>
    </row>
    <row r="839" spans="1:6" ht="63.95" customHeight="1">
      <c r="A839" s="76" t="s">
        <v>1856</v>
      </c>
      <c r="B839" s="76" t="s">
        <v>3963</v>
      </c>
      <c r="C839" s="76" t="s">
        <v>3964</v>
      </c>
      <c r="D839" s="76" t="s">
        <v>3965</v>
      </c>
      <c r="E839" s="76" t="s">
        <v>3624</v>
      </c>
      <c r="F839" s="76"/>
    </row>
    <row r="840" spans="1:6" ht="63.95" customHeight="1">
      <c r="A840" s="76" t="s">
        <v>1856</v>
      </c>
      <c r="B840" s="76" t="s">
        <v>3966</v>
      </c>
      <c r="C840" s="76" t="s">
        <v>3967</v>
      </c>
      <c r="D840" s="76" t="s">
        <v>3968</v>
      </c>
      <c r="E840" s="76" t="s">
        <v>3624</v>
      </c>
      <c r="F840" s="76"/>
    </row>
    <row r="841" spans="1:6" ht="63.95" customHeight="1">
      <c r="A841" s="76" t="s">
        <v>1856</v>
      </c>
      <c r="B841" s="76" t="s">
        <v>3969</v>
      </c>
      <c r="C841" s="76" t="s">
        <v>3970</v>
      </c>
      <c r="D841" s="76" t="s">
        <v>3971</v>
      </c>
      <c r="E841" s="76" t="s">
        <v>3624</v>
      </c>
      <c r="F841" s="76"/>
    </row>
    <row r="842" spans="1:6" ht="63.95" customHeight="1">
      <c r="A842" s="76" t="s">
        <v>1856</v>
      </c>
      <c r="B842" s="76" t="s">
        <v>3972</v>
      </c>
      <c r="C842" s="76" t="s">
        <v>3973</v>
      </c>
      <c r="D842" s="76" t="s">
        <v>3974</v>
      </c>
      <c r="E842" s="76" t="s">
        <v>3624</v>
      </c>
      <c r="F842" s="76"/>
    </row>
    <row r="843" spans="1:6" ht="63.95" customHeight="1">
      <c r="A843" s="76" t="s">
        <v>1856</v>
      </c>
      <c r="B843" s="76" t="s">
        <v>3975</v>
      </c>
      <c r="C843" s="76" t="s">
        <v>3976</v>
      </c>
      <c r="D843" s="76" t="s">
        <v>3977</v>
      </c>
      <c r="E843" s="76" t="s">
        <v>3624</v>
      </c>
      <c r="F843" s="76"/>
    </row>
    <row r="844" spans="1:6" ht="63.95" customHeight="1">
      <c r="A844" s="76" t="s">
        <v>1856</v>
      </c>
      <c r="B844" s="76" t="s">
        <v>3978</v>
      </c>
      <c r="C844" s="76" t="s">
        <v>3979</v>
      </c>
      <c r="D844" s="76" t="s">
        <v>3980</v>
      </c>
      <c r="E844" s="76" t="s">
        <v>3624</v>
      </c>
      <c r="F844" s="76"/>
    </row>
    <row r="845" spans="1:6" ht="63.95" customHeight="1">
      <c r="A845" s="76" t="s">
        <v>1856</v>
      </c>
      <c r="B845" s="76" t="s">
        <v>3981</v>
      </c>
      <c r="C845" s="76" t="s">
        <v>3982</v>
      </c>
      <c r="D845" s="76" t="s">
        <v>3983</v>
      </c>
      <c r="E845" s="76" t="s">
        <v>3624</v>
      </c>
      <c r="F845" s="76"/>
    </row>
    <row r="846" spans="1:6" ht="63.95" customHeight="1">
      <c r="A846" s="76" t="s">
        <v>1856</v>
      </c>
      <c r="B846" s="76" t="s">
        <v>3984</v>
      </c>
      <c r="C846" s="76" t="s">
        <v>3985</v>
      </c>
      <c r="D846" s="76" t="s">
        <v>3986</v>
      </c>
      <c r="E846" s="76" t="s">
        <v>3624</v>
      </c>
      <c r="F846" s="76"/>
    </row>
    <row r="847" spans="1:6" ht="63.95" customHeight="1">
      <c r="A847" s="76" t="s">
        <v>1856</v>
      </c>
      <c r="B847" s="76" t="s">
        <v>3987</v>
      </c>
      <c r="C847" s="76" t="s">
        <v>3988</v>
      </c>
      <c r="D847" s="76" t="s">
        <v>3989</v>
      </c>
      <c r="E847" s="76" t="s">
        <v>3624</v>
      </c>
      <c r="F847" s="76"/>
    </row>
    <row r="848" spans="1:6" ht="63.95" customHeight="1">
      <c r="A848" s="76" t="s">
        <v>1856</v>
      </c>
      <c r="B848" s="76" t="s">
        <v>3990</v>
      </c>
      <c r="C848" s="76" t="s">
        <v>3991</v>
      </c>
      <c r="D848" s="76" t="s">
        <v>3992</v>
      </c>
      <c r="E848" s="76" t="s">
        <v>3624</v>
      </c>
      <c r="F848" s="76"/>
    </row>
    <row r="849" spans="1:6" ht="63.95" customHeight="1">
      <c r="A849" s="76" t="s">
        <v>1856</v>
      </c>
      <c r="B849" s="76" t="s">
        <v>3993</v>
      </c>
      <c r="C849" s="76" t="s">
        <v>3994</v>
      </c>
      <c r="D849" s="76" t="s">
        <v>3995</v>
      </c>
      <c r="E849" s="76" t="s">
        <v>3624</v>
      </c>
      <c r="F849" s="76"/>
    </row>
    <row r="850" spans="1:6" ht="63.95" customHeight="1">
      <c r="A850" s="76" t="s">
        <v>1856</v>
      </c>
      <c r="B850" s="76" t="s">
        <v>3996</v>
      </c>
      <c r="C850" s="76" t="s">
        <v>3997</v>
      </c>
      <c r="D850" s="76" t="s">
        <v>3998</v>
      </c>
      <c r="E850" s="76" t="s">
        <v>3624</v>
      </c>
      <c r="F850" s="76"/>
    </row>
    <row r="851" spans="1:6" ht="63.95" customHeight="1">
      <c r="A851" s="76" t="s">
        <v>1856</v>
      </c>
      <c r="B851" s="76" t="s">
        <v>3999</v>
      </c>
      <c r="C851" s="76" t="s">
        <v>4000</v>
      </c>
      <c r="D851" s="76" t="s">
        <v>4001</v>
      </c>
      <c r="E851" s="76" t="s">
        <v>3624</v>
      </c>
      <c r="F851" s="76"/>
    </row>
    <row r="852" spans="1:6" ht="63.95" customHeight="1">
      <c r="A852" s="76" t="s">
        <v>1856</v>
      </c>
      <c r="B852" s="76" t="s">
        <v>4002</v>
      </c>
      <c r="C852" s="76" t="s">
        <v>4003</v>
      </c>
      <c r="D852" s="76" t="s">
        <v>4004</v>
      </c>
      <c r="E852" s="76" t="s">
        <v>3624</v>
      </c>
      <c r="F852" s="76"/>
    </row>
    <row r="853" spans="1:6" ht="63.95" customHeight="1">
      <c r="A853" s="76" t="s">
        <v>1856</v>
      </c>
      <c r="B853" s="76" t="s">
        <v>4005</v>
      </c>
      <c r="C853" s="76" t="s">
        <v>4006</v>
      </c>
      <c r="D853" s="76" t="s">
        <v>4007</v>
      </c>
      <c r="E853" s="76" t="s">
        <v>3624</v>
      </c>
      <c r="F853" s="76"/>
    </row>
    <row r="854" spans="1:6" ht="63.95" customHeight="1">
      <c r="A854" s="76" t="s">
        <v>1856</v>
      </c>
      <c r="B854" s="76" t="s">
        <v>4008</v>
      </c>
      <c r="C854" s="76" t="s">
        <v>4009</v>
      </c>
      <c r="D854" s="76" t="s">
        <v>4010</v>
      </c>
      <c r="E854" s="76" t="s">
        <v>3624</v>
      </c>
      <c r="F854" s="76"/>
    </row>
    <row r="855" spans="1:6" ht="63.95" customHeight="1">
      <c r="A855" s="76" t="s">
        <v>1856</v>
      </c>
      <c r="B855" s="76" t="s">
        <v>4011</v>
      </c>
      <c r="C855" s="76" t="s">
        <v>4012</v>
      </c>
      <c r="D855" s="76" t="s">
        <v>4013</v>
      </c>
      <c r="E855" s="76" t="s">
        <v>3624</v>
      </c>
      <c r="F855" s="76"/>
    </row>
    <row r="856" spans="1:6" ht="63.95" customHeight="1">
      <c r="A856" s="76" t="s">
        <v>1856</v>
      </c>
      <c r="B856" s="76" t="s">
        <v>4014</v>
      </c>
      <c r="C856" s="76" t="s">
        <v>4015</v>
      </c>
      <c r="D856" s="76" t="s">
        <v>4016</v>
      </c>
      <c r="E856" s="76" t="s">
        <v>3624</v>
      </c>
      <c r="F856" s="76"/>
    </row>
    <row r="857" spans="1:6" ht="63.95" customHeight="1">
      <c r="A857" s="76" t="s">
        <v>1856</v>
      </c>
      <c r="B857" s="76" t="s">
        <v>4017</v>
      </c>
      <c r="C857" s="76" t="s">
        <v>4018</v>
      </c>
      <c r="D857" s="76" t="s">
        <v>4019</v>
      </c>
      <c r="E857" s="76" t="s">
        <v>3624</v>
      </c>
      <c r="F857" s="76"/>
    </row>
    <row r="858" spans="1:6" ht="63.95" customHeight="1">
      <c r="A858" s="76" t="s">
        <v>1856</v>
      </c>
      <c r="B858" s="76" t="s">
        <v>4020</v>
      </c>
      <c r="C858" s="76" t="s">
        <v>4021</v>
      </c>
      <c r="D858" s="76" t="s">
        <v>4022</v>
      </c>
      <c r="E858" s="76" t="s">
        <v>3624</v>
      </c>
      <c r="F858" s="76"/>
    </row>
    <row r="859" spans="1:6" ht="63.95" customHeight="1">
      <c r="A859" s="76" t="s">
        <v>1856</v>
      </c>
      <c r="B859" s="76" t="s">
        <v>4023</v>
      </c>
      <c r="C859" s="76" t="s">
        <v>4024</v>
      </c>
      <c r="D859" s="76" t="s">
        <v>4025</v>
      </c>
      <c r="E859" s="76" t="s">
        <v>3624</v>
      </c>
      <c r="F859" s="76"/>
    </row>
    <row r="860" spans="1:6" ht="63.95" customHeight="1">
      <c r="A860" s="76" t="s">
        <v>1856</v>
      </c>
      <c r="B860" s="76" t="s">
        <v>4026</v>
      </c>
      <c r="C860" s="76" t="s">
        <v>4027</v>
      </c>
      <c r="D860" s="76" t="s">
        <v>4028</v>
      </c>
      <c r="E860" s="76" t="s">
        <v>3624</v>
      </c>
      <c r="F860" s="76"/>
    </row>
    <row r="861" spans="1:6" ht="63.95" customHeight="1">
      <c r="A861" s="76" t="s">
        <v>1856</v>
      </c>
      <c r="B861" s="76" t="s">
        <v>4029</v>
      </c>
      <c r="C861" s="76" t="s">
        <v>4030</v>
      </c>
      <c r="D861" s="76" t="s">
        <v>4031</v>
      </c>
      <c r="E861" s="76" t="s">
        <v>3624</v>
      </c>
      <c r="F861" s="76"/>
    </row>
    <row r="862" spans="1:6" ht="63.95" customHeight="1">
      <c r="A862" s="76" t="s">
        <v>1856</v>
      </c>
      <c r="B862" s="76" t="s">
        <v>4032</v>
      </c>
      <c r="C862" s="76" t="s">
        <v>4033</v>
      </c>
      <c r="D862" s="76" t="s">
        <v>4034</v>
      </c>
      <c r="E862" s="76" t="s">
        <v>3624</v>
      </c>
      <c r="F862" s="76"/>
    </row>
    <row r="863" spans="1:6" ht="63.95" customHeight="1">
      <c r="A863" s="76" t="s">
        <v>1856</v>
      </c>
      <c r="B863" s="76" t="s">
        <v>4035</v>
      </c>
      <c r="C863" s="76" t="s">
        <v>4036</v>
      </c>
      <c r="D863" s="76" t="s">
        <v>4037</v>
      </c>
      <c r="E863" s="76" t="s">
        <v>3624</v>
      </c>
      <c r="F863" s="76"/>
    </row>
    <row r="864" spans="1:6" ht="63.95" customHeight="1">
      <c r="A864" s="76" t="s">
        <v>1856</v>
      </c>
      <c r="B864" s="76" t="s">
        <v>4038</v>
      </c>
      <c r="C864" s="76" t="s">
        <v>4039</v>
      </c>
      <c r="D864" s="76" t="s">
        <v>4040</v>
      </c>
      <c r="E864" s="76" t="s">
        <v>3624</v>
      </c>
      <c r="F864" s="76"/>
    </row>
    <row r="865" spans="1:6" ht="63.95" customHeight="1">
      <c r="A865" s="76" t="s">
        <v>1856</v>
      </c>
      <c r="B865" s="76" t="s">
        <v>4041</v>
      </c>
      <c r="C865" s="76" t="s">
        <v>4042</v>
      </c>
      <c r="D865" s="76" t="s">
        <v>4043</v>
      </c>
      <c r="E865" s="76" t="s">
        <v>3624</v>
      </c>
      <c r="F865" s="76"/>
    </row>
    <row r="866" spans="1:6" ht="63.95" customHeight="1">
      <c r="A866" s="76" t="s">
        <v>1856</v>
      </c>
      <c r="B866" s="76" t="s">
        <v>4044</v>
      </c>
      <c r="C866" s="76" t="s">
        <v>4045</v>
      </c>
      <c r="D866" s="76" t="s">
        <v>4046</v>
      </c>
      <c r="E866" s="76" t="s">
        <v>3624</v>
      </c>
      <c r="F866" s="76"/>
    </row>
    <row r="867" spans="1:6" ht="63.95" customHeight="1">
      <c r="A867" s="76" t="s">
        <v>1856</v>
      </c>
      <c r="B867" s="76" t="s">
        <v>4047</v>
      </c>
      <c r="C867" s="76" t="s">
        <v>4048</v>
      </c>
      <c r="D867" s="76" t="s">
        <v>4049</v>
      </c>
      <c r="E867" s="76" t="s">
        <v>3624</v>
      </c>
      <c r="F867" s="76"/>
    </row>
    <row r="868" spans="1:6" ht="63.95" customHeight="1">
      <c r="A868" s="76" t="s">
        <v>1856</v>
      </c>
      <c r="B868" s="76" t="s">
        <v>4050</v>
      </c>
      <c r="C868" s="76" t="s">
        <v>4051</v>
      </c>
      <c r="D868" s="76" t="s">
        <v>4052</v>
      </c>
      <c r="E868" s="76" t="s">
        <v>3624</v>
      </c>
      <c r="F868" s="76"/>
    </row>
    <row r="869" spans="1:6" ht="63.95" customHeight="1">
      <c r="A869" s="76" t="s">
        <v>1856</v>
      </c>
      <c r="B869" s="76" t="s">
        <v>4053</v>
      </c>
      <c r="C869" s="76" t="s">
        <v>4054</v>
      </c>
      <c r="D869" s="76" t="s">
        <v>4055</v>
      </c>
      <c r="E869" s="76" t="s">
        <v>3624</v>
      </c>
      <c r="F869" s="76"/>
    </row>
    <row r="870" spans="1:6" ht="63.95" customHeight="1">
      <c r="A870" s="76" t="s">
        <v>1856</v>
      </c>
      <c r="B870" s="76" t="s">
        <v>4056</v>
      </c>
      <c r="C870" s="76" t="s">
        <v>4057</v>
      </c>
      <c r="D870" s="76" t="s">
        <v>4058</v>
      </c>
      <c r="E870" s="76" t="s">
        <v>3624</v>
      </c>
      <c r="F870" s="76"/>
    </row>
    <row r="871" spans="1:6" ht="63.95" customHeight="1">
      <c r="A871" s="76" t="s">
        <v>1856</v>
      </c>
      <c r="B871" s="76" t="s">
        <v>4059</v>
      </c>
      <c r="C871" s="76" t="s">
        <v>4060</v>
      </c>
      <c r="D871" s="76" t="s">
        <v>4061</v>
      </c>
      <c r="E871" s="76" t="s">
        <v>3624</v>
      </c>
      <c r="F871" s="76"/>
    </row>
    <row r="872" spans="1:6" ht="63.95" customHeight="1">
      <c r="A872" s="76" t="s">
        <v>1856</v>
      </c>
      <c r="B872" s="76" t="s">
        <v>4062</v>
      </c>
      <c r="C872" s="76" t="s">
        <v>4063</v>
      </c>
      <c r="D872" s="76" t="s">
        <v>4064</v>
      </c>
      <c r="E872" s="76" t="s">
        <v>3624</v>
      </c>
      <c r="F872" s="76"/>
    </row>
    <row r="873" spans="1:6" ht="63.95" customHeight="1">
      <c r="A873" s="76" t="s">
        <v>1856</v>
      </c>
      <c r="B873" s="76" t="s">
        <v>4065</v>
      </c>
      <c r="C873" s="76" t="s">
        <v>4066</v>
      </c>
      <c r="D873" s="76" t="s">
        <v>4067</v>
      </c>
      <c r="E873" s="76" t="s">
        <v>3624</v>
      </c>
      <c r="F873" s="76"/>
    </row>
    <row r="874" spans="1:6" ht="63.95" customHeight="1">
      <c r="A874" s="76" t="s">
        <v>1856</v>
      </c>
      <c r="B874" s="76" t="s">
        <v>4068</v>
      </c>
      <c r="C874" s="76" t="s">
        <v>4069</v>
      </c>
      <c r="D874" s="76" t="s">
        <v>4070</v>
      </c>
      <c r="E874" s="76" t="s">
        <v>3624</v>
      </c>
      <c r="F874" s="76"/>
    </row>
    <row r="875" spans="1:6" ht="63.95" customHeight="1">
      <c r="A875" s="76" t="s">
        <v>1856</v>
      </c>
      <c r="B875" s="76" t="s">
        <v>4071</v>
      </c>
      <c r="C875" s="76" t="s">
        <v>4072</v>
      </c>
      <c r="D875" s="76" t="s">
        <v>4073</v>
      </c>
      <c r="E875" s="76" t="s">
        <v>3624</v>
      </c>
      <c r="F875" s="76"/>
    </row>
    <row r="876" spans="1:6" ht="63.95" customHeight="1">
      <c r="A876" s="76" t="s">
        <v>1856</v>
      </c>
      <c r="B876" s="76" t="s">
        <v>4074</v>
      </c>
      <c r="C876" s="76" t="s">
        <v>4075</v>
      </c>
      <c r="D876" s="76" t="s">
        <v>4076</v>
      </c>
      <c r="E876" s="76" t="s">
        <v>3624</v>
      </c>
      <c r="F876" s="76"/>
    </row>
    <row r="877" spans="1:6" ht="63.95" customHeight="1">
      <c r="A877" s="76" t="s">
        <v>1856</v>
      </c>
      <c r="B877" s="76" t="s">
        <v>4077</v>
      </c>
      <c r="C877" s="76" t="s">
        <v>4078</v>
      </c>
      <c r="D877" s="76" t="s">
        <v>4079</v>
      </c>
      <c r="E877" s="76" t="s">
        <v>3624</v>
      </c>
      <c r="F877" s="76"/>
    </row>
    <row r="878" spans="1:6" ht="63.95" customHeight="1">
      <c r="A878" s="76" t="s">
        <v>1856</v>
      </c>
      <c r="B878" s="76" t="s">
        <v>4080</v>
      </c>
      <c r="C878" s="76" t="s">
        <v>4081</v>
      </c>
      <c r="D878" s="76" t="s">
        <v>4082</v>
      </c>
      <c r="E878" s="76" t="s">
        <v>3624</v>
      </c>
      <c r="F878" s="76"/>
    </row>
    <row r="879" spans="1:6" ht="63.95" customHeight="1">
      <c r="A879" s="76" t="s">
        <v>1856</v>
      </c>
      <c r="B879" s="76" t="s">
        <v>4083</v>
      </c>
      <c r="C879" s="76" t="s">
        <v>4084</v>
      </c>
      <c r="D879" s="76" t="s">
        <v>4085</v>
      </c>
      <c r="E879" s="76" t="s">
        <v>3624</v>
      </c>
      <c r="F879" s="76"/>
    </row>
    <row r="880" spans="1:6" ht="63.95" customHeight="1">
      <c r="A880" s="76" t="s">
        <v>1856</v>
      </c>
      <c r="B880" s="76" t="s">
        <v>4086</v>
      </c>
      <c r="C880" s="76" t="s">
        <v>4087</v>
      </c>
      <c r="D880" s="76" t="s">
        <v>4088</v>
      </c>
      <c r="E880" s="76" t="s">
        <v>3624</v>
      </c>
      <c r="F880" s="76"/>
    </row>
    <row r="881" spans="1:6" ht="63.95" customHeight="1">
      <c r="A881" s="76" t="s">
        <v>1856</v>
      </c>
      <c r="B881" s="76" t="s">
        <v>4089</v>
      </c>
      <c r="C881" s="76" t="s">
        <v>4090</v>
      </c>
      <c r="D881" s="76" t="s">
        <v>4091</v>
      </c>
      <c r="E881" s="76" t="s">
        <v>3624</v>
      </c>
      <c r="F881" s="76"/>
    </row>
    <row r="882" spans="1:6" ht="63.95" customHeight="1">
      <c r="A882" s="76" t="s">
        <v>1856</v>
      </c>
      <c r="B882" s="76" t="s">
        <v>4092</v>
      </c>
      <c r="C882" s="76" t="s">
        <v>4093</v>
      </c>
      <c r="D882" s="76" t="s">
        <v>4094</v>
      </c>
      <c r="E882" s="76" t="s">
        <v>3624</v>
      </c>
      <c r="F882" s="76"/>
    </row>
    <row r="883" spans="1:6" ht="63.95" customHeight="1">
      <c r="A883" s="76" t="s">
        <v>1856</v>
      </c>
      <c r="B883" s="76" t="s">
        <v>4095</v>
      </c>
      <c r="C883" s="76" t="s">
        <v>4096</v>
      </c>
      <c r="D883" s="76" t="s">
        <v>4097</v>
      </c>
      <c r="E883" s="76" t="s">
        <v>3624</v>
      </c>
      <c r="F883" s="76"/>
    </row>
    <row r="884" spans="1:6" ht="63.95" customHeight="1">
      <c r="A884" s="76" t="s">
        <v>1856</v>
      </c>
      <c r="B884" s="76" t="s">
        <v>4098</v>
      </c>
      <c r="C884" s="76" t="s">
        <v>4099</v>
      </c>
      <c r="D884" s="76" t="s">
        <v>4100</v>
      </c>
      <c r="E884" s="76" t="s">
        <v>3624</v>
      </c>
      <c r="F884" s="76"/>
    </row>
    <row r="885" spans="1:6" ht="63.95" customHeight="1">
      <c r="A885" s="76" t="s">
        <v>1856</v>
      </c>
      <c r="B885" s="76" t="s">
        <v>4101</v>
      </c>
      <c r="C885" s="76" t="s">
        <v>4102</v>
      </c>
      <c r="D885" s="76" t="s">
        <v>4103</v>
      </c>
      <c r="E885" s="76" t="s">
        <v>3624</v>
      </c>
      <c r="F885" s="76"/>
    </row>
    <row r="886" spans="1:6" ht="63.95" customHeight="1">
      <c r="A886" s="76" t="s">
        <v>1856</v>
      </c>
      <c r="B886" s="76" t="s">
        <v>4104</v>
      </c>
      <c r="C886" s="76" t="s">
        <v>4105</v>
      </c>
      <c r="D886" s="76" t="s">
        <v>4106</v>
      </c>
      <c r="E886" s="76" t="s">
        <v>3624</v>
      </c>
      <c r="F886" s="76"/>
    </row>
    <row r="887" spans="1:6" ht="63.95" customHeight="1">
      <c r="A887" s="76" t="s">
        <v>1856</v>
      </c>
      <c r="B887" s="76" t="s">
        <v>4107</v>
      </c>
      <c r="C887" s="76" t="s">
        <v>4108</v>
      </c>
      <c r="D887" s="76" t="s">
        <v>4109</v>
      </c>
      <c r="E887" s="76" t="s">
        <v>3624</v>
      </c>
      <c r="F887" s="76"/>
    </row>
    <row r="888" spans="1:6" ht="63.95" customHeight="1">
      <c r="A888" s="76" t="s">
        <v>1856</v>
      </c>
      <c r="B888" s="76" t="s">
        <v>4110</v>
      </c>
      <c r="C888" s="76" t="s">
        <v>4111</v>
      </c>
      <c r="D888" s="76" t="s">
        <v>4112</v>
      </c>
      <c r="E888" s="76" t="s">
        <v>3624</v>
      </c>
      <c r="F888" s="76"/>
    </row>
    <row r="889" spans="1:6" ht="63.95" customHeight="1">
      <c r="A889" s="76" t="s">
        <v>1856</v>
      </c>
      <c r="B889" s="76" t="s">
        <v>4113</v>
      </c>
      <c r="C889" s="76" t="s">
        <v>4114</v>
      </c>
      <c r="D889" s="76" t="s">
        <v>4115</v>
      </c>
      <c r="E889" s="76" t="s">
        <v>3624</v>
      </c>
      <c r="F889" s="76"/>
    </row>
    <row r="890" spans="1:6" ht="63.95" customHeight="1">
      <c r="A890" s="76" t="s">
        <v>1856</v>
      </c>
      <c r="B890" s="76" t="s">
        <v>4116</v>
      </c>
      <c r="C890" s="76" t="s">
        <v>4117</v>
      </c>
      <c r="D890" s="76" t="s">
        <v>4118</v>
      </c>
      <c r="E890" s="76" t="s">
        <v>3624</v>
      </c>
      <c r="F890" s="76"/>
    </row>
    <row r="891" spans="1:6" ht="63.95" customHeight="1">
      <c r="A891" s="76" t="s">
        <v>1856</v>
      </c>
      <c r="B891" s="76" t="s">
        <v>4119</v>
      </c>
      <c r="C891" s="76" t="s">
        <v>4120</v>
      </c>
      <c r="D891" s="76" t="s">
        <v>4121</v>
      </c>
      <c r="E891" s="76" t="s">
        <v>3624</v>
      </c>
      <c r="F891" s="76"/>
    </row>
    <row r="892" spans="1:6" ht="63.95" customHeight="1">
      <c r="A892" s="76" t="s">
        <v>1856</v>
      </c>
      <c r="B892" s="76" t="s">
        <v>4122</v>
      </c>
      <c r="C892" s="76" t="s">
        <v>4123</v>
      </c>
      <c r="D892" s="76" t="s">
        <v>4124</v>
      </c>
      <c r="E892" s="76" t="s">
        <v>3624</v>
      </c>
      <c r="F892" s="76"/>
    </row>
    <row r="893" spans="1:6" ht="63.95" customHeight="1">
      <c r="A893" s="76" t="s">
        <v>1856</v>
      </c>
      <c r="B893" s="76" t="s">
        <v>4125</v>
      </c>
      <c r="C893" s="76" t="s">
        <v>4126</v>
      </c>
      <c r="D893" s="76" t="s">
        <v>4127</v>
      </c>
      <c r="E893" s="76" t="s">
        <v>3624</v>
      </c>
      <c r="F893" s="76"/>
    </row>
    <row r="894" spans="1:6" ht="63.95" customHeight="1">
      <c r="A894" s="76" t="s">
        <v>1856</v>
      </c>
      <c r="B894" s="76" t="s">
        <v>4128</v>
      </c>
      <c r="C894" s="76" t="s">
        <v>4129</v>
      </c>
      <c r="D894" s="76" t="s">
        <v>4130</v>
      </c>
      <c r="E894" s="76" t="s">
        <v>3624</v>
      </c>
      <c r="F894" s="76"/>
    </row>
    <row r="895" spans="1:6" ht="63.95" customHeight="1">
      <c r="A895" s="76" t="s">
        <v>1856</v>
      </c>
      <c r="B895" s="76" t="s">
        <v>4131</v>
      </c>
      <c r="C895" s="76" t="s">
        <v>4132</v>
      </c>
      <c r="D895" s="76" t="s">
        <v>4133</v>
      </c>
      <c r="E895" s="76" t="s">
        <v>3624</v>
      </c>
      <c r="F895" s="76"/>
    </row>
    <row r="896" spans="1:6" ht="63.95" customHeight="1">
      <c r="A896" s="76" t="s">
        <v>1856</v>
      </c>
      <c r="B896" s="76" t="s">
        <v>4134</v>
      </c>
      <c r="C896" s="76" t="s">
        <v>4135</v>
      </c>
      <c r="D896" s="76" t="s">
        <v>4136</v>
      </c>
      <c r="E896" s="76" t="s">
        <v>3624</v>
      </c>
      <c r="F896" s="76"/>
    </row>
    <row r="897" spans="1:6" ht="63.95" customHeight="1">
      <c r="A897" s="76" t="s">
        <v>1856</v>
      </c>
      <c r="B897" s="76" t="s">
        <v>4137</v>
      </c>
      <c r="C897" s="76" t="s">
        <v>4138</v>
      </c>
      <c r="D897" s="76" t="s">
        <v>4139</v>
      </c>
      <c r="E897" s="76" t="s">
        <v>3624</v>
      </c>
      <c r="F897" s="76"/>
    </row>
    <row r="898" spans="1:6" ht="63.95" customHeight="1">
      <c r="A898" s="76" t="s">
        <v>1856</v>
      </c>
      <c r="B898" s="76" t="s">
        <v>4140</v>
      </c>
      <c r="C898" s="76" t="s">
        <v>4141</v>
      </c>
      <c r="D898" s="76" t="s">
        <v>4142</v>
      </c>
      <c r="E898" s="76" t="s">
        <v>3624</v>
      </c>
      <c r="F898" s="76"/>
    </row>
    <row r="899" spans="1:6" ht="63.95" customHeight="1">
      <c r="A899" s="76" t="s">
        <v>1856</v>
      </c>
      <c r="B899" s="76" t="s">
        <v>4143</v>
      </c>
      <c r="C899" s="76" t="s">
        <v>4144</v>
      </c>
      <c r="D899" s="76" t="s">
        <v>4145</v>
      </c>
      <c r="E899" s="76" t="s">
        <v>3624</v>
      </c>
      <c r="F899" s="76"/>
    </row>
    <row r="900" spans="1:6" ht="63.95" customHeight="1">
      <c r="A900" s="76" t="s">
        <v>1856</v>
      </c>
      <c r="B900" s="76" t="s">
        <v>4146</v>
      </c>
      <c r="C900" s="76" t="s">
        <v>4147</v>
      </c>
      <c r="D900" s="76" t="s">
        <v>4148</v>
      </c>
      <c r="E900" s="76" t="s">
        <v>3624</v>
      </c>
      <c r="F900" s="76"/>
    </row>
    <row r="901" spans="1:6" ht="63.95" customHeight="1">
      <c r="A901" s="76" t="s">
        <v>1856</v>
      </c>
      <c r="B901" s="76" t="s">
        <v>4149</v>
      </c>
      <c r="C901" s="76" t="s">
        <v>4150</v>
      </c>
      <c r="D901" s="76" t="s">
        <v>4151</v>
      </c>
      <c r="E901" s="76" t="s">
        <v>3624</v>
      </c>
      <c r="F901" s="76"/>
    </row>
    <row r="902" spans="1:6" ht="63.95" customHeight="1">
      <c r="A902" s="76" t="s">
        <v>1856</v>
      </c>
      <c r="B902" s="76" t="s">
        <v>4152</v>
      </c>
      <c r="C902" s="76" t="s">
        <v>4153</v>
      </c>
      <c r="D902" s="76" t="s">
        <v>4154</v>
      </c>
      <c r="E902" s="76" t="s">
        <v>3624</v>
      </c>
      <c r="F902" s="76"/>
    </row>
    <row r="903" spans="1:6" ht="63.95" customHeight="1">
      <c r="A903" s="76" t="s">
        <v>1856</v>
      </c>
      <c r="B903" s="76" t="s">
        <v>4155</v>
      </c>
      <c r="C903" s="76" t="s">
        <v>4156</v>
      </c>
      <c r="D903" s="76" t="s">
        <v>4157</v>
      </c>
      <c r="E903" s="76" t="s">
        <v>3624</v>
      </c>
      <c r="F903" s="76"/>
    </row>
    <row r="904" spans="1:6" ht="63.95" customHeight="1">
      <c r="A904" s="76" t="s">
        <v>1856</v>
      </c>
      <c r="B904" s="76" t="s">
        <v>4158</v>
      </c>
      <c r="C904" s="76" t="s">
        <v>4159</v>
      </c>
      <c r="D904" s="76" t="s">
        <v>4160</v>
      </c>
      <c r="E904" s="76" t="s">
        <v>3624</v>
      </c>
      <c r="F904" s="76"/>
    </row>
    <row r="905" spans="1:6" ht="63.95" customHeight="1">
      <c r="A905" s="76" t="s">
        <v>1856</v>
      </c>
      <c r="B905" s="76" t="s">
        <v>4161</v>
      </c>
      <c r="C905" s="76" t="s">
        <v>4162</v>
      </c>
      <c r="D905" s="76" t="s">
        <v>4163</v>
      </c>
      <c r="E905" s="76" t="s">
        <v>3624</v>
      </c>
      <c r="F905" s="76"/>
    </row>
    <row r="906" spans="1:6" ht="63.95" customHeight="1">
      <c r="A906" s="76" t="s">
        <v>1856</v>
      </c>
      <c r="B906" s="76" t="s">
        <v>4164</v>
      </c>
      <c r="C906" s="76" t="s">
        <v>4165</v>
      </c>
      <c r="D906" s="76" t="s">
        <v>4166</v>
      </c>
      <c r="E906" s="76" t="s">
        <v>3624</v>
      </c>
      <c r="F906" s="76"/>
    </row>
    <row r="907" spans="1:6" ht="63.95" customHeight="1">
      <c r="A907" s="76" t="s">
        <v>1856</v>
      </c>
      <c r="B907" s="76" t="s">
        <v>4167</v>
      </c>
      <c r="C907" s="76" t="s">
        <v>4168</v>
      </c>
      <c r="D907" s="76" t="s">
        <v>4169</v>
      </c>
      <c r="E907" s="76" t="s">
        <v>3624</v>
      </c>
      <c r="F907" s="76"/>
    </row>
    <row r="908" spans="1:6" ht="63.95" customHeight="1">
      <c r="A908" s="76" t="s">
        <v>1856</v>
      </c>
      <c r="B908" s="76" t="s">
        <v>4170</v>
      </c>
      <c r="C908" s="76" t="s">
        <v>4171</v>
      </c>
      <c r="D908" s="76" t="s">
        <v>4172</v>
      </c>
      <c r="E908" s="76" t="s">
        <v>3624</v>
      </c>
      <c r="F908" s="76"/>
    </row>
    <row r="909" spans="1:6" ht="63.95" customHeight="1">
      <c r="A909" s="76" t="s">
        <v>1856</v>
      </c>
      <c r="B909" s="76" t="s">
        <v>4173</v>
      </c>
      <c r="C909" s="76" t="s">
        <v>4174</v>
      </c>
      <c r="D909" s="76" t="s">
        <v>4175</v>
      </c>
      <c r="E909" s="76" t="s">
        <v>3624</v>
      </c>
      <c r="F909" s="76"/>
    </row>
    <row r="910" spans="1:6" ht="63.95" customHeight="1">
      <c r="A910" s="76" t="s">
        <v>1856</v>
      </c>
      <c r="B910" s="76" t="s">
        <v>4176</v>
      </c>
      <c r="C910" s="76" t="s">
        <v>4177</v>
      </c>
      <c r="D910" s="76" t="s">
        <v>4178</v>
      </c>
      <c r="E910" s="76" t="s">
        <v>3624</v>
      </c>
      <c r="F910" s="76"/>
    </row>
    <row r="911" spans="1:6" ht="63.95" customHeight="1">
      <c r="A911" s="76" t="s">
        <v>1856</v>
      </c>
      <c r="B911" s="76" t="s">
        <v>4179</v>
      </c>
      <c r="C911" s="76" t="s">
        <v>4180</v>
      </c>
      <c r="D911" s="76" t="s">
        <v>4181</v>
      </c>
      <c r="E911" s="76" t="s">
        <v>3624</v>
      </c>
      <c r="F911" s="76"/>
    </row>
    <row r="912" spans="1:6" ht="63.95" customHeight="1">
      <c r="A912" s="76" t="s">
        <v>1856</v>
      </c>
      <c r="B912" s="76" t="s">
        <v>4182</v>
      </c>
      <c r="C912" s="76" t="s">
        <v>4183</v>
      </c>
      <c r="D912" s="76" t="s">
        <v>4184</v>
      </c>
      <c r="E912" s="76" t="s">
        <v>3624</v>
      </c>
      <c r="F912" s="76"/>
    </row>
    <row r="913" spans="1:6" ht="63.95" customHeight="1">
      <c r="A913" s="76" t="s">
        <v>1856</v>
      </c>
      <c r="B913" s="76" t="s">
        <v>4185</v>
      </c>
      <c r="C913" s="76" t="s">
        <v>4186</v>
      </c>
      <c r="D913" s="76" t="s">
        <v>4187</v>
      </c>
      <c r="E913" s="76" t="s">
        <v>3624</v>
      </c>
      <c r="F913" s="76"/>
    </row>
    <row r="914" spans="1:6" ht="63.95" customHeight="1">
      <c r="A914" s="76" t="s">
        <v>1856</v>
      </c>
      <c r="B914" s="76" t="s">
        <v>4188</v>
      </c>
      <c r="C914" s="76" t="s">
        <v>4189</v>
      </c>
      <c r="D914" s="76" t="s">
        <v>4190</v>
      </c>
      <c r="E914" s="76" t="s">
        <v>3624</v>
      </c>
      <c r="F914" s="76"/>
    </row>
    <row r="915" spans="1:6" ht="63.95" customHeight="1">
      <c r="A915" s="76" t="s">
        <v>1856</v>
      </c>
      <c r="B915" s="76" t="s">
        <v>4191</v>
      </c>
      <c r="C915" s="76" t="s">
        <v>4192</v>
      </c>
      <c r="D915" s="76" t="s">
        <v>4193</v>
      </c>
      <c r="E915" s="76" t="s">
        <v>3624</v>
      </c>
      <c r="F915" s="76"/>
    </row>
    <row r="916" spans="1:6" ht="63.95" customHeight="1">
      <c r="A916" s="76" t="s">
        <v>1856</v>
      </c>
      <c r="B916" s="76" t="s">
        <v>4194</v>
      </c>
      <c r="C916" s="76" t="s">
        <v>4195</v>
      </c>
      <c r="D916" s="76" t="s">
        <v>4196</v>
      </c>
      <c r="E916" s="76" t="s">
        <v>3624</v>
      </c>
      <c r="F916" s="76"/>
    </row>
    <row r="917" spans="1:6" ht="63.95" customHeight="1">
      <c r="A917" s="76" t="s">
        <v>1856</v>
      </c>
      <c r="B917" s="76" t="s">
        <v>4197</v>
      </c>
      <c r="C917" s="76" t="s">
        <v>4198</v>
      </c>
      <c r="D917" s="76" t="s">
        <v>4199</v>
      </c>
      <c r="E917" s="76" t="s">
        <v>3624</v>
      </c>
      <c r="F917" s="76"/>
    </row>
    <row r="918" spans="1:6" ht="63.95" customHeight="1">
      <c r="A918" s="76" t="s">
        <v>1856</v>
      </c>
      <c r="B918" s="76" t="s">
        <v>4200</v>
      </c>
      <c r="C918" s="76" t="s">
        <v>4201</v>
      </c>
      <c r="D918" s="76" t="s">
        <v>4202</v>
      </c>
      <c r="E918" s="76" t="s">
        <v>3624</v>
      </c>
      <c r="F918" s="76"/>
    </row>
    <row r="919" spans="1:6" ht="63.95" customHeight="1">
      <c r="A919" s="76" t="s">
        <v>1856</v>
      </c>
      <c r="B919" s="76" t="s">
        <v>4203</v>
      </c>
      <c r="C919" s="76" t="s">
        <v>4204</v>
      </c>
      <c r="D919" s="76" t="s">
        <v>4205</v>
      </c>
      <c r="E919" s="76" t="s">
        <v>3624</v>
      </c>
      <c r="F919" s="76"/>
    </row>
    <row r="920" spans="1:6" ht="63.95" customHeight="1">
      <c r="A920" s="76" t="s">
        <v>1856</v>
      </c>
      <c r="B920" s="76" t="s">
        <v>4206</v>
      </c>
      <c r="C920" s="76" t="s">
        <v>4207</v>
      </c>
      <c r="D920" s="76" t="s">
        <v>4208</v>
      </c>
      <c r="E920" s="76" t="s">
        <v>3624</v>
      </c>
      <c r="F920" s="76"/>
    </row>
    <row r="921" spans="1:6" ht="63.95" customHeight="1">
      <c r="A921" s="76" t="s">
        <v>1856</v>
      </c>
      <c r="B921" s="76" t="s">
        <v>4209</v>
      </c>
      <c r="C921" s="76" t="s">
        <v>4210</v>
      </c>
      <c r="D921" s="76" t="s">
        <v>4211</v>
      </c>
      <c r="E921" s="76" t="s">
        <v>3624</v>
      </c>
      <c r="F921" s="76"/>
    </row>
    <row r="922" spans="1:6" ht="63.95" customHeight="1">
      <c r="A922" s="76" t="s">
        <v>1856</v>
      </c>
      <c r="B922" s="76" t="s">
        <v>4212</v>
      </c>
      <c r="C922" s="76" t="s">
        <v>4213</v>
      </c>
      <c r="D922" s="76" t="s">
        <v>4214</v>
      </c>
      <c r="E922" s="76" t="s">
        <v>3624</v>
      </c>
      <c r="F922" s="76"/>
    </row>
    <row r="923" spans="1:6" ht="63.95" customHeight="1">
      <c r="A923" s="76" t="s">
        <v>1856</v>
      </c>
      <c r="B923" s="76" t="s">
        <v>4215</v>
      </c>
      <c r="C923" s="76" t="s">
        <v>4216</v>
      </c>
      <c r="D923" s="76" t="s">
        <v>4217</v>
      </c>
      <c r="E923" s="76" t="s">
        <v>3624</v>
      </c>
      <c r="F923" s="76"/>
    </row>
    <row r="924" spans="1:6" ht="63.95" customHeight="1">
      <c r="A924" s="76" t="s">
        <v>1856</v>
      </c>
      <c r="B924" s="76" t="s">
        <v>4218</v>
      </c>
      <c r="C924" s="76" t="s">
        <v>4219</v>
      </c>
      <c r="D924" s="76" t="s">
        <v>4220</v>
      </c>
      <c r="E924" s="76" t="s">
        <v>3624</v>
      </c>
      <c r="F924" s="76"/>
    </row>
    <row r="925" spans="1:6" ht="63.95" customHeight="1">
      <c r="A925" s="76" t="s">
        <v>1856</v>
      </c>
      <c r="B925" s="76" t="s">
        <v>4221</v>
      </c>
      <c r="C925" s="76" t="s">
        <v>4222</v>
      </c>
      <c r="D925" s="76" t="s">
        <v>4223</v>
      </c>
      <c r="E925" s="76" t="s">
        <v>3624</v>
      </c>
      <c r="F925" s="76"/>
    </row>
    <row r="926" spans="1:6" ht="63.95" customHeight="1">
      <c r="A926" s="76" t="s">
        <v>1856</v>
      </c>
      <c r="B926" s="76" t="s">
        <v>4224</v>
      </c>
      <c r="C926" s="76" t="s">
        <v>4225</v>
      </c>
      <c r="D926" s="76" t="s">
        <v>4226</v>
      </c>
      <c r="E926" s="76" t="s">
        <v>3624</v>
      </c>
      <c r="F926" s="76"/>
    </row>
    <row r="927" spans="1:6" ht="63.95" customHeight="1">
      <c r="A927" s="76" t="s">
        <v>1856</v>
      </c>
      <c r="B927" s="76" t="s">
        <v>4227</v>
      </c>
      <c r="C927" s="76" t="s">
        <v>4228</v>
      </c>
      <c r="D927" s="76" t="s">
        <v>4229</v>
      </c>
      <c r="E927" s="76" t="s">
        <v>3624</v>
      </c>
      <c r="F927" s="76"/>
    </row>
    <row r="928" spans="1:6" ht="63.95" customHeight="1">
      <c r="A928" s="76" t="s">
        <v>1856</v>
      </c>
      <c r="B928" s="76" t="s">
        <v>4230</v>
      </c>
      <c r="C928" s="76" t="s">
        <v>4231</v>
      </c>
      <c r="D928" s="76" t="s">
        <v>4232</v>
      </c>
      <c r="E928" s="76" t="s">
        <v>3624</v>
      </c>
      <c r="F928" s="76"/>
    </row>
    <row r="929" spans="1:6" ht="63.95" customHeight="1">
      <c r="A929" s="76" t="s">
        <v>1856</v>
      </c>
      <c r="B929" s="76" t="s">
        <v>4233</v>
      </c>
      <c r="C929" s="76" t="s">
        <v>4234</v>
      </c>
      <c r="D929" s="76" t="s">
        <v>4235</v>
      </c>
      <c r="E929" s="76" t="s">
        <v>3624</v>
      </c>
      <c r="F929" s="76"/>
    </row>
    <row r="930" spans="1:6" ht="63.95" customHeight="1">
      <c r="A930" s="76" t="s">
        <v>1856</v>
      </c>
      <c r="B930" s="76" t="s">
        <v>4236</v>
      </c>
      <c r="C930" s="76" t="s">
        <v>4237</v>
      </c>
      <c r="D930" s="76" t="s">
        <v>4238</v>
      </c>
      <c r="E930" s="76" t="s">
        <v>3624</v>
      </c>
      <c r="F930" s="76"/>
    </row>
    <row r="931" spans="1:6" ht="63.95" customHeight="1">
      <c r="A931" s="76" t="s">
        <v>1856</v>
      </c>
      <c r="B931" s="76" t="s">
        <v>4239</v>
      </c>
      <c r="C931" s="76" t="s">
        <v>4240</v>
      </c>
      <c r="D931" s="76" t="s">
        <v>4241</v>
      </c>
      <c r="E931" s="76" t="s">
        <v>3624</v>
      </c>
      <c r="F931" s="76"/>
    </row>
    <row r="932" spans="1:6" ht="63.95" customHeight="1">
      <c r="A932" s="76" t="s">
        <v>1856</v>
      </c>
      <c r="B932" s="76" t="s">
        <v>4242</v>
      </c>
      <c r="C932" s="76" t="s">
        <v>4243</v>
      </c>
      <c r="D932" s="76" t="s">
        <v>4244</v>
      </c>
      <c r="E932" s="76" t="s">
        <v>3624</v>
      </c>
      <c r="F932" s="76"/>
    </row>
    <row r="933" spans="1:6" ht="63.95" customHeight="1">
      <c r="A933" s="76" t="s">
        <v>1856</v>
      </c>
      <c r="B933" s="76" t="s">
        <v>4245</v>
      </c>
      <c r="C933" s="76" t="s">
        <v>4246</v>
      </c>
      <c r="D933" s="76" t="s">
        <v>4247</v>
      </c>
      <c r="E933" s="76" t="s">
        <v>3624</v>
      </c>
      <c r="F933" s="76"/>
    </row>
    <row r="934" spans="1:6" ht="63.95" customHeight="1">
      <c r="A934" s="76" t="s">
        <v>1856</v>
      </c>
      <c r="B934" s="76" t="s">
        <v>4248</v>
      </c>
      <c r="C934" s="76" t="s">
        <v>4249</v>
      </c>
      <c r="D934" s="76" t="s">
        <v>4250</v>
      </c>
      <c r="E934" s="76" t="s">
        <v>3624</v>
      </c>
      <c r="F934" s="76"/>
    </row>
    <row r="935" spans="1:6" ht="63.95" customHeight="1">
      <c r="A935" s="76" t="s">
        <v>1856</v>
      </c>
      <c r="B935" s="76" t="s">
        <v>4251</v>
      </c>
      <c r="C935" s="76" t="s">
        <v>4252</v>
      </c>
      <c r="D935" s="76" t="s">
        <v>4253</v>
      </c>
      <c r="E935" s="76" t="s">
        <v>3624</v>
      </c>
      <c r="F935" s="76"/>
    </row>
    <row r="936" spans="1:6" ht="63.95" customHeight="1">
      <c r="A936" s="76" t="s">
        <v>1856</v>
      </c>
      <c r="B936" s="76" t="s">
        <v>4254</v>
      </c>
      <c r="C936" s="76" t="s">
        <v>4255</v>
      </c>
      <c r="D936" s="76" t="s">
        <v>4256</v>
      </c>
      <c r="E936" s="76" t="s">
        <v>3624</v>
      </c>
      <c r="F936" s="76"/>
    </row>
    <row r="937" spans="1:6" ht="63.95" customHeight="1">
      <c r="A937" s="76" t="s">
        <v>1856</v>
      </c>
      <c r="B937" s="76" t="s">
        <v>4257</v>
      </c>
      <c r="C937" s="76" t="s">
        <v>4258</v>
      </c>
      <c r="D937" s="76" t="s">
        <v>4259</v>
      </c>
      <c r="E937" s="76" t="s">
        <v>3624</v>
      </c>
      <c r="F937" s="76"/>
    </row>
    <row r="938" spans="1:6" ht="63.95" customHeight="1">
      <c r="A938" s="76" t="s">
        <v>1856</v>
      </c>
      <c r="B938" s="76" t="s">
        <v>4260</v>
      </c>
      <c r="C938" s="76" t="s">
        <v>4261</v>
      </c>
      <c r="D938" s="76" t="s">
        <v>4262</v>
      </c>
      <c r="E938" s="76" t="s">
        <v>3624</v>
      </c>
      <c r="F938" s="76"/>
    </row>
    <row r="939" spans="1:6" ht="63.95" customHeight="1">
      <c r="A939" s="76" t="s">
        <v>1856</v>
      </c>
      <c r="B939" s="76" t="s">
        <v>4263</v>
      </c>
      <c r="C939" s="76" t="s">
        <v>4264</v>
      </c>
      <c r="D939" s="76" t="s">
        <v>4265</v>
      </c>
      <c r="E939" s="76" t="s">
        <v>3624</v>
      </c>
      <c r="F939" s="76"/>
    </row>
    <row r="940" spans="1:6" ht="63.95" customHeight="1">
      <c r="A940" s="76" t="s">
        <v>1856</v>
      </c>
      <c r="B940" s="76" t="s">
        <v>4266</v>
      </c>
      <c r="C940" s="76" t="s">
        <v>4267</v>
      </c>
      <c r="D940" s="76" t="s">
        <v>4268</v>
      </c>
      <c r="E940" s="76" t="s">
        <v>3624</v>
      </c>
      <c r="F940" s="76"/>
    </row>
    <row r="941" spans="1:6" ht="63.95" customHeight="1">
      <c r="A941" s="76" t="s">
        <v>1856</v>
      </c>
      <c r="B941" s="76" t="s">
        <v>4269</v>
      </c>
      <c r="C941" s="76" t="s">
        <v>4270</v>
      </c>
      <c r="D941" s="76" t="s">
        <v>4271</v>
      </c>
      <c r="E941" s="76" t="s">
        <v>3624</v>
      </c>
      <c r="F941" s="76"/>
    </row>
    <row r="942" spans="1:6" ht="63.95" customHeight="1">
      <c r="A942" s="76" t="s">
        <v>1856</v>
      </c>
      <c r="B942" s="76" t="s">
        <v>4272</v>
      </c>
      <c r="C942" s="76" t="s">
        <v>4273</v>
      </c>
      <c r="D942" s="76" t="s">
        <v>4274</v>
      </c>
      <c r="E942" s="76" t="s">
        <v>3624</v>
      </c>
      <c r="F942" s="76"/>
    </row>
    <row r="943" spans="1:6" ht="63.95" customHeight="1">
      <c r="A943" s="76" t="s">
        <v>1856</v>
      </c>
      <c r="B943" s="76" t="s">
        <v>4275</v>
      </c>
      <c r="C943" s="76" t="s">
        <v>4276</v>
      </c>
      <c r="D943" s="76" t="s">
        <v>4277</v>
      </c>
      <c r="E943" s="76" t="s">
        <v>3624</v>
      </c>
      <c r="F943" s="76"/>
    </row>
    <row r="944" spans="1:6" ht="63.95" customHeight="1">
      <c r="A944" s="76" t="s">
        <v>1856</v>
      </c>
      <c r="B944" s="76" t="s">
        <v>4278</v>
      </c>
      <c r="C944" s="76" t="s">
        <v>4279</v>
      </c>
      <c r="D944" s="76" t="s">
        <v>4280</v>
      </c>
      <c r="E944" s="76" t="s">
        <v>3624</v>
      </c>
      <c r="F944" s="76"/>
    </row>
    <row r="945" spans="1:6" ht="63.95" customHeight="1">
      <c r="A945" s="76" t="s">
        <v>1856</v>
      </c>
      <c r="B945" s="76" t="s">
        <v>4281</v>
      </c>
      <c r="C945" s="76" t="s">
        <v>4282</v>
      </c>
      <c r="D945" s="76" t="s">
        <v>4283</v>
      </c>
      <c r="E945" s="76" t="s">
        <v>3624</v>
      </c>
      <c r="F945" s="76"/>
    </row>
    <row r="946" spans="1:6" ht="63.95" customHeight="1">
      <c r="A946" s="76" t="s">
        <v>1856</v>
      </c>
      <c r="B946" s="76" t="s">
        <v>4284</v>
      </c>
      <c r="C946" s="76" t="s">
        <v>4285</v>
      </c>
      <c r="D946" s="76" t="s">
        <v>4286</v>
      </c>
      <c r="E946" s="76" t="s">
        <v>3624</v>
      </c>
      <c r="F946" s="76"/>
    </row>
    <row r="947" spans="1:6" ht="63.95" customHeight="1">
      <c r="A947" s="76" t="s">
        <v>1856</v>
      </c>
      <c r="B947" s="76" t="s">
        <v>4287</v>
      </c>
      <c r="C947" s="76" t="s">
        <v>4288</v>
      </c>
      <c r="D947" s="76" t="s">
        <v>4289</v>
      </c>
      <c r="E947" s="76" t="s">
        <v>3624</v>
      </c>
      <c r="F947" s="76"/>
    </row>
    <row r="948" spans="1:6" ht="63.95" customHeight="1">
      <c r="A948" s="76" t="s">
        <v>1856</v>
      </c>
      <c r="B948" s="76" t="s">
        <v>4290</v>
      </c>
      <c r="C948" s="76" t="s">
        <v>4291</v>
      </c>
      <c r="D948" s="76" t="s">
        <v>4292</v>
      </c>
      <c r="E948" s="76" t="s">
        <v>3624</v>
      </c>
      <c r="F948" s="76"/>
    </row>
    <row r="949" spans="1:6" ht="63.95" customHeight="1">
      <c r="A949" s="76" t="s">
        <v>1856</v>
      </c>
      <c r="B949" s="76" t="s">
        <v>4293</v>
      </c>
      <c r="C949" s="76" t="s">
        <v>4294</v>
      </c>
      <c r="D949" s="76" t="s">
        <v>4295</v>
      </c>
      <c r="E949" s="76" t="s">
        <v>3624</v>
      </c>
      <c r="F949" s="76"/>
    </row>
    <row r="950" spans="1:6" ht="63.95" customHeight="1">
      <c r="A950" s="76" t="s">
        <v>1856</v>
      </c>
      <c r="B950" s="76" t="s">
        <v>4296</v>
      </c>
      <c r="C950" s="76" t="s">
        <v>4297</v>
      </c>
      <c r="D950" s="76" t="s">
        <v>4298</v>
      </c>
      <c r="E950" s="76" t="s">
        <v>3624</v>
      </c>
      <c r="F950" s="76"/>
    </row>
    <row r="951" spans="1:6" ht="63.95" customHeight="1">
      <c r="A951" s="76" t="s">
        <v>1856</v>
      </c>
      <c r="B951" s="76" t="s">
        <v>4299</v>
      </c>
      <c r="C951" s="76" t="s">
        <v>4300</v>
      </c>
      <c r="D951" s="76" t="s">
        <v>4301</v>
      </c>
      <c r="E951" s="76" t="s">
        <v>3624</v>
      </c>
      <c r="F951" s="76"/>
    </row>
    <row r="952" spans="1:6" ht="63.95" customHeight="1">
      <c r="A952" s="76" t="s">
        <v>1856</v>
      </c>
      <c r="B952" s="76" t="s">
        <v>4302</v>
      </c>
      <c r="C952" s="76" t="s">
        <v>4303</v>
      </c>
      <c r="D952" s="76" t="s">
        <v>4304</v>
      </c>
      <c r="E952" s="76" t="s">
        <v>3624</v>
      </c>
      <c r="F952" s="76"/>
    </row>
    <row r="953" spans="1:6" ht="63.95" customHeight="1">
      <c r="A953" s="76" t="s">
        <v>1856</v>
      </c>
      <c r="B953" s="76" t="s">
        <v>4305</v>
      </c>
      <c r="C953" s="76" t="s">
        <v>4306</v>
      </c>
      <c r="D953" s="76" t="s">
        <v>4307</v>
      </c>
      <c r="E953" s="76" t="s">
        <v>3624</v>
      </c>
      <c r="F953" s="76"/>
    </row>
    <row r="954" spans="1:6" ht="63.95" customHeight="1">
      <c r="A954" s="76" t="s">
        <v>1856</v>
      </c>
      <c r="B954" s="76" t="s">
        <v>4308</v>
      </c>
      <c r="C954" s="76" t="s">
        <v>4309</v>
      </c>
      <c r="D954" s="76" t="s">
        <v>4310</v>
      </c>
      <c r="E954" s="76" t="s">
        <v>3624</v>
      </c>
      <c r="F954" s="76"/>
    </row>
    <row r="955" spans="1:6" ht="63.95" customHeight="1">
      <c r="A955" s="76" t="s">
        <v>1856</v>
      </c>
      <c r="B955" s="76" t="s">
        <v>4311</v>
      </c>
      <c r="C955" s="76" t="s">
        <v>4312</v>
      </c>
      <c r="D955" s="76" t="s">
        <v>4313</v>
      </c>
      <c r="E955" s="76" t="s">
        <v>3624</v>
      </c>
      <c r="F955" s="76"/>
    </row>
    <row r="956" spans="1:6" ht="63.95" customHeight="1">
      <c r="A956" s="76" t="s">
        <v>1856</v>
      </c>
      <c r="B956" s="76" t="s">
        <v>4314</v>
      </c>
      <c r="C956" s="76" t="s">
        <v>4315</v>
      </c>
      <c r="D956" s="76" t="s">
        <v>4316</v>
      </c>
      <c r="E956" s="76" t="s">
        <v>3624</v>
      </c>
      <c r="F956" s="76"/>
    </row>
    <row r="957" spans="1:6" ht="63.95" customHeight="1">
      <c r="A957" s="76" t="s">
        <v>1856</v>
      </c>
      <c r="B957" s="76" t="s">
        <v>4317</v>
      </c>
      <c r="C957" s="76" t="s">
        <v>4318</v>
      </c>
      <c r="D957" s="76" t="s">
        <v>4319</v>
      </c>
      <c r="E957" s="76" t="s">
        <v>3624</v>
      </c>
      <c r="F957" s="76"/>
    </row>
    <row r="958" spans="1:6" ht="63.95" customHeight="1">
      <c r="A958" s="76" t="s">
        <v>1856</v>
      </c>
      <c r="B958" s="76" t="s">
        <v>4320</v>
      </c>
      <c r="C958" s="76" t="s">
        <v>4321</v>
      </c>
      <c r="D958" s="76" t="s">
        <v>4322</v>
      </c>
      <c r="E958" s="76" t="s">
        <v>3624</v>
      </c>
      <c r="F958" s="76"/>
    </row>
    <row r="959" spans="1:6" ht="63.95" customHeight="1">
      <c r="A959" s="76" t="s">
        <v>1856</v>
      </c>
      <c r="B959" s="76" t="s">
        <v>4323</v>
      </c>
      <c r="C959" s="76" t="s">
        <v>4324</v>
      </c>
      <c r="D959" s="76" t="s">
        <v>4325</v>
      </c>
      <c r="E959" s="76" t="s">
        <v>3624</v>
      </c>
      <c r="F959" s="76"/>
    </row>
    <row r="960" spans="1:6" ht="63.95" customHeight="1">
      <c r="A960" s="76" t="s">
        <v>1856</v>
      </c>
      <c r="B960" s="76" t="s">
        <v>4326</v>
      </c>
      <c r="C960" s="76" t="s">
        <v>4327</v>
      </c>
      <c r="D960" s="76" t="s">
        <v>4328</v>
      </c>
      <c r="E960" s="76" t="s">
        <v>3624</v>
      </c>
      <c r="F960" s="76"/>
    </row>
    <row r="961" spans="1:6" ht="63.95" customHeight="1">
      <c r="A961" s="76" t="s">
        <v>1856</v>
      </c>
      <c r="B961" s="76" t="s">
        <v>4329</v>
      </c>
      <c r="C961" s="76" t="s">
        <v>4330</v>
      </c>
      <c r="D961" s="76" t="s">
        <v>4331</v>
      </c>
      <c r="E961" s="76" t="s">
        <v>3624</v>
      </c>
      <c r="F961" s="76"/>
    </row>
    <row r="962" spans="1:6" ht="63.95" customHeight="1">
      <c r="A962" s="76" t="s">
        <v>1856</v>
      </c>
      <c r="B962" s="76" t="s">
        <v>4332</v>
      </c>
      <c r="C962" s="76" t="s">
        <v>4333</v>
      </c>
      <c r="D962" s="76" t="s">
        <v>4334</v>
      </c>
      <c r="E962" s="76" t="s">
        <v>3624</v>
      </c>
      <c r="F962" s="76"/>
    </row>
    <row r="963" spans="1:6" ht="63.95" customHeight="1">
      <c r="A963" s="76" t="s">
        <v>1856</v>
      </c>
      <c r="B963" s="76" t="s">
        <v>4335</v>
      </c>
      <c r="C963" s="76" t="s">
        <v>4336</v>
      </c>
      <c r="D963" s="76" t="s">
        <v>4337</v>
      </c>
      <c r="E963" s="76" t="s">
        <v>3624</v>
      </c>
      <c r="F963" s="76"/>
    </row>
    <row r="964" spans="1:6" ht="63.95" customHeight="1">
      <c r="A964" s="76" t="s">
        <v>1856</v>
      </c>
      <c r="B964" s="76" t="s">
        <v>4338</v>
      </c>
      <c r="C964" s="76" t="s">
        <v>4339</v>
      </c>
      <c r="D964" s="76" t="s">
        <v>4340</v>
      </c>
      <c r="E964" s="76" t="s">
        <v>3624</v>
      </c>
      <c r="F964" s="76"/>
    </row>
    <row r="965" spans="1:6" ht="63.95" customHeight="1">
      <c r="A965" s="76" t="s">
        <v>1856</v>
      </c>
      <c r="B965" s="76" t="s">
        <v>4341</v>
      </c>
      <c r="C965" s="76" t="s">
        <v>4342</v>
      </c>
      <c r="D965" s="76" t="s">
        <v>4343</v>
      </c>
      <c r="E965" s="76" t="s">
        <v>3624</v>
      </c>
      <c r="F965" s="76"/>
    </row>
    <row r="966" spans="1:6" ht="63.95" customHeight="1">
      <c r="A966" s="76" t="s">
        <v>1856</v>
      </c>
      <c r="B966" s="76" t="s">
        <v>4344</v>
      </c>
      <c r="C966" s="76" t="s">
        <v>4345</v>
      </c>
      <c r="D966" s="76" t="s">
        <v>4346</v>
      </c>
      <c r="E966" s="76" t="s">
        <v>3624</v>
      </c>
      <c r="F966" s="76"/>
    </row>
    <row r="967" spans="1:6" ht="63.95" customHeight="1">
      <c r="A967" s="76" t="s">
        <v>1856</v>
      </c>
      <c r="B967" s="76" t="s">
        <v>4347</v>
      </c>
      <c r="C967" s="76" t="s">
        <v>4348</v>
      </c>
      <c r="D967" s="76" t="s">
        <v>4349</v>
      </c>
      <c r="E967" s="76" t="s">
        <v>3624</v>
      </c>
      <c r="F967" s="76"/>
    </row>
    <row r="968" spans="1:6" ht="63.95" customHeight="1">
      <c r="A968" s="76" t="s">
        <v>1856</v>
      </c>
      <c r="B968" s="76" t="s">
        <v>4350</v>
      </c>
      <c r="C968" s="76" t="s">
        <v>4351</v>
      </c>
      <c r="D968" s="76" t="s">
        <v>4352</v>
      </c>
      <c r="E968" s="76" t="s">
        <v>3624</v>
      </c>
      <c r="F968" s="76"/>
    </row>
    <row r="969" spans="1:6" ht="63.95" customHeight="1">
      <c r="A969" s="76" t="s">
        <v>1856</v>
      </c>
      <c r="B969" s="76" t="s">
        <v>4353</v>
      </c>
      <c r="C969" s="76" t="s">
        <v>4354</v>
      </c>
      <c r="D969" s="76" t="s">
        <v>4355</v>
      </c>
      <c r="E969" s="76" t="s">
        <v>3624</v>
      </c>
      <c r="F969" s="76"/>
    </row>
    <row r="970" spans="1:6" ht="63.95" customHeight="1">
      <c r="A970" s="76" t="s">
        <v>1856</v>
      </c>
      <c r="B970" s="76" t="s">
        <v>4356</v>
      </c>
      <c r="C970" s="76" t="s">
        <v>4357</v>
      </c>
      <c r="D970" s="76" t="s">
        <v>4358</v>
      </c>
      <c r="E970" s="76" t="s">
        <v>3624</v>
      </c>
      <c r="F970" s="76"/>
    </row>
    <row r="971" spans="1:6" ht="63.95" customHeight="1">
      <c r="A971" s="76" t="s">
        <v>1856</v>
      </c>
      <c r="B971" s="76" t="s">
        <v>4359</v>
      </c>
      <c r="C971" s="76" t="s">
        <v>4360</v>
      </c>
      <c r="D971" s="76" t="s">
        <v>4361</v>
      </c>
      <c r="E971" s="76" t="s">
        <v>3624</v>
      </c>
      <c r="F971" s="76"/>
    </row>
    <row r="972" spans="1:6" ht="63.95" customHeight="1">
      <c r="A972" s="76" t="s">
        <v>1856</v>
      </c>
      <c r="B972" s="76" t="s">
        <v>4362</v>
      </c>
      <c r="C972" s="76" t="s">
        <v>4363</v>
      </c>
      <c r="D972" s="76" t="s">
        <v>4364</v>
      </c>
      <c r="E972" s="76" t="s">
        <v>3624</v>
      </c>
      <c r="F972" s="76"/>
    </row>
    <row r="973" spans="1:6" ht="63.95" customHeight="1">
      <c r="A973" s="76" t="s">
        <v>1856</v>
      </c>
      <c r="B973" s="76" t="s">
        <v>4365</v>
      </c>
      <c r="C973" s="76" t="s">
        <v>4366</v>
      </c>
      <c r="D973" s="76" t="s">
        <v>4367</v>
      </c>
      <c r="E973" s="76" t="s">
        <v>3624</v>
      </c>
      <c r="F973" s="76"/>
    </row>
    <row r="974" spans="1:6" ht="63.95" customHeight="1">
      <c r="A974" s="76" t="s">
        <v>1856</v>
      </c>
      <c r="B974" s="76" t="s">
        <v>4368</v>
      </c>
      <c r="C974" s="76" t="s">
        <v>4369</v>
      </c>
      <c r="D974" s="76" t="s">
        <v>4370</v>
      </c>
      <c r="E974" s="76" t="s">
        <v>3624</v>
      </c>
      <c r="F974" s="76"/>
    </row>
    <row r="975" spans="1:6" ht="63.95" customHeight="1">
      <c r="A975" s="76" t="s">
        <v>1856</v>
      </c>
      <c r="B975" s="76" t="s">
        <v>4371</v>
      </c>
      <c r="C975" s="76" t="s">
        <v>4372</v>
      </c>
      <c r="D975" s="76" t="s">
        <v>4373</v>
      </c>
      <c r="E975" s="76" t="s">
        <v>3624</v>
      </c>
      <c r="F975" s="76"/>
    </row>
    <row r="976" spans="1:6" ht="63.95" customHeight="1">
      <c r="A976" s="76" t="s">
        <v>1856</v>
      </c>
      <c r="B976" s="76" t="s">
        <v>4374</v>
      </c>
      <c r="C976" s="76" t="s">
        <v>4375</v>
      </c>
      <c r="D976" s="76" t="s">
        <v>4376</v>
      </c>
      <c r="E976" s="76" t="s">
        <v>3624</v>
      </c>
      <c r="F976" s="76"/>
    </row>
    <row r="977" spans="1:6" ht="63.95" customHeight="1">
      <c r="A977" s="76" t="s">
        <v>1856</v>
      </c>
      <c r="B977" s="76" t="s">
        <v>4377</v>
      </c>
      <c r="C977" s="76" t="s">
        <v>4378</v>
      </c>
      <c r="D977" s="76" t="s">
        <v>4379</v>
      </c>
      <c r="E977" s="76" t="s">
        <v>3624</v>
      </c>
      <c r="F977" s="76"/>
    </row>
    <row r="978" spans="1:6" ht="63.95" customHeight="1">
      <c r="A978" s="76" t="s">
        <v>1856</v>
      </c>
      <c r="B978" s="76" t="s">
        <v>4380</v>
      </c>
      <c r="C978" s="76" t="s">
        <v>4381</v>
      </c>
      <c r="D978" s="76" t="s">
        <v>4382</v>
      </c>
      <c r="E978" s="76" t="s">
        <v>3624</v>
      </c>
      <c r="F978" s="76"/>
    </row>
    <row r="979" spans="1:6" ht="63.95" customHeight="1">
      <c r="A979" s="76" t="s">
        <v>1856</v>
      </c>
      <c r="B979" s="76" t="s">
        <v>4383</v>
      </c>
      <c r="C979" s="76" t="s">
        <v>4384</v>
      </c>
      <c r="D979" s="76" t="s">
        <v>4385</v>
      </c>
      <c r="E979" s="76" t="s">
        <v>3624</v>
      </c>
      <c r="F979" s="76"/>
    </row>
    <row r="980" spans="1:6" ht="63.95" customHeight="1">
      <c r="A980" s="76" t="s">
        <v>1856</v>
      </c>
      <c r="B980" s="76" t="s">
        <v>4386</v>
      </c>
      <c r="C980" s="76" t="s">
        <v>4387</v>
      </c>
      <c r="D980" s="76" t="s">
        <v>4388</v>
      </c>
      <c r="E980" s="76" t="s">
        <v>3624</v>
      </c>
      <c r="F980" s="76"/>
    </row>
    <row r="981" spans="1:6" ht="63.95" customHeight="1">
      <c r="A981" s="76" t="s">
        <v>1856</v>
      </c>
      <c r="B981" s="76" t="s">
        <v>4389</v>
      </c>
      <c r="C981" s="76" t="s">
        <v>4390</v>
      </c>
      <c r="D981" s="76" t="s">
        <v>4391</v>
      </c>
      <c r="E981" s="76" t="s">
        <v>3624</v>
      </c>
      <c r="F981" s="76"/>
    </row>
    <row r="982" spans="1:6" ht="63.95" customHeight="1">
      <c r="A982" s="76" t="s">
        <v>1856</v>
      </c>
      <c r="B982" s="76" t="s">
        <v>4392</v>
      </c>
      <c r="C982" s="76" t="s">
        <v>4393</v>
      </c>
      <c r="D982" s="76" t="s">
        <v>4394</v>
      </c>
      <c r="E982" s="76" t="s">
        <v>3624</v>
      </c>
      <c r="F982" s="76"/>
    </row>
    <row r="983" spans="1:6" ht="63.95" customHeight="1">
      <c r="A983" s="76" t="s">
        <v>1856</v>
      </c>
      <c r="B983" s="76" t="s">
        <v>4395</v>
      </c>
      <c r="C983" s="76" t="s">
        <v>4396</v>
      </c>
      <c r="D983" s="76" t="s">
        <v>4397</v>
      </c>
      <c r="E983" s="76" t="s">
        <v>3624</v>
      </c>
      <c r="F983" s="76"/>
    </row>
    <row r="984" spans="1:6" ht="63.95" customHeight="1">
      <c r="A984" s="76" t="s">
        <v>1856</v>
      </c>
      <c r="B984" s="76" t="s">
        <v>4398</v>
      </c>
      <c r="C984" s="76" t="s">
        <v>4399</v>
      </c>
      <c r="D984" s="76" t="s">
        <v>4400</v>
      </c>
      <c r="E984" s="76" t="s">
        <v>3624</v>
      </c>
      <c r="F984" s="76"/>
    </row>
    <row r="985" spans="1:6" ht="63.95" customHeight="1">
      <c r="A985" s="76" t="s">
        <v>1856</v>
      </c>
      <c r="B985" s="76" t="s">
        <v>4401</v>
      </c>
      <c r="C985" s="76" t="s">
        <v>4402</v>
      </c>
      <c r="D985" s="76" t="s">
        <v>4403</v>
      </c>
      <c r="E985" s="76" t="s">
        <v>3624</v>
      </c>
      <c r="F985" s="76"/>
    </row>
    <row r="986" spans="1:6" ht="63.95" customHeight="1">
      <c r="A986" s="76" t="s">
        <v>1856</v>
      </c>
      <c r="B986" s="76" t="s">
        <v>4404</v>
      </c>
      <c r="C986" s="76" t="s">
        <v>4405</v>
      </c>
      <c r="D986" s="76" t="s">
        <v>4406</v>
      </c>
      <c r="E986" s="76" t="s">
        <v>3624</v>
      </c>
      <c r="F986" s="76"/>
    </row>
    <row r="987" spans="1:6" ht="63.95" customHeight="1">
      <c r="A987" s="76" t="s">
        <v>1856</v>
      </c>
      <c r="B987" s="76" t="s">
        <v>4407</v>
      </c>
      <c r="C987" s="76" t="s">
        <v>4408</v>
      </c>
      <c r="D987" s="76" t="s">
        <v>4409</v>
      </c>
      <c r="E987" s="76" t="s">
        <v>3624</v>
      </c>
      <c r="F987" s="76"/>
    </row>
    <row r="988" spans="1:6" ht="63.95" customHeight="1">
      <c r="A988" s="76" t="s">
        <v>1856</v>
      </c>
      <c r="B988" s="76" t="s">
        <v>4410</v>
      </c>
      <c r="C988" s="76" t="s">
        <v>4411</v>
      </c>
      <c r="D988" s="76" t="s">
        <v>4412</v>
      </c>
      <c r="E988" s="76" t="s">
        <v>3624</v>
      </c>
      <c r="F988" s="76"/>
    </row>
    <row r="989" spans="1:6" ht="63.95" customHeight="1">
      <c r="A989" s="76" t="s">
        <v>1856</v>
      </c>
      <c r="B989" s="76" t="s">
        <v>4413</v>
      </c>
      <c r="C989" s="76" t="s">
        <v>4414</v>
      </c>
      <c r="D989" s="76" t="s">
        <v>4415</v>
      </c>
      <c r="E989" s="76" t="s">
        <v>3624</v>
      </c>
      <c r="F989" s="76"/>
    </row>
    <row r="990" spans="1:6" ht="63.95" customHeight="1">
      <c r="A990" s="76" t="s">
        <v>1856</v>
      </c>
      <c r="B990" s="76" t="s">
        <v>4416</v>
      </c>
      <c r="C990" s="76" t="s">
        <v>4417</v>
      </c>
      <c r="D990" s="76" t="s">
        <v>4418</v>
      </c>
      <c r="E990" s="76" t="s">
        <v>3624</v>
      </c>
      <c r="F990" s="76"/>
    </row>
    <row r="991" spans="1:6" ht="63.95" customHeight="1">
      <c r="A991" s="76" t="s">
        <v>1856</v>
      </c>
      <c r="B991" s="76" t="s">
        <v>4419</v>
      </c>
      <c r="C991" s="76" t="s">
        <v>4420</v>
      </c>
      <c r="D991" s="76" t="s">
        <v>4421</v>
      </c>
      <c r="E991" s="76" t="s">
        <v>3624</v>
      </c>
      <c r="F991" s="76"/>
    </row>
    <row r="992" spans="1:6" ht="63.95" customHeight="1">
      <c r="A992" s="76" t="s">
        <v>1856</v>
      </c>
      <c r="B992" s="76" t="s">
        <v>4422</v>
      </c>
      <c r="C992" s="76" t="s">
        <v>4423</v>
      </c>
      <c r="D992" s="76" t="s">
        <v>4424</v>
      </c>
      <c r="E992" s="76" t="s">
        <v>3624</v>
      </c>
      <c r="F992" s="76"/>
    </row>
    <row r="993" spans="1:6" ht="63.95" customHeight="1">
      <c r="A993" s="76" t="s">
        <v>1856</v>
      </c>
      <c r="B993" s="76" t="s">
        <v>4425</v>
      </c>
      <c r="C993" s="76" t="s">
        <v>4426</v>
      </c>
      <c r="D993" s="76" t="s">
        <v>4427</v>
      </c>
      <c r="E993" s="76" t="s">
        <v>3624</v>
      </c>
      <c r="F993" s="76"/>
    </row>
    <row r="994" spans="1:6" ht="63.95" customHeight="1">
      <c r="A994" s="76" t="s">
        <v>1856</v>
      </c>
      <c r="B994" s="76" t="s">
        <v>4428</v>
      </c>
      <c r="C994" s="76" t="s">
        <v>4429</v>
      </c>
      <c r="D994" s="76" t="s">
        <v>4430</v>
      </c>
      <c r="E994" s="76" t="s">
        <v>3624</v>
      </c>
      <c r="F994" s="76"/>
    </row>
    <row r="995" spans="1:6" ht="63.95" customHeight="1">
      <c r="A995" s="76" t="s">
        <v>1856</v>
      </c>
      <c r="B995" s="76" t="s">
        <v>4431</v>
      </c>
      <c r="C995" s="76" t="s">
        <v>4432</v>
      </c>
      <c r="D995" s="76" t="s">
        <v>4433</v>
      </c>
      <c r="E995" s="76" t="s">
        <v>3624</v>
      </c>
      <c r="F995" s="76"/>
    </row>
    <row r="996" spans="1:6" ht="63.95" customHeight="1">
      <c r="A996" s="76" t="s">
        <v>1856</v>
      </c>
      <c r="B996" s="76" t="s">
        <v>4434</v>
      </c>
      <c r="C996" s="76" t="s">
        <v>4435</v>
      </c>
      <c r="D996" s="76" t="s">
        <v>4436</v>
      </c>
      <c r="E996" s="76" t="s">
        <v>3624</v>
      </c>
      <c r="F996" s="76"/>
    </row>
    <row r="997" spans="1:6" ht="63.95" customHeight="1">
      <c r="A997" s="76" t="s">
        <v>1856</v>
      </c>
      <c r="B997" s="76" t="s">
        <v>4437</v>
      </c>
      <c r="C997" s="76" t="s">
        <v>4438</v>
      </c>
      <c r="D997" s="76" t="s">
        <v>4439</v>
      </c>
      <c r="E997" s="76" t="s">
        <v>3624</v>
      </c>
      <c r="F997" s="76"/>
    </row>
    <row r="998" spans="1:6" ht="63.95" customHeight="1">
      <c r="A998" s="76" t="s">
        <v>1856</v>
      </c>
      <c r="B998" s="76" t="s">
        <v>4440</v>
      </c>
      <c r="C998" s="76" t="s">
        <v>4441</v>
      </c>
      <c r="D998" s="76" t="s">
        <v>4442</v>
      </c>
      <c r="E998" s="76" t="s">
        <v>3624</v>
      </c>
      <c r="F998" s="76"/>
    </row>
    <row r="999" spans="1:6" ht="63.95" customHeight="1">
      <c r="A999" s="76" t="s">
        <v>1856</v>
      </c>
      <c r="B999" s="76" t="s">
        <v>4443</v>
      </c>
      <c r="C999" s="76" t="s">
        <v>4444</v>
      </c>
      <c r="D999" s="76" t="s">
        <v>4445</v>
      </c>
      <c r="E999" s="76" t="s">
        <v>3624</v>
      </c>
      <c r="F999" s="76"/>
    </row>
    <row r="1000" spans="1:6" ht="63.95" customHeight="1">
      <c r="A1000" s="76" t="s">
        <v>1856</v>
      </c>
      <c r="B1000" s="76" t="s">
        <v>4446</v>
      </c>
      <c r="C1000" s="76" t="s">
        <v>4447</v>
      </c>
      <c r="D1000" s="76" t="s">
        <v>4448</v>
      </c>
      <c r="E1000" s="76" t="s">
        <v>3624</v>
      </c>
      <c r="F1000" s="76"/>
    </row>
    <row r="1001" spans="1:6" ht="63.95" customHeight="1">
      <c r="A1001" s="76" t="s">
        <v>1856</v>
      </c>
      <c r="B1001" s="76" t="s">
        <v>4449</v>
      </c>
      <c r="C1001" s="76" t="s">
        <v>4450</v>
      </c>
      <c r="D1001" s="76" t="s">
        <v>4451</v>
      </c>
      <c r="E1001" s="76" t="s">
        <v>3624</v>
      </c>
      <c r="F1001" s="76"/>
    </row>
    <row r="1002" spans="1:6" ht="63.95" customHeight="1">
      <c r="A1002" s="76" t="s">
        <v>1856</v>
      </c>
      <c r="B1002" s="76" t="s">
        <v>4452</v>
      </c>
      <c r="C1002" s="76" t="s">
        <v>4453</v>
      </c>
      <c r="D1002" s="76" t="s">
        <v>4454</v>
      </c>
      <c r="E1002" s="76" t="s">
        <v>3624</v>
      </c>
      <c r="F1002" s="76"/>
    </row>
    <row r="1003" spans="1:6" ht="63.95" customHeight="1">
      <c r="A1003" s="76" t="s">
        <v>1856</v>
      </c>
      <c r="B1003" s="76" t="s">
        <v>4455</v>
      </c>
      <c r="C1003" s="76" t="s">
        <v>4456</v>
      </c>
      <c r="D1003" s="76" t="s">
        <v>4457</v>
      </c>
      <c r="E1003" s="76" t="s">
        <v>3624</v>
      </c>
      <c r="F1003" s="76"/>
    </row>
    <row r="1004" spans="1:6" ht="63.95" customHeight="1">
      <c r="A1004" s="76" t="s">
        <v>1856</v>
      </c>
      <c r="B1004" s="76" t="s">
        <v>4458</v>
      </c>
      <c r="C1004" s="76" t="s">
        <v>4459</v>
      </c>
      <c r="D1004" s="76" t="s">
        <v>4460</v>
      </c>
      <c r="E1004" s="76" t="s">
        <v>3624</v>
      </c>
      <c r="F1004" s="76"/>
    </row>
    <row r="1005" spans="1:6" ht="63.95" customHeight="1">
      <c r="A1005" s="76" t="s">
        <v>1856</v>
      </c>
      <c r="B1005" s="76" t="s">
        <v>4461</v>
      </c>
      <c r="C1005" s="76" t="s">
        <v>4462</v>
      </c>
      <c r="D1005" s="76" t="s">
        <v>4463</v>
      </c>
      <c r="E1005" s="76" t="s">
        <v>3624</v>
      </c>
      <c r="F1005" s="76"/>
    </row>
    <row r="1006" spans="1:6" ht="63.95" customHeight="1">
      <c r="A1006" s="76" t="s">
        <v>1856</v>
      </c>
      <c r="B1006" s="76" t="s">
        <v>4464</v>
      </c>
      <c r="C1006" s="76" t="s">
        <v>4465</v>
      </c>
      <c r="D1006" s="76" t="s">
        <v>4466</v>
      </c>
      <c r="E1006" s="76" t="s">
        <v>3624</v>
      </c>
      <c r="F1006" s="76"/>
    </row>
    <row r="1007" spans="1:6" ht="63.95" customHeight="1">
      <c r="A1007" s="76" t="s">
        <v>1856</v>
      </c>
      <c r="B1007" s="76" t="s">
        <v>4467</v>
      </c>
      <c r="C1007" s="76" t="s">
        <v>4468</v>
      </c>
      <c r="D1007" s="76" t="s">
        <v>4469</v>
      </c>
      <c r="E1007" s="76" t="s">
        <v>3624</v>
      </c>
      <c r="F1007" s="76"/>
    </row>
    <row r="1008" spans="1:6" ht="63.95" customHeight="1">
      <c r="A1008" s="76" t="s">
        <v>1856</v>
      </c>
      <c r="B1008" s="76" t="s">
        <v>4470</v>
      </c>
      <c r="C1008" s="76" t="s">
        <v>4471</v>
      </c>
      <c r="D1008" s="76" t="s">
        <v>4472</v>
      </c>
      <c r="E1008" s="76" t="s">
        <v>3624</v>
      </c>
      <c r="F1008" s="76"/>
    </row>
    <row r="1009" spans="1:6" ht="63.95" customHeight="1">
      <c r="A1009" s="76" t="s">
        <v>1856</v>
      </c>
      <c r="B1009" s="76" t="s">
        <v>4473</v>
      </c>
      <c r="C1009" s="76" t="s">
        <v>4474</v>
      </c>
      <c r="D1009" s="76" t="s">
        <v>4475</v>
      </c>
      <c r="E1009" s="76" t="s">
        <v>3624</v>
      </c>
      <c r="F1009" s="76"/>
    </row>
    <row r="1010" spans="1:6" ht="63.95" customHeight="1">
      <c r="A1010" s="76" t="s">
        <v>1856</v>
      </c>
      <c r="B1010" s="76" t="s">
        <v>4476</v>
      </c>
      <c r="C1010" s="76" t="s">
        <v>4477</v>
      </c>
      <c r="D1010" s="76" t="s">
        <v>4478</v>
      </c>
      <c r="E1010" s="76" t="s">
        <v>3624</v>
      </c>
      <c r="F1010" s="76"/>
    </row>
    <row r="1011" spans="1:6" ht="63.95" customHeight="1">
      <c r="A1011" s="76" t="s">
        <v>1856</v>
      </c>
      <c r="B1011" s="76" t="s">
        <v>4479</v>
      </c>
      <c r="C1011" s="76" t="s">
        <v>4480</v>
      </c>
      <c r="D1011" s="76" t="s">
        <v>4481</v>
      </c>
      <c r="E1011" s="76" t="s">
        <v>3624</v>
      </c>
      <c r="F1011" s="76"/>
    </row>
    <row r="1012" spans="1:6" ht="63.95" customHeight="1">
      <c r="A1012" s="76" t="s">
        <v>1856</v>
      </c>
      <c r="B1012" s="76" t="s">
        <v>4482</v>
      </c>
      <c r="C1012" s="76" t="s">
        <v>4483</v>
      </c>
      <c r="D1012" s="76" t="s">
        <v>4484</v>
      </c>
      <c r="E1012" s="76" t="s">
        <v>3624</v>
      </c>
      <c r="F1012" s="76"/>
    </row>
    <row r="1013" spans="1:6" ht="63.95" customHeight="1">
      <c r="A1013" s="76" t="s">
        <v>1856</v>
      </c>
      <c r="B1013" s="76" t="s">
        <v>4485</v>
      </c>
      <c r="C1013" s="76" t="s">
        <v>4486</v>
      </c>
      <c r="D1013" s="76" t="s">
        <v>4487</v>
      </c>
      <c r="E1013" s="76" t="s">
        <v>3624</v>
      </c>
      <c r="F1013" s="76"/>
    </row>
    <row r="1014" spans="1:6" ht="63.95" customHeight="1">
      <c r="A1014" s="76" t="s">
        <v>1856</v>
      </c>
      <c r="B1014" s="76" t="s">
        <v>4488</v>
      </c>
      <c r="C1014" s="76" t="s">
        <v>4489</v>
      </c>
      <c r="D1014" s="76" t="s">
        <v>4490</v>
      </c>
      <c r="E1014" s="76" t="s">
        <v>3624</v>
      </c>
      <c r="F1014" s="76"/>
    </row>
    <row r="1015" spans="1:6" ht="63.95" customHeight="1">
      <c r="A1015" s="76" t="s">
        <v>1856</v>
      </c>
      <c r="B1015" s="76" t="s">
        <v>4491</v>
      </c>
      <c r="C1015" s="76" t="s">
        <v>4492</v>
      </c>
      <c r="D1015" s="76" t="s">
        <v>4493</v>
      </c>
      <c r="E1015" s="76" t="s">
        <v>3624</v>
      </c>
      <c r="F1015" s="76"/>
    </row>
    <row r="1016" spans="1:6" ht="63.95" customHeight="1">
      <c r="A1016" s="76" t="s">
        <v>1856</v>
      </c>
      <c r="B1016" s="76" t="s">
        <v>4494</v>
      </c>
      <c r="C1016" s="76" t="s">
        <v>4495</v>
      </c>
      <c r="D1016" s="76" t="s">
        <v>4496</v>
      </c>
      <c r="E1016" s="76" t="s">
        <v>3624</v>
      </c>
      <c r="F1016" s="76"/>
    </row>
    <row r="1017" spans="1:6" ht="63.95" customHeight="1">
      <c r="A1017" s="76" t="s">
        <v>1856</v>
      </c>
      <c r="B1017" s="76" t="s">
        <v>4497</v>
      </c>
      <c r="C1017" s="76" t="s">
        <v>4498</v>
      </c>
      <c r="D1017" s="76" t="s">
        <v>4499</v>
      </c>
      <c r="E1017" s="76" t="s">
        <v>3624</v>
      </c>
      <c r="F1017" s="76"/>
    </row>
    <row r="1018" spans="1:6" ht="63.95" customHeight="1">
      <c r="A1018" s="76" t="s">
        <v>1856</v>
      </c>
      <c r="B1018" s="76" t="s">
        <v>4500</v>
      </c>
      <c r="C1018" s="76" t="s">
        <v>4501</v>
      </c>
      <c r="D1018" s="76" t="s">
        <v>4502</v>
      </c>
      <c r="E1018" s="76" t="s">
        <v>3624</v>
      </c>
      <c r="F1018" s="76"/>
    </row>
    <row r="1019" spans="1:6" ht="63.95" customHeight="1">
      <c r="A1019" s="76" t="s">
        <v>1856</v>
      </c>
      <c r="B1019" s="76" t="s">
        <v>4503</v>
      </c>
      <c r="C1019" s="76" t="s">
        <v>4504</v>
      </c>
      <c r="D1019" s="76" t="s">
        <v>4505</v>
      </c>
      <c r="E1019" s="76" t="s">
        <v>3624</v>
      </c>
      <c r="F1019" s="76"/>
    </row>
    <row r="1020" spans="1:6" ht="63.95" customHeight="1">
      <c r="A1020" s="76" t="s">
        <v>1856</v>
      </c>
      <c r="B1020" s="76" t="s">
        <v>4506</v>
      </c>
      <c r="C1020" s="76" t="s">
        <v>4507</v>
      </c>
      <c r="D1020" s="76" t="s">
        <v>4508</v>
      </c>
      <c r="E1020" s="76" t="s">
        <v>3624</v>
      </c>
      <c r="F1020" s="76"/>
    </row>
    <row r="1021" spans="1:6" ht="63.95" customHeight="1">
      <c r="A1021" s="76" t="s">
        <v>1856</v>
      </c>
      <c r="B1021" s="76" t="s">
        <v>4509</v>
      </c>
      <c r="C1021" s="76" t="s">
        <v>4510</v>
      </c>
      <c r="D1021" s="76" t="s">
        <v>4511</v>
      </c>
      <c r="E1021" s="76" t="s">
        <v>3624</v>
      </c>
      <c r="F1021" s="76"/>
    </row>
    <row r="1022" spans="1:6" ht="63.95" customHeight="1">
      <c r="A1022" s="76" t="s">
        <v>1856</v>
      </c>
      <c r="B1022" s="76" t="s">
        <v>4512</v>
      </c>
      <c r="C1022" s="76" t="s">
        <v>4513</v>
      </c>
      <c r="D1022" s="76" t="s">
        <v>4514</v>
      </c>
      <c r="E1022" s="76" t="s">
        <v>3624</v>
      </c>
      <c r="F1022" s="76"/>
    </row>
    <row r="1023" spans="1:6" ht="63.95" customHeight="1">
      <c r="A1023" s="76" t="s">
        <v>1856</v>
      </c>
      <c r="B1023" s="76" t="s">
        <v>4515</v>
      </c>
      <c r="C1023" s="76" t="s">
        <v>4516</v>
      </c>
      <c r="D1023" s="76" t="s">
        <v>4517</v>
      </c>
      <c r="E1023" s="76" t="s">
        <v>3624</v>
      </c>
      <c r="F1023" s="76"/>
    </row>
    <row r="1024" spans="1:6" ht="63.95" customHeight="1">
      <c r="A1024" s="76" t="s">
        <v>1856</v>
      </c>
      <c r="B1024" s="76" t="s">
        <v>4518</v>
      </c>
      <c r="C1024" s="76" t="s">
        <v>4519</v>
      </c>
      <c r="D1024" s="76" t="s">
        <v>4520</v>
      </c>
      <c r="E1024" s="76" t="s">
        <v>3624</v>
      </c>
      <c r="F1024" s="76"/>
    </row>
    <row r="1025" spans="1:6" ht="63.95" customHeight="1">
      <c r="A1025" s="76" t="s">
        <v>1856</v>
      </c>
      <c r="B1025" s="76" t="s">
        <v>4521</v>
      </c>
      <c r="C1025" s="76" t="s">
        <v>4522</v>
      </c>
      <c r="D1025" s="76" t="s">
        <v>4523</v>
      </c>
      <c r="E1025" s="76" t="s">
        <v>3624</v>
      </c>
      <c r="F1025" s="76"/>
    </row>
    <row r="1026" spans="1:6" ht="63.95" customHeight="1">
      <c r="A1026" s="76" t="s">
        <v>1856</v>
      </c>
      <c r="B1026" s="76" t="s">
        <v>4524</v>
      </c>
      <c r="C1026" s="76" t="s">
        <v>4525</v>
      </c>
      <c r="D1026" s="76" t="s">
        <v>4526</v>
      </c>
      <c r="E1026" s="76" t="s">
        <v>3624</v>
      </c>
      <c r="F1026" s="76"/>
    </row>
    <row r="1027" spans="1:6" ht="63.95" customHeight="1">
      <c r="A1027" s="76" t="s">
        <v>1856</v>
      </c>
      <c r="B1027" s="76" t="s">
        <v>4527</v>
      </c>
      <c r="C1027" s="76" t="s">
        <v>4528</v>
      </c>
      <c r="D1027" s="76" t="s">
        <v>4529</v>
      </c>
      <c r="E1027" s="76" t="s">
        <v>3624</v>
      </c>
      <c r="F1027" s="76"/>
    </row>
    <row r="1028" spans="1:6" ht="63.95" customHeight="1">
      <c r="A1028" s="76" t="s">
        <v>1856</v>
      </c>
      <c r="B1028" s="76" t="s">
        <v>4530</v>
      </c>
      <c r="C1028" s="76" t="s">
        <v>4531</v>
      </c>
      <c r="D1028" s="76" t="s">
        <v>4532</v>
      </c>
      <c r="E1028" s="76" t="s">
        <v>3624</v>
      </c>
      <c r="F1028" s="76"/>
    </row>
    <row r="1029" spans="1:6" ht="63.95" customHeight="1">
      <c r="A1029" s="76" t="s">
        <v>1856</v>
      </c>
      <c r="B1029" s="76" t="s">
        <v>4533</v>
      </c>
      <c r="C1029" s="76" t="s">
        <v>4534</v>
      </c>
      <c r="D1029" s="76" t="s">
        <v>4535</v>
      </c>
      <c r="E1029" s="76" t="s">
        <v>3624</v>
      </c>
      <c r="F1029" s="76"/>
    </row>
    <row r="1030" spans="1:6" ht="63.95" customHeight="1">
      <c r="A1030" s="76" t="s">
        <v>1856</v>
      </c>
      <c r="B1030" s="76" t="s">
        <v>4536</v>
      </c>
      <c r="C1030" s="76" t="s">
        <v>4537</v>
      </c>
      <c r="D1030" s="76" t="s">
        <v>4538</v>
      </c>
      <c r="E1030" s="76" t="s">
        <v>3624</v>
      </c>
      <c r="F1030" s="76"/>
    </row>
    <row r="1031" spans="1:6" ht="63.95" customHeight="1">
      <c r="A1031" s="76" t="s">
        <v>1856</v>
      </c>
      <c r="B1031" s="76" t="s">
        <v>4539</v>
      </c>
      <c r="C1031" s="76" t="s">
        <v>4540</v>
      </c>
      <c r="D1031" s="76" t="s">
        <v>4541</v>
      </c>
      <c r="E1031" s="76" t="s">
        <v>3624</v>
      </c>
      <c r="F1031" s="76"/>
    </row>
    <row r="1032" spans="1:6" ht="63.95" customHeight="1">
      <c r="A1032" s="76" t="s">
        <v>1856</v>
      </c>
      <c r="B1032" s="76" t="s">
        <v>4542</v>
      </c>
      <c r="C1032" s="76" t="s">
        <v>4543</v>
      </c>
      <c r="D1032" s="76" t="s">
        <v>4544</v>
      </c>
      <c r="E1032" s="76" t="s">
        <v>3624</v>
      </c>
      <c r="F1032" s="76"/>
    </row>
    <row r="1033" spans="1:6" ht="63.95" customHeight="1">
      <c r="A1033" s="76" t="s">
        <v>1856</v>
      </c>
      <c r="B1033" s="76" t="s">
        <v>4545</v>
      </c>
      <c r="C1033" s="76" t="s">
        <v>4546</v>
      </c>
      <c r="D1033" s="76" t="s">
        <v>4547</v>
      </c>
      <c r="E1033" s="76" t="s">
        <v>3624</v>
      </c>
      <c r="F1033" s="76"/>
    </row>
    <row r="1034" spans="1:6" ht="63.95" customHeight="1">
      <c r="A1034" s="76" t="s">
        <v>1856</v>
      </c>
      <c r="B1034" s="76" t="s">
        <v>4548</v>
      </c>
      <c r="C1034" s="76" t="s">
        <v>4549</v>
      </c>
      <c r="D1034" s="76" t="s">
        <v>4550</v>
      </c>
      <c r="E1034" s="76" t="s">
        <v>3624</v>
      </c>
      <c r="F1034" s="76"/>
    </row>
    <row r="1035" spans="1:6" ht="63.95" customHeight="1">
      <c r="A1035" s="76" t="s">
        <v>1856</v>
      </c>
      <c r="B1035" s="76" t="s">
        <v>4551</v>
      </c>
      <c r="C1035" s="76" t="s">
        <v>4552</v>
      </c>
      <c r="D1035" s="76" t="s">
        <v>4553</v>
      </c>
      <c r="E1035" s="76" t="s">
        <v>3624</v>
      </c>
      <c r="F1035" s="76"/>
    </row>
    <row r="1036" spans="1:6" ht="63.95" customHeight="1">
      <c r="A1036" s="76" t="s">
        <v>1856</v>
      </c>
      <c r="B1036" s="76" t="s">
        <v>4554</v>
      </c>
      <c r="C1036" s="76" t="s">
        <v>4555</v>
      </c>
      <c r="D1036" s="76" t="s">
        <v>4556</v>
      </c>
      <c r="E1036" s="76" t="s">
        <v>3624</v>
      </c>
      <c r="F1036" s="76"/>
    </row>
    <row r="1037" spans="1:6" ht="63.95" customHeight="1">
      <c r="A1037" s="76" t="s">
        <v>1856</v>
      </c>
      <c r="B1037" s="76" t="s">
        <v>4557</v>
      </c>
      <c r="C1037" s="76" t="s">
        <v>4558</v>
      </c>
      <c r="D1037" s="76" t="s">
        <v>4559</v>
      </c>
      <c r="E1037" s="76" t="s">
        <v>3624</v>
      </c>
      <c r="F1037" s="76"/>
    </row>
    <row r="1038" spans="1:6" ht="63.95" customHeight="1">
      <c r="A1038" s="76" t="s">
        <v>1856</v>
      </c>
      <c r="B1038" s="76" t="s">
        <v>4560</v>
      </c>
      <c r="C1038" s="76" t="s">
        <v>4561</v>
      </c>
      <c r="D1038" s="76" t="s">
        <v>4562</v>
      </c>
      <c r="E1038" s="76" t="s">
        <v>3624</v>
      </c>
      <c r="F1038" s="76"/>
    </row>
    <row r="1039" spans="1:6" ht="63.95" customHeight="1">
      <c r="A1039" s="76" t="s">
        <v>1856</v>
      </c>
      <c r="B1039" s="76" t="s">
        <v>4563</v>
      </c>
      <c r="C1039" s="76" t="s">
        <v>4564</v>
      </c>
      <c r="D1039" s="76" t="s">
        <v>4565</v>
      </c>
      <c r="E1039" s="76" t="s">
        <v>3624</v>
      </c>
      <c r="F1039" s="76"/>
    </row>
    <row r="1040" spans="1:6" ht="63.95" customHeight="1">
      <c r="A1040" s="76" t="s">
        <v>1856</v>
      </c>
      <c r="B1040" s="76" t="s">
        <v>4566</v>
      </c>
      <c r="C1040" s="76" t="s">
        <v>4567</v>
      </c>
      <c r="D1040" s="76" t="s">
        <v>4568</v>
      </c>
      <c r="E1040" s="76" t="s">
        <v>3624</v>
      </c>
      <c r="F1040" s="76"/>
    </row>
    <row r="1041" spans="1:6" ht="63.95" customHeight="1">
      <c r="A1041" s="76" t="s">
        <v>1856</v>
      </c>
      <c r="B1041" s="76" t="s">
        <v>4569</v>
      </c>
      <c r="C1041" s="76" t="s">
        <v>4570</v>
      </c>
      <c r="D1041" s="76" t="s">
        <v>4571</v>
      </c>
      <c r="E1041" s="76" t="s">
        <v>3624</v>
      </c>
      <c r="F1041" s="76"/>
    </row>
    <row r="1042" spans="1:6" ht="63.95" customHeight="1">
      <c r="A1042" s="76" t="s">
        <v>1856</v>
      </c>
      <c r="B1042" s="76" t="s">
        <v>4572</v>
      </c>
      <c r="C1042" s="76" t="s">
        <v>4573</v>
      </c>
      <c r="D1042" s="76" t="s">
        <v>4574</v>
      </c>
      <c r="E1042" s="76" t="s">
        <v>3624</v>
      </c>
      <c r="F1042" s="76"/>
    </row>
    <row r="1043" spans="1:6" ht="63.95" customHeight="1">
      <c r="A1043" s="76" t="s">
        <v>1856</v>
      </c>
      <c r="B1043" s="76" t="s">
        <v>4575</v>
      </c>
      <c r="C1043" s="76" t="s">
        <v>4576</v>
      </c>
      <c r="D1043" s="76" t="s">
        <v>4577</v>
      </c>
      <c r="E1043" s="76" t="s">
        <v>3624</v>
      </c>
      <c r="F1043" s="76"/>
    </row>
    <row r="1044" spans="1:6" ht="63.95" customHeight="1">
      <c r="A1044" s="76" t="s">
        <v>1856</v>
      </c>
      <c r="B1044" s="76" t="s">
        <v>4578</v>
      </c>
      <c r="C1044" s="76" t="s">
        <v>4579</v>
      </c>
      <c r="D1044" s="76" t="s">
        <v>4580</v>
      </c>
      <c r="E1044" s="76" t="s">
        <v>3624</v>
      </c>
      <c r="F1044" s="76"/>
    </row>
    <row r="1045" spans="1:6" ht="63.95" customHeight="1">
      <c r="A1045" s="76" t="s">
        <v>1856</v>
      </c>
      <c r="B1045" s="76" t="s">
        <v>4581</v>
      </c>
      <c r="C1045" s="76" t="s">
        <v>4582</v>
      </c>
      <c r="D1045" s="76" t="s">
        <v>4583</v>
      </c>
      <c r="E1045" s="76" t="s">
        <v>3624</v>
      </c>
      <c r="F1045" s="76"/>
    </row>
    <row r="1046" spans="1:6" ht="63.95" customHeight="1">
      <c r="A1046" s="76" t="s">
        <v>1856</v>
      </c>
      <c r="B1046" s="76" t="s">
        <v>4584</v>
      </c>
      <c r="C1046" s="76" t="s">
        <v>4585</v>
      </c>
      <c r="D1046" s="76" t="s">
        <v>4586</v>
      </c>
      <c r="E1046" s="76" t="s">
        <v>3624</v>
      </c>
      <c r="F1046" s="76"/>
    </row>
    <row r="1047" spans="1:6" ht="63.95" customHeight="1">
      <c r="A1047" s="76" t="s">
        <v>1856</v>
      </c>
      <c r="B1047" s="76" t="s">
        <v>4587</v>
      </c>
      <c r="C1047" s="76" t="s">
        <v>4588</v>
      </c>
      <c r="D1047" s="76" t="s">
        <v>4589</v>
      </c>
      <c r="E1047" s="76" t="s">
        <v>3624</v>
      </c>
      <c r="F1047" s="76"/>
    </row>
    <row r="1048" spans="1:6" ht="63.95" customHeight="1">
      <c r="A1048" s="76" t="s">
        <v>1856</v>
      </c>
      <c r="B1048" s="76" t="s">
        <v>4590</v>
      </c>
      <c r="C1048" s="76" t="s">
        <v>4591</v>
      </c>
      <c r="D1048" s="76" t="s">
        <v>4592</v>
      </c>
      <c r="E1048" s="76" t="s">
        <v>3624</v>
      </c>
      <c r="F1048" s="76"/>
    </row>
    <row r="1049" spans="1:6" ht="63.95" customHeight="1">
      <c r="A1049" s="76" t="s">
        <v>1856</v>
      </c>
      <c r="B1049" s="76" t="s">
        <v>4593</v>
      </c>
      <c r="C1049" s="76" t="s">
        <v>4594</v>
      </c>
      <c r="D1049" s="76" t="s">
        <v>4595</v>
      </c>
      <c r="E1049" s="76" t="s">
        <v>3624</v>
      </c>
      <c r="F1049" s="76"/>
    </row>
    <row r="1050" spans="1:6" ht="63.95" customHeight="1">
      <c r="A1050" s="76" t="s">
        <v>1856</v>
      </c>
      <c r="B1050" s="76" t="s">
        <v>4596</v>
      </c>
      <c r="C1050" s="76" t="s">
        <v>4597</v>
      </c>
      <c r="D1050" s="76" t="s">
        <v>4598</v>
      </c>
      <c r="E1050" s="76" t="s">
        <v>3624</v>
      </c>
      <c r="F1050" s="76"/>
    </row>
    <row r="1051" spans="1:6" ht="63.95" customHeight="1">
      <c r="A1051" s="76" t="s">
        <v>1856</v>
      </c>
      <c r="B1051" s="76" t="s">
        <v>4599</v>
      </c>
      <c r="C1051" s="76" t="s">
        <v>4600</v>
      </c>
      <c r="D1051" s="76" t="s">
        <v>4601</v>
      </c>
      <c r="E1051" s="76" t="s">
        <v>3624</v>
      </c>
      <c r="F1051" s="76"/>
    </row>
    <row r="1052" spans="1:6" ht="63.95" customHeight="1">
      <c r="A1052" s="76" t="s">
        <v>1856</v>
      </c>
      <c r="B1052" s="76" t="s">
        <v>4602</v>
      </c>
      <c r="C1052" s="76" t="s">
        <v>4603</v>
      </c>
      <c r="D1052" s="76" t="s">
        <v>4604</v>
      </c>
      <c r="E1052" s="76" t="s">
        <v>3624</v>
      </c>
      <c r="F1052" s="76"/>
    </row>
    <row r="1053" spans="1:6" ht="63.95" customHeight="1">
      <c r="A1053" s="76" t="s">
        <v>1856</v>
      </c>
      <c r="B1053" s="76" t="s">
        <v>4605</v>
      </c>
      <c r="C1053" s="76" t="s">
        <v>4606</v>
      </c>
      <c r="D1053" s="76" t="s">
        <v>4607</v>
      </c>
      <c r="E1053" s="76" t="s">
        <v>3624</v>
      </c>
      <c r="F1053" s="76"/>
    </row>
    <row r="1054" spans="1:6" ht="63.95" customHeight="1">
      <c r="A1054" s="76" t="s">
        <v>1856</v>
      </c>
      <c r="B1054" s="76" t="s">
        <v>4608</v>
      </c>
      <c r="C1054" s="76" t="s">
        <v>4609</v>
      </c>
      <c r="D1054" s="76" t="s">
        <v>4610</v>
      </c>
      <c r="E1054" s="76" t="s">
        <v>3624</v>
      </c>
      <c r="F1054" s="76"/>
    </row>
    <row r="1055" spans="1:6" ht="63.95" customHeight="1">
      <c r="A1055" s="76" t="s">
        <v>1856</v>
      </c>
      <c r="B1055" s="76" t="s">
        <v>4611</v>
      </c>
      <c r="C1055" s="76" t="s">
        <v>4612</v>
      </c>
      <c r="D1055" s="76" t="s">
        <v>4613</v>
      </c>
      <c r="E1055" s="76" t="s">
        <v>3624</v>
      </c>
      <c r="F1055" s="76"/>
    </row>
    <row r="1056" spans="1:6" ht="63.95" customHeight="1">
      <c r="A1056" s="76" t="s">
        <v>1856</v>
      </c>
      <c r="B1056" s="76" t="s">
        <v>4614</v>
      </c>
      <c r="C1056" s="76" t="s">
        <v>4615</v>
      </c>
      <c r="D1056" s="76" t="s">
        <v>4616</v>
      </c>
      <c r="E1056" s="76" t="s">
        <v>3624</v>
      </c>
      <c r="F1056" s="76"/>
    </row>
    <row r="1057" spans="1:6" ht="63.95" customHeight="1">
      <c r="A1057" s="76" t="s">
        <v>1856</v>
      </c>
      <c r="B1057" s="76" t="s">
        <v>4617</v>
      </c>
      <c r="C1057" s="76" t="s">
        <v>4618</v>
      </c>
      <c r="D1057" s="76" t="s">
        <v>4619</v>
      </c>
      <c r="E1057" s="76" t="s">
        <v>3624</v>
      </c>
      <c r="F1057" s="76"/>
    </row>
    <row r="1058" spans="1:6" ht="63.95" customHeight="1">
      <c r="A1058" s="76" t="s">
        <v>1856</v>
      </c>
      <c r="B1058" s="76" t="s">
        <v>4620</v>
      </c>
      <c r="C1058" s="76" t="s">
        <v>4621</v>
      </c>
      <c r="D1058" s="76" t="s">
        <v>4622</v>
      </c>
      <c r="E1058" s="76" t="s">
        <v>3624</v>
      </c>
      <c r="F1058" s="76"/>
    </row>
    <row r="1059" spans="1:6" ht="63.95" customHeight="1">
      <c r="A1059" s="76" t="s">
        <v>1856</v>
      </c>
      <c r="B1059" s="76" t="s">
        <v>4623</v>
      </c>
      <c r="C1059" s="76" t="s">
        <v>4624</v>
      </c>
      <c r="D1059" s="76" t="s">
        <v>4625</v>
      </c>
      <c r="E1059" s="76" t="s">
        <v>3624</v>
      </c>
      <c r="F1059" s="76"/>
    </row>
    <row r="1060" spans="1:6" ht="63.95" customHeight="1">
      <c r="A1060" s="76" t="s">
        <v>1856</v>
      </c>
      <c r="B1060" s="76" t="s">
        <v>4626</v>
      </c>
      <c r="C1060" s="76" t="s">
        <v>4627</v>
      </c>
      <c r="D1060" s="76" t="s">
        <v>4628</v>
      </c>
      <c r="E1060" s="76" t="s">
        <v>3624</v>
      </c>
      <c r="F1060" s="76"/>
    </row>
    <row r="1061" spans="1:6" ht="63.95" customHeight="1">
      <c r="A1061" s="76" t="s">
        <v>1856</v>
      </c>
      <c r="B1061" s="76" t="s">
        <v>4629</v>
      </c>
      <c r="C1061" s="76" t="s">
        <v>4630</v>
      </c>
      <c r="D1061" s="76" t="s">
        <v>4631</v>
      </c>
      <c r="E1061" s="76" t="s">
        <v>3624</v>
      </c>
      <c r="F1061" s="76"/>
    </row>
    <row r="1062" spans="1:6" ht="63.95" customHeight="1">
      <c r="A1062" s="76" t="s">
        <v>1856</v>
      </c>
      <c r="B1062" s="76" t="s">
        <v>4632</v>
      </c>
      <c r="C1062" s="76" t="s">
        <v>4633</v>
      </c>
      <c r="D1062" s="76" t="s">
        <v>4634</v>
      </c>
      <c r="E1062" s="76" t="s">
        <v>3624</v>
      </c>
      <c r="F1062" s="76"/>
    </row>
    <row r="1063" spans="1:6" ht="63.95" customHeight="1">
      <c r="A1063" s="76" t="s">
        <v>1856</v>
      </c>
      <c r="B1063" s="76" t="s">
        <v>4635</v>
      </c>
      <c r="C1063" s="76" t="s">
        <v>4636</v>
      </c>
      <c r="D1063" s="76" t="s">
        <v>4637</v>
      </c>
      <c r="E1063" s="76" t="s">
        <v>3624</v>
      </c>
      <c r="F1063" s="76"/>
    </row>
    <row r="1064" spans="1:6" ht="63.95" customHeight="1">
      <c r="A1064" s="76" t="s">
        <v>1856</v>
      </c>
      <c r="B1064" s="76" t="s">
        <v>4638</v>
      </c>
      <c r="C1064" s="76" t="s">
        <v>4639</v>
      </c>
      <c r="D1064" s="76" t="s">
        <v>4640</v>
      </c>
      <c r="E1064" s="76" t="s">
        <v>3624</v>
      </c>
      <c r="F1064" s="76"/>
    </row>
    <row r="1065" spans="1:6" ht="63.95" customHeight="1">
      <c r="A1065" s="76" t="s">
        <v>1856</v>
      </c>
      <c r="B1065" s="76" t="s">
        <v>4641</v>
      </c>
      <c r="C1065" s="76" t="s">
        <v>4642</v>
      </c>
      <c r="D1065" s="76" t="s">
        <v>4643</v>
      </c>
      <c r="E1065" s="76" t="s">
        <v>3624</v>
      </c>
      <c r="F1065" s="76"/>
    </row>
    <row r="1066" spans="1:6" ht="63.95" customHeight="1">
      <c r="A1066" s="76" t="s">
        <v>1856</v>
      </c>
      <c r="B1066" s="76" t="s">
        <v>4644</v>
      </c>
      <c r="C1066" s="76" t="s">
        <v>4645</v>
      </c>
      <c r="D1066" s="76" t="s">
        <v>4646</v>
      </c>
      <c r="E1066" s="76" t="s">
        <v>3624</v>
      </c>
      <c r="F1066" s="76"/>
    </row>
    <row r="1067" spans="1:6" ht="63.95" customHeight="1">
      <c r="A1067" s="76" t="s">
        <v>1856</v>
      </c>
      <c r="B1067" s="76" t="s">
        <v>4647</v>
      </c>
      <c r="C1067" s="76" t="s">
        <v>4648</v>
      </c>
      <c r="D1067" s="76" t="s">
        <v>4649</v>
      </c>
      <c r="E1067" s="76" t="s">
        <v>3624</v>
      </c>
      <c r="F1067" s="76"/>
    </row>
    <row r="1068" spans="1:6" ht="63.95" customHeight="1">
      <c r="A1068" s="76" t="s">
        <v>1856</v>
      </c>
      <c r="B1068" s="76" t="s">
        <v>4650</v>
      </c>
      <c r="C1068" s="76" t="s">
        <v>4651</v>
      </c>
      <c r="D1068" s="76" t="s">
        <v>4652</v>
      </c>
      <c r="E1068" s="76" t="s">
        <v>3624</v>
      </c>
      <c r="F1068" s="76"/>
    </row>
    <row r="1069" spans="1:6" ht="63.95" customHeight="1">
      <c r="A1069" s="76" t="s">
        <v>1856</v>
      </c>
      <c r="B1069" s="76" t="s">
        <v>4653</v>
      </c>
      <c r="C1069" s="76" t="s">
        <v>4654</v>
      </c>
      <c r="D1069" s="76" t="s">
        <v>4655</v>
      </c>
      <c r="E1069" s="76" t="s">
        <v>3624</v>
      </c>
      <c r="F1069" s="76"/>
    </row>
    <row r="1070" spans="1:6" ht="63.95" customHeight="1">
      <c r="A1070" s="76" t="s">
        <v>1856</v>
      </c>
      <c r="B1070" s="76" t="s">
        <v>4656</v>
      </c>
      <c r="C1070" s="76" t="s">
        <v>4657</v>
      </c>
      <c r="D1070" s="76" t="s">
        <v>4658</v>
      </c>
      <c r="E1070" s="76" t="s">
        <v>3624</v>
      </c>
      <c r="F1070" s="76"/>
    </row>
    <row r="1071" spans="1:6" ht="63.95" customHeight="1">
      <c r="A1071" s="76" t="s">
        <v>1856</v>
      </c>
      <c r="B1071" s="76" t="s">
        <v>4659</v>
      </c>
      <c r="C1071" s="76" t="s">
        <v>4660</v>
      </c>
      <c r="D1071" s="76" t="s">
        <v>4661</v>
      </c>
      <c r="E1071" s="76" t="s">
        <v>3624</v>
      </c>
      <c r="F1071" s="76"/>
    </row>
    <row r="1072" spans="1:6" ht="63.95" customHeight="1">
      <c r="A1072" s="76" t="s">
        <v>1856</v>
      </c>
      <c r="B1072" s="76" t="s">
        <v>4662</v>
      </c>
      <c r="C1072" s="76" t="s">
        <v>4663</v>
      </c>
      <c r="D1072" s="76" t="s">
        <v>4664</v>
      </c>
      <c r="E1072" s="76" t="s">
        <v>3624</v>
      </c>
      <c r="F1072" s="76"/>
    </row>
    <row r="1073" spans="1:6" ht="63.95" customHeight="1">
      <c r="A1073" s="76" t="s">
        <v>1856</v>
      </c>
      <c r="B1073" s="76" t="s">
        <v>4665</v>
      </c>
      <c r="C1073" s="76" t="s">
        <v>4666</v>
      </c>
      <c r="D1073" s="76" t="s">
        <v>4667</v>
      </c>
      <c r="E1073" s="76" t="s">
        <v>3624</v>
      </c>
      <c r="F1073" s="76"/>
    </row>
    <row r="1074" spans="1:6" ht="63.95" customHeight="1">
      <c r="A1074" s="76" t="s">
        <v>1856</v>
      </c>
      <c r="B1074" s="76" t="s">
        <v>4668</v>
      </c>
      <c r="C1074" s="76" t="s">
        <v>4669</v>
      </c>
      <c r="D1074" s="76" t="s">
        <v>4670</v>
      </c>
      <c r="E1074" s="76" t="s">
        <v>3624</v>
      </c>
      <c r="F1074" s="76"/>
    </row>
    <row r="1075" spans="1:6" ht="63.95" customHeight="1">
      <c r="A1075" s="76" t="s">
        <v>1856</v>
      </c>
      <c r="B1075" s="76" t="s">
        <v>4671</v>
      </c>
      <c r="C1075" s="76" t="s">
        <v>4672</v>
      </c>
      <c r="D1075" s="76" t="s">
        <v>4673</v>
      </c>
      <c r="E1075" s="76" t="s">
        <v>3624</v>
      </c>
      <c r="F1075" s="76"/>
    </row>
    <row r="1076" spans="1:6" ht="63.95" customHeight="1">
      <c r="A1076" s="76" t="s">
        <v>1856</v>
      </c>
      <c r="B1076" s="76" t="s">
        <v>4674</v>
      </c>
      <c r="C1076" s="76" t="s">
        <v>4675</v>
      </c>
      <c r="D1076" s="76" t="s">
        <v>4676</v>
      </c>
      <c r="E1076" s="76" t="s">
        <v>3624</v>
      </c>
      <c r="F1076" s="76"/>
    </row>
    <row r="1077" spans="1:6" ht="63.95" customHeight="1">
      <c r="A1077" s="76" t="s">
        <v>1856</v>
      </c>
      <c r="B1077" s="76" t="s">
        <v>4677</v>
      </c>
      <c r="C1077" s="76" t="s">
        <v>4678</v>
      </c>
      <c r="D1077" s="76" t="s">
        <v>4679</v>
      </c>
      <c r="E1077" s="76" t="s">
        <v>3624</v>
      </c>
      <c r="F1077" s="76"/>
    </row>
    <row r="1078" spans="1:6" ht="63.95" customHeight="1">
      <c r="A1078" s="76" t="s">
        <v>1856</v>
      </c>
      <c r="B1078" s="76" t="s">
        <v>4680</v>
      </c>
      <c r="C1078" s="76" t="s">
        <v>4681</v>
      </c>
      <c r="D1078" s="76" t="s">
        <v>4682</v>
      </c>
      <c r="E1078" s="76" t="s">
        <v>3624</v>
      </c>
      <c r="F1078" s="76"/>
    </row>
    <row r="1079" spans="1:6" ht="63.95" customHeight="1">
      <c r="A1079" s="76" t="s">
        <v>1856</v>
      </c>
      <c r="B1079" s="76" t="s">
        <v>4683</v>
      </c>
      <c r="C1079" s="76" t="s">
        <v>4684</v>
      </c>
      <c r="D1079" s="76" t="s">
        <v>4685</v>
      </c>
      <c r="E1079" s="76" t="s">
        <v>3624</v>
      </c>
      <c r="F1079" s="76"/>
    </row>
    <row r="1080" spans="1:6" ht="63.95" customHeight="1">
      <c r="A1080" s="76" t="s">
        <v>1856</v>
      </c>
      <c r="B1080" s="76" t="s">
        <v>4686</v>
      </c>
      <c r="C1080" s="76" t="s">
        <v>4687</v>
      </c>
      <c r="D1080" s="76" t="s">
        <v>4688</v>
      </c>
      <c r="E1080" s="76" t="s">
        <v>3624</v>
      </c>
      <c r="F1080" s="76"/>
    </row>
    <row r="1081" spans="1:6" ht="63.95" customHeight="1">
      <c r="A1081" s="76" t="s">
        <v>1856</v>
      </c>
      <c r="B1081" s="76" t="s">
        <v>4689</v>
      </c>
      <c r="C1081" s="76" t="s">
        <v>4690</v>
      </c>
      <c r="D1081" s="76" t="s">
        <v>4691</v>
      </c>
      <c r="E1081" s="76" t="s">
        <v>3624</v>
      </c>
      <c r="F1081" s="76"/>
    </row>
    <row r="1082" spans="1:6" ht="63.95" customHeight="1">
      <c r="A1082" s="76" t="s">
        <v>1856</v>
      </c>
      <c r="B1082" s="76" t="s">
        <v>4692</v>
      </c>
      <c r="C1082" s="76" t="s">
        <v>4693</v>
      </c>
      <c r="D1082" s="76" t="s">
        <v>4694</v>
      </c>
      <c r="E1082" s="76" t="s">
        <v>3624</v>
      </c>
      <c r="F1082" s="76"/>
    </row>
    <row r="1083" spans="1:6" ht="63.95" customHeight="1">
      <c r="A1083" s="76" t="s">
        <v>1856</v>
      </c>
      <c r="B1083" s="76" t="s">
        <v>4695</v>
      </c>
      <c r="C1083" s="76" t="s">
        <v>4696</v>
      </c>
      <c r="D1083" s="76" t="s">
        <v>4697</v>
      </c>
      <c r="E1083" s="76" t="s">
        <v>3624</v>
      </c>
      <c r="F1083" s="76"/>
    </row>
    <row r="1084" spans="1:6" ht="63.95" customHeight="1">
      <c r="A1084" s="76" t="s">
        <v>1856</v>
      </c>
      <c r="B1084" s="76" t="s">
        <v>4698</v>
      </c>
      <c r="C1084" s="76" t="s">
        <v>4699</v>
      </c>
      <c r="D1084" s="76" t="s">
        <v>4700</v>
      </c>
      <c r="E1084" s="76" t="s">
        <v>3624</v>
      </c>
      <c r="F1084" s="76"/>
    </row>
    <row r="1085" spans="1:6" ht="63.95" customHeight="1">
      <c r="A1085" s="76" t="s">
        <v>1856</v>
      </c>
      <c r="B1085" s="76" t="s">
        <v>4701</v>
      </c>
      <c r="C1085" s="76" t="s">
        <v>4702</v>
      </c>
      <c r="D1085" s="76" t="s">
        <v>4703</v>
      </c>
      <c r="E1085" s="76" t="s">
        <v>3624</v>
      </c>
      <c r="F1085" s="76"/>
    </row>
    <row r="1086" spans="1:6" ht="63.95" customHeight="1">
      <c r="A1086" s="76" t="s">
        <v>1856</v>
      </c>
      <c r="B1086" s="76" t="s">
        <v>4704</v>
      </c>
      <c r="C1086" s="76" t="s">
        <v>4705</v>
      </c>
      <c r="D1086" s="76" t="s">
        <v>4706</v>
      </c>
      <c r="E1086" s="76" t="s">
        <v>3624</v>
      </c>
      <c r="F1086" s="76"/>
    </row>
    <row r="1087" spans="1:6" ht="63.95" customHeight="1">
      <c r="A1087" s="76" t="s">
        <v>1856</v>
      </c>
      <c r="B1087" s="76" t="s">
        <v>4707</v>
      </c>
      <c r="C1087" s="76" t="s">
        <v>4708</v>
      </c>
      <c r="D1087" s="76" t="s">
        <v>4709</v>
      </c>
      <c r="E1087" s="76" t="s">
        <v>3624</v>
      </c>
      <c r="F1087" s="76"/>
    </row>
    <row r="1088" spans="1:6" ht="63.95" customHeight="1">
      <c r="A1088" s="76" t="s">
        <v>1856</v>
      </c>
      <c r="B1088" s="76" t="s">
        <v>4710</v>
      </c>
      <c r="C1088" s="76" t="s">
        <v>4711</v>
      </c>
      <c r="D1088" s="76" t="s">
        <v>4712</v>
      </c>
      <c r="E1088" s="76" t="s">
        <v>3624</v>
      </c>
      <c r="F1088" s="76"/>
    </row>
    <row r="1089" spans="1:6" ht="63.95" customHeight="1">
      <c r="A1089" s="76" t="s">
        <v>1856</v>
      </c>
      <c r="B1089" s="76" t="s">
        <v>4713</v>
      </c>
      <c r="C1089" s="76" t="s">
        <v>4714</v>
      </c>
      <c r="D1089" s="76" t="s">
        <v>4715</v>
      </c>
      <c r="E1089" s="76" t="s">
        <v>3624</v>
      </c>
      <c r="F1089" s="76"/>
    </row>
    <row r="1090" spans="1:6" ht="63.95" customHeight="1">
      <c r="A1090" s="76" t="s">
        <v>1856</v>
      </c>
      <c r="B1090" s="76" t="s">
        <v>4716</v>
      </c>
      <c r="C1090" s="76" t="s">
        <v>4717</v>
      </c>
      <c r="D1090" s="76" t="s">
        <v>4718</v>
      </c>
      <c r="E1090" s="76" t="s">
        <v>3624</v>
      </c>
      <c r="F1090" s="76"/>
    </row>
    <row r="1091" spans="1:6" ht="63.95" customHeight="1">
      <c r="A1091" s="76" t="s">
        <v>1856</v>
      </c>
      <c r="B1091" s="76" t="s">
        <v>4719</v>
      </c>
      <c r="C1091" s="76" t="s">
        <v>4720</v>
      </c>
      <c r="D1091" s="76" t="s">
        <v>4721</v>
      </c>
      <c r="E1091" s="76" t="s">
        <v>3624</v>
      </c>
      <c r="F1091" s="76"/>
    </row>
    <row r="1092" spans="1:6" ht="63.95" customHeight="1">
      <c r="A1092" s="76" t="s">
        <v>1856</v>
      </c>
      <c r="B1092" s="76" t="s">
        <v>4722</v>
      </c>
      <c r="C1092" s="76" t="s">
        <v>4723</v>
      </c>
      <c r="D1092" s="76" t="s">
        <v>4724</v>
      </c>
      <c r="E1092" s="76" t="s">
        <v>3624</v>
      </c>
      <c r="F1092" s="76"/>
    </row>
    <row r="1093" spans="1:6" ht="63.95" customHeight="1">
      <c r="A1093" s="76" t="s">
        <v>1856</v>
      </c>
      <c r="B1093" s="76" t="s">
        <v>4725</v>
      </c>
      <c r="C1093" s="76" t="s">
        <v>4726</v>
      </c>
      <c r="D1093" s="76" t="s">
        <v>4727</v>
      </c>
      <c r="E1093" s="76" t="s">
        <v>3624</v>
      </c>
      <c r="F1093" s="76"/>
    </row>
    <row r="1094" spans="1:6" ht="63.95" customHeight="1">
      <c r="A1094" s="76" t="s">
        <v>1856</v>
      </c>
      <c r="B1094" s="76" t="s">
        <v>4728</v>
      </c>
      <c r="C1094" s="76" t="s">
        <v>4729</v>
      </c>
      <c r="D1094" s="76" t="s">
        <v>4730</v>
      </c>
      <c r="E1094" s="76" t="s">
        <v>3624</v>
      </c>
      <c r="F1094" s="76"/>
    </row>
    <row r="1095" spans="1:6" ht="63.95" customHeight="1">
      <c r="A1095" s="76" t="s">
        <v>1856</v>
      </c>
      <c r="B1095" s="76" t="s">
        <v>4731</v>
      </c>
      <c r="C1095" s="76" t="s">
        <v>4732</v>
      </c>
      <c r="D1095" s="76" t="s">
        <v>4733</v>
      </c>
      <c r="E1095" s="76" t="s">
        <v>3624</v>
      </c>
      <c r="F1095" s="76"/>
    </row>
    <row r="1096" spans="1:6" ht="63.95" customHeight="1">
      <c r="A1096" s="76" t="s">
        <v>1856</v>
      </c>
      <c r="B1096" s="76" t="s">
        <v>4734</v>
      </c>
      <c r="C1096" s="76" t="s">
        <v>4735</v>
      </c>
      <c r="D1096" s="76" t="s">
        <v>4736</v>
      </c>
      <c r="E1096" s="76" t="s">
        <v>3624</v>
      </c>
      <c r="F1096" s="76"/>
    </row>
    <row r="1097" spans="1:6" ht="63.95" customHeight="1">
      <c r="A1097" s="76" t="s">
        <v>1856</v>
      </c>
      <c r="B1097" s="76" t="s">
        <v>4737</v>
      </c>
      <c r="C1097" s="76" t="s">
        <v>4738</v>
      </c>
      <c r="D1097" s="76" t="s">
        <v>4739</v>
      </c>
      <c r="E1097" s="76" t="s">
        <v>3624</v>
      </c>
      <c r="F1097" s="76"/>
    </row>
    <row r="1098" spans="1:6" ht="63.95" customHeight="1">
      <c r="A1098" s="76" t="s">
        <v>1856</v>
      </c>
      <c r="B1098" s="76" t="s">
        <v>4740</v>
      </c>
      <c r="C1098" s="76" t="s">
        <v>4741</v>
      </c>
      <c r="D1098" s="76" t="s">
        <v>4742</v>
      </c>
      <c r="E1098" s="76" t="s">
        <v>3624</v>
      </c>
      <c r="F1098" s="76"/>
    </row>
    <row r="1099" spans="1:6" ht="63.95" customHeight="1">
      <c r="A1099" s="76" t="s">
        <v>1856</v>
      </c>
      <c r="B1099" s="76" t="s">
        <v>4743</v>
      </c>
      <c r="C1099" s="76" t="s">
        <v>4744</v>
      </c>
      <c r="D1099" s="76" t="s">
        <v>4745</v>
      </c>
      <c r="E1099" s="76" t="s">
        <v>3624</v>
      </c>
      <c r="F1099" s="76"/>
    </row>
    <row r="1100" spans="1:6" ht="63.95" customHeight="1">
      <c r="A1100" s="76" t="s">
        <v>1856</v>
      </c>
      <c r="B1100" s="76" t="s">
        <v>4746</v>
      </c>
      <c r="C1100" s="76" t="s">
        <v>4747</v>
      </c>
      <c r="D1100" s="76" t="s">
        <v>4748</v>
      </c>
      <c r="E1100" s="76" t="s">
        <v>3624</v>
      </c>
      <c r="F1100" s="76"/>
    </row>
    <row r="1101" spans="1:6" ht="63.95" customHeight="1">
      <c r="A1101" s="76" t="s">
        <v>1856</v>
      </c>
      <c r="B1101" s="76" t="s">
        <v>4749</v>
      </c>
      <c r="C1101" s="76" t="s">
        <v>4750</v>
      </c>
      <c r="D1101" s="76" t="s">
        <v>4751</v>
      </c>
      <c r="E1101" s="76" t="s">
        <v>3624</v>
      </c>
      <c r="F1101" s="76"/>
    </row>
    <row r="1102" spans="1:6" ht="63.95" customHeight="1">
      <c r="A1102" s="76" t="s">
        <v>1856</v>
      </c>
      <c r="B1102" s="76" t="s">
        <v>4752</v>
      </c>
      <c r="C1102" s="76" t="s">
        <v>4753</v>
      </c>
      <c r="D1102" s="76" t="s">
        <v>4754</v>
      </c>
      <c r="E1102" s="76" t="s">
        <v>3624</v>
      </c>
      <c r="F1102" s="76"/>
    </row>
    <row r="1103" spans="1:6" ht="63.95" customHeight="1">
      <c r="A1103" s="76" t="s">
        <v>1856</v>
      </c>
      <c r="B1103" s="76" t="s">
        <v>4755</v>
      </c>
      <c r="C1103" s="76" t="s">
        <v>4756</v>
      </c>
      <c r="D1103" s="76" t="s">
        <v>4757</v>
      </c>
      <c r="E1103" s="76" t="s">
        <v>3624</v>
      </c>
      <c r="F1103" s="76"/>
    </row>
    <row r="1104" spans="1:6" ht="63.95" customHeight="1">
      <c r="A1104" s="76" t="s">
        <v>1856</v>
      </c>
      <c r="B1104" s="76" t="s">
        <v>4758</v>
      </c>
      <c r="C1104" s="76" t="s">
        <v>4759</v>
      </c>
      <c r="D1104" s="76" t="s">
        <v>4760</v>
      </c>
      <c r="E1104" s="76" t="s">
        <v>3624</v>
      </c>
      <c r="F1104" s="76"/>
    </row>
    <row r="1105" spans="1:6" ht="63.95" customHeight="1">
      <c r="A1105" s="76" t="s">
        <v>1373</v>
      </c>
      <c r="B1105" s="76" t="s">
        <v>1967</v>
      </c>
      <c r="C1105" s="76" t="s">
        <v>4761</v>
      </c>
      <c r="D1105" s="76" t="s">
        <v>4762</v>
      </c>
      <c r="E1105" s="76" t="s">
        <v>3612</v>
      </c>
      <c r="F1105" s="76"/>
    </row>
    <row r="1106" spans="1:6" ht="63.95" customHeight="1">
      <c r="A1106" s="76" t="s">
        <v>1857</v>
      </c>
      <c r="B1106" s="76" t="s">
        <v>4763</v>
      </c>
      <c r="C1106" s="76" t="s">
        <v>3686</v>
      </c>
      <c r="D1106" s="76" t="s">
        <v>57</v>
      </c>
      <c r="E1106" s="76" t="s">
        <v>3612</v>
      </c>
      <c r="F1106" s="76"/>
    </row>
    <row r="1107" spans="1:6" ht="63.95" customHeight="1">
      <c r="A1107" s="76" t="s">
        <v>1857</v>
      </c>
      <c r="B1107" s="76" t="s">
        <v>4764</v>
      </c>
      <c r="C1107" s="76" t="s">
        <v>4765</v>
      </c>
      <c r="D1107" s="76" t="s">
        <v>4766</v>
      </c>
      <c r="E1107" s="76" t="s">
        <v>3624</v>
      </c>
      <c r="F1107" s="76"/>
    </row>
    <row r="1108" spans="1:6" ht="63.95" customHeight="1">
      <c r="A1108" s="76" t="s">
        <v>1857</v>
      </c>
      <c r="B1108" s="76" t="s">
        <v>4767</v>
      </c>
      <c r="C1108" s="76" t="s">
        <v>4768</v>
      </c>
      <c r="D1108" s="76" t="s">
        <v>4769</v>
      </c>
      <c r="E1108" s="76" t="s">
        <v>3624</v>
      </c>
      <c r="F1108" s="76"/>
    </row>
    <row r="1109" spans="1:6" ht="63.95" customHeight="1">
      <c r="A1109" s="76" t="s">
        <v>1857</v>
      </c>
      <c r="B1109" s="76" t="s">
        <v>4770</v>
      </c>
      <c r="C1109" s="76" t="s">
        <v>4771</v>
      </c>
      <c r="D1109" s="76" t="s">
        <v>4772</v>
      </c>
      <c r="E1109" s="76" t="s">
        <v>3624</v>
      </c>
      <c r="F1109" s="76"/>
    </row>
    <row r="1110" spans="1:6" ht="63.95" customHeight="1">
      <c r="A1110" s="76" t="s">
        <v>1857</v>
      </c>
      <c r="B1110" s="76" t="s">
        <v>4773</v>
      </c>
      <c r="C1110" s="76" t="s">
        <v>4774</v>
      </c>
      <c r="D1110" s="76" t="s">
        <v>4775</v>
      </c>
      <c r="E1110" s="76" t="s">
        <v>3624</v>
      </c>
      <c r="F1110" s="76"/>
    </row>
    <row r="1111" spans="1:6" ht="63.95" customHeight="1">
      <c r="A1111" s="76" t="s">
        <v>1857</v>
      </c>
      <c r="B1111" s="76" t="s">
        <v>4776</v>
      </c>
      <c r="C1111" s="76" t="s">
        <v>4777</v>
      </c>
      <c r="D1111" s="76" t="s">
        <v>4778</v>
      </c>
      <c r="E1111" s="76" t="s">
        <v>3624</v>
      </c>
      <c r="F1111" s="76"/>
    </row>
    <row r="1112" spans="1:6" ht="63.95" customHeight="1">
      <c r="A1112" s="76" t="s">
        <v>1857</v>
      </c>
      <c r="B1112" s="76" t="s">
        <v>4779</v>
      </c>
      <c r="C1112" s="76" t="s">
        <v>4780</v>
      </c>
      <c r="D1112" s="76" t="s">
        <v>4781</v>
      </c>
      <c r="E1112" s="76" t="s">
        <v>3624</v>
      </c>
      <c r="F1112" s="76"/>
    </row>
    <row r="1113" spans="1:6" ht="63.95" customHeight="1">
      <c r="A1113" s="76" t="s">
        <v>1857</v>
      </c>
      <c r="B1113" s="76" t="s">
        <v>4782</v>
      </c>
      <c r="C1113" s="76" t="s">
        <v>4783</v>
      </c>
      <c r="D1113" s="76" t="s">
        <v>4784</v>
      </c>
      <c r="E1113" s="76" t="s">
        <v>3624</v>
      </c>
      <c r="F1113" s="76"/>
    </row>
    <row r="1114" spans="1:6" ht="63.95" customHeight="1">
      <c r="A1114" s="76" t="s">
        <v>1857</v>
      </c>
      <c r="B1114" s="76" t="s">
        <v>4785</v>
      </c>
      <c r="C1114" s="76" t="s">
        <v>4786</v>
      </c>
      <c r="D1114" s="76" t="s">
        <v>4787</v>
      </c>
      <c r="E1114" s="76" t="s">
        <v>3624</v>
      </c>
      <c r="F1114" s="76"/>
    </row>
    <row r="1115" spans="1:6" ht="63.95" customHeight="1">
      <c r="A1115" s="76" t="s">
        <v>1857</v>
      </c>
      <c r="B1115" s="76" t="s">
        <v>4788</v>
      </c>
      <c r="C1115" s="76" t="s">
        <v>4789</v>
      </c>
      <c r="D1115" s="76" t="s">
        <v>4790</v>
      </c>
      <c r="E1115" s="76" t="s">
        <v>3624</v>
      </c>
      <c r="F1115" s="76"/>
    </row>
    <row r="1116" spans="1:6" ht="63.95" customHeight="1">
      <c r="A1116" s="76" t="s">
        <v>1857</v>
      </c>
      <c r="B1116" s="76" t="s">
        <v>4791</v>
      </c>
      <c r="C1116" s="76" t="s">
        <v>4792</v>
      </c>
      <c r="D1116" s="76" t="s">
        <v>4793</v>
      </c>
      <c r="E1116" s="76" t="s">
        <v>3624</v>
      </c>
      <c r="F1116" s="76"/>
    </row>
    <row r="1117" spans="1:6" ht="63.95" customHeight="1">
      <c r="A1117" s="76" t="s">
        <v>1857</v>
      </c>
      <c r="B1117" s="76" t="s">
        <v>4794</v>
      </c>
      <c r="C1117" s="76" t="s">
        <v>4795</v>
      </c>
      <c r="D1117" s="76" t="s">
        <v>4796</v>
      </c>
      <c r="E1117" s="76" t="s">
        <v>3624</v>
      </c>
      <c r="F1117" s="76"/>
    </row>
    <row r="1118" spans="1:6" ht="63.95" customHeight="1">
      <c r="A1118" s="76" t="s">
        <v>1857</v>
      </c>
      <c r="B1118" s="76" t="s">
        <v>4797</v>
      </c>
      <c r="C1118" s="76" t="s">
        <v>4798</v>
      </c>
      <c r="D1118" s="76" t="s">
        <v>4799</v>
      </c>
      <c r="E1118" s="76" t="s">
        <v>3624</v>
      </c>
      <c r="F1118" s="76"/>
    </row>
    <row r="1119" spans="1:6" ht="63.95" customHeight="1">
      <c r="A1119" s="76" t="s">
        <v>1857</v>
      </c>
      <c r="B1119" s="76" t="s">
        <v>4800</v>
      </c>
      <c r="C1119" s="76" t="s">
        <v>4801</v>
      </c>
      <c r="D1119" s="76" t="s">
        <v>4802</v>
      </c>
      <c r="E1119" s="76" t="s">
        <v>3624</v>
      </c>
      <c r="F1119" s="76"/>
    </row>
    <row r="1120" spans="1:6" ht="63.95" customHeight="1">
      <c r="A1120" s="76" t="s">
        <v>1857</v>
      </c>
      <c r="B1120" s="76" t="s">
        <v>4803</v>
      </c>
      <c r="C1120" s="76" t="s">
        <v>4804</v>
      </c>
      <c r="D1120" s="76" t="s">
        <v>4805</v>
      </c>
      <c r="E1120" s="76" t="s">
        <v>3624</v>
      </c>
      <c r="F1120" s="76"/>
    </row>
    <row r="1121" spans="1:6" ht="63.95" customHeight="1">
      <c r="A1121" s="76" t="s">
        <v>1857</v>
      </c>
      <c r="B1121" s="76" t="s">
        <v>4806</v>
      </c>
      <c r="C1121" s="76" t="s">
        <v>4807</v>
      </c>
      <c r="D1121" s="76" t="s">
        <v>4808</v>
      </c>
      <c r="E1121" s="76" t="s">
        <v>3624</v>
      </c>
      <c r="F1121" s="76"/>
    </row>
    <row r="1122" spans="1:6" ht="63.95" customHeight="1">
      <c r="A1122" s="76" t="s">
        <v>1857</v>
      </c>
      <c r="B1122" s="76" t="s">
        <v>4809</v>
      </c>
      <c r="C1122" s="76" t="s">
        <v>4810</v>
      </c>
      <c r="D1122" s="76" t="s">
        <v>4811</v>
      </c>
      <c r="E1122" s="76" t="s">
        <v>3624</v>
      </c>
      <c r="F1122" s="76"/>
    </row>
    <row r="1123" spans="1:6" ht="63.95" customHeight="1">
      <c r="A1123" s="76" t="s">
        <v>1857</v>
      </c>
      <c r="B1123" s="76" t="s">
        <v>4812</v>
      </c>
      <c r="C1123" s="76" t="s">
        <v>4813</v>
      </c>
      <c r="D1123" s="76" t="s">
        <v>4814</v>
      </c>
      <c r="E1123" s="76" t="s">
        <v>3624</v>
      </c>
      <c r="F1123" s="76"/>
    </row>
    <row r="1124" spans="1:6" ht="63.95" customHeight="1">
      <c r="A1124" s="76" t="s">
        <v>1857</v>
      </c>
      <c r="B1124" s="76" t="s">
        <v>4815</v>
      </c>
      <c r="C1124" s="76" t="s">
        <v>4816</v>
      </c>
      <c r="D1124" s="76" t="s">
        <v>4817</v>
      </c>
      <c r="E1124" s="76" t="s">
        <v>3624</v>
      </c>
      <c r="F1124" s="76"/>
    </row>
    <row r="1125" spans="1:6" ht="63.95" customHeight="1">
      <c r="A1125" s="76" t="s">
        <v>1857</v>
      </c>
      <c r="B1125" s="76" t="s">
        <v>4818</v>
      </c>
      <c r="C1125" s="76" t="s">
        <v>4819</v>
      </c>
      <c r="D1125" s="76" t="s">
        <v>4820</v>
      </c>
      <c r="E1125" s="76" t="s">
        <v>3624</v>
      </c>
      <c r="F1125" s="76"/>
    </row>
    <row r="1126" spans="1:6" ht="63.95" customHeight="1">
      <c r="A1126" s="76" t="s">
        <v>1857</v>
      </c>
      <c r="B1126" s="76" t="s">
        <v>4821</v>
      </c>
      <c r="C1126" s="76" t="s">
        <v>4822</v>
      </c>
      <c r="D1126" s="76" t="s">
        <v>4823</v>
      </c>
      <c r="E1126" s="76" t="s">
        <v>3624</v>
      </c>
      <c r="F1126" s="76"/>
    </row>
    <row r="1127" spans="1:6" ht="63.95" customHeight="1">
      <c r="A1127" s="76" t="s">
        <v>1857</v>
      </c>
      <c r="B1127" s="76" t="s">
        <v>4824</v>
      </c>
      <c r="C1127" s="76" t="s">
        <v>4825</v>
      </c>
      <c r="D1127" s="76" t="s">
        <v>4826</v>
      </c>
      <c r="E1127" s="76" t="s">
        <v>3624</v>
      </c>
      <c r="F1127" s="76"/>
    </row>
    <row r="1128" spans="1:6" ht="63.95" customHeight="1">
      <c r="A1128" s="76" t="s">
        <v>1857</v>
      </c>
      <c r="B1128" s="76" t="s">
        <v>4827</v>
      </c>
      <c r="C1128" s="76" t="s">
        <v>4828</v>
      </c>
      <c r="D1128" s="76" t="s">
        <v>4829</v>
      </c>
      <c r="E1128" s="76" t="s">
        <v>3624</v>
      </c>
      <c r="F1128" s="76"/>
    </row>
    <row r="1129" spans="1:6" ht="63.95" customHeight="1">
      <c r="A1129" s="76" t="s">
        <v>1857</v>
      </c>
      <c r="B1129" s="76" t="s">
        <v>4830</v>
      </c>
      <c r="C1129" s="76" t="s">
        <v>4831</v>
      </c>
      <c r="D1129" s="76" t="s">
        <v>4832</v>
      </c>
      <c r="E1129" s="76" t="s">
        <v>3624</v>
      </c>
      <c r="F1129" s="76"/>
    </row>
    <row r="1130" spans="1:6" ht="63.95" customHeight="1">
      <c r="A1130" s="76" t="s">
        <v>1857</v>
      </c>
      <c r="B1130" s="76" t="s">
        <v>4833</v>
      </c>
      <c r="C1130" s="76" t="s">
        <v>4834</v>
      </c>
      <c r="D1130" s="76" t="s">
        <v>4835</v>
      </c>
      <c r="E1130" s="76" t="s">
        <v>3624</v>
      </c>
      <c r="F1130" s="76"/>
    </row>
    <row r="1131" spans="1:6" ht="63.95" customHeight="1">
      <c r="A1131" s="76" t="s">
        <v>1857</v>
      </c>
      <c r="B1131" s="76" t="s">
        <v>4836</v>
      </c>
      <c r="C1131" s="76" t="s">
        <v>4837</v>
      </c>
      <c r="D1131" s="76" t="s">
        <v>4838</v>
      </c>
      <c r="E1131" s="76" t="s">
        <v>3624</v>
      </c>
      <c r="F1131" s="76"/>
    </row>
    <row r="1132" spans="1:6" ht="63.95" customHeight="1">
      <c r="A1132" s="76" t="s">
        <v>1857</v>
      </c>
      <c r="B1132" s="76" t="s">
        <v>4839</v>
      </c>
      <c r="C1132" s="76" t="s">
        <v>4840</v>
      </c>
      <c r="D1132" s="76" t="s">
        <v>4841</v>
      </c>
      <c r="E1132" s="76" t="s">
        <v>3624</v>
      </c>
      <c r="F1132" s="76"/>
    </row>
    <row r="1133" spans="1:6" ht="63.95" customHeight="1">
      <c r="A1133" s="76" t="s">
        <v>1857</v>
      </c>
      <c r="B1133" s="76" t="s">
        <v>4842</v>
      </c>
      <c r="C1133" s="76" t="s">
        <v>4843</v>
      </c>
      <c r="D1133" s="76" t="s">
        <v>4844</v>
      </c>
      <c r="E1133" s="76" t="s">
        <v>3624</v>
      </c>
      <c r="F1133" s="76"/>
    </row>
    <row r="1134" spans="1:6" ht="63.95" customHeight="1">
      <c r="A1134" s="76" t="s">
        <v>1857</v>
      </c>
      <c r="B1134" s="76" t="s">
        <v>4845</v>
      </c>
      <c r="C1134" s="76" t="s">
        <v>4846</v>
      </c>
      <c r="D1134" s="76" t="s">
        <v>4847</v>
      </c>
      <c r="E1134" s="76" t="s">
        <v>3624</v>
      </c>
      <c r="F1134" s="76"/>
    </row>
    <row r="1135" spans="1:6" ht="63.95" customHeight="1">
      <c r="A1135" s="76" t="s">
        <v>1857</v>
      </c>
      <c r="B1135" s="76" t="s">
        <v>4848</v>
      </c>
      <c r="C1135" s="76" t="s">
        <v>4849</v>
      </c>
      <c r="D1135" s="76" t="s">
        <v>4850</v>
      </c>
      <c r="E1135" s="76" t="s">
        <v>3624</v>
      </c>
      <c r="F1135" s="76"/>
    </row>
    <row r="1136" spans="1:6" ht="63.95" customHeight="1">
      <c r="A1136" s="76" t="s">
        <v>1857</v>
      </c>
      <c r="B1136" s="76" t="s">
        <v>4851</v>
      </c>
      <c r="C1136" s="76" t="s">
        <v>4852</v>
      </c>
      <c r="D1136" s="76" t="s">
        <v>4853</v>
      </c>
      <c r="E1136" s="76" t="s">
        <v>3624</v>
      </c>
      <c r="F1136" s="76"/>
    </row>
    <row r="1137" spans="1:6" ht="63.95" customHeight="1">
      <c r="A1137" s="76" t="s">
        <v>1857</v>
      </c>
      <c r="B1137" s="76" t="s">
        <v>4854</v>
      </c>
      <c r="C1137" s="76" t="s">
        <v>4855</v>
      </c>
      <c r="D1137" s="76" t="s">
        <v>4856</v>
      </c>
      <c r="E1137" s="76" t="s">
        <v>3624</v>
      </c>
      <c r="F1137" s="76"/>
    </row>
    <row r="1138" spans="1:6" ht="63.95" customHeight="1">
      <c r="A1138" s="76" t="s">
        <v>1857</v>
      </c>
      <c r="B1138" s="76" t="s">
        <v>4857</v>
      </c>
      <c r="C1138" s="76" t="s">
        <v>4858</v>
      </c>
      <c r="D1138" s="76" t="s">
        <v>4859</v>
      </c>
      <c r="E1138" s="76" t="s">
        <v>3624</v>
      </c>
      <c r="F1138" s="76"/>
    </row>
    <row r="1139" spans="1:6" ht="63.95" customHeight="1">
      <c r="A1139" s="76" t="s">
        <v>1857</v>
      </c>
      <c r="B1139" s="76" t="s">
        <v>4860</v>
      </c>
      <c r="C1139" s="76" t="s">
        <v>4861</v>
      </c>
      <c r="D1139" s="76" t="s">
        <v>4862</v>
      </c>
      <c r="E1139" s="76" t="s">
        <v>3624</v>
      </c>
      <c r="F1139" s="76"/>
    </row>
    <row r="1140" spans="1:6" ht="63.95" customHeight="1">
      <c r="A1140" s="76" t="s">
        <v>1857</v>
      </c>
      <c r="B1140" s="76" t="s">
        <v>4863</v>
      </c>
      <c r="C1140" s="76" t="s">
        <v>4864</v>
      </c>
      <c r="D1140" s="76" t="s">
        <v>4865</v>
      </c>
      <c r="E1140" s="76" t="s">
        <v>3624</v>
      </c>
      <c r="F1140" s="76"/>
    </row>
    <row r="1141" spans="1:6" ht="63.95" customHeight="1">
      <c r="A1141" s="76" t="s">
        <v>1857</v>
      </c>
      <c r="B1141" s="76" t="s">
        <v>4866</v>
      </c>
      <c r="C1141" s="76" t="s">
        <v>4867</v>
      </c>
      <c r="D1141" s="76" t="s">
        <v>4868</v>
      </c>
      <c r="E1141" s="76" t="s">
        <v>3624</v>
      </c>
      <c r="F1141" s="76"/>
    </row>
    <row r="1142" spans="1:6" ht="63.95" customHeight="1">
      <c r="A1142" s="76" t="s">
        <v>1857</v>
      </c>
      <c r="B1142" s="76" t="s">
        <v>4869</v>
      </c>
      <c r="C1142" s="76" t="s">
        <v>4870</v>
      </c>
      <c r="D1142" s="76" t="s">
        <v>4871</v>
      </c>
      <c r="E1142" s="76" t="s">
        <v>3624</v>
      </c>
      <c r="F1142" s="76"/>
    </row>
    <row r="1143" spans="1:6" ht="63.95" customHeight="1">
      <c r="A1143" s="76" t="s">
        <v>1857</v>
      </c>
      <c r="B1143" s="76" t="s">
        <v>4872</v>
      </c>
      <c r="C1143" s="76" t="s">
        <v>4873</v>
      </c>
      <c r="D1143" s="76" t="s">
        <v>4874</v>
      </c>
      <c r="E1143" s="76" t="s">
        <v>3624</v>
      </c>
      <c r="F1143" s="76"/>
    </row>
    <row r="1144" spans="1:6" ht="63.95" customHeight="1">
      <c r="A1144" s="76" t="s">
        <v>1857</v>
      </c>
      <c r="B1144" s="76" t="s">
        <v>4875</v>
      </c>
      <c r="C1144" s="76" t="s">
        <v>4876</v>
      </c>
      <c r="D1144" s="76" t="s">
        <v>4877</v>
      </c>
      <c r="E1144" s="76" t="s">
        <v>3624</v>
      </c>
      <c r="F1144" s="76"/>
    </row>
    <row r="1145" spans="1:6" ht="63.95" customHeight="1">
      <c r="A1145" s="76" t="s">
        <v>1857</v>
      </c>
      <c r="B1145" s="76" t="s">
        <v>4878</v>
      </c>
      <c r="C1145" s="76" t="s">
        <v>4879</v>
      </c>
      <c r="D1145" s="76" t="s">
        <v>4880</v>
      </c>
      <c r="E1145" s="76" t="s">
        <v>3624</v>
      </c>
      <c r="F1145" s="76"/>
    </row>
    <row r="1146" spans="1:6" ht="63.95" customHeight="1">
      <c r="A1146" s="76" t="s">
        <v>1857</v>
      </c>
      <c r="B1146" s="76" t="s">
        <v>4881</v>
      </c>
      <c r="C1146" s="76" t="s">
        <v>4882</v>
      </c>
      <c r="D1146" s="76" t="s">
        <v>4883</v>
      </c>
      <c r="E1146" s="76" t="s">
        <v>3624</v>
      </c>
      <c r="F1146" s="76"/>
    </row>
    <row r="1147" spans="1:6" ht="63.95" customHeight="1">
      <c r="A1147" s="76" t="s">
        <v>1857</v>
      </c>
      <c r="B1147" s="76" t="s">
        <v>4884</v>
      </c>
      <c r="C1147" s="76" t="s">
        <v>4885</v>
      </c>
      <c r="D1147" s="76" t="s">
        <v>4886</v>
      </c>
      <c r="E1147" s="76" t="s">
        <v>3624</v>
      </c>
      <c r="F1147" s="76"/>
    </row>
    <row r="1148" spans="1:6" ht="63.95" customHeight="1">
      <c r="A1148" s="76" t="s">
        <v>1857</v>
      </c>
      <c r="B1148" s="76" t="s">
        <v>4887</v>
      </c>
      <c r="C1148" s="76" t="s">
        <v>4888</v>
      </c>
      <c r="D1148" s="76" t="s">
        <v>4889</v>
      </c>
      <c r="E1148" s="76" t="s">
        <v>3624</v>
      </c>
      <c r="F1148" s="76"/>
    </row>
    <row r="1149" spans="1:6" ht="63.95" customHeight="1">
      <c r="A1149" s="76" t="s">
        <v>1857</v>
      </c>
      <c r="B1149" s="76" t="s">
        <v>4890</v>
      </c>
      <c r="C1149" s="76" t="s">
        <v>4891</v>
      </c>
      <c r="D1149" s="76" t="s">
        <v>4892</v>
      </c>
      <c r="E1149" s="76" t="s">
        <v>3624</v>
      </c>
      <c r="F1149" s="76"/>
    </row>
    <row r="1150" spans="1:6" ht="63.95" customHeight="1">
      <c r="A1150" s="76" t="s">
        <v>1857</v>
      </c>
      <c r="B1150" s="76" t="s">
        <v>4893</v>
      </c>
      <c r="C1150" s="76" t="s">
        <v>4894</v>
      </c>
      <c r="D1150" s="76" t="s">
        <v>4895</v>
      </c>
      <c r="E1150" s="76" t="s">
        <v>3624</v>
      </c>
      <c r="F1150" s="76"/>
    </row>
    <row r="1151" spans="1:6" ht="63.95" customHeight="1">
      <c r="A1151" s="76" t="s">
        <v>1857</v>
      </c>
      <c r="B1151" s="76" t="s">
        <v>4896</v>
      </c>
      <c r="C1151" s="76" t="s">
        <v>4897</v>
      </c>
      <c r="D1151" s="76" t="s">
        <v>4898</v>
      </c>
      <c r="E1151" s="76" t="s">
        <v>3624</v>
      </c>
      <c r="F1151" s="76"/>
    </row>
    <row r="1152" spans="1:6" ht="63.95" customHeight="1">
      <c r="A1152" s="76" t="s">
        <v>1857</v>
      </c>
      <c r="B1152" s="76" t="s">
        <v>4899</v>
      </c>
      <c r="C1152" s="76" t="s">
        <v>4900</v>
      </c>
      <c r="D1152" s="76" t="s">
        <v>4901</v>
      </c>
      <c r="E1152" s="76" t="s">
        <v>3624</v>
      </c>
      <c r="F1152" s="76"/>
    </row>
    <row r="1153" spans="1:6" ht="63.95" customHeight="1">
      <c r="A1153" s="76" t="s">
        <v>1857</v>
      </c>
      <c r="B1153" s="76" t="s">
        <v>4902</v>
      </c>
      <c r="C1153" s="76" t="s">
        <v>4903</v>
      </c>
      <c r="D1153" s="76" t="s">
        <v>4904</v>
      </c>
      <c r="E1153" s="76" t="s">
        <v>3624</v>
      </c>
      <c r="F1153" s="76"/>
    </row>
    <row r="1154" spans="1:6" ht="63.95" customHeight="1">
      <c r="A1154" s="76" t="s">
        <v>1857</v>
      </c>
      <c r="B1154" s="76" t="s">
        <v>4905</v>
      </c>
      <c r="C1154" s="76" t="s">
        <v>4906</v>
      </c>
      <c r="D1154" s="76" t="s">
        <v>4907</v>
      </c>
      <c r="E1154" s="76" t="s">
        <v>3624</v>
      </c>
      <c r="F1154" s="76"/>
    </row>
    <row r="1155" spans="1:6" ht="63.95" customHeight="1">
      <c r="A1155" s="76" t="s">
        <v>1857</v>
      </c>
      <c r="B1155" s="76" t="s">
        <v>4908</v>
      </c>
      <c r="C1155" s="76" t="s">
        <v>4909</v>
      </c>
      <c r="D1155" s="76" t="s">
        <v>4910</v>
      </c>
      <c r="E1155" s="76" t="s">
        <v>3624</v>
      </c>
      <c r="F1155" s="76"/>
    </row>
    <row r="1156" spans="1:6" ht="63.95" customHeight="1">
      <c r="A1156" s="76" t="s">
        <v>1857</v>
      </c>
      <c r="B1156" s="76" t="s">
        <v>4911</v>
      </c>
      <c r="C1156" s="76" t="s">
        <v>4912</v>
      </c>
      <c r="D1156" s="76" t="s">
        <v>4913</v>
      </c>
      <c r="E1156" s="76" t="s">
        <v>3624</v>
      </c>
      <c r="F1156" s="76"/>
    </row>
    <row r="1157" spans="1:6" ht="63.95" customHeight="1">
      <c r="A1157" s="76" t="s">
        <v>1857</v>
      </c>
      <c r="B1157" s="76" t="s">
        <v>4914</v>
      </c>
      <c r="C1157" s="76" t="s">
        <v>4915</v>
      </c>
      <c r="D1157" s="76" t="s">
        <v>4916</v>
      </c>
      <c r="E1157" s="76" t="s">
        <v>3624</v>
      </c>
      <c r="F1157" s="76"/>
    </row>
    <row r="1158" spans="1:6" ht="63.95" customHeight="1">
      <c r="A1158" s="76" t="s">
        <v>1857</v>
      </c>
      <c r="B1158" s="76" t="s">
        <v>4917</v>
      </c>
      <c r="C1158" s="76" t="s">
        <v>4918</v>
      </c>
      <c r="D1158" s="76" t="s">
        <v>4919</v>
      </c>
      <c r="E1158" s="76" t="s">
        <v>3624</v>
      </c>
      <c r="F1158" s="76"/>
    </row>
    <row r="1159" spans="1:6" ht="63.95" customHeight="1">
      <c r="A1159" s="76" t="s">
        <v>1857</v>
      </c>
      <c r="B1159" s="76" t="s">
        <v>4920</v>
      </c>
      <c r="C1159" s="76" t="s">
        <v>4921</v>
      </c>
      <c r="D1159" s="76" t="s">
        <v>4922</v>
      </c>
      <c r="E1159" s="76" t="s">
        <v>3624</v>
      </c>
      <c r="F1159" s="76"/>
    </row>
    <row r="1160" spans="1:6" ht="63.95" customHeight="1">
      <c r="A1160" s="76" t="s">
        <v>1857</v>
      </c>
      <c r="B1160" s="76" t="s">
        <v>4923</v>
      </c>
      <c r="C1160" s="76" t="s">
        <v>4924</v>
      </c>
      <c r="D1160" s="76" t="s">
        <v>4925</v>
      </c>
      <c r="E1160" s="76" t="s">
        <v>3624</v>
      </c>
      <c r="F1160" s="76"/>
    </row>
    <row r="1161" spans="1:6" ht="63.95" customHeight="1">
      <c r="A1161" s="76" t="s">
        <v>1857</v>
      </c>
      <c r="B1161" s="76" t="s">
        <v>4926</v>
      </c>
      <c r="C1161" s="76" t="s">
        <v>4927</v>
      </c>
      <c r="D1161" s="76" t="s">
        <v>4928</v>
      </c>
      <c r="E1161" s="76" t="s">
        <v>3624</v>
      </c>
      <c r="F1161" s="76"/>
    </row>
    <row r="1162" spans="1:6" ht="63.95" customHeight="1">
      <c r="A1162" s="76" t="s">
        <v>1857</v>
      </c>
      <c r="B1162" s="76" t="s">
        <v>4929</v>
      </c>
      <c r="C1162" s="76" t="s">
        <v>4930</v>
      </c>
      <c r="D1162" s="76" t="s">
        <v>4931</v>
      </c>
      <c r="E1162" s="76" t="s">
        <v>3624</v>
      </c>
      <c r="F1162" s="76"/>
    </row>
    <row r="1163" spans="1:6" ht="63.95" customHeight="1">
      <c r="A1163" s="76" t="s">
        <v>1857</v>
      </c>
      <c r="B1163" s="76" t="s">
        <v>4932</v>
      </c>
      <c r="C1163" s="76" t="s">
        <v>4933</v>
      </c>
      <c r="D1163" s="76" t="s">
        <v>4934</v>
      </c>
      <c r="E1163" s="76" t="s">
        <v>3624</v>
      </c>
      <c r="F1163" s="76"/>
    </row>
    <row r="1164" spans="1:6" ht="63.95" customHeight="1">
      <c r="A1164" s="76" t="s">
        <v>1857</v>
      </c>
      <c r="B1164" s="76" t="s">
        <v>4935</v>
      </c>
      <c r="C1164" s="76" t="s">
        <v>4936</v>
      </c>
      <c r="D1164" s="76" t="s">
        <v>4937</v>
      </c>
      <c r="E1164" s="76" t="s">
        <v>3624</v>
      </c>
      <c r="F1164" s="76"/>
    </row>
    <row r="1165" spans="1:6" ht="63.95" customHeight="1">
      <c r="A1165" s="76" t="s">
        <v>1857</v>
      </c>
      <c r="B1165" s="76" t="s">
        <v>4938</v>
      </c>
      <c r="C1165" s="76" t="s">
        <v>4939</v>
      </c>
      <c r="D1165" s="76" t="s">
        <v>4940</v>
      </c>
      <c r="E1165" s="76" t="s">
        <v>3624</v>
      </c>
      <c r="F1165" s="76"/>
    </row>
    <row r="1166" spans="1:6" ht="63.95" customHeight="1">
      <c r="A1166" s="76" t="s">
        <v>1857</v>
      </c>
      <c r="B1166" s="76" t="s">
        <v>4941</v>
      </c>
      <c r="C1166" s="76" t="s">
        <v>4942</v>
      </c>
      <c r="D1166" s="76" t="s">
        <v>4943</v>
      </c>
      <c r="E1166" s="76" t="s">
        <v>3624</v>
      </c>
      <c r="F1166" s="76"/>
    </row>
    <row r="1167" spans="1:6" ht="63.95" customHeight="1">
      <c r="A1167" s="76" t="s">
        <v>1857</v>
      </c>
      <c r="B1167" s="76" t="s">
        <v>4944</v>
      </c>
      <c r="C1167" s="76" t="s">
        <v>4945</v>
      </c>
      <c r="D1167" s="76" t="s">
        <v>4946</v>
      </c>
      <c r="E1167" s="76" t="s">
        <v>3624</v>
      </c>
      <c r="F1167" s="76"/>
    </row>
    <row r="1168" spans="1:6" ht="63.95" customHeight="1">
      <c r="A1168" s="76" t="s">
        <v>1857</v>
      </c>
      <c r="B1168" s="76" t="s">
        <v>4947</v>
      </c>
      <c r="C1168" s="76" t="s">
        <v>4948</v>
      </c>
      <c r="D1168" s="76" t="s">
        <v>4949</v>
      </c>
      <c r="E1168" s="76" t="s">
        <v>3624</v>
      </c>
      <c r="F1168" s="76"/>
    </row>
    <row r="1169" spans="1:6" ht="63.95" customHeight="1">
      <c r="A1169" s="76" t="s">
        <v>1857</v>
      </c>
      <c r="B1169" s="76" t="s">
        <v>4950</v>
      </c>
      <c r="C1169" s="76" t="s">
        <v>4951</v>
      </c>
      <c r="D1169" s="76" t="s">
        <v>4952</v>
      </c>
      <c r="E1169" s="76" t="s">
        <v>3624</v>
      </c>
      <c r="F1169" s="76"/>
    </row>
    <row r="1170" spans="1:6" ht="63.95" customHeight="1">
      <c r="A1170" s="76" t="s">
        <v>1857</v>
      </c>
      <c r="B1170" s="76" t="s">
        <v>4953</v>
      </c>
      <c r="C1170" s="76" t="s">
        <v>4954</v>
      </c>
      <c r="D1170" s="76" t="s">
        <v>4955</v>
      </c>
      <c r="E1170" s="76" t="s">
        <v>3624</v>
      </c>
      <c r="F1170" s="76"/>
    </row>
    <row r="1171" spans="1:6" ht="63.95" customHeight="1">
      <c r="A1171" s="76" t="s">
        <v>1857</v>
      </c>
      <c r="B1171" s="76" t="s">
        <v>4956</v>
      </c>
      <c r="C1171" s="76" t="s">
        <v>4957</v>
      </c>
      <c r="D1171" s="76" t="s">
        <v>4958</v>
      </c>
      <c r="E1171" s="76" t="s">
        <v>3624</v>
      </c>
      <c r="F1171" s="76"/>
    </row>
    <row r="1172" spans="1:6" ht="63.95" customHeight="1">
      <c r="A1172" s="76" t="s">
        <v>1857</v>
      </c>
      <c r="B1172" s="76" t="s">
        <v>4959</v>
      </c>
      <c r="C1172" s="76" t="s">
        <v>4960</v>
      </c>
      <c r="D1172" s="76" t="s">
        <v>4961</v>
      </c>
      <c r="E1172" s="76" t="s">
        <v>3624</v>
      </c>
      <c r="F1172" s="76"/>
    </row>
    <row r="1173" spans="1:6" ht="63.95" customHeight="1">
      <c r="A1173" s="76" t="s">
        <v>1857</v>
      </c>
      <c r="B1173" s="76" t="s">
        <v>4962</v>
      </c>
      <c r="C1173" s="76" t="s">
        <v>4963</v>
      </c>
      <c r="D1173" s="76" t="s">
        <v>4964</v>
      </c>
      <c r="E1173" s="76" t="s">
        <v>3624</v>
      </c>
      <c r="F1173" s="76"/>
    </row>
    <row r="1174" spans="1:6" ht="63.95" customHeight="1">
      <c r="A1174" s="76" t="s">
        <v>1857</v>
      </c>
      <c r="B1174" s="76" t="s">
        <v>4965</v>
      </c>
      <c r="C1174" s="76" t="s">
        <v>4966</v>
      </c>
      <c r="D1174" s="76" t="s">
        <v>4967</v>
      </c>
      <c r="E1174" s="76" t="s">
        <v>3624</v>
      </c>
      <c r="F1174" s="76"/>
    </row>
    <row r="1175" spans="1:6" ht="63.95" customHeight="1">
      <c r="A1175" s="76" t="s">
        <v>1857</v>
      </c>
      <c r="B1175" s="76" t="s">
        <v>4968</v>
      </c>
      <c r="C1175" s="76" t="s">
        <v>4969</v>
      </c>
      <c r="D1175" s="76" t="s">
        <v>4970</v>
      </c>
      <c r="E1175" s="76" t="s">
        <v>3624</v>
      </c>
      <c r="F1175" s="76"/>
    </row>
    <row r="1176" spans="1:6" ht="63.95" customHeight="1">
      <c r="A1176" s="76" t="s">
        <v>1857</v>
      </c>
      <c r="B1176" s="76" t="s">
        <v>4971</v>
      </c>
      <c r="C1176" s="76" t="s">
        <v>4972</v>
      </c>
      <c r="D1176" s="76" t="s">
        <v>4973</v>
      </c>
      <c r="E1176" s="76" t="s">
        <v>3624</v>
      </c>
      <c r="F1176" s="76"/>
    </row>
    <row r="1177" spans="1:6" ht="63.95" customHeight="1">
      <c r="A1177" s="76" t="s">
        <v>1857</v>
      </c>
      <c r="B1177" s="76" t="s">
        <v>4974</v>
      </c>
      <c r="C1177" s="76" t="s">
        <v>4975</v>
      </c>
      <c r="D1177" s="76" t="s">
        <v>4976</v>
      </c>
      <c r="E1177" s="76" t="s">
        <v>3624</v>
      </c>
      <c r="F1177" s="76"/>
    </row>
    <row r="1178" spans="1:6" ht="63.95" customHeight="1">
      <c r="A1178" s="76" t="s">
        <v>1857</v>
      </c>
      <c r="B1178" s="76" t="s">
        <v>4977</v>
      </c>
      <c r="C1178" s="76" t="s">
        <v>4978</v>
      </c>
      <c r="D1178" s="76" t="s">
        <v>4979</v>
      </c>
      <c r="E1178" s="76" t="s">
        <v>3624</v>
      </c>
      <c r="F1178" s="76"/>
    </row>
    <row r="1179" spans="1:6" ht="63.95" customHeight="1">
      <c r="A1179" s="76" t="s">
        <v>1857</v>
      </c>
      <c r="B1179" s="76" t="s">
        <v>4980</v>
      </c>
      <c r="C1179" s="76" t="s">
        <v>4981</v>
      </c>
      <c r="D1179" s="76" t="s">
        <v>4982</v>
      </c>
      <c r="E1179" s="76" t="s">
        <v>3624</v>
      </c>
      <c r="F1179" s="76"/>
    </row>
    <row r="1180" spans="1:6" ht="63.95" customHeight="1">
      <c r="A1180" s="76" t="s">
        <v>1857</v>
      </c>
      <c r="B1180" s="76" t="s">
        <v>4983</v>
      </c>
      <c r="C1180" s="76" t="s">
        <v>4984</v>
      </c>
      <c r="D1180" s="76" t="s">
        <v>4985</v>
      </c>
      <c r="E1180" s="76" t="s">
        <v>3624</v>
      </c>
      <c r="F1180" s="76"/>
    </row>
    <row r="1181" spans="1:6" ht="63.95" customHeight="1">
      <c r="A1181" s="76" t="s">
        <v>1857</v>
      </c>
      <c r="B1181" s="76" t="s">
        <v>4986</v>
      </c>
      <c r="C1181" s="76" t="s">
        <v>4987</v>
      </c>
      <c r="D1181" s="76" t="s">
        <v>4988</v>
      </c>
      <c r="E1181" s="76" t="s">
        <v>3624</v>
      </c>
      <c r="F1181" s="76"/>
    </row>
    <row r="1182" spans="1:6" ht="63.95" customHeight="1">
      <c r="A1182" s="76" t="s">
        <v>1857</v>
      </c>
      <c r="B1182" s="76" t="s">
        <v>4989</v>
      </c>
      <c r="C1182" s="76" t="s">
        <v>4990</v>
      </c>
      <c r="D1182" s="76" t="s">
        <v>4991</v>
      </c>
      <c r="E1182" s="76" t="s">
        <v>3624</v>
      </c>
      <c r="F1182" s="76"/>
    </row>
    <row r="1183" spans="1:6" ht="63.95" customHeight="1">
      <c r="A1183" s="76" t="s">
        <v>1857</v>
      </c>
      <c r="B1183" s="76" t="s">
        <v>4992</v>
      </c>
      <c r="C1183" s="76" t="s">
        <v>4993</v>
      </c>
      <c r="D1183" s="76" t="s">
        <v>4994</v>
      </c>
      <c r="E1183" s="76" t="s">
        <v>3624</v>
      </c>
      <c r="F1183" s="76"/>
    </row>
    <row r="1184" spans="1:6" ht="63.95" customHeight="1">
      <c r="A1184" s="76" t="s">
        <v>1857</v>
      </c>
      <c r="B1184" s="76" t="s">
        <v>4995</v>
      </c>
      <c r="C1184" s="76" t="s">
        <v>4996</v>
      </c>
      <c r="D1184" s="76" t="s">
        <v>4997</v>
      </c>
      <c r="E1184" s="76" t="s">
        <v>3624</v>
      </c>
      <c r="F1184" s="76"/>
    </row>
    <row r="1185" spans="1:6" ht="63.95" customHeight="1">
      <c r="A1185" s="76" t="s">
        <v>1857</v>
      </c>
      <c r="B1185" s="76" t="s">
        <v>4998</v>
      </c>
      <c r="C1185" s="76" t="s">
        <v>4999</v>
      </c>
      <c r="D1185" s="76" t="s">
        <v>5000</v>
      </c>
      <c r="E1185" s="76" t="s">
        <v>3624</v>
      </c>
      <c r="F1185" s="76"/>
    </row>
    <row r="1186" spans="1:6" ht="63.95" customHeight="1">
      <c r="A1186" s="76" t="s">
        <v>1857</v>
      </c>
      <c r="B1186" s="76" t="s">
        <v>5001</v>
      </c>
      <c r="C1186" s="76" t="s">
        <v>5002</v>
      </c>
      <c r="D1186" s="76" t="s">
        <v>5003</v>
      </c>
      <c r="E1186" s="76" t="s">
        <v>3624</v>
      </c>
      <c r="F1186" s="76"/>
    </row>
    <row r="1187" spans="1:6" ht="63.95" customHeight="1">
      <c r="A1187" s="76" t="s">
        <v>1857</v>
      </c>
      <c r="B1187" s="76" t="s">
        <v>5004</v>
      </c>
      <c r="C1187" s="76" t="s">
        <v>5005</v>
      </c>
      <c r="D1187" s="76" t="s">
        <v>5006</v>
      </c>
      <c r="E1187" s="76" t="s">
        <v>3624</v>
      </c>
      <c r="F1187" s="76"/>
    </row>
    <row r="1188" spans="1:6" ht="63.95" customHeight="1">
      <c r="A1188" s="76" t="s">
        <v>1857</v>
      </c>
      <c r="B1188" s="76" t="s">
        <v>5007</v>
      </c>
      <c r="C1188" s="76" t="s">
        <v>5008</v>
      </c>
      <c r="D1188" s="76" t="s">
        <v>5009</v>
      </c>
      <c r="E1188" s="76" t="s">
        <v>3624</v>
      </c>
      <c r="F1188" s="76"/>
    </row>
    <row r="1189" spans="1:6" ht="63.95" customHeight="1">
      <c r="A1189" s="76" t="s">
        <v>1857</v>
      </c>
      <c r="B1189" s="76" t="s">
        <v>5010</v>
      </c>
      <c r="C1189" s="76" t="s">
        <v>5011</v>
      </c>
      <c r="D1189" s="76" t="s">
        <v>5012</v>
      </c>
      <c r="E1189" s="76" t="s">
        <v>3624</v>
      </c>
      <c r="F1189" s="76"/>
    </row>
    <row r="1190" spans="1:6" ht="63.95" customHeight="1">
      <c r="A1190" s="76" t="s">
        <v>1857</v>
      </c>
      <c r="B1190" s="76" t="s">
        <v>5013</v>
      </c>
      <c r="C1190" s="76" t="s">
        <v>5014</v>
      </c>
      <c r="D1190" s="76" t="s">
        <v>5015</v>
      </c>
      <c r="E1190" s="76" t="s">
        <v>3624</v>
      </c>
      <c r="F1190" s="76"/>
    </row>
    <row r="1191" spans="1:6" ht="63.95" customHeight="1">
      <c r="A1191" s="76" t="s">
        <v>1857</v>
      </c>
      <c r="B1191" s="76" t="s">
        <v>5016</v>
      </c>
      <c r="C1191" s="76" t="s">
        <v>5017</v>
      </c>
      <c r="D1191" s="76" t="s">
        <v>5018</v>
      </c>
      <c r="E1191" s="76" t="s">
        <v>3624</v>
      </c>
      <c r="F1191" s="76"/>
    </row>
    <row r="1192" spans="1:6" ht="63.95" customHeight="1">
      <c r="A1192" s="76" t="s">
        <v>1857</v>
      </c>
      <c r="B1192" s="76" t="s">
        <v>5019</v>
      </c>
      <c r="C1192" s="76" t="s">
        <v>5020</v>
      </c>
      <c r="D1192" s="76" t="s">
        <v>5021</v>
      </c>
      <c r="E1192" s="76" t="s">
        <v>3624</v>
      </c>
      <c r="F1192" s="76"/>
    </row>
    <row r="1193" spans="1:6" ht="63.95" customHeight="1">
      <c r="A1193" s="76" t="s">
        <v>1857</v>
      </c>
      <c r="B1193" s="76" t="s">
        <v>5022</v>
      </c>
      <c r="C1193" s="76" t="s">
        <v>5023</v>
      </c>
      <c r="D1193" s="76" t="s">
        <v>5024</v>
      </c>
      <c r="E1193" s="76" t="s">
        <v>3624</v>
      </c>
      <c r="F1193" s="76"/>
    </row>
    <row r="1194" spans="1:6" ht="63.95" customHeight="1">
      <c r="A1194" s="76" t="s">
        <v>1857</v>
      </c>
      <c r="B1194" s="76" t="s">
        <v>5025</v>
      </c>
      <c r="C1194" s="76" t="s">
        <v>5026</v>
      </c>
      <c r="D1194" s="76" t="s">
        <v>5027</v>
      </c>
      <c r="E1194" s="76" t="s">
        <v>3624</v>
      </c>
      <c r="F1194" s="76"/>
    </row>
    <row r="1195" spans="1:6" ht="63.95" customHeight="1">
      <c r="A1195" s="76" t="s">
        <v>1857</v>
      </c>
      <c r="B1195" s="76" t="s">
        <v>5028</v>
      </c>
      <c r="C1195" s="76" t="s">
        <v>5029</v>
      </c>
      <c r="D1195" s="76" t="s">
        <v>5030</v>
      </c>
      <c r="E1195" s="76" t="s">
        <v>3624</v>
      </c>
      <c r="F1195" s="76"/>
    </row>
    <row r="1196" spans="1:6" ht="63.95" customHeight="1">
      <c r="A1196" s="76" t="s">
        <v>1857</v>
      </c>
      <c r="B1196" s="76" t="s">
        <v>5031</v>
      </c>
      <c r="C1196" s="76" t="s">
        <v>5032</v>
      </c>
      <c r="D1196" s="76" t="s">
        <v>5033</v>
      </c>
      <c r="E1196" s="76" t="s">
        <v>3624</v>
      </c>
      <c r="F1196" s="76"/>
    </row>
    <row r="1197" spans="1:6" ht="63.95" customHeight="1">
      <c r="A1197" s="76" t="s">
        <v>1857</v>
      </c>
      <c r="B1197" s="76" t="s">
        <v>5034</v>
      </c>
      <c r="C1197" s="76" t="s">
        <v>5035</v>
      </c>
      <c r="D1197" s="76" t="s">
        <v>5036</v>
      </c>
      <c r="E1197" s="76" t="s">
        <v>3624</v>
      </c>
      <c r="F1197" s="76"/>
    </row>
    <row r="1198" spans="1:6" ht="63.95" customHeight="1">
      <c r="A1198" s="76" t="s">
        <v>1857</v>
      </c>
      <c r="B1198" s="76" t="s">
        <v>5037</v>
      </c>
      <c r="C1198" s="76" t="s">
        <v>5038</v>
      </c>
      <c r="D1198" s="76" t="s">
        <v>5039</v>
      </c>
      <c r="E1198" s="76" t="s">
        <v>3624</v>
      </c>
      <c r="F1198" s="76"/>
    </row>
    <row r="1199" spans="1:6" ht="63.95" customHeight="1">
      <c r="A1199" s="76" t="s">
        <v>1857</v>
      </c>
      <c r="B1199" s="76" t="s">
        <v>5040</v>
      </c>
      <c r="C1199" s="76" t="s">
        <v>5041</v>
      </c>
      <c r="D1199" s="76" t="s">
        <v>5042</v>
      </c>
      <c r="E1199" s="76" t="s">
        <v>3624</v>
      </c>
      <c r="F1199" s="76"/>
    </row>
    <row r="1200" spans="1:6" ht="63.95" customHeight="1">
      <c r="A1200" s="76" t="s">
        <v>1857</v>
      </c>
      <c r="B1200" s="76" t="s">
        <v>5043</v>
      </c>
      <c r="C1200" s="76" t="s">
        <v>5044</v>
      </c>
      <c r="D1200" s="76" t="s">
        <v>5045</v>
      </c>
      <c r="E1200" s="76" t="s">
        <v>3624</v>
      </c>
      <c r="F1200" s="76"/>
    </row>
    <row r="1201" spans="1:6" ht="63.95" customHeight="1">
      <c r="A1201" s="76" t="s">
        <v>1857</v>
      </c>
      <c r="B1201" s="76" t="s">
        <v>5046</v>
      </c>
      <c r="C1201" s="76" t="s">
        <v>5047</v>
      </c>
      <c r="D1201" s="76" t="s">
        <v>5048</v>
      </c>
      <c r="E1201" s="76" t="s">
        <v>3624</v>
      </c>
      <c r="F1201" s="76"/>
    </row>
    <row r="1202" spans="1:6" ht="63.95" customHeight="1">
      <c r="A1202" s="76" t="s">
        <v>1857</v>
      </c>
      <c r="B1202" s="76" t="s">
        <v>5049</v>
      </c>
      <c r="C1202" s="76" t="s">
        <v>5050</v>
      </c>
      <c r="D1202" s="76" t="s">
        <v>5051</v>
      </c>
      <c r="E1202" s="76" t="s">
        <v>3624</v>
      </c>
      <c r="F1202" s="76"/>
    </row>
    <row r="1203" spans="1:6" ht="63.95" customHeight="1">
      <c r="A1203" s="76" t="s">
        <v>1857</v>
      </c>
      <c r="B1203" s="76" t="s">
        <v>5052</v>
      </c>
      <c r="C1203" s="76" t="s">
        <v>5053</v>
      </c>
      <c r="D1203" s="76" t="s">
        <v>5054</v>
      </c>
      <c r="E1203" s="76" t="s">
        <v>3624</v>
      </c>
      <c r="F1203" s="76"/>
    </row>
    <row r="1204" spans="1:6" ht="63.95" customHeight="1">
      <c r="A1204" s="76" t="s">
        <v>1857</v>
      </c>
      <c r="B1204" s="76" t="s">
        <v>5055</v>
      </c>
      <c r="C1204" s="76" t="s">
        <v>5056</v>
      </c>
      <c r="D1204" s="76" t="s">
        <v>5057</v>
      </c>
      <c r="E1204" s="76" t="s">
        <v>3624</v>
      </c>
      <c r="F1204" s="76"/>
    </row>
    <row r="1205" spans="1:6" ht="63.95" customHeight="1">
      <c r="A1205" s="76" t="s">
        <v>1857</v>
      </c>
      <c r="B1205" s="76" t="s">
        <v>5058</v>
      </c>
      <c r="C1205" s="76" t="s">
        <v>5059</v>
      </c>
      <c r="D1205" s="76" t="s">
        <v>5060</v>
      </c>
      <c r="E1205" s="76" t="s">
        <v>3624</v>
      </c>
      <c r="F1205" s="76"/>
    </row>
    <row r="1206" spans="1:6" ht="63.95" customHeight="1">
      <c r="A1206" s="76" t="s">
        <v>1857</v>
      </c>
      <c r="B1206" s="76" t="s">
        <v>5061</v>
      </c>
      <c r="C1206" s="76" t="s">
        <v>5062</v>
      </c>
      <c r="D1206" s="76" t="s">
        <v>5063</v>
      </c>
      <c r="E1206" s="76" t="s">
        <v>3624</v>
      </c>
      <c r="F1206" s="76"/>
    </row>
    <row r="1207" spans="1:6" ht="63.95" customHeight="1">
      <c r="A1207" s="76" t="s">
        <v>1857</v>
      </c>
      <c r="B1207" s="76" t="s">
        <v>5064</v>
      </c>
      <c r="C1207" s="76" t="s">
        <v>5065</v>
      </c>
      <c r="D1207" s="76" t="s">
        <v>5066</v>
      </c>
      <c r="E1207" s="76" t="s">
        <v>3624</v>
      </c>
      <c r="F1207" s="76"/>
    </row>
    <row r="1208" spans="1:6" ht="63.95" customHeight="1">
      <c r="A1208" s="76" t="s">
        <v>1857</v>
      </c>
      <c r="B1208" s="76" t="s">
        <v>5067</v>
      </c>
      <c r="C1208" s="76" t="s">
        <v>5068</v>
      </c>
      <c r="D1208" s="76" t="s">
        <v>5069</v>
      </c>
      <c r="E1208" s="76" t="s">
        <v>3624</v>
      </c>
      <c r="F1208" s="76"/>
    </row>
    <row r="1209" spans="1:6" ht="63.95" customHeight="1">
      <c r="A1209" s="76" t="s">
        <v>1857</v>
      </c>
      <c r="B1209" s="76" t="s">
        <v>5070</v>
      </c>
      <c r="C1209" s="76" t="s">
        <v>5071</v>
      </c>
      <c r="D1209" s="76" t="s">
        <v>5072</v>
      </c>
      <c r="E1209" s="76" t="s">
        <v>3624</v>
      </c>
      <c r="F1209" s="76"/>
    </row>
    <row r="1210" spans="1:6" ht="63.95" customHeight="1">
      <c r="A1210" s="76" t="s">
        <v>1857</v>
      </c>
      <c r="B1210" s="76" t="s">
        <v>5073</v>
      </c>
      <c r="C1210" s="76" t="s">
        <v>5074</v>
      </c>
      <c r="D1210" s="76" t="s">
        <v>5075</v>
      </c>
      <c r="E1210" s="76" t="s">
        <v>3624</v>
      </c>
      <c r="F1210" s="76"/>
    </row>
    <row r="1211" spans="1:6" ht="63.95" customHeight="1">
      <c r="A1211" s="76" t="s">
        <v>1857</v>
      </c>
      <c r="B1211" s="76" t="s">
        <v>5076</v>
      </c>
      <c r="C1211" s="76" t="s">
        <v>5077</v>
      </c>
      <c r="D1211" s="76" t="s">
        <v>5078</v>
      </c>
      <c r="E1211" s="76" t="s">
        <v>3624</v>
      </c>
      <c r="F1211" s="76"/>
    </row>
    <row r="1212" spans="1:6" ht="63.95" customHeight="1">
      <c r="A1212" s="76" t="s">
        <v>1857</v>
      </c>
      <c r="B1212" s="76" t="s">
        <v>5079</v>
      </c>
      <c r="C1212" s="76" t="s">
        <v>5080</v>
      </c>
      <c r="D1212" s="76" t="s">
        <v>5081</v>
      </c>
      <c r="E1212" s="76" t="s">
        <v>3624</v>
      </c>
      <c r="F1212" s="76"/>
    </row>
    <row r="1213" spans="1:6" ht="63.95" customHeight="1">
      <c r="A1213" s="76" t="s">
        <v>1857</v>
      </c>
      <c r="B1213" s="76" t="s">
        <v>5082</v>
      </c>
      <c r="C1213" s="76" t="s">
        <v>5083</v>
      </c>
      <c r="D1213" s="76" t="s">
        <v>5084</v>
      </c>
      <c r="E1213" s="76" t="s">
        <v>3624</v>
      </c>
      <c r="F1213" s="76"/>
    </row>
    <row r="1214" spans="1:6" ht="63.95" customHeight="1">
      <c r="A1214" s="76" t="s">
        <v>1857</v>
      </c>
      <c r="B1214" s="76" t="s">
        <v>5085</v>
      </c>
      <c r="C1214" s="76" t="s">
        <v>5086</v>
      </c>
      <c r="D1214" s="76" t="s">
        <v>5087</v>
      </c>
      <c r="E1214" s="76" t="s">
        <v>3624</v>
      </c>
      <c r="F1214" s="76"/>
    </row>
    <row r="1215" spans="1:6" ht="63.95" customHeight="1">
      <c r="A1215" s="76" t="s">
        <v>1857</v>
      </c>
      <c r="B1215" s="76" t="s">
        <v>5088</v>
      </c>
      <c r="C1215" s="76" t="s">
        <v>5089</v>
      </c>
      <c r="D1215" s="76" t="s">
        <v>5090</v>
      </c>
      <c r="E1215" s="76" t="s">
        <v>3624</v>
      </c>
      <c r="F1215" s="76"/>
    </row>
    <row r="1216" spans="1:6" ht="63.95" customHeight="1">
      <c r="A1216" s="76" t="s">
        <v>1857</v>
      </c>
      <c r="B1216" s="76" t="s">
        <v>5091</v>
      </c>
      <c r="C1216" s="76" t="s">
        <v>5092</v>
      </c>
      <c r="D1216" s="76" t="s">
        <v>5093</v>
      </c>
      <c r="E1216" s="76" t="s">
        <v>3624</v>
      </c>
      <c r="F1216" s="76"/>
    </row>
    <row r="1217" spans="1:6" ht="63.95" customHeight="1">
      <c r="A1217" s="76" t="s">
        <v>1857</v>
      </c>
      <c r="B1217" s="76" t="s">
        <v>5094</v>
      </c>
      <c r="C1217" s="76" t="s">
        <v>5095</v>
      </c>
      <c r="D1217" s="76" t="s">
        <v>5096</v>
      </c>
      <c r="E1217" s="76" t="s">
        <v>3624</v>
      </c>
      <c r="F1217" s="76"/>
    </row>
    <row r="1218" spans="1:6" ht="63.95" customHeight="1">
      <c r="A1218" s="76" t="s">
        <v>1857</v>
      </c>
      <c r="B1218" s="76" t="s">
        <v>5097</v>
      </c>
      <c r="C1218" s="76" t="s">
        <v>5098</v>
      </c>
      <c r="D1218" s="76" t="s">
        <v>5099</v>
      </c>
      <c r="E1218" s="76" t="s">
        <v>3624</v>
      </c>
      <c r="F1218" s="76"/>
    </row>
    <row r="1219" spans="1:6" ht="63.95" customHeight="1">
      <c r="A1219" s="76" t="s">
        <v>1857</v>
      </c>
      <c r="B1219" s="76" t="s">
        <v>5100</v>
      </c>
      <c r="C1219" s="76" t="s">
        <v>5101</v>
      </c>
      <c r="D1219" s="76" t="s">
        <v>5102</v>
      </c>
      <c r="E1219" s="76" t="s">
        <v>3624</v>
      </c>
      <c r="F1219" s="76"/>
    </row>
    <row r="1220" spans="1:6" ht="63.95" customHeight="1">
      <c r="A1220" s="76" t="s">
        <v>1857</v>
      </c>
      <c r="B1220" s="76" t="s">
        <v>5103</v>
      </c>
      <c r="C1220" s="76" t="s">
        <v>5104</v>
      </c>
      <c r="D1220" s="76" t="s">
        <v>5105</v>
      </c>
      <c r="E1220" s="76" t="s">
        <v>3624</v>
      </c>
      <c r="F1220" s="76"/>
    </row>
    <row r="1221" spans="1:6" ht="63.95" customHeight="1">
      <c r="A1221" s="76" t="s">
        <v>1857</v>
      </c>
      <c r="B1221" s="76" t="s">
        <v>5106</v>
      </c>
      <c r="C1221" s="76" t="s">
        <v>5107</v>
      </c>
      <c r="D1221" s="76" t="s">
        <v>5108</v>
      </c>
      <c r="E1221" s="76" t="s">
        <v>3624</v>
      </c>
      <c r="F1221" s="76"/>
    </row>
    <row r="1222" spans="1:6" ht="63.95" customHeight="1">
      <c r="A1222" s="76" t="s">
        <v>1857</v>
      </c>
      <c r="B1222" s="76" t="s">
        <v>5109</v>
      </c>
      <c r="C1222" s="76" t="s">
        <v>5110</v>
      </c>
      <c r="D1222" s="76" t="s">
        <v>5111</v>
      </c>
      <c r="E1222" s="76" t="s">
        <v>3624</v>
      </c>
      <c r="F1222" s="76"/>
    </row>
    <row r="1223" spans="1:6" ht="63.95" customHeight="1">
      <c r="A1223" s="76" t="s">
        <v>1857</v>
      </c>
      <c r="B1223" s="76" t="s">
        <v>5112</v>
      </c>
      <c r="C1223" s="76" t="s">
        <v>5113</v>
      </c>
      <c r="D1223" s="76" t="s">
        <v>5114</v>
      </c>
      <c r="E1223" s="76" t="s">
        <v>3624</v>
      </c>
      <c r="F1223" s="76"/>
    </row>
    <row r="1224" spans="1:6" ht="63.95" customHeight="1">
      <c r="A1224" s="76" t="s">
        <v>1857</v>
      </c>
      <c r="B1224" s="76" t="s">
        <v>5115</v>
      </c>
      <c r="C1224" s="76" t="s">
        <v>5116</v>
      </c>
      <c r="D1224" s="76" t="s">
        <v>5117</v>
      </c>
      <c r="E1224" s="76" t="s">
        <v>3624</v>
      </c>
      <c r="F1224" s="76"/>
    </row>
    <row r="1225" spans="1:6" ht="63.95" customHeight="1">
      <c r="A1225" s="76" t="s">
        <v>1857</v>
      </c>
      <c r="B1225" s="76" t="s">
        <v>5118</v>
      </c>
      <c r="C1225" s="76" t="s">
        <v>5119</v>
      </c>
      <c r="D1225" s="76" t="s">
        <v>5120</v>
      </c>
      <c r="E1225" s="76" t="s">
        <v>3624</v>
      </c>
      <c r="F1225" s="76"/>
    </row>
    <row r="1226" spans="1:6" ht="63.95" customHeight="1">
      <c r="A1226" s="76" t="s">
        <v>1857</v>
      </c>
      <c r="B1226" s="76" t="s">
        <v>5121</v>
      </c>
      <c r="C1226" s="76" t="s">
        <v>5122</v>
      </c>
      <c r="D1226" s="76" t="s">
        <v>5123</v>
      </c>
      <c r="E1226" s="76" t="s">
        <v>3624</v>
      </c>
      <c r="F1226" s="76"/>
    </row>
    <row r="1227" spans="1:6" ht="63.95" customHeight="1">
      <c r="A1227" s="76" t="s">
        <v>1857</v>
      </c>
      <c r="B1227" s="76" t="s">
        <v>5124</v>
      </c>
      <c r="C1227" s="76" t="s">
        <v>5125</v>
      </c>
      <c r="D1227" s="76" t="s">
        <v>5126</v>
      </c>
      <c r="E1227" s="76" t="s">
        <v>3624</v>
      </c>
      <c r="F1227" s="76"/>
    </row>
    <row r="1228" spans="1:6" ht="63.95" customHeight="1">
      <c r="A1228" s="76" t="s">
        <v>1857</v>
      </c>
      <c r="B1228" s="76" t="s">
        <v>5127</v>
      </c>
      <c r="C1228" s="76" t="s">
        <v>5128</v>
      </c>
      <c r="D1228" s="76" t="s">
        <v>5129</v>
      </c>
      <c r="E1228" s="76" t="s">
        <v>3624</v>
      </c>
      <c r="F1228" s="76"/>
    </row>
    <row r="1229" spans="1:6" ht="63.95" customHeight="1">
      <c r="A1229" s="76" t="s">
        <v>1857</v>
      </c>
      <c r="B1229" s="76" t="s">
        <v>5130</v>
      </c>
      <c r="C1229" s="76" t="s">
        <v>5131</v>
      </c>
      <c r="D1229" s="76" t="s">
        <v>5132</v>
      </c>
      <c r="E1229" s="76" t="s">
        <v>3624</v>
      </c>
      <c r="F1229" s="76"/>
    </row>
    <row r="1230" spans="1:6" ht="63.95" customHeight="1">
      <c r="A1230" s="76" t="s">
        <v>1857</v>
      </c>
      <c r="B1230" s="76" t="s">
        <v>5133</v>
      </c>
      <c r="C1230" s="76" t="s">
        <v>5134</v>
      </c>
      <c r="D1230" s="76" t="s">
        <v>5135</v>
      </c>
      <c r="E1230" s="76" t="s">
        <v>3624</v>
      </c>
      <c r="F1230" s="76"/>
    </row>
    <row r="1231" spans="1:6" ht="63.95" customHeight="1">
      <c r="A1231" s="76" t="s">
        <v>1857</v>
      </c>
      <c r="B1231" s="76" t="s">
        <v>5136</v>
      </c>
      <c r="C1231" s="76" t="s">
        <v>5137</v>
      </c>
      <c r="D1231" s="76" t="s">
        <v>5138</v>
      </c>
      <c r="E1231" s="76" t="s">
        <v>3624</v>
      </c>
      <c r="F1231" s="76"/>
    </row>
    <row r="1232" spans="1:6" ht="63.95" customHeight="1">
      <c r="A1232" s="76" t="s">
        <v>1857</v>
      </c>
      <c r="B1232" s="76" t="s">
        <v>5139</v>
      </c>
      <c r="C1232" s="76" t="s">
        <v>5140</v>
      </c>
      <c r="D1232" s="76" t="s">
        <v>5141</v>
      </c>
      <c r="E1232" s="76" t="s">
        <v>3624</v>
      </c>
      <c r="F1232" s="76"/>
    </row>
    <row r="1233" spans="1:6" ht="63.95" customHeight="1">
      <c r="A1233" s="76" t="s">
        <v>1857</v>
      </c>
      <c r="B1233" s="76" t="s">
        <v>5142</v>
      </c>
      <c r="C1233" s="76" t="s">
        <v>5143</v>
      </c>
      <c r="D1233" s="76" t="s">
        <v>5144</v>
      </c>
      <c r="E1233" s="76" t="s">
        <v>3624</v>
      </c>
      <c r="F1233" s="76"/>
    </row>
    <row r="1234" spans="1:6" ht="63.95" customHeight="1">
      <c r="A1234" s="76" t="s">
        <v>1857</v>
      </c>
      <c r="B1234" s="76" t="s">
        <v>5145</v>
      </c>
      <c r="C1234" s="76" t="s">
        <v>5146</v>
      </c>
      <c r="D1234" s="76" t="s">
        <v>5147</v>
      </c>
      <c r="E1234" s="76" t="s">
        <v>3624</v>
      </c>
      <c r="F1234" s="76"/>
    </row>
    <row r="1235" spans="1:6" ht="63.95" customHeight="1">
      <c r="A1235" s="76" t="s">
        <v>1857</v>
      </c>
      <c r="B1235" s="76" t="s">
        <v>5148</v>
      </c>
      <c r="C1235" s="76" t="s">
        <v>5149</v>
      </c>
      <c r="D1235" s="76" t="s">
        <v>5150</v>
      </c>
      <c r="E1235" s="76" t="s">
        <v>3624</v>
      </c>
      <c r="F1235" s="76"/>
    </row>
    <row r="1236" spans="1:6" ht="63.95" customHeight="1">
      <c r="A1236" s="76" t="s">
        <v>1857</v>
      </c>
      <c r="B1236" s="76" t="s">
        <v>5151</v>
      </c>
      <c r="C1236" s="76" t="s">
        <v>5152</v>
      </c>
      <c r="D1236" s="76" t="s">
        <v>5153</v>
      </c>
      <c r="E1236" s="76" t="s">
        <v>3624</v>
      </c>
      <c r="F1236" s="76"/>
    </row>
    <row r="1237" spans="1:6" ht="63.95" customHeight="1">
      <c r="A1237" s="76" t="s">
        <v>1857</v>
      </c>
      <c r="B1237" s="76" t="s">
        <v>5154</v>
      </c>
      <c r="C1237" s="76" t="s">
        <v>5155</v>
      </c>
      <c r="D1237" s="76" t="s">
        <v>5156</v>
      </c>
      <c r="E1237" s="76" t="s">
        <v>3624</v>
      </c>
      <c r="F1237" s="76"/>
    </row>
    <row r="1238" spans="1:6" ht="63.95" customHeight="1">
      <c r="A1238" s="76" t="s">
        <v>1857</v>
      </c>
      <c r="B1238" s="76" t="s">
        <v>5157</v>
      </c>
      <c r="C1238" s="76" t="s">
        <v>5158</v>
      </c>
      <c r="D1238" s="76" t="s">
        <v>5159</v>
      </c>
      <c r="E1238" s="76" t="s">
        <v>3624</v>
      </c>
      <c r="F1238" s="76"/>
    </row>
    <row r="1239" spans="1:6" ht="63.95" customHeight="1">
      <c r="A1239" s="76" t="s">
        <v>1857</v>
      </c>
      <c r="B1239" s="76" t="s">
        <v>5160</v>
      </c>
      <c r="C1239" s="76" t="s">
        <v>5161</v>
      </c>
      <c r="D1239" s="76" t="s">
        <v>5162</v>
      </c>
      <c r="E1239" s="76" t="s">
        <v>3624</v>
      </c>
      <c r="F1239" s="76"/>
    </row>
    <row r="1240" spans="1:6" ht="63.95" customHeight="1">
      <c r="A1240" s="76" t="s">
        <v>1857</v>
      </c>
      <c r="B1240" s="76" t="s">
        <v>5163</v>
      </c>
      <c r="C1240" s="76" t="s">
        <v>5164</v>
      </c>
      <c r="D1240" s="76" t="s">
        <v>5165</v>
      </c>
      <c r="E1240" s="76" t="s">
        <v>3624</v>
      </c>
      <c r="F1240" s="76"/>
    </row>
    <row r="1241" spans="1:6" ht="63.95" customHeight="1">
      <c r="A1241" s="76" t="s">
        <v>1857</v>
      </c>
      <c r="B1241" s="76" t="s">
        <v>5166</v>
      </c>
      <c r="C1241" s="76" t="s">
        <v>5167</v>
      </c>
      <c r="D1241" s="76" t="s">
        <v>5168</v>
      </c>
      <c r="E1241" s="76" t="s">
        <v>3624</v>
      </c>
      <c r="F1241" s="76"/>
    </row>
    <row r="1242" spans="1:6" ht="63.95" customHeight="1">
      <c r="A1242" s="76" t="s">
        <v>1857</v>
      </c>
      <c r="B1242" s="76" t="s">
        <v>5169</v>
      </c>
      <c r="C1242" s="76" t="s">
        <v>5170</v>
      </c>
      <c r="D1242" s="76" t="s">
        <v>5171</v>
      </c>
      <c r="E1242" s="76" t="s">
        <v>3624</v>
      </c>
      <c r="F1242" s="76"/>
    </row>
    <row r="1243" spans="1:6" ht="63.95" customHeight="1">
      <c r="A1243" s="76" t="s">
        <v>1857</v>
      </c>
      <c r="B1243" s="76" t="s">
        <v>5172</v>
      </c>
      <c r="C1243" s="76" t="s">
        <v>5173</v>
      </c>
      <c r="D1243" s="76" t="s">
        <v>5174</v>
      </c>
      <c r="E1243" s="76" t="s">
        <v>3624</v>
      </c>
      <c r="F1243" s="76"/>
    </row>
    <row r="1244" spans="1:6" ht="63.95" customHeight="1">
      <c r="A1244" s="76" t="s">
        <v>1857</v>
      </c>
      <c r="B1244" s="76" t="s">
        <v>5175</v>
      </c>
      <c r="C1244" s="76" t="s">
        <v>5176</v>
      </c>
      <c r="D1244" s="76" t="s">
        <v>5177</v>
      </c>
      <c r="E1244" s="76" t="s">
        <v>3624</v>
      </c>
      <c r="F1244" s="76"/>
    </row>
    <row r="1245" spans="1:6" ht="63.95" customHeight="1">
      <c r="A1245" s="76" t="s">
        <v>1857</v>
      </c>
      <c r="B1245" s="76" t="s">
        <v>5178</v>
      </c>
      <c r="C1245" s="76" t="s">
        <v>5179</v>
      </c>
      <c r="D1245" s="76" t="s">
        <v>5180</v>
      </c>
      <c r="E1245" s="76" t="s">
        <v>3624</v>
      </c>
      <c r="F1245" s="76"/>
    </row>
    <row r="1246" spans="1:6" ht="63.95" customHeight="1">
      <c r="A1246" s="76" t="s">
        <v>1857</v>
      </c>
      <c r="B1246" s="76" t="s">
        <v>5181</v>
      </c>
      <c r="C1246" s="76" t="s">
        <v>5182</v>
      </c>
      <c r="D1246" s="76" t="s">
        <v>5183</v>
      </c>
      <c r="E1246" s="76" t="s">
        <v>3624</v>
      </c>
      <c r="F1246" s="76"/>
    </row>
    <row r="1247" spans="1:6" ht="63.95" customHeight="1">
      <c r="A1247" s="76" t="s">
        <v>1857</v>
      </c>
      <c r="B1247" s="76" t="s">
        <v>5184</v>
      </c>
      <c r="C1247" s="76" t="s">
        <v>5185</v>
      </c>
      <c r="D1247" s="76" t="s">
        <v>5186</v>
      </c>
      <c r="E1247" s="76" t="s">
        <v>3624</v>
      </c>
      <c r="F1247" s="76"/>
    </row>
    <row r="1248" spans="1:6" ht="63.95" customHeight="1">
      <c r="A1248" s="76" t="s">
        <v>1857</v>
      </c>
      <c r="B1248" s="76" t="s">
        <v>5187</v>
      </c>
      <c r="C1248" s="76" t="s">
        <v>5188</v>
      </c>
      <c r="D1248" s="76" t="s">
        <v>5189</v>
      </c>
      <c r="E1248" s="76" t="s">
        <v>3624</v>
      </c>
      <c r="F1248" s="76"/>
    </row>
    <row r="1249" spans="1:6" ht="63.95" customHeight="1">
      <c r="A1249" s="76" t="s">
        <v>1857</v>
      </c>
      <c r="B1249" s="76" t="s">
        <v>5190</v>
      </c>
      <c r="C1249" s="76" t="s">
        <v>5191</v>
      </c>
      <c r="D1249" s="76" t="s">
        <v>5192</v>
      </c>
      <c r="E1249" s="76" t="s">
        <v>3624</v>
      </c>
      <c r="F1249" s="76"/>
    </row>
    <row r="1250" spans="1:6" ht="63.95" customHeight="1">
      <c r="A1250" s="76" t="s">
        <v>1857</v>
      </c>
      <c r="B1250" s="76" t="s">
        <v>5193</v>
      </c>
      <c r="C1250" s="76" t="s">
        <v>5194</v>
      </c>
      <c r="D1250" s="76" t="s">
        <v>5195</v>
      </c>
      <c r="E1250" s="76" t="s">
        <v>3624</v>
      </c>
      <c r="F1250" s="76"/>
    </row>
    <row r="1251" spans="1:6" ht="63.95" customHeight="1">
      <c r="A1251" s="76" t="s">
        <v>1857</v>
      </c>
      <c r="B1251" s="76" t="s">
        <v>5196</v>
      </c>
      <c r="C1251" s="76" t="s">
        <v>5197</v>
      </c>
      <c r="D1251" s="76" t="s">
        <v>5198</v>
      </c>
      <c r="E1251" s="76" t="s">
        <v>3624</v>
      </c>
      <c r="F1251" s="76"/>
    </row>
    <row r="1252" spans="1:6" ht="63.95" customHeight="1">
      <c r="A1252" s="76" t="s">
        <v>1857</v>
      </c>
      <c r="B1252" s="76" t="s">
        <v>5199</v>
      </c>
      <c r="C1252" s="76" t="s">
        <v>5200</v>
      </c>
      <c r="D1252" s="76" t="s">
        <v>5201</v>
      </c>
      <c r="E1252" s="76" t="s">
        <v>3624</v>
      </c>
      <c r="F1252" s="76"/>
    </row>
    <row r="1253" spans="1:6" ht="63.95" customHeight="1">
      <c r="A1253" s="76" t="s">
        <v>1857</v>
      </c>
      <c r="B1253" s="76" t="s">
        <v>5202</v>
      </c>
      <c r="C1253" s="76" t="s">
        <v>5203</v>
      </c>
      <c r="D1253" s="76" t="s">
        <v>5204</v>
      </c>
      <c r="E1253" s="76" t="s">
        <v>3624</v>
      </c>
      <c r="F1253" s="76"/>
    </row>
    <row r="1254" spans="1:6" ht="63.95" customHeight="1">
      <c r="A1254" s="76" t="s">
        <v>1857</v>
      </c>
      <c r="B1254" s="76" t="s">
        <v>5205</v>
      </c>
      <c r="C1254" s="76" t="s">
        <v>5206</v>
      </c>
      <c r="D1254" s="76" t="s">
        <v>5207</v>
      </c>
      <c r="E1254" s="76" t="s">
        <v>3624</v>
      </c>
      <c r="F1254" s="76"/>
    </row>
    <row r="1255" spans="1:6" ht="63.95" customHeight="1">
      <c r="A1255" s="76" t="s">
        <v>1857</v>
      </c>
      <c r="B1255" s="76" t="s">
        <v>5208</v>
      </c>
      <c r="C1255" s="76" t="s">
        <v>5209</v>
      </c>
      <c r="D1255" s="76" t="s">
        <v>5210</v>
      </c>
      <c r="E1255" s="76" t="s">
        <v>3624</v>
      </c>
      <c r="F1255" s="76"/>
    </row>
    <row r="1256" spans="1:6" ht="63.95" customHeight="1">
      <c r="A1256" s="76" t="s">
        <v>1857</v>
      </c>
      <c r="B1256" s="76" t="s">
        <v>5211</v>
      </c>
      <c r="C1256" s="76" t="s">
        <v>5212</v>
      </c>
      <c r="D1256" s="76" t="s">
        <v>5213</v>
      </c>
      <c r="E1256" s="76" t="s">
        <v>3624</v>
      </c>
      <c r="F1256" s="76"/>
    </row>
    <row r="1257" spans="1:6" ht="63.95" customHeight="1">
      <c r="A1257" s="76" t="s">
        <v>1857</v>
      </c>
      <c r="B1257" s="76" t="s">
        <v>5214</v>
      </c>
      <c r="C1257" s="76" t="s">
        <v>5215</v>
      </c>
      <c r="D1257" s="76" t="s">
        <v>5216</v>
      </c>
      <c r="E1257" s="76" t="s">
        <v>3624</v>
      </c>
      <c r="F1257" s="76"/>
    </row>
    <row r="1258" spans="1:6" ht="63.95" customHeight="1">
      <c r="A1258" s="76" t="s">
        <v>1857</v>
      </c>
      <c r="B1258" s="76" t="s">
        <v>5217</v>
      </c>
      <c r="C1258" s="76" t="s">
        <v>5218</v>
      </c>
      <c r="D1258" s="76" t="s">
        <v>5219</v>
      </c>
      <c r="E1258" s="76" t="s">
        <v>3624</v>
      </c>
      <c r="F1258" s="76"/>
    </row>
    <row r="1259" spans="1:6" ht="63.95" customHeight="1">
      <c r="A1259" s="76" t="s">
        <v>1857</v>
      </c>
      <c r="B1259" s="76" t="s">
        <v>5220</v>
      </c>
      <c r="C1259" s="76" t="s">
        <v>5221</v>
      </c>
      <c r="D1259" s="76" t="s">
        <v>5222</v>
      </c>
      <c r="E1259" s="76" t="s">
        <v>3624</v>
      </c>
      <c r="F1259" s="76"/>
    </row>
    <row r="1260" spans="1:6" ht="63.95" customHeight="1">
      <c r="A1260" s="76" t="s">
        <v>1857</v>
      </c>
      <c r="B1260" s="76" t="s">
        <v>5223</v>
      </c>
      <c r="C1260" s="76" t="s">
        <v>5224</v>
      </c>
      <c r="D1260" s="76" t="s">
        <v>5225</v>
      </c>
      <c r="E1260" s="76" t="s">
        <v>3624</v>
      </c>
      <c r="F1260" s="76"/>
    </row>
    <row r="1261" spans="1:6" ht="63.95" customHeight="1">
      <c r="A1261" s="76" t="s">
        <v>1857</v>
      </c>
      <c r="B1261" s="76" t="s">
        <v>5226</v>
      </c>
      <c r="C1261" s="76" t="s">
        <v>5227</v>
      </c>
      <c r="D1261" s="76" t="s">
        <v>5228</v>
      </c>
      <c r="E1261" s="76" t="s">
        <v>3624</v>
      </c>
      <c r="F1261" s="76"/>
    </row>
    <row r="1262" spans="1:6" ht="63.95" customHeight="1">
      <c r="A1262" s="76" t="s">
        <v>1857</v>
      </c>
      <c r="B1262" s="76" t="s">
        <v>5229</v>
      </c>
      <c r="C1262" s="76" t="s">
        <v>5230</v>
      </c>
      <c r="D1262" s="76" t="s">
        <v>5231</v>
      </c>
      <c r="E1262" s="76" t="s">
        <v>3624</v>
      </c>
      <c r="F1262" s="76"/>
    </row>
    <row r="1263" spans="1:6" ht="63.95" customHeight="1">
      <c r="A1263" s="76" t="s">
        <v>1857</v>
      </c>
      <c r="B1263" s="76" t="s">
        <v>5232</v>
      </c>
      <c r="C1263" s="76" t="s">
        <v>5233</v>
      </c>
      <c r="D1263" s="76" t="s">
        <v>5234</v>
      </c>
      <c r="E1263" s="76" t="s">
        <v>3624</v>
      </c>
      <c r="F1263" s="76"/>
    </row>
    <row r="1264" spans="1:6" ht="63.95" customHeight="1">
      <c r="A1264" s="76" t="s">
        <v>1857</v>
      </c>
      <c r="B1264" s="76" t="s">
        <v>5235</v>
      </c>
      <c r="C1264" s="76" t="s">
        <v>5236</v>
      </c>
      <c r="D1264" s="76" t="s">
        <v>5237</v>
      </c>
      <c r="E1264" s="76" t="s">
        <v>3624</v>
      </c>
      <c r="F1264" s="76"/>
    </row>
    <row r="1265" spans="1:6" ht="63.95" customHeight="1">
      <c r="A1265" s="76" t="s">
        <v>1857</v>
      </c>
      <c r="B1265" s="76" t="s">
        <v>5238</v>
      </c>
      <c r="C1265" s="76" t="s">
        <v>5239</v>
      </c>
      <c r="D1265" s="76" t="s">
        <v>5240</v>
      </c>
      <c r="E1265" s="76" t="s">
        <v>3624</v>
      </c>
      <c r="F1265" s="76"/>
    </row>
    <row r="1266" spans="1:6" ht="63.95" customHeight="1">
      <c r="A1266" s="76" t="s">
        <v>1857</v>
      </c>
      <c r="B1266" s="76" t="s">
        <v>5241</v>
      </c>
      <c r="C1266" s="76" t="s">
        <v>5242</v>
      </c>
      <c r="D1266" s="76" t="s">
        <v>5243</v>
      </c>
      <c r="E1266" s="76" t="s">
        <v>3624</v>
      </c>
      <c r="F1266" s="76"/>
    </row>
    <row r="1267" spans="1:6" ht="63.95" customHeight="1">
      <c r="A1267" s="76" t="s">
        <v>1857</v>
      </c>
      <c r="B1267" s="76" t="s">
        <v>5244</v>
      </c>
      <c r="C1267" s="76" t="s">
        <v>5245</v>
      </c>
      <c r="D1267" s="76" t="s">
        <v>5246</v>
      </c>
      <c r="E1267" s="76" t="s">
        <v>3624</v>
      </c>
      <c r="F1267" s="76"/>
    </row>
    <row r="1268" spans="1:6" ht="63.95" customHeight="1">
      <c r="A1268" s="76" t="s">
        <v>1857</v>
      </c>
      <c r="B1268" s="76" t="s">
        <v>5247</v>
      </c>
      <c r="C1268" s="76" t="s">
        <v>5248</v>
      </c>
      <c r="D1268" s="76" t="s">
        <v>5249</v>
      </c>
      <c r="E1268" s="76" t="s">
        <v>3624</v>
      </c>
      <c r="F1268" s="76"/>
    </row>
    <row r="1269" spans="1:6" ht="63.95" customHeight="1">
      <c r="A1269" s="76" t="s">
        <v>1857</v>
      </c>
      <c r="B1269" s="76" t="s">
        <v>5250</v>
      </c>
      <c r="C1269" s="76" t="s">
        <v>5251</v>
      </c>
      <c r="D1269" s="76" t="s">
        <v>5252</v>
      </c>
      <c r="E1269" s="76" t="s">
        <v>3624</v>
      </c>
      <c r="F1269" s="76"/>
    </row>
    <row r="1270" spans="1:6" ht="63.95" customHeight="1">
      <c r="A1270" s="76" t="s">
        <v>1857</v>
      </c>
      <c r="B1270" s="76" t="s">
        <v>5253</v>
      </c>
      <c r="C1270" s="76" t="s">
        <v>5254</v>
      </c>
      <c r="D1270" s="76" t="s">
        <v>5255</v>
      </c>
      <c r="E1270" s="76" t="s">
        <v>3624</v>
      </c>
      <c r="F1270" s="76"/>
    </row>
    <row r="1271" spans="1:6" ht="63.95" customHeight="1">
      <c r="A1271" s="76" t="s">
        <v>1857</v>
      </c>
      <c r="B1271" s="76" t="s">
        <v>5256</v>
      </c>
      <c r="C1271" s="76" t="s">
        <v>5257</v>
      </c>
      <c r="D1271" s="76" t="s">
        <v>5258</v>
      </c>
      <c r="E1271" s="76" t="s">
        <v>3624</v>
      </c>
      <c r="F1271" s="76"/>
    </row>
    <row r="1272" spans="1:6" ht="63.95" customHeight="1">
      <c r="A1272" s="76" t="s">
        <v>1857</v>
      </c>
      <c r="B1272" s="76" t="s">
        <v>5259</v>
      </c>
      <c r="C1272" s="76" t="s">
        <v>5260</v>
      </c>
      <c r="D1272" s="76" t="s">
        <v>5261</v>
      </c>
      <c r="E1272" s="76" t="s">
        <v>3624</v>
      </c>
      <c r="F1272" s="76"/>
    </row>
    <row r="1273" spans="1:6" ht="63.95" customHeight="1">
      <c r="A1273" s="76" t="s">
        <v>1857</v>
      </c>
      <c r="B1273" s="76" t="s">
        <v>5262</v>
      </c>
      <c r="C1273" s="76" t="s">
        <v>5263</v>
      </c>
      <c r="D1273" s="76" t="s">
        <v>5264</v>
      </c>
      <c r="E1273" s="76" t="s">
        <v>3624</v>
      </c>
      <c r="F1273" s="76"/>
    </row>
    <row r="1274" spans="1:6" ht="63.95" customHeight="1">
      <c r="A1274" s="76" t="s">
        <v>1857</v>
      </c>
      <c r="B1274" s="76" t="s">
        <v>5265</v>
      </c>
      <c r="C1274" s="76" t="s">
        <v>5266</v>
      </c>
      <c r="D1274" s="76" t="s">
        <v>5267</v>
      </c>
      <c r="E1274" s="76" t="s">
        <v>3624</v>
      </c>
      <c r="F1274" s="76"/>
    </row>
    <row r="1275" spans="1:6" ht="63.95" customHeight="1">
      <c r="A1275" s="76" t="s">
        <v>1857</v>
      </c>
      <c r="B1275" s="76" t="s">
        <v>5268</v>
      </c>
      <c r="C1275" s="76" t="s">
        <v>5269</v>
      </c>
      <c r="D1275" s="76" t="s">
        <v>5270</v>
      </c>
      <c r="E1275" s="76" t="s">
        <v>3624</v>
      </c>
      <c r="F1275" s="76"/>
    </row>
    <row r="1276" spans="1:6" ht="63.95" customHeight="1">
      <c r="A1276" s="76" t="s">
        <v>1857</v>
      </c>
      <c r="B1276" s="76" t="s">
        <v>5271</v>
      </c>
      <c r="C1276" s="76" t="s">
        <v>5272</v>
      </c>
      <c r="D1276" s="76" t="s">
        <v>5273</v>
      </c>
      <c r="E1276" s="76" t="s">
        <v>3624</v>
      </c>
      <c r="F1276" s="76"/>
    </row>
    <row r="1277" spans="1:6" ht="63.95" customHeight="1">
      <c r="A1277" s="76" t="s">
        <v>1857</v>
      </c>
      <c r="B1277" s="76" t="s">
        <v>5274</v>
      </c>
      <c r="C1277" s="76" t="s">
        <v>5275</v>
      </c>
      <c r="D1277" s="76" t="s">
        <v>5276</v>
      </c>
      <c r="E1277" s="76" t="s">
        <v>3624</v>
      </c>
      <c r="F1277" s="76"/>
    </row>
    <row r="1278" spans="1:6" ht="63.95" customHeight="1">
      <c r="A1278" s="76" t="s">
        <v>1857</v>
      </c>
      <c r="B1278" s="76" t="s">
        <v>5277</v>
      </c>
      <c r="C1278" s="76" t="s">
        <v>5278</v>
      </c>
      <c r="D1278" s="76" t="s">
        <v>5279</v>
      </c>
      <c r="E1278" s="76" t="s">
        <v>3624</v>
      </c>
      <c r="F1278" s="76"/>
    </row>
    <row r="1279" spans="1:6" ht="63.95" customHeight="1">
      <c r="A1279" s="76" t="s">
        <v>1857</v>
      </c>
      <c r="B1279" s="76" t="s">
        <v>5280</v>
      </c>
      <c r="C1279" s="76" t="s">
        <v>5281</v>
      </c>
      <c r="D1279" s="76" t="s">
        <v>5282</v>
      </c>
      <c r="E1279" s="76" t="s">
        <v>3624</v>
      </c>
      <c r="F1279" s="76"/>
    </row>
    <row r="1280" spans="1:6" ht="63.95" customHeight="1">
      <c r="A1280" s="76" t="s">
        <v>1857</v>
      </c>
      <c r="B1280" s="76" t="s">
        <v>5283</v>
      </c>
      <c r="C1280" s="76" t="s">
        <v>5284</v>
      </c>
      <c r="D1280" s="76" t="s">
        <v>5285</v>
      </c>
      <c r="E1280" s="76" t="s">
        <v>3624</v>
      </c>
      <c r="F1280" s="76"/>
    </row>
    <row r="1281" spans="1:6" ht="63.95" customHeight="1">
      <c r="A1281" s="76" t="s">
        <v>1857</v>
      </c>
      <c r="B1281" s="76" t="s">
        <v>5286</v>
      </c>
      <c r="C1281" s="76" t="s">
        <v>5287</v>
      </c>
      <c r="D1281" s="76" t="s">
        <v>5288</v>
      </c>
      <c r="E1281" s="76" t="s">
        <v>3624</v>
      </c>
      <c r="F1281" s="76"/>
    </row>
    <row r="1282" spans="1:6" ht="63.95" customHeight="1">
      <c r="A1282" s="76" t="s">
        <v>1857</v>
      </c>
      <c r="B1282" s="76" t="s">
        <v>5289</v>
      </c>
      <c r="C1282" s="76" t="s">
        <v>5290</v>
      </c>
      <c r="D1282" s="76" t="s">
        <v>5291</v>
      </c>
      <c r="E1282" s="76" t="s">
        <v>3624</v>
      </c>
      <c r="F1282" s="76"/>
    </row>
    <row r="1283" spans="1:6" ht="63.95" customHeight="1">
      <c r="A1283" s="76" t="s">
        <v>1857</v>
      </c>
      <c r="B1283" s="76" t="s">
        <v>5292</v>
      </c>
      <c r="C1283" s="76" t="s">
        <v>5293</v>
      </c>
      <c r="D1283" s="76" t="s">
        <v>5294</v>
      </c>
      <c r="E1283" s="76" t="s">
        <v>3624</v>
      </c>
      <c r="F1283" s="76"/>
    </row>
    <row r="1284" spans="1:6" ht="63.95" customHeight="1">
      <c r="A1284" s="76" t="s">
        <v>1857</v>
      </c>
      <c r="B1284" s="76" t="s">
        <v>5295</v>
      </c>
      <c r="C1284" s="76" t="s">
        <v>5296</v>
      </c>
      <c r="D1284" s="76" t="s">
        <v>5297</v>
      </c>
      <c r="E1284" s="76" t="s">
        <v>3624</v>
      </c>
      <c r="F1284" s="76"/>
    </row>
    <row r="1285" spans="1:6" ht="63.95" customHeight="1">
      <c r="A1285" s="76" t="s">
        <v>1857</v>
      </c>
      <c r="B1285" s="76" t="s">
        <v>5298</v>
      </c>
      <c r="C1285" s="76" t="s">
        <v>5299</v>
      </c>
      <c r="D1285" s="76" t="s">
        <v>5300</v>
      </c>
      <c r="E1285" s="76" t="s">
        <v>3624</v>
      </c>
      <c r="F1285" s="76"/>
    </row>
    <row r="1286" spans="1:6" ht="63.95" customHeight="1">
      <c r="A1286" s="76" t="s">
        <v>1334</v>
      </c>
      <c r="B1286" s="76" t="s">
        <v>1967</v>
      </c>
      <c r="C1286" s="76" t="s">
        <v>5301</v>
      </c>
      <c r="D1286" s="76" t="s">
        <v>5302</v>
      </c>
      <c r="E1286" s="76" t="s">
        <v>3612</v>
      </c>
      <c r="F1286" s="76"/>
    </row>
    <row r="1287" spans="1:6" ht="63.95" customHeight="1">
      <c r="A1287" s="76" t="s">
        <v>1334</v>
      </c>
      <c r="B1287" s="76" t="s">
        <v>5303</v>
      </c>
      <c r="C1287" s="76" t="s">
        <v>5304</v>
      </c>
      <c r="D1287" s="76" t="s">
        <v>5305</v>
      </c>
      <c r="E1287" s="76" t="s">
        <v>3612</v>
      </c>
      <c r="F1287" s="76"/>
    </row>
    <row r="1288" spans="1:6" ht="63.95" customHeight="1">
      <c r="A1288" s="76" t="s">
        <v>1334</v>
      </c>
      <c r="B1288" s="76" t="s">
        <v>5306</v>
      </c>
      <c r="C1288" s="76" t="s">
        <v>5307</v>
      </c>
      <c r="D1288" s="76" t="s">
        <v>5308</v>
      </c>
      <c r="E1288" s="76" t="s">
        <v>3612</v>
      </c>
      <c r="F1288" s="76"/>
    </row>
    <row r="1289" spans="1:6" ht="63.95" customHeight="1">
      <c r="A1289" s="76" t="s">
        <v>1334</v>
      </c>
      <c r="B1289" s="76" t="s">
        <v>5309</v>
      </c>
      <c r="C1289" s="76" t="s">
        <v>1440</v>
      </c>
      <c r="D1289" s="76" t="s">
        <v>2326</v>
      </c>
      <c r="E1289" s="76" t="s">
        <v>3612</v>
      </c>
      <c r="F1289" s="76"/>
    </row>
    <row r="1290" spans="1:6" ht="63.95" customHeight="1">
      <c r="A1290" s="76" t="s">
        <v>1334</v>
      </c>
      <c r="B1290" s="76" t="s">
        <v>5310</v>
      </c>
      <c r="C1290" s="76" t="s">
        <v>5311</v>
      </c>
      <c r="D1290" s="76" t="s">
        <v>5312</v>
      </c>
      <c r="E1290" s="76" t="s">
        <v>3612</v>
      </c>
      <c r="F1290" s="76"/>
    </row>
    <row r="1291" spans="1:6" ht="63.95" customHeight="1">
      <c r="A1291" s="76" t="s">
        <v>1334</v>
      </c>
      <c r="B1291" s="76" t="s">
        <v>5313</v>
      </c>
      <c r="C1291" s="76" t="s">
        <v>5314</v>
      </c>
      <c r="D1291" s="76" t="s">
        <v>5315</v>
      </c>
      <c r="E1291" s="76" t="s">
        <v>5316</v>
      </c>
      <c r="F1291" s="76"/>
    </row>
    <row r="1292" spans="1:6" ht="63.95" customHeight="1">
      <c r="A1292" s="76" t="s">
        <v>1334</v>
      </c>
      <c r="B1292" s="76" t="s">
        <v>5317</v>
      </c>
      <c r="C1292" s="76"/>
      <c r="D1292" s="76" t="s">
        <v>5318</v>
      </c>
      <c r="E1292" s="76" t="s">
        <v>5319</v>
      </c>
      <c r="F1292" s="76"/>
    </row>
    <row r="1293" spans="1:6" ht="63.95" customHeight="1">
      <c r="A1293" s="76" t="s">
        <v>1334</v>
      </c>
      <c r="B1293" s="76" t="s">
        <v>5320</v>
      </c>
      <c r="C1293" s="76"/>
      <c r="D1293" s="76" t="s">
        <v>5321</v>
      </c>
      <c r="E1293" s="76" t="s">
        <v>5322</v>
      </c>
      <c r="F1293" s="76"/>
    </row>
    <row r="1294" spans="1:6" ht="63.95" customHeight="1">
      <c r="A1294" s="76" t="s">
        <v>1860</v>
      </c>
      <c r="B1294" s="76" t="s">
        <v>5323</v>
      </c>
      <c r="C1294" s="76"/>
      <c r="D1294" s="76" t="s">
        <v>98</v>
      </c>
      <c r="E1294" s="76" t="s">
        <v>5324</v>
      </c>
      <c r="F1294" s="76" t="s">
        <v>5325</v>
      </c>
    </row>
    <row r="1295" spans="1:6" ht="63.95" customHeight="1">
      <c r="A1295" s="76" t="s">
        <v>1860</v>
      </c>
      <c r="B1295" s="76" t="s">
        <v>5313</v>
      </c>
      <c r="C1295" s="76"/>
      <c r="D1295" s="76" t="s">
        <v>524</v>
      </c>
      <c r="E1295" s="76" t="s">
        <v>5324</v>
      </c>
      <c r="F1295" s="76" t="s">
        <v>5325</v>
      </c>
    </row>
    <row r="1296" spans="1:6" ht="63.95" customHeight="1">
      <c r="A1296" s="76" t="s">
        <v>1860</v>
      </c>
      <c r="B1296" s="76" t="s">
        <v>5326</v>
      </c>
      <c r="C1296" s="76"/>
      <c r="D1296" s="76" t="s">
        <v>504</v>
      </c>
      <c r="E1296" s="76" t="s">
        <v>5324</v>
      </c>
      <c r="F1296" s="76" t="s">
        <v>5325</v>
      </c>
    </row>
    <row r="1297" spans="1:6" ht="63.95" customHeight="1">
      <c r="A1297" s="76" t="s">
        <v>1860</v>
      </c>
      <c r="B1297" s="76" t="s">
        <v>5327</v>
      </c>
      <c r="C1297" s="76"/>
      <c r="D1297" s="76" t="s">
        <v>2398</v>
      </c>
      <c r="E1297" s="76" t="s">
        <v>5324</v>
      </c>
      <c r="F1297" s="76" t="s">
        <v>5325</v>
      </c>
    </row>
    <row r="1298" spans="1:6" ht="63.95" customHeight="1">
      <c r="A1298" s="76" t="s">
        <v>1860</v>
      </c>
      <c r="B1298" s="76" t="s">
        <v>5328</v>
      </c>
      <c r="C1298" s="76"/>
      <c r="D1298" s="76" t="s">
        <v>1030</v>
      </c>
      <c r="E1298" s="76" t="s">
        <v>5324</v>
      </c>
      <c r="F1298" s="76" t="s">
        <v>5325</v>
      </c>
    </row>
    <row r="1299" spans="1:6" ht="63.95" customHeight="1">
      <c r="A1299" s="76" t="s">
        <v>1860</v>
      </c>
      <c r="B1299" s="76" t="s">
        <v>3939</v>
      </c>
      <c r="C1299" s="76"/>
      <c r="D1299" s="76" t="s">
        <v>5329</v>
      </c>
      <c r="E1299" s="76" t="s">
        <v>5324</v>
      </c>
      <c r="F1299" s="76" t="s">
        <v>5325</v>
      </c>
    </row>
    <row r="1300" spans="1:6" ht="63.95" customHeight="1">
      <c r="A1300" s="76" t="s">
        <v>1860</v>
      </c>
      <c r="B1300" s="76" t="s">
        <v>3942</v>
      </c>
      <c r="C1300" s="76"/>
      <c r="D1300" s="76" t="s">
        <v>5330</v>
      </c>
      <c r="E1300" s="76" t="s">
        <v>5324</v>
      </c>
      <c r="F1300" s="76" t="s">
        <v>5325</v>
      </c>
    </row>
    <row r="1301" spans="1:6" ht="63.95" customHeight="1">
      <c r="A1301" s="76" t="s">
        <v>1860</v>
      </c>
      <c r="B1301" s="76" t="s">
        <v>5331</v>
      </c>
      <c r="C1301" s="76"/>
      <c r="D1301" s="76" t="s">
        <v>2402</v>
      </c>
      <c r="E1301" s="76" t="s">
        <v>5324</v>
      </c>
      <c r="F1301" s="76" t="s">
        <v>5325</v>
      </c>
    </row>
    <row r="1302" spans="1:6" ht="63.95" customHeight="1">
      <c r="A1302" s="76" t="s">
        <v>1860</v>
      </c>
      <c r="B1302" s="76" t="s">
        <v>5332</v>
      </c>
      <c r="C1302" s="76"/>
      <c r="D1302" s="76" t="s">
        <v>113</v>
      </c>
      <c r="E1302" s="76" t="s">
        <v>5333</v>
      </c>
      <c r="F1302" s="76" t="s">
        <v>113</v>
      </c>
    </row>
    <row r="1303" spans="1:6" ht="63.95" customHeight="1">
      <c r="A1303" s="76" t="s">
        <v>1860</v>
      </c>
      <c r="B1303" s="76" t="s">
        <v>5334</v>
      </c>
      <c r="C1303" s="76"/>
      <c r="D1303" s="76" t="s">
        <v>524</v>
      </c>
      <c r="E1303" s="76" t="s">
        <v>5333</v>
      </c>
      <c r="F1303" s="76" t="s">
        <v>113</v>
      </c>
    </row>
    <row r="1304" spans="1:6" ht="63.95" customHeight="1">
      <c r="A1304" s="76" t="s">
        <v>1860</v>
      </c>
      <c r="B1304" s="76" t="s">
        <v>5335</v>
      </c>
      <c r="C1304" s="76"/>
      <c r="D1304" s="76" t="s">
        <v>491</v>
      </c>
      <c r="E1304" s="76" t="s">
        <v>5333</v>
      </c>
      <c r="F1304" s="76" t="s">
        <v>113</v>
      </c>
    </row>
    <row r="1305" spans="1:6" ht="63.95" customHeight="1">
      <c r="A1305" s="76" t="s">
        <v>1860</v>
      </c>
      <c r="B1305" s="76" t="s">
        <v>5336</v>
      </c>
      <c r="C1305" s="76"/>
      <c r="D1305" s="76" t="s">
        <v>2533</v>
      </c>
      <c r="E1305" s="76" t="s">
        <v>5333</v>
      </c>
      <c r="F1305" s="76" t="s">
        <v>113</v>
      </c>
    </row>
    <row r="1306" spans="1:6" ht="63.95" customHeight="1">
      <c r="A1306" s="76" t="s">
        <v>1860</v>
      </c>
      <c r="B1306" s="76" t="s">
        <v>5337</v>
      </c>
      <c r="C1306" s="76"/>
      <c r="D1306" s="76" t="s">
        <v>601</v>
      </c>
      <c r="E1306" s="76" t="s">
        <v>5333</v>
      </c>
      <c r="F1306" s="76" t="s">
        <v>113</v>
      </c>
    </row>
    <row r="1307" spans="1:6" ht="63.95" customHeight="1">
      <c r="A1307" s="76" t="s">
        <v>1860</v>
      </c>
      <c r="B1307" s="76" t="s">
        <v>3945</v>
      </c>
      <c r="C1307" s="76"/>
      <c r="D1307" s="76" t="s">
        <v>5338</v>
      </c>
      <c r="E1307" s="76" t="s">
        <v>5333</v>
      </c>
      <c r="F1307" s="76" t="s">
        <v>113</v>
      </c>
    </row>
    <row r="1308" spans="1:6" ht="63.95" customHeight="1">
      <c r="A1308" s="76" t="s">
        <v>1860</v>
      </c>
      <c r="B1308" s="76" t="s">
        <v>3948</v>
      </c>
      <c r="C1308" s="76"/>
      <c r="D1308" s="76" t="s">
        <v>5339</v>
      </c>
      <c r="E1308" s="76" t="s">
        <v>5333</v>
      </c>
      <c r="F1308" s="76" t="s">
        <v>113</v>
      </c>
    </row>
    <row r="1309" spans="1:6" ht="63.95" customHeight="1">
      <c r="A1309" s="76" t="s">
        <v>1860</v>
      </c>
      <c r="B1309" s="76" t="s">
        <v>5340</v>
      </c>
      <c r="C1309" s="76"/>
      <c r="D1309" s="76" t="s">
        <v>2536</v>
      </c>
      <c r="E1309" s="76" t="s">
        <v>5333</v>
      </c>
      <c r="F1309" s="76" t="s">
        <v>113</v>
      </c>
    </row>
    <row r="1310" spans="1:6" ht="63.95" customHeight="1">
      <c r="A1310" s="76" t="s">
        <v>1860</v>
      </c>
      <c r="B1310" s="76" t="s">
        <v>5341</v>
      </c>
      <c r="C1310" s="76"/>
      <c r="D1310" s="76" t="s">
        <v>118</v>
      </c>
      <c r="E1310" s="76" t="s">
        <v>5333</v>
      </c>
      <c r="F1310" s="76" t="s">
        <v>118</v>
      </c>
    </row>
    <row r="1311" spans="1:6" ht="63.95" customHeight="1">
      <c r="A1311" s="76" t="s">
        <v>1860</v>
      </c>
      <c r="B1311" s="76" t="s">
        <v>5342</v>
      </c>
      <c r="C1311" s="76"/>
      <c r="D1311" s="76" t="s">
        <v>524</v>
      </c>
      <c r="E1311" s="76" t="s">
        <v>5333</v>
      </c>
      <c r="F1311" s="76" t="s">
        <v>118</v>
      </c>
    </row>
    <row r="1312" spans="1:6" ht="63.95" customHeight="1">
      <c r="A1312" s="76" t="s">
        <v>1860</v>
      </c>
      <c r="B1312" s="76" t="s">
        <v>5343</v>
      </c>
      <c r="C1312" s="76"/>
      <c r="D1312" s="76" t="s">
        <v>491</v>
      </c>
      <c r="E1312" s="76" t="s">
        <v>5333</v>
      </c>
      <c r="F1312" s="76" t="s">
        <v>118</v>
      </c>
    </row>
    <row r="1313" spans="1:6" ht="63.95" customHeight="1">
      <c r="A1313" s="76" t="s">
        <v>1860</v>
      </c>
      <c r="B1313" s="76" t="s">
        <v>5344</v>
      </c>
      <c r="C1313" s="76"/>
      <c r="D1313" s="76" t="s">
        <v>2594</v>
      </c>
      <c r="E1313" s="76" t="s">
        <v>5333</v>
      </c>
      <c r="F1313" s="76" t="s">
        <v>118</v>
      </c>
    </row>
    <row r="1314" spans="1:6" ht="63.95" customHeight="1">
      <c r="A1314" s="76" t="s">
        <v>1860</v>
      </c>
      <c r="B1314" s="76" t="s">
        <v>5345</v>
      </c>
      <c r="C1314" s="76"/>
      <c r="D1314" s="76" t="s">
        <v>619</v>
      </c>
      <c r="E1314" s="76" t="s">
        <v>5333</v>
      </c>
      <c r="F1314" s="76" t="s">
        <v>118</v>
      </c>
    </row>
    <row r="1315" spans="1:6" ht="63.95" customHeight="1">
      <c r="A1315" s="76" t="s">
        <v>1860</v>
      </c>
      <c r="B1315" s="76" t="s">
        <v>3951</v>
      </c>
      <c r="C1315" s="76"/>
      <c r="D1315" s="76" t="s">
        <v>5338</v>
      </c>
      <c r="E1315" s="76" t="s">
        <v>5333</v>
      </c>
      <c r="F1315" s="76" t="s">
        <v>118</v>
      </c>
    </row>
    <row r="1316" spans="1:6" ht="63.95" customHeight="1">
      <c r="A1316" s="76" t="s">
        <v>1860</v>
      </c>
      <c r="B1316" s="76" t="s">
        <v>3954</v>
      </c>
      <c r="C1316" s="76"/>
      <c r="D1316" s="76" t="s">
        <v>5339</v>
      </c>
      <c r="E1316" s="76" t="s">
        <v>5333</v>
      </c>
      <c r="F1316" s="76" t="s">
        <v>118</v>
      </c>
    </row>
    <row r="1317" spans="1:6" ht="63.95" customHeight="1">
      <c r="A1317" s="76" t="s">
        <v>1860</v>
      </c>
      <c r="B1317" s="76" t="s">
        <v>5346</v>
      </c>
      <c r="C1317" s="76"/>
      <c r="D1317" s="76" t="s">
        <v>2599</v>
      </c>
      <c r="E1317" s="76" t="s">
        <v>5333</v>
      </c>
      <c r="F1317" s="76" t="s">
        <v>118</v>
      </c>
    </row>
    <row r="1318" spans="1:6" ht="63.95" customHeight="1">
      <c r="A1318" s="76" t="s">
        <v>1860</v>
      </c>
      <c r="B1318" s="76" t="s">
        <v>5317</v>
      </c>
      <c r="C1318" s="76"/>
      <c r="D1318" s="76" t="s">
        <v>120</v>
      </c>
      <c r="E1318" s="76" t="s">
        <v>5333</v>
      </c>
      <c r="F1318" s="76" t="s">
        <v>120</v>
      </c>
    </row>
    <row r="1319" spans="1:6" ht="63.95" customHeight="1">
      <c r="A1319" s="76" t="s">
        <v>1860</v>
      </c>
      <c r="B1319" s="76" t="s">
        <v>5320</v>
      </c>
      <c r="C1319" s="76"/>
      <c r="D1319" s="76" t="s">
        <v>524</v>
      </c>
      <c r="E1319" s="76" t="s">
        <v>5333</v>
      </c>
      <c r="F1319" s="76" t="s">
        <v>120</v>
      </c>
    </row>
    <row r="1320" spans="1:6" ht="63.95" customHeight="1">
      <c r="A1320" s="76" t="s">
        <v>1860</v>
      </c>
      <c r="B1320" s="76" t="s">
        <v>5347</v>
      </c>
      <c r="C1320" s="76"/>
      <c r="D1320" s="76" t="s">
        <v>491</v>
      </c>
      <c r="E1320" s="76" t="s">
        <v>5333</v>
      </c>
      <c r="F1320" s="76" t="s">
        <v>120</v>
      </c>
    </row>
    <row r="1321" spans="1:6" ht="63.95" customHeight="1">
      <c r="A1321" s="76" t="s">
        <v>1860</v>
      </c>
      <c r="B1321" s="76" t="s">
        <v>5348</v>
      </c>
      <c r="C1321" s="76"/>
      <c r="D1321" s="76" t="s">
        <v>1446</v>
      </c>
      <c r="E1321" s="76" t="s">
        <v>5333</v>
      </c>
      <c r="F1321" s="76" t="s">
        <v>120</v>
      </c>
    </row>
    <row r="1322" spans="1:6" ht="63.95" customHeight="1">
      <c r="A1322" s="76" t="s">
        <v>1860</v>
      </c>
      <c r="B1322" s="76" t="s">
        <v>5349</v>
      </c>
      <c r="C1322" s="76"/>
      <c r="D1322" s="76" t="s">
        <v>1157</v>
      </c>
      <c r="E1322" s="76" t="s">
        <v>5333</v>
      </c>
      <c r="F1322" s="76" t="s">
        <v>120</v>
      </c>
    </row>
    <row r="1323" spans="1:6" ht="63.95" customHeight="1">
      <c r="A1323" s="76" t="s">
        <v>1860</v>
      </c>
      <c r="B1323" s="76" t="s">
        <v>3957</v>
      </c>
      <c r="C1323" s="76"/>
      <c r="D1323" s="76" t="s">
        <v>5338</v>
      </c>
      <c r="E1323" s="76" t="s">
        <v>5333</v>
      </c>
      <c r="F1323" s="76" t="s">
        <v>120</v>
      </c>
    </row>
    <row r="1324" spans="1:6" ht="63.95" customHeight="1">
      <c r="A1324" s="76" t="s">
        <v>1860</v>
      </c>
      <c r="B1324" s="76" t="s">
        <v>3960</v>
      </c>
      <c r="C1324" s="76"/>
      <c r="D1324" s="76" t="s">
        <v>5339</v>
      </c>
      <c r="E1324" s="76" t="s">
        <v>5333</v>
      </c>
      <c r="F1324" s="76" t="s">
        <v>120</v>
      </c>
    </row>
    <row r="1325" spans="1:6" ht="63.95" customHeight="1">
      <c r="A1325" s="76" t="s">
        <v>1860</v>
      </c>
      <c r="B1325" s="76" t="s">
        <v>5350</v>
      </c>
      <c r="C1325" s="76"/>
      <c r="D1325" s="76" t="s">
        <v>1990</v>
      </c>
      <c r="E1325" s="76" t="s">
        <v>5333</v>
      </c>
      <c r="F1325" s="76" t="s">
        <v>120</v>
      </c>
    </row>
    <row r="1326" spans="1:6" ht="63.95" customHeight="1">
      <c r="A1326" s="76" t="s">
        <v>1860</v>
      </c>
      <c r="B1326" s="76" t="s">
        <v>5351</v>
      </c>
      <c r="C1326" s="76"/>
      <c r="D1326" s="76" t="s">
        <v>83</v>
      </c>
      <c r="E1326" s="76" t="s">
        <v>5324</v>
      </c>
      <c r="F1326" s="76" t="s">
        <v>5325</v>
      </c>
    </row>
    <row r="1327" spans="1:6" ht="63.95" customHeight="1">
      <c r="A1327" s="76" t="s">
        <v>1860</v>
      </c>
      <c r="B1327" s="76" t="s">
        <v>5352</v>
      </c>
      <c r="C1327" s="76"/>
      <c r="D1327" s="76" t="s">
        <v>450</v>
      </c>
      <c r="E1327" s="76" t="s">
        <v>5324</v>
      </c>
      <c r="F1327" s="76" t="s">
        <v>5325</v>
      </c>
    </row>
    <row r="1328" spans="1:6" ht="63.95" customHeight="1">
      <c r="A1328" s="76" t="s">
        <v>1860</v>
      </c>
      <c r="B1328" s="76" t="s">
        <v>5353</v>
      </c>
      <c r="C1328" s="76"/>
      <c r="D1328" s="76" t="s">
        <v>451</v>
      </c>
      <c r="E1328" s="76" t="s">
        <v>5324</v>
      </c>
      <c r="F1328" s="76" t="s">
        <v>5325</v>
      </c>
    </row>
    <row r="1329" spans="1:6" ht="63.95" customHeight="1">
      <c r="A1329" s="76" t="s">
        <v>1860</v>
      </c>
      <c r="B1329" s="76" t="s">
        <v>5354</v>
      </c>
      <c r="C1329" s="76"/>
      <c r="D1329" s="76" t="s">
        <v>2221</v>
      </c>
      <c r="E1329" s="76" t="s">
        <v>5324</v>
      </c>
      <c r="F1329" s="76" t="s">
        <v>5325</v>
      </c>
    </row>
    <row r="1330" spans="1:6" ht="63.95" customHeight="1">
      <c r="A1330" s="76" t="s">
        <v>1860</v>
      </c>
      <c r="B1330" s="76" t="s">
        <v>5355</v>
      </c>
      <c r="C1330" s="76"/>
      <c r="D1330" s="76" t="s">
        <v>729</v>
      </c>
      <c r="E1330" s="76" t="s">
        <v>5324</v>
      </c>
      <c r="F1330" s="76" t="s">
        <v>5325</v>
      </c>
    </row>
    <row r="1331" spans="1:6" ht="63.95" customHeight="1">
      <c r="A1331" s="76" t="s">
        <v>1860</v>
      </c>
      <c r="B1331" s="76" t="s">
        <v>3963</v>
      </c>
      <c r="C1331" s="76"/>
      <c r="D1331" s="76" t="s">
        <v>5329</v>
      </c>
      <c r="E1331" s="76" t="s">
        <v>5324</v>
      </c>
      <c r="F1331" s="76" t="s">
        <v>5325</v>
      </c>
    </row>
    <row r="1332" spans="1:6" ht="63.95" customHeight="1">
      <c r="A1332" s="76" t="s">
        <v>1860</v>
      </c>
      <c r="B1332" s="76" t="s">
        <v>3966</v>
      </c>
      <c r="C1332" s="76"/>
      <c r="D1332" s="76" t="s">
        <v>5330</v>
      </c>
      <c r="E1332" s="76" t="s">
        <v>5324</v>
      </c>
      <c r="F1332" s="76" t="s">
        <v>5325</v>
      </c>
    </row>
    <row r="1333" spans="1:6" ht="63.95" customHeight="1">
      <c r="A1333" s="76" t="s">
        <v>1860</v>
      </c>
      <c r="B1333" s="76" t="s">
        <v>5356</v>
      </c>
      <c r="C1333" s="76"/>
      <c r="D1333" s="76" t="s">
        <v>2228</v>
      </c>
      <c r="E1333" s="76" t="s">
        <v>5324</v>
      </c>
      <c r="F1333" s="76" t="s">
        <v>5325</v>
      </c>
    </row>
    <row r="1334" spans="1:6" ht="63.95" customHeight="1">
      <c r="A1334" s="76" t="s">
        <v>1860</v>
      </c>
      <c r="B1334" s="76" t="s">
        <v>5357</v>
      </c>
      <c r="C1334" s="76"/>
      <c r="D1334" s="76" t="s">
        <v>85</v>
      </c>
      <c r="E1334" s="76" t="s">
        <v>5324</v>
      </c>
      <c r="F1334" s="76" t="s">
        <v>5325</v>
      </c>
    </row>
    <row r="1335" spans="1:6" ht="63.95" customHeight="1">
      <c r="A1335" s="76" t="s">
        <v>1860</v>
      </c>
      <c r="B1335" s="76" t="s">
        <v>5358</v>
      </c>
      <c r="C1335" s="76"/>
      <c r="D1335" s="76" t="s">
        <v>450</v>
      </c>
      <c r="E1335" s="76" t="s">
        <v>5324</v>
      </c>
      <c r="F1335" s="76" t="s">
        <v>5325</v>
      </c>
    </row>
    <row r="1336" spans="1:6" ht="63.95" customHeight="1">
      <c r="A1336" s="76" t="s">
        <v>1860</v>
      </c>
      <c r="B1336" s="76" t="s">
        <v>5359</v>
      </c>
      <c r="C1336" s="76"/>
      <c r="D1336" s="76" t="s">
        <v>451</v>
      </c>
      <c r="E1336" s="76" t="s">
        <v>5324</v>
      </c>
      <c r="F1336" s="76" t="s">
        <v>5325</v>
      </c>
    </row>
    <row r="1337" spans="1:6" ht="63.95" customHeight="1">
      <c r="A1337" s="76" t="s">
        <v>1860</v>
      </c>
      <c r="B1337" s="76" t="s">
        <v>5360</v>
      </c>
      <c r="C1337" s="76"/>
      <c r="D1337" s="76" t="s">
        <v>2246</v>
      </c>
      <c r="E1337" s="76" t="s">
        <v>5324</v>
      </c>
      <c r="F1337" s="76" t="s">
        <v>5325</v>
      </c>
    </row>
    <row r="1338" spans="1:6" ht="63.95" customHeight="1">
      <c r="A1338" s="76" t="s">
        <v>1860</v>
      </c>
      <c r="B1338" s="76" t="s">
        <v>5361</v>
      </c>
      <c r="C1338" s="76"/>
      <c r="D1338" s="76" t="s">
        <v>739</v>
      </c>
      <c r="E1338" s="76" t="s">
        <v>5324</v>
      </c>
      <c r="F1338" s="76" t="s">
        <v>5325</v>
      </c>
    </row>
    <row r="1339" spans="1:6" ht="63.95" customHeight="1">
      <c r="A1339" s="76" t="s">
        <v>1860</v>
      </c>
      <c r="B1339" s="76" t="s">
        <v>3969</v>
      </c>
      <c r="C1339" s="76"/>
      <c r="D1339" s="76" t="s">
        <v>5329</v>
      </c>
      <c r="E1339" s="76" t="s">
        <v>5324</v>
      </c>
      <c r="F1339" s="76" t="s">
        <v>5325</v>
      </c>
    </row>
    <row r="1340" spans="1:6" ht="63.95" customHeight="1">
      <c r="A1340" s="76" t="s">
        <v>1860</v>
      </c>
      <c r="B1340" s="76" t="s">
        <v>3972</v>
      </c>
      <c r="C1340" s="76"/>
      <c r="D1340" s="76" t="s">
        <v>5330</v>
      </c>
      <c r="E1340" s="76" t="s">
        <v>5324</v>
      </c>
      <c r="F1340" s="76" t="s">
        <v>5325</v>
      </c>
    </row>
    <row r="1341" spans="1:6" ht="63.95" customHeight="1">
      <c r="A1341" s="76" t="s">
        <v>1860</v>
      </c>
      <c r="B1341" s="76" t="s">
        <v>5362</v>
      </c>
      <c r="C1341" s="76"/>
      <c r="D1341" s="76" t="s">
        <v>2253</v>
      </c>
      <c r="E1341" s="76" t="s">
        <v>5324</v>
      </c>
      <c r="F1341" s="76" t="s">
        <v>5325</v>
      </c>
    </row>
    <row r="1342" spans="1:6" ht="63.95" customHeight="1">
      <c r="A1342" s="76" t="s">
        <v>1865</v>
      </c>
      <c r="B1342" s="76" t="s">
        <v>5363</v>
      </c>
      <c r="C1342" s="76" t="s">
        <v>5364</v>
      </c>
      <c r="D1342" s="76" t="s">
        <v>5365</v>
      </c>
      <c r="E1342" s="76" t="s">
        <v>5366</v>
      </c>
      <c r="F1342" s="76"/>
    </row>
    <row r="1343" spans="1:6" ht="63.95" customHeight="1">
      <c r="A1343" s="76" t="s">
        <v>1865</v>
      </c>
      <c r="B1343" s="76" t="s">
        <v>882</v>
      </c>
      <c r="C1343" s="76" t="s">
        <v>5367</v>
      </c>
      <c r="D1343" s="76" t="s">
        <v>5368</v>
      </c>
      <c r="E1343" s="76" t="s">
        <v>5366</v>
      </c>
      <c r="F1343" s="76"/>
    </row>
    <row r="1344" spans="1:6" ht="63.95" customHeight="1">
      <c r="A1344" s="76" t="s">
        <v>1865</v>
      </c>
      <c r="B1344" s="76" t="s">
        <v>5369</v>
      </c>
      <c r="C1344" s="76" t="s">
        <v>5370</v>
      </c>
      <c r="D1344" s="76" t="s">
        <v>5371</v>
      </c>
      <c r="E1344" s="76" t="s">
        <v>5366</v>
      </c>
      <c r="F1344" s="76"/>
    </row>
    <row r="1345" spans="1:6" ht="63.95" customHeight="1">
      <c r="A1345" s="76" t="s">
        <v>1865</v>
      </c>
      <c r="B1345" s="76" t="s">
        <v>899</v>
      </c>
      <c r="C1345" s="76" t="s">
        <v>5372</v>
      </c>
      <c r="D1345" s="76" t="s">
        <v>5373</v>
      </c>
      <c r="E1345" s="76" t="s">
        <v>5366</v>
      </c>
      <c r="F1345" s="76"/>
    </row>
    <row r="1346" spans="1:6" ht="63.95" customHeight="1">
      <c r="A1346" s="76" t="s">
        <v>1865</v>
      </c>
      <c r="B1346" s="76" t="s">
        <v>5374</v>
      </c>
      <c r="C1346" s="76" t="s">
        <v>5375</v>
      </c>
      <c r="D1346" s="76" t="s">
        <v>5376</v>
      </c>
      <c r="E1346" s="76" t="s">
        <v>5366</v>
      </c>
      <c r="F1346" s="76"/>
    </row>
    <row r="1347" spans="1:6" ht="63.95" customHeight="1">
      <c r="A1347" s="76" t="s">
        <v>1865</v>
      </c>
      <c r="B1347" s="76" t="s">
        <v>916</v>
      </c>
      <c r="C1347" s="76" t="s">
        <v>5377</v>
      </c>
      <c r="D1347" s="76" t="s">
        <v>5378</v>
      </c>
      <c r="E1347" s="76" t="s">
        <v>5366</v>
      </c>
      <c r="F1347" s="76"/>
    </row>
    <row r="1348" spans="1:6" ht="63.95" customHeight="1">
      <c r="A1348" s="76" t="s">
        <v>1865</v>
      </c>
      <c r="B1348" s="76" t="s">
        <v>5379</v>
      </c>
      <c r="C1348" s="76" t="s">
        <v>5380</v>
      </c>
      <c r="D1348" s="76" t="s">
        <v>5381</v>
      </c>
      <c r="E1348" s="76" t="s">
        <v>5366</v>
      </c>
      <c r="F1348" s="76"/>
    </row>
    <row r="1349" spans="1:6" ht="63.95" customHeight="1">
      <c r="A1349" s="76" t="s">
        <v>1865</v>
      </c>
      <c r="B1349" s="76" t="s">
        <v>933</v>
      </c>
      <c r="C1349" s="76" t="s">
        <v>5382</v>
      </c>
      <c r="D1349" s="76" t="s">
        <v>5383</v>
      </c>
      <c r="E1349" s="76" t="s">
        <v>5366</v>
      </c>
      <c r="F1349" s="76"/>
    </row>
    <row r="1350" spans="1:6" ht="63.95" customHeight="1">
      <c r="A1350" s="76" t="s">
        <v>1865</v>
      </c>
      <c r="B1350" s="76" t="s">
        <v>5384</v>
      </c>
      <c r="C1350" s="76" t="s">
        <v>5385</v>
      </c>
      <c r="D1350" s="76" t="s">
        <v>5386</v>
      </c>
      <c r="E1350" s="76" t="s">
        <v>5387</v>
      </c>
      <c r="F1350" s="76"/>
    </row>
    <row r="1351" spans="1:6" ht="63.95" customHeight="1">
      <c r="A1351" s="76" t="s">
        <v>1865</v>
      </c>
      <c r="B1351" s="76" t="s">
        <v>5388</v>
      </c>
      <c r="C1351" s="76" t="s">
        <v>5389</v>
      </c>
      <c r="D1351" s="76" t="s">
        <v>5390</v>
      </c>
      <c r="E1351" s="76" t="s">
        <v>5366</v>
      </c>
      <c r="F1351" s="76"/>
    </row>
    <row r="1352" spans="1:6" ht="63.95" customHeight="1">
      <c r="A1352" s="76" t="s">
        <v>1865</v>
      </c>
      <c r="B1352" s="76" t="s">
        <v>950</v>
      </c>
      <c r="C1352" s="76" t="s">
        <v>5391</v>
      </c>
      <c r="D1352" s="76" t="s">
        <v>5392</v>
      </c>
      <c r="E1352" s="76" t="s">
        <v>5366</v>
      </c>
      <c r="F1352" s="76"/>
    </row>
    <row r="1353" spans="1:6" ht="63.95" customHeight="1">
      <c r="A1353" s="76" t="s">
        <v>1865</v>
      </c>
      <c r="B1353" s="76" t="s">
        <v>5393</v>
      </c>
      <c r="C1353" s="76" t="s">
        <v>5394</v>
      </c>
      <c r="D1353" s="76" t="s">
        <v>5395</v>
      </c>
      <c r="E1353" s="76" t="s">
        <v>5366</v>
      </c>
      <c r="F1353" s="76"/>
    </row>
    <row r="1354" spans="1:6" ht="63.95" customHeight="1">
      <c r="A1354" s="76" t="s">
        <v>1865</v>
      </c>
      <c r="B1354" s="76" t="s">
        <v>967</v>
      </c>
      <c r="C1354" s="76" t="s">
        <v>5396</v>
      </c>
      <c r="D1354" s="76" t="s">
        <v>5397</v>
      </c>
      <c r="E1354" s="76" t="s">
        <v>5366</v>
      </c>
      <c r="F1354" s="76"/>
    </row>
    <row r="1355" spans="1:6" ht="63.95" customHeight="1">
      <c r="A1355" s="76" t="s">
        <v>1865</v>
      </c>
      <c r="B1355" s="76" t="s">
        <v>5398</v>
      </c>
      <c r="C1355" s="76" t="s">
        <v>5399</v>
      </c>
      <c r="D1355" s="76" t="s">
        <v>5400</v>
      </c>
      <c r="E1355" s="76" t="s">
        <v>5366</v>
      </c>
      <c r="F1355" s="76"/>
    </row>
    <row r="1356" spans="1:6" ht="63.95" customHeight="1">
      <c r="A1356" s="76" t="s">
        <v>1865</v>
      </c>
      <c r="B1356" s="76" t="s">
        <v>984</v>
      </c>
      <c r="C1356" s="76" t="s">
        <v>5401</v>
      </c>
      <c r="D1356" s="76" t="s">
        <v>5402</v>
      </c>
      <c r="E1356" s="76" t="s">
        <v>5366</v>
      </c>
      <c r="F1356" s="76"/>
    </row>
    <row r="1357" spans="1:6" ht="63.95" customHeight="1">
      <c r="A1357" s="76" t="s">
        <v>1865</v>
      </c>
      <c r="B1357" s="76" t="s">
        <v>5403</v>
      </c>
      <c r="C1357" s="76" t="s">
        <v>5404</v>
      </c>
      <c r="D1357" s="76" t="s">
        <v>5405</v>
      </c>
      <c r="E1357" s="76" t="s">
        <v>5366</v>
      </c>
      <c r="F1357" s="76"/>
    </row>
    <row r="1358" spans="1:6" ht="63.95" customHeight="1">
      <c r="A1358" s="76" t="s">
        <v>1865</v>
      </c>
      <c r="B1358" s="76" t="s">
        <v>5406</v>
      </c>
      <c r="C1358" s="76" t="s">
        <v>5407</v>
      </c>
      <c r="D1358" s="76" t="s">
        <v>5408</v>
      </c>
      <c r="E1358" s="76" t="s">
        <v>5366</v>
      </c>
      <c r="F1358" s="76"/>
    </row>
    <row r="1359" spans="1:6" ht="63.95" customHeight="1">
      <c r="A1359" s="76" t="s">
        <v>1865</v>
      </c>
      <c r="B1359" s="76" t="s">
        <v>5409</v>
      </c>
      <c r="C1359" s="76" t="s">
        <v>5410</v>
      </c>
      <c r="D1359" s="76" t="s">
        <v>5411</v>
      </c>
      <c r="E1359" s="76" t="s">
        <v>5366</v>
      </c>
      <c r="F1359" s="76"/>
    </row>
    <row r="1360" spans="1:6" ht="63.95" customHeight="1">
      <c r="A1360" s="76" t="s">
        <v>1865</v>
      </c>
      <c r="B1360" s="76" t="s">
        <v>5412</v>
      </c>
      <c r="C1360" s="76" t="s">
        <v>5413</v>
      </c>
      <c r="D1360" s="76" t="s">
        <v>5414</v>
      </c>
      <c r="E1360" s="76" t="s">
        <v>5366</v>
      </c>
      <c r="F1360" s="76"/>
    </row>
    <row r="1361" spans="1:6" ht="63.95" customHeight="1">
      <c r="A1361" s="76" t="s">
        <v>1865</v>
      </c>
      <c r="B1361" s="76" t="s">
        <v>5415</v>
      </c>
      <c r="C1361" s="76" t="s">
        <v>5416</v>
      </c>
      <c r="D1361" s="76" t="s">
        <v>5417</v>
      </c>
      <c r="E1361" s="76" t="s">
        <v>5366</v>
      </c>
      <c r="F1361" s="76"/>
    </row>
    <row r="1362" spans="1:6" ht="63.95" customHeight="1">
      <c r="A1362" s="76" t="s">
        <v>1865</v>
      </c>
      <c r="B1362" s="76" t="s">
        <v>5418</v>
      </c>
      <c r="C1362" s="76" t="s">
        <v>5419</v>
      </c>
      <c r="D1362" s="76" t="s">
        <v>5420</v>
      </c>
      <c r="E1362" s="76" t="s">
        <v>5366</v>
      </c>
      <c r="F1362" s="76"/>
    </row>
    <row r="1363" spans="1:6" ht="63.95" customHeight="1">
      <c r="A1363" s="76" t="s">
        <v>1865</v>
      </c>
      <c r="B1363" s="76" t="s">
        <v>5421</v>
      </c>
      <c r="C1363" s="76" t="s">
        <v>5422</v>
      </c>
      <c r="D1363" s="76" t="s">
        <v>5423</v>
      </c>
      <c r="E1363" s="76" t="s">
        <v>5366</v>
      </c>
      <c r="F1363" s="76"/>
    </row>
    <row r="1364" spans="1:6" ht="63.95" customHeight="1">
      <c r="A1364" s="76" t="s">
        <v>1865</v>
      </c>
      <c r="B1364" s="76" t="s">
        <v>5424</v>
      </c>
      <c r="C1364" s="76" t="s">
        <v>5425</v>
      </c>
      <c r="D1364" s="76" t="s">
        <v>5426</v>
      </c>
      <c r="E1364" s="76" t="s">
        <v>5366</v>
      </c>
      <c r="F1364" s="76"/>
    </row>
    <row r="1365" spans="1:6" ht="63.95" customHeight="1">
      <c r="A1365" s="76" t="s">
        <v>1865</v>
      </c>
      <c r="B1365" s="76" t="s">
        <v>5427</v>
      </c>
      <c r="C1365" s="76" t="s">
        <v>5428</v>
      </c>
      <c r="D1365" s="76" t="s">
        <v>5429</v>
      </c>
      <c r="E1365" s="76" t="s">
        <v>5366</v>
      </c>
      <c r="F1365" s="76"/>
    </row>
    <row r="1366" spans="1:6" ht="63.95" customHeight="1">
      <c r="A1366" s="76" t="s">
        <v>1865</v>
      </c>
      <c r="B1366" s="76" t="s">
        <v>5430</v>
      </c>
      <c r="C1366" s="76" t="s">
        <v>5431</v>
      </c>
      <c r="D1366" s="76" t="s">
        <v>5432</v>
      </c>
      <c r="E1366" s="76" t="s">
        <v>5366</v>
      </c>
      <c r="F1366" s="76"/>
    </row>
    <row r="1367" spans="1:6" ht="63.95" customHeight="1">
      <c r="A1367" s="76" t="s">
        <v>1865</v>
      </c>
      <c r="B1367" s="76" t="s">
        <v>5433</v>
      </c>
      <c r="C1367" s="76" t="s">
        <v>5434</v>
      </c>
      <c r="D1367" s="76" t="s">
        <v>5435</v>
      </c>
      <c r="E1367" s="76" t="s">
        <v>5366</v>
      </c>
      <c r="F1367" s="76"/>
    </row>
    <row r="1368" spans="1:6" ht="63.95" customHeight="1">
      <c r="A1368" s="76" t="s">
        <v>1865</v>
      </c>
      <c r="B1368" s="76" t="s">
        <v>5436</v>
      </c>
      <c r="C1368" s="76" t="s">
        <v>5437</v>
      </c>
      <c r="D1368" s="76" t="s">
        <v>5438</v>
      </c>
      <c r="E1368" s="76" t="s">
        <v>5366</v>
      </c>
      <c r="F1368" s="76"/>
    </row>
    <row r="1369" spans="1:6" ht="63.95" customHeight="1">
      <c r="A1369" s="76" t="s">
        <v>1865</v>
      </c>
      <c r="B1369" s="76" t="s">
        <v>5439</v>
      </c>
      <c r="C1369" s="76" t="s">
        <v>5440</v>
      </c>
      <c r="D1369" s="76" t="s">
        <v>5441</v>
      </c>
      <c r="E1369" s="76" t="s">
        <v>5366</v>
      </c>
      <c r="F1369" s="76"/>
    </row>
    <row r="1370" spans="1:6" ht="63.95" customHeight="1">
      <c r="A1370" s="76" t="s">
        <v>1865</v>
      </c>
      <c r="B1370" s="76" t="s">
        <v>5442</v>
      </c>
      <c r="C1370" s="76" t="s">
        <v>5443</v>
      </c>
      <c r="D1370" s="76" t="s">
        <v>5444</v>
      </c>
      <c r="E1370" s="76" t="s">
        <v>5366</v>
      </c>
      <c r="F1370" s="76"/>
    </row>
    <row r="1371" spans="1:6" ht="63.95" customHeight="1">
      <c r="A1371" s="76" t="s">
        <v>1865</v>
      </c>
      <c r="B1371" s="76" t="s">
        <v>5445</v>
      </c>
      <c r="C1371" s="76" t="s">
        <v>5446</v>
      </c>
      <c r="D1371" s="76" t="s">
        <v>5447</v>
      </c>
      <c r="E1371" s="76" t="s">
        <v>5366</v>
      </c>
      <c r="F1371" s="76"/>
    </row>
    <row r="1372" spans="1:6" ht="63.95" customHeight="1">
      <c r="A1372" s="76" t="s">
        <v>1865</v>
      </c>
      <c r="B1372" s="76" t="s">
        <v>5448</v>
      </c>
      <c r="C1372" s="76" t="s">
        <v>5449</v>
      </c>
      <c r="D1372" s="76" t="s">
        <v>5450</v>
      </c>
      <c r="E1372" s="76" t="s">
        <v>5366</v>
      </c>
      <c r="F1372" s="76"/>
    </row>
    <row r="1373" spans="1:6" ht="63.95" customHeight="1">
      <c r="A1373" s="76" t="s">
        <v>1865</v>
      </c>
      <c r="B1373" s="76" t="s">
        <v>5451</v>
      </c>
      <c r="C1373" s="76" t="s">
        <v>5452</v>
      </c>
      <c r="D1373" s="76" t="s">
        <v>5453</v>
      </c>
      <c r="E1373" s="76" t="s">
        <v>5366</v>
      </c>
      <c r="F1373" s="76"/>
    </row>
    <row r="1374" spans="1:6" ht="63.95" customHeight="1">
      <c r="A1374" s="76" t="s">
        <v>1865</v>
      </c>
      <c r="B1374" s="76" t="s">
        <v>5454</v>
      </c>
      <c r="C1374" s="76" t="s">
        <v>5455</v>
      </c>
      <c r="D1374" s="76" t="s">
        <v>5456</v>
      </c>
      <c r="E1374" s="76" t="s">
        <v>5366</v>
      </c>
      <c r="F1374" s="76"/>
    </row>
    <row r="1375" spans="1:6" ht="63.95" customHeight="1">
      <c r="A1375" s="76" t="s">
        <v>1865</v>
      </c>
      <c r="B1375" s="76" t="s">
        <v>5457</v>
      </c>
      <c r="C1375" s="76" t="s">
        <v>5458</v>
      </c>
      <c r="D1375" s="76" t="s">
        <v>5459</v>
      </c>
      <c r="E1375" s="76" t="s">
        <v>5366</v>
      </c>
      <c r="F1375" s="76"/>
    </row>
    <row r="1376" spans="1:6" ht="63.95" customHeight="1">
      <c r="A1376" s="76" t="s">
        <v>1865</v>
      </c>
      <c r="B1376" s="76" t="s">
        <v>5460</v>
      </c>
      <c r="C1376" s="76" t="s">
        <v>5461</v>
      </c>
      <c r="D1376" s="76" t="s">
        <v>5462</v>
      </c>
      <c r="E1376" s="76" t="s">
        <v>5366</v>
      </c>
      <c r="F1376" s="76"/>
    </row>
    <row r="1377" spans="1:6" ht="63.95" customHeight="1">
      <c r="A1377" s="76" t="s">
        <v>1865</v>
      </c>
      <c r="B1377" s="76" t="s">
        <v>5463</v>
      </c>
      <c r="C1377" s="76" t="s">
        <v>5464</v>
      </c>
      <c r="D1377" s="76" t="s">
        <v>5465</v>
      </c>
      <c r="E1377" s="76" t="s">
        <v>5366</v>
      </c>
      <c r="F1377" s="76"/>
    </row>
    <row r="1378" spans="1:6" ht="63.95" customHeight="1">
      <c r="A1378" s="76" t="s">
        <v>1865</v>
      </c>
      <c r="B1378" s="76" t="s">
        <v>5466</v>
      </c>
      <c r="C1378" s="76" t="s">
        <v>5467</v>
      </c>
      <c r="D1378" s="76" t="s">
        <v>5468</v>
      </c>
      <c r="E1378" s="76" t="s">
        <v>5366</v>
      </c>
      <c r="F1378" s="76"/>
    </row>
    <row r="1379" spans="1:6" ht="63.95" customHeight="1">
      <c r="A1379" s="76" t="s">
        <v>1865</v>
      </c>
      <c r="B1379" s="76" t="s">
        <v>5469</v>
      </c>
      <c r="C1379" s="76" t="s">
        <v>5470</v>
      </c>
      <c r="D1379" s="76" t="s">
        <v>5471</v>
      </c>
      <c r="E1379" s="76" t="s">
        <v>5366</v>
      </c>
      <c r="F1379" s="76"/>
    </row>
    <row r="1380" spans="1:6" ht="63.95" customHeight="1">
      <c r="A1380" s="76" t="s">
        <v>1865</v>
      </c>
      <c r="B1380" s="76" t="s">
        <v>5472</v>
      </c>
      <c r="C1380" s="76" t="s">
        <v>5473</v>
      </c>
      <c r="D1380" s="76" t="s">
        <v>5474</v>
      </c>
      <c r="E1380" s="76" t="s">
        <v>5366</v>
      </c>
      <c r="F1380" s="76"/>
    </row>
    <row r="1381" spans="1:6" ht="63.95" customHeight="1">
      <c r="A1381" s="76" t="s">
        <v>1865</v>
      </c>
      <c r="B1381" s="76" t="s">
        <v>5475</v>
      </c>
      <c r="C1381" s="76" t="s">
        <v>5476</v>
      </c>
      <c r="D1381" s="76" t="s">
        <v>5477</v>
      </c>
      <c r="E1381" s="76" t="s">
        <v>5366</v>
      </c>
      <c r="F1381" s="76"/>
    </row>
    <row r="1382" spans="1:6" ht="63.95" customHeight="1">
      <c r="A1382" s="76" t="s">
        <v>1865</v>
      </c>
      <c r="B1382" s="76" t="s">
        <v>5478</v>
      </c>
      <c r="C1382" s="76" t="s">
        <v>5479</v>
      </c>
      <c r="D1382" s="76" t="s">
        <v>5480</v>
      </c>
      <c r="E1382" s="76" t="s">
        <v>5366</v>
      </c>
      <c r="F1382" s="76"/>
    </row>
    <row r="1383" spans="1:6" ht="63.95" customHeight="1">
      <c r="A1383" s="76" t="s">
        <v>1865</v>
      </c>
      <c r="B1383" s="76" t="s">
        <v>5481</v>
      </c>
      <c r="C1383" s="76" t="s">
        <v>5482</v>
      </c>
      <c r="D1383" s="76" t="s">
        <v>5483</v>
      </c>
      <c r="E1383" s="76" t="s">
        <v>5366</v>
      </c>
      <c r="F1383" s="76"/>
    </row>
    <row r="1384" spans="1:6" ht="63.95" customHeight="1">
      <c r="A1384" s="76" t="s">
        <v>1865</v>
      </c>
      <c r="B1384" s="76" t="s">
        <v>5484</v>
      </c>
      <c r="C1384" s="76" t="s">
        <v>5485</v>
      </c>
      <c r="D1384" s="76" t="s">
        <v>5486</v>
      </c>
      <c r="E1384" s="76" t="s">
        <v>5366</v>
      </c>
      <c r="F1384" s="76"/>
    </row>
    <row r="1385" spans="1:6" ht="63.95" customHeight="1">
      <c r="A1385" s="76" t="s">
        <v>1865</v>
      </c>
      <c r="B1385" s="76" t="s">
        <v>5487</v>
      </c>
      <c r="C1385" s="76" t="s">
        <v>5488</v>
      </c>
      <c r="D1385" s="76" t="s">
        <v>5489</v>
      </c>
      <c r="E1385" s="76" t="s">
        <v>5366</v>
      </c>
      <c r="F1385" s="76"/>
    </row>
    <row r="1386" spans="1:6" ht="63.95" customHeight="1">
      <c r="A1386" s="76" t="s">
        <v>1865</v>
      </c>
      <c r="B1386" s="76" t="s">
        <v>5490</v>
      </c>
      <c r="C1386" s="76" t="s">
        <v>5491</v>
      </c>
      <c r="D1386" s="76" t="s">
        <v>5492</v>
      </c>
      <c r="E1386" s="76" t="s">
        <v>5366</v>
      </c>
      <c r="F1386" s="76"/>
    </row>
    <row r="1387" spans="1:6" ht="63.95" customHeight="1">
      <c r="A1387" s="76" t="s">
        <v>1865</v>
      </c>
      <c r="B1387" s="76" t="s">
        <v>5493</v>
      </c>
      <c r="C1387" s="76" t="s">
        <v>5494</v>
      </c>
      <c r="D1387" s="76" t="s">
        <v>5495</v>
      </c>
      <c r="E1387" s="76" t="s">
        <v>5366</v>
      </c>
      <c r="F1387" s="76"/>
    </row>
    <row r="1388" spans="1:6" ht="63.95" customHeight="1">
      <c r="A1388" s="76" t="s">
        <v>1865</v>
      </c>
      <c r="B1388" s="76" t="s">
        <v>5496</v>
      </c>
      <c r="C1388" s="76" t="s">
        <v>5497</v>
      </c>
      <c r="D1388" s="76" t="s">
        <v>5498</v>
      </c>
      <c r="E1388" s="76" t="s">
        <v>5366</v>
      </c>
      <c r="F1388" s="76"/>
    </row>
    <row r="1389" spans="1:6" ht="63.95" customHeight="1">
      <c r="A1389" s="76" t="s">
        <v>1865</v>
      </c>
      <c r="B1389" s="76" t="s">
        <v>5499</v>
      </c>
      <c r="C1389" s="76" t="s">
        <v>5500</v>
      </c>
      <c r="D1389" s="76" t="s">
        <v>5501</v>
      </c>
      <c r="E1389" s="76" t="s">
        <v>5366</v>
      </c>
      <c r="F1389" s="76"/>
    </row>
    <row r="1390" spans="1:6" ht="63.95" customHeight="1">
      <c r="A1390" s="76" t="s">
        <v>1865</v>
      </c>
      <c r="B1390" s="76" t="s">
        <v>5502</v>
      </c>
      <c r="C1390" s="76" t="s">
        <v>5503</v>
      </c>
      <c r="D1390" s="76" t="s">
        <v>5504</v>
      </c>
      <c r="E1390" s="76" t="s">
        <v>5366</v>
      </c>
      <c r="F1390" s="76"/>
    </row>
    <row r="1391" spans="1:6" ht="63.95" customHeight="1">
      <c r="A1391" s="76" t="s">
        <v>1865</v>
      </c>
      <c r="B1391" s="76" t="s">
        <v>5505</v>
      </c>
      <c r="C1391" s="76" t="s">
        <v>5506</v>
      </c>
      <c r="D1391" s="76" t="s">
        <v>5507</v>
      </c>
      <c r="E1391" s="76" t="s">
        <v>5366</v>
      </c>
      <c r="F1391" s="76"/>
    </row>
    <row r="1392" spans="1:6" ht="63.95" customHeight="1">
      <c r="A1392" s="76" t="s">
        <v>1865</v>
      </c>
      <c r="B1392" s="76" t="s">
        <v>5508</v>
      </c>
      <c r="C1392" s="76" t="s">
        <v>5509</v>
      </c>
      <c r="D1392" s="76" t="s">
        <v>5510</v>
      </c>
      <c r="E1392" s="76" t="s">
        <v>5366</v>
      </c>
      <c r="F1392" s="76"/>
    </row>
    <row r="1393" spans="1:6" ht="63.95" customHeight="1">
      <c r="A1393" s="76" t="s">
        <v>1865</v>
      </c>
      <c r="B1393" s="76" t="s">
        <v>5511</v>
      </c>
      <c r="C1393" s="76" t="s">
        <v>5512</v>
      </c>
      <c r="D1393" s="76" t="s">
        <v>5513</v>
      </c>
      <c r="E1393" s="76" t="s">
        <v>5366</v>
      </c>
      <c r="F1393" s="76"/>
    </row>
    <row r="1394" spans="1:6" ht="63.95" customHeight="1">
      <c r="A1394" s="76" t="s">
        <v>1865</v>
      </c>
      <c r="B1394" s="76" t="s">
        <v>5514</v>
      </c>
      <c r="C1394" s="76" t="s">
        <v>5515</v>
      </c>
      <c r="D1394" s="76" t="s">
        <v>5516</v>
      </c>
      <c r="E1394" s="76" t="s">
        <v>5366</v>
      </c>
      <c r="F1394" s="76"/>
    </row>
    <row r="1395" spans="1:6" ht="63.95" customHeight="1">
      <c r="A1395" s="76" t="s">
        <v>1865</v>
      </c>
      <c r="B1395" s="76" t="s">
        <v>5517</v>
      </c>
      <c r="C1395" s="76" t="s">
        <v>5518</v>
      </c>
      <c r="D1395" s="76" t="s">
        <v>5519</v>
      </c>
      <c r="E1395" s="76" t="s">
        <v>5366</v>
      </c>
      <c r="F1395" s="76"/>
    </row>
    <row r="1396" spans="1:6" ht="63.95" customHeight="1">
      <c r="A1396" s="76" t="s">
        <v>1865</v>
      </c>
      <c r="B1396" s="76" t="s">
        <v>5520</v>
      </c>
      <c r="C1396" s="76" t="s">
        <v>5521</v>
      </c>
      <c r="D1396" s="76" t="s">
        <v>5522</v>
      </c>
      <c r="E1396" s="76" t="s">
        <v>5366</v>
      </c>
      <c r="F1396" s="76"/>
    </row>
    <row r="1397" spans="1:6" ht="63.95" customHeight="1">
      <c r="A1397" s="76" t="s">
        <v>1865</v>
      </c>
      <c r="B1397" s="76" t="s">
        <v>5523</v>
      </c>
      <c r="C1397" s="76" t="s">
        <v>5524</v>
      </c>
      <c r="D1397" s="76" t="s">
        <v>5525</v>
      </c>
      <c r="E1397" s="76" t="s">
        <v>5366</v>
      </c>
      <c r="F1397" s="76"/>
    </row>
    <row r="1398" spans="1:6" ht="63.95" customHeight="1">
      <c r="A1398" s="76" t="s">
        <v>1865</v>
      </c>
      <c r="B1398" s="76" t="s">
        <v>5526</v>
      </c>
      <c r="C1398" s="76" t="s">
        <v>5527</v>
      </c>
      <c r="D1398" s="76" t="s">
        <v>5528</v>
      </c>
      <c r="E1398" s="76" t="s">
        <v>5366</v>
      </c>
      <c r="F1398" s="76"/>
    </row>
    <row r="1399" spans="1:6" ht="63.95" customHeight="1">
      <c r="A1399" s="76" t="s">
        <v>1865</v>
      </c>
      <c r="B1399" s="76" t="s">
        <v>5529</v>
      </c>
      <c r="C1399" s="76" t="s">
        <v>5530</v>
      </c>
      <c r="D1399" s="76" t="s">
        <v>5531</v>
      </c>
      <c r="E1399" s="76" t="s">
        <v>5366</v>
      </c>
      <c r="F1399" s="76"/>
    </row>
    <row r="1400" spans="1:6" ht="63.95" customHeight="1">
      <c r="A1400" s="76" t="s">
        <v>1865</v>
      </c>
      <c r="B1400" s="76" t="s">
        <v>5532</v>
      </c>
      <c r="C1400" s="76" t="s">
        <v>5533</v>
      </c>
      <c r="D1400" s="76" t="s">
        <v>5534</v>
      </c>
      <c r="E1400" s="76" t="s">
        <v>5366</v>
      </c>
      <c r="F1400" s="76"/>
    </row>
    <row r="1401" spans="1:6" ht="63.95" customHeight="1">
      <c r="A1401" s="76" t="s">
        <v>1865</v>
      </c>
      <c r="B1401" s="76" t="s">
        <v>5535</v>
      </c>
      <c r="C1401" s="76" t="s">
        <v>5536</v>
      </c>
      <c r="D1401" s="76" t="s">
        <v>5537</v>
      </c>
      <c r="E1401" s="76" t="s">
        <v>5366</v>
      </c>
      <c r="F1401" s="76"/>
    </row>
    <row r="1402" spans="1:6" ht="63.95" customHeight="1">
      <c r="A1402" s="76" t="s">
        <v>1865</v>
      </c>
      <c r="B1402" s="76" t="s">
        <v>5538</v>
      </c>
      <c r="C1402" s="76" t="s">
        <v>5539</v>
      </c>
      <c r="D1402" s="76" t="s">
        <v>5540</v>
      </c>
      <c r="E1402" s="76" t="s">
        <v>5366</v>
      </c>
      <c r="F1402" s="76"/>
    </row>
    <row r="1403" spans="1:6" ht="63.95" customHeight="1">
      <c r="A1403" s="76" t="s">
        <v>1865</v>
      </c>
      <c r="B1403" s="76" t="s">
        <v>5541</v>
      </c>
      <c r="C1403" s="76" t="s">
        <v>5542</v>
      </c>
      <c r="D1403" s="76" t="s">
        <v>5543</v>
      </c>
      <c r="E1403" s="76" t="s">
        <v>5366</v>
      </c>
      <c r="F1403" s="76"/>
    </row>
    <row r="1404" spans="1:6" ht="63.95" customHeight="1">
      <c r="A1404" s="76" t="s">
        <v>1865</v>
      </c>
      <c r="B1404" s="76" t="s">
        <v>5544</v>
      </c>
      <c r="C1404" s="76" t="s">
        <v>5545</v>
      </c>
      <c r="D1404" s="76" t="s">
        <v>5546</v>
      </c>
      <c r="E1404" s="76" t="s">
        <v>5366</v>
      </c>
      <c r="F1404" s="76"/>
    </row>
    <row r="1405" spans="1:6" ht="63.95" customHeight="1">
      <c r="A1405" s="76" t="s">
        <v>1865</v>
      </c>
      <c r="B1405" s="76" t="s">
        <v>5547</v>
      </c>
      <c r="C1405" s="76" t="s">
        <v>5548</v>
      </c>
      <c r="D1405" s="76" t="s">
        <v>5549</v>
      </c>
      <c r="E1405" s="76" t="s">
        <v>5366</v>
      </c>
      <c r="F1405" s="76"/>
    </row>
    <row r="1406" spans="1:6" ht="63.95" customHeight="1">
      <c r="A1406" s="76" t="s">
        <v>1865</v>
      </c>
      <c r="B1406" s="76" t="s">
        <v>5550</v>
      </c>
      <c r="C1406" s="76" t="s">
        <v>5551</v>
      </c>
      <c r="D1406" s="76" t="s">
        <v>5552</v>
      </c>
      <c r="E1406" s="76" t="s">
        <v>5366</v>
      </c>
      <c r="F1406" s="76"/>
    </row>
    <row r="1407" spans="1:6" ht="63.95" customHeight="1">
      <c r="A1407" s="76" t="s">
        <v>1865</v>
      </c>
      <c r="B1407" s="76" t="s">
        <v>5553</v>
      </c>
      <c r="C1407" s="76" t="s">
        <v>5554</v>
      </c>
      <c r="D1407" s="76" t="s">
        <v>5555</v>
      </c>
      <c r="E1407" s="76" t="s">
        <v>5366</v>
      </c>
      <c r="F1407" s="76"/>
    </row>
    <row r="1408" spans="1:6" ht="63.95" customHeight="1">
      <c r="A1408" s="76" t="s">
        <v>1865</v>
      </c>
      <c r="B1408" s="76" t="s">
        <v>5556</v>
      </c>
      <c r="C1408" s="76" t="s">
        <v>5557</v>
      </c>
      <c r="D1408" s="76" t="s">
        <v>5558</v>
      </c>
      <c r="E1408" s="76" t="s">
        <v>5366</v>
      </c>
      <c r="F1408" s="76"/>
    </row>
    <row r="1409" spans="1:6" ht="63.95" customHeight="1">
      <c r="A1409" s="76" t="s">
        <v>1865</v>
      </c>
      <c r="B1409" s="76" t="s">
        <v>5559</v>
      </c>
      <c r="C1409" s="76" t="s">
        <v>5560</v>
      </c>
      <c r="D1409" s="76" t="s">
        <v>5561</v>
      </c>
      <c r="E1409" s="76" t="s">
        <v>5366</v>
      </c>
      <c r="F1409" s="76"/>
    </row>
    <row r="1410" spans="1:6" ht="63.95" customHeight="1">
      <c r="A1410" s="76" t="s">
        <v>1865</v>
      </c>
      <c r="B1410" s="76" t="s">
        <v>5562</v>
      </c>
      <c r="C1410" s="76" t="s">
        <v>5563</v>
      </c>
      <c r="D1410" s="76" t="s">
        <v>5564</v>
      </c>
      <c r="E1410" s="76" t="s">
        <v>5366</v>
      </c>
      <c r="F1410" s="76"/>
    </row>
    <row r="1411" spans="1:6" ht="63.95" customHeight="1">
      <c r="A1411" s="76" t="s">
        <v>1865</v>
      </c>
      <c r="B1411" s="76" t="s">
        <v>5565</v>
      </c>
      <c r="C1411" s="76" t="s">
        <v>5566</v>
      </c>
      <c r="D1411" s="76" t="s">
        <v>5567</v>
      </c>
      <c r="E1411" s="76" t="s">
        <v>5366</v>
      </c>
      <c r="F1411" s="76"/>
    </row>
    <row r="1412" spans="1:6" ht="63.95" customHeight="1">
      <c r="A1412" s="76" t="s">
        <v>1865</v>
      </c>
      <c r="B1412" s="76" t="s">
        <v>5568</v>
      </c>
      <c r="C1412" s="76" t="s">
        <v>5569</v>
      </c>
      <c r="D1412" s="76" t="s">
        <v>5570</v>
      </c>
      <c r="E1412" s="76" t="s">
        <v>5366</v>
      </c>
      <c r="F1412" s="76"/>
    </row>
    <row r="1413" spans="1:6" ht="63.95" customHeight="1">
      <c r="A1413" s="76" t="s">
        <v>1865</v>
      </c>
      <c r="B1413" s="76" t="s">
        <v>5571</v>
      </c>
      <c r="C1413" s="76" t="s">
        <v>5572</v>
      </c>
      <c r="D1413" s="76" t="s">
        <v>5573</v>
      </c>
      <c r="E1413" s="76" t="s">
        <v>5366</v>
      </c>
      <c r="F1413" s="76"/>
    </row>
    <row r="1414" spans="1:6" ht="63.95" customHeight="1">
      <c r="A1414" s="76" t="s">
        <v>1865</v>
      </c>
      <c r="B1414" s="76" t="s">
        <v>5574</v>
      </c>
      <c r="C1414" s="76" t="s">
        <v>5575</v>
      </c>
      <c r="D1414" s="76" t="s">
        <v>5576</v>
      </c>
      <c r="E1414" s="76" t="s">
        <v>5366</v>
      </c>
      <c r="F1414" s="76"/>
    </row>
    <row r="1415" spans="1:6" ht="63.95" customHeight="1">
      <c r="A1415" s="76" t="s">
        <v>1865</v>
      </c>
      <c r="B1415" s="76" t="s">
        <v>5577</v>
      </c>
      <c r="C1415" s="76" t="s">
        <v>5578</v>
      </c>
      <c r="D1415" s="76" t="s">
        <v>5579</v>
      </c>
      <c r="E1415" s="76" t="s">
        <v>5366</v>
      </c>
      <c r="F1415" s="76"/>
    </row>
    <row r="1416" spans="1:6" ht="63.95" customHeight="1">
      <c r="A1416" s="76" t="s">
        <v>1865</v>
      </c>
      <c r="B1416" s="76" t="s">
        <v>5580</v>
      </c>
      <c r="C1416" s="76" t="s">
        <v>5581</v>
      </c>
      <c r="D1416" s="76" t="s">
        <v>5582</v>
      </c>
      <c r="E1416" s="76" t="s">
        <v>5366</v>
      </c>
      <c r="F1416" s="76"/>
    </row>
    <row r="1417" spans="1:6" ht="63.95" customHeight="1">
      <c r="A1417" s="76" t="s">
        <v>1865</v>
      </c>
      <c r="B1417" s="76" t="s">
        <v>5583</v>
      </c>
      <c r="C1417" s="76" t="s">
        <v>5584</v>
      </c>
      <c r="D1417" s="76" t="s">
        <v>5585</v>
      </c>
      <c r="E1417" s="76" t="s">
        <v>5366</v>
      </c>
      <c r="F1417" s="76"/>
    </row>
    <row r="1418" spans="1:6" ht="63.95" customHeight="1">
      <c r="A1418" s="76" t="s">
        <v>1865</v>
      </c>
      <c r="B1418" s="76" t="s">
        <v>5586</v>
      </c>
      <c r="C1418" s="76" t="s">
        <v>5587</v>
      </c>
      <c r="D1418" s="76" t="s">
        <v>5588</v>
      </c>
      <c r="E1418" s="76" t="s">
        <v>5366</v>
      </c>
      <c r="F1418" s="76"/>
    </row>
    <row r="1419" spans="1:6" ht="63.95" customHeight="1">
      <c r="A1419" s="76" t="s">
        <v>1865</v>
      </c>
      <c r="B1419" s="76" t="s">
        <v>5589</v>
      </c>
      <c r="C1419" s="76" t="s">
        <v>5590</v>
      </c>
      <c r="D1419" s="76" t="s">
        <v>5591</v>
      </c>
      <c r="E1419" s="76" t="s">
        <v>5366</v>
      </c>
      <c r="F1419" s="76"/>
    </row>
    <row r="1420" spans="1:6" ht="63.95" customHeight="1">
      <c r="A1420" s="76" t="s">
        <v>1865</v>
      </c>
      <c r="B1420" s="76" t="s">
        <v>5592</v>
      </c>
      <c r="C1420" s="76" t="s">
        <v>5593</v>
      </c>
      <c r="D1420" s="76" t="s">
        <v>5594</v>
      </c>
      <c r="E1420" s="76" t="s">
        <v>5366</v>
      </c>
      <c r="F1420" s="76"/>
    </row>
    <row r="1421" spans="1:6" ht="63.95" customHeight="1">
      <c r="A1421" s="76" t="s">
        <v>1865</v>
      </c>
      <c r="B1421" s="76" t="s">
        <v>5595</v>
      </c>
      <c r="C1421" s="76" t="s">
        <v>5596</v>
      </c>
      <c r="D1421" s="76" t="s">
        <v>5597</v>
      </c>
      <c r="E1421" s="76" t="s">
        <v>5366</v>
      </c>
      <c r="F1421" s="76"/>
    </row>
    <row r="1422" spans="1:6" ht="63.95" customHeight="1">
      <c r="A1422" s="76" t="s">
        <v>1865</v>
      </c>
      <c r="B1422" s="76" t="s">
        <v>5598</v>
      </c>
      <c r="C1422" s="76" t="s">
        <v>5599</v>
      </c>
      <c r="D1422" s="76" t="s">
        <v>5600</v>
      </c>
      <c r="E1422" s="76" t="s">
        <v>5366</v>
      </c>
      <c r="F1422" s="76"/>
    </row>
    <row r="1423" spans="1:6" ht="63.95" customHeight="1">
      <c r="A1423" s="76" t="s">
        <v>1865</v>
      </c>
      <c r="B1423" s="76" t="s">
        <v>5601</v>
      </c>
      <c r="C1423" s="76" t="s">
        <v>5602</v>
      </c>
      <c r="D1423" s="76" t="s">
        <v>5603</v>
      </c>
      <c r="E1423" s="76" t="s">
        <v>5366</v>
      </c>
      <c r="F1423" s="76"/>
    </row>
    <row r="1424" spans="1:6" ht="63.95" customHeight="1">
      <c r="A1424" s="76" t="s">
        <v>1865</v>
      </c>
      <c r="B1424" s="76" t="s">
        <v>5604</v>
      </c>
      <c r="C1424" s="76" t="s">
        <v>5605</v>
      </c>
      <c r="D1424" s="76" t="s">
        <v>5606</v>
      </c>
      <c r="E1424" s="76" t="s">
        <v>5366</v>
      </c>
      <c r="F1424" s="76"/>
    </row>
    <row r="1425" spans="1:6" ht="63.95" customHeight="1">
      <c r="A1425" s="76" t="s">
        <v>1865</v>
      </c>
      <c r="B1425" s="76" t="s">
        <v>5607</v>
      </c>
      <c r="C1425" s="76" t="s">
        <v>5608</v>
      </c>
      <c r="D1425" s="76" t="s">
        <v>5609</v>
      </c>
      <c r="E1425" s="76" t="s">
        <v>5366</v>
      </c>
      <c r="F1425" s="76"/>
    </row>
    <row r="1426" spans="1:6" ht="63.95" customHeight="1">
      <c r="A1426" s="76" t="s">
        <v>1865</v>
      </c>
      <c r="B1426" s="76" t="s">
        <v>5610</v>
      </c>
      <c r="C1426" s="76" t="s">
        <v>5611</v>
      </c>
      <c r="D1426" s="76" t="s">
        <v>5612</v>
      </c>
      <c r="E1426" s="76" t="s">
        <v>5366</v>
      </c>
      <c r="F1426" s="76"/>
    </row>
    <row r="1427" spans="1:6" ht="63.95" customHeight="1">
      <c r="A1427" s="76" t="s">
        <v>1865</v>
      </c>
      <c r="B1427" s="76" t="s">
        <v>5613</v>
      </c>
      <c r="C1427" s="76" t="s">
        <v>5614</v>
      </c>
      <c r="D1427" s="76" t="s">
        <v>5615</v>
      </c>
      <c r="E1427" s="76" t="s">
        <v>5366</v>
      </c>
      <c r="F1427" s="76"/>
    </row>
    <row r="1428" spans="1:6" ht="63.95" customHeight="1">
      <c r="A1428" s="76" t="s">
        <v>1865</v>
      </c>
      <c r="B1428" s="76" t="s">
        <v>5616</v>
      </c>
      <c r="C1428" s="76" t="s">
        <v>5617</v>
      </c>
      <c r="D1428" s="76" t="s">
        <v>5618</v>
      </c>
      <c r="E1428" s="76" t="s">
        <v>5366</v>
      </c>
      <c r="F1428" s="76"/>
    </row>
    <row r="1429" spans="1:6" ht="63.95" customHeight="1">
      <c r="A1429" s="76" t="s">
        <v>1865</v>
      </c>
      <c r="B1429" s="76" t="s">
        <v>5619</v>
      </c>
      <c r="C1429" s="76" t="s">
        <v>5620</v>
      </c>
      <c r="D1429" s="76" t="s">
        <v>5621</v>
      </c>
      <c r="E1429" s="76" t="s">
        <v>5366</v>
      </c>
      <c r="F1429" s="76"/>
    </row>
    <row r="1430" spans="1:6" ht="63.95" customHeight="1">
      <c r="A1430" s="76" t="s">
        <v>1865</v>
      </c>
      <c r="B1430" s="76" t="s">
        <v>5622</v>
      </c>
      <c r="C1430" s="76" t="s">
        <v>5623</v>
      </c>
      <c r="D1430" s="76" t="s">
        <v>5624</v>
      </c>
      <c r="E1430" s="76" t="s">
        <v>5366</v>
      </c>
      <c r="F1430" s="76"/>
    </row>
    <row r="1431" spans="1:6" ht="63.95" customHeight="1">
      <c r="A1431" s="76" t="s">
        <v>1865</v>
      </c>
      <c r="B1431" s="76" t="s">
        <v>5625</v>
      </c>
      <c r="C1431" s="76" t="s">
        <v>5626</v>
      </c>
      <c r="D1431" s="76" t="s">
        <v>5627</v>
      </c>
      <c r="E1431" s="76" t="s">
        <v>5366</v>
      </c>
      <c r="F1431" s="76"/>
    </row>
    <row r="1432" spans="1:6" ht="63.95" customHeight="1">
      <c r="A1432" s="76" t="s">
        <v>1865</v>
      </c>
      <c r="B1432" s="76" t="s">
        <v>5628</v>
      </c>
      <c r="C1432" s="76" t="s">
        <v>5629</v>
      </c>
      <c r="D1432" s="76" t="s">
        <v>5630</v>
      </c>
      <c r="E1432" s="76" t="s">
        <v>5366</v>
      </c>
      <c r="F1432" s="76"/>
    </row>
    <row r="1433" spans="1:6" ht="63.95" customHeight="1">
      <c r="A1433" s="76" t="s">
        <v>1865</v>
      </c>
      <c r="B1433" s="76" t="s">
        <v>5631</v>
      </c>
      <c r="C1433" s="76" t="s">
        <v>5632</v>
      </c>
      <c r="D1433" s="76" t="s">
        <v>5633</v>
      </c>
      <c r="E1433" s="76" t="s">
        <v>5366</v>
      </c>
      <c r="F1433" s="76"/>
    </row>
    <row r="1434" spans="1:6" ht="63.95" customHeight="1">
      <c r="A1434" s="76" t="s">
        <v>1865</v>
      </c>
      <c r="B1434" s="76" t="s">
        <v>5634</v>
      </c>
      <c r="C1434" s="76" t="s">
        <v>5635</v>
      </c>
      <c r="D1434" s="76" t="s">
        <v>5636</v>
      </c>
      <c r="E1434" s="76" t="s">
        <v>5366</v>
      </c>
      <c r="F1434" s="76"/>
    </row>
    <row r="1435" spans="1:6" ht="63.95" customHeight="1">
      <c r="A1435" s="76" t="s">
        <v>1865</v>
      </c>
      <c r="B1435" s="76" t="s">
        <v>5637</v>
      </c>
      <c r="C1435" s="76" t="s">
        <v>5638</v>
      </c>
      <c r="D1435" s="76" t="s">
        <v>5639</v>
      </c>
      <c r="E1435" s="76" t="s">
        <v>5366</v>
      </c>
      <c r="F1435" s="76"/>
    </row>
    <row r="1436" spans="1:6" ht="63.95" customHeight="1">
      <c r="A1436" s="76" t="s">
        <v>1865</v>
      </c>
      <c r="B1436" s="76" t="s">
        <v>5640</v>
      </c>
      <c r="C1436" s="76" t="s">
        <v>5641</v>
      </c>
      <c r="D1436" s="76" t="s">
        <v>5642</v>
      </c>
      <c r="E1436" s="76" t="s">
        <v>5366</v>
      </c>
      <c r="F1436" s="76"/>
    </row>
    <row r="1437" spans="1:6" ht="63.95" customHeight="1">
      <c r="A1437" s="76" t="s">
        <v>1865</v>
      </c>
      <c r="B1437" s="76" t="s">
        <v>5643</v>
      </c>
      <c r="C1437" s="76" t="s">
        <v>5644</v>
      </c>
      <c r="D1437" s="76" t="s">
        <v>5645</v>
      </c>
      <c r="E1437" s="76" t="s">
        <v>5366</v>
      </c>
      <c r="F1437" s="76"/>
    </row>
    <row r="1438" spans="1:6" ht="63.95" customHeight="1">
      <c r="A1438" s="76" t="s">
        <v>1865</v>
      </c>
      <c r="B1438" s="76" t="s">
        <v>5646</v>
      </c>
      <c r="C1438" s="76" t="s">
        <v>5647</v>
      </c>
      <c r="D1438" s="76" t="s">
        <v>5648</v>
      </c>
      <c r="E1438" s="76" t="s">
        <v>5366</v>
      </c>
      <c r="F1438" s="76"/>
    </row>
    <row r="1439" spans="1:6" ht="63.95" customHeight="1">
      <c r="A1439" s="76" t="s">
        <v>1865</v>
      </c>
      <c r="B1439" s="76" t="s">
        <v>5649</v>
      </c>
      <c r="C1439" s="76" t="s">
        <v>5650</v>
      </c>
      <c r="D1439" s="76" t="s">
        <v>5651</v>
      </c>
      <c r="E1439" s="76" t="s">
        <v>5366</v>
      </c>
      <c r="F1439" s="76"/>
    </row>
    <row r="1440" spans="1:6" ht="63.95" customHeight="1">
      <c r="A1440" s="76" t="s">
        <v>1865</v>
      </c>
      <c r="B1440" s="76" t="s">
        <v>5652</v>
      </c>
      <c r="C1440" s="76" t="s">
        <v>5653</v>
      </c>
      <c r="D1440" s="76" t="s">
        <v>5654</v>
      </c>
      <c r="E1440" s="76" t="s">
        <v>5366</v>
      </c>
      <c r="F1440" s="76"/>
    </row>
    <row r="1441" spans="1:6" ht="63.95" customHeight="1">
      <c r="A1441" s="76" t="s">
        <v>1865</v>
      </c>
      <c r="B1441" s="76" t="s">
        <v>5655</v>
      </c>
      <c r="C1441" s="76" t="s">
        <v>5656</v>
      </c>
      <c r="D1441" s="76" t="s">
        <v>5657</v>
      </c>
      <c r="E1441" s="76" t="s">
        <v>5366</v>
      </c>
      <c r="F1441" s="76"/>
    </row>
    <row r="1442" spans="1:6" ht="63.95" customHeight="1">
      <c r="A1442" s="76" t="s">
        <v>1865</v>
      </c>
      <c r="B1442" s="76" t="s">
        <v>5658</v>
      </c>
      <c r="C1442" s="76" t="s">
        <v>5659</v>
      </c>
      <c r="D1442" s="76" t="s">
        <v>5660</v>
      </c>
      <c r="E1442" s="76" t="s">
        <v>5366</v>
      </c>
      <c r="F1442" s="76"/>
    </row>
    <row r="1443" spans="1:6" ht="63.95" customHeight="1">
      <c r="A1443" s="76" t="s">
        <v>1865</v>
      </c>
      <c r="B1443" s="76" t="s">
        <v>5661</v>
      </c>
      <c r="C1443" s="76" t="s">
        <v>5662</v>
      </c>
      <c r="D1443" s="76" t="s">
        <v>5663</v>
      </c>
      <c r="E1443" s="76" t="s">
        <v>5366</v>
      </c>
      <c r="F1443" s="76"/>
    </row>
    <row r="1444" spans="1:6" ht="63.95" customHeight="1">
      <c r="A1444" s="76" t="s">
        <v>1865</v>
      </c>
      <c r="B1444" s="76" t="s">
        <v>5664</v>
      </c>
      <c r="C1444" s="76" t="s">
        <v>5665</v>
      </c>
      <c r="D1444" s="76" t="s">
        <v>5666</v>
      </c>
      <c r="E1444" s="76" t="s">
        <v>5366</v>
      </c>
      <c r="F1444" s="76"/>
    </row>
    <row r="1445" spans="1:6" ht="63.95" customHeight="1">
      <c r="A1445" s="76" t="s">
        <v>1865</v>
      </c>
      <c r="B1445" s="76" t="s">
        <v>5667</v>
      </c>
      <c r="C1445" s="76" t="s">
        <v>5668</v>
      </c>
      <c r="D1445" s="76" t="s">
        <v>5669</v>
      </c>
      <c r="E1445" s="76" t="s">
        <v>5366</v>
      </c>
      <c r="F1445" s="76"/>
    </row>
    <row r="1446" spans="1:6" ht="63.95" customHeight="1">
      <c r="A1446" s="76" t="s">
        <v>1865</v>
      </c>
      <c r="B1446" s="76" t="s">
        <v>5670</v>
      </c>
      <c r="C1446" s="76" t="s">
        <v>5671</v>
      </c>
      <c r="D1446" s="76" t="s">
        <v>5672</v>
      </c>
      <c r="E1446" s="76" t="s">
        <v>5366</v>
      </c>
      <c r="F1446" s="76"/>
    </row>
    <row r="1447" spans="1:6" ht="63.95" customHeight="1">
      <c r="A1447" s="76" t="s">
        <v>1865</v>
      </c>
      <c r="B1447" s="76" t="s">
        <v>5673</v>
      </c>
      <c r="C1447" s="76" t="s">
        <v>5674</v>
      </c>
      <c r="D1447" s="76" t="s">
        <v>5675</v>
      </c>
      <c r="E1447" s="76" t="s">
        <v>5366</v>
      </c>
      <c r="F1447" s="76"/>
    </row>
    <row r="1448" spans="1:6" ht="63.95" customHeight="1">
      <c r="A1448" s="76" t="s">
        <v>1865</v>
      </c>
      <c r="B1448" s="76" t="s">
        <v>5676</v>
      </c>
      <c r="C1448" s="76" t="s">
        <v>5677</v>
      </c>
      <c r="D1448" s="76" t="s">
        <v>5678</v>
      </c>
      <c r="E1448" s="76" t="s">
        <v>5366</v>
      </c>
      <c r="F1448" s="76"/>
    </row>
    <row r="1449" spans="1:6" ht="63.95" customHeight="1">
      <c r="A1449" s="76" t="s">
        <v>1865</v>
      </c>
      <c r="B1449" s="76" t="s">
        <v>5679</v>
      </c>
      <c r="C1449" s="76" t="s">
        <v>5680</v>
      </c>
      <c r="D1449" s="76" t="s">
        <v>5681</v>
      </c>
      <c r="E1449" s="76" t="s">
        <v>5366</v>
      </c>
      <c r="F1449" s="76"/>
    </row>
    <row r="1450" spans="1:6" ht="63.95" customHeight="1">
      <c r="A1450" s="76" t="s">
        <v>1865</v>
      </c>
      <c r="B1450" s="76" t="s">
        <v>5682</v>
      </c>
      <c r="C1450" s="76" t="s">
        <v>5683</v>
      </c>
      <c r="D1450" s="76" t="s">
        <v>5684</v>
      </c>
      <c r="E1450" s="76" t="s">
        <v>5366</v>
      </c>
      <c r="F1450" s="76"/>
    </row>
    <row r="1451" spans="1:6" ht="63.95" customHeight="1">
      <c r="A1451" s="76" t="s">
        <v>1865</v>
      </c>
      <c r="B1451" s="76" t="s">
        <v>2586</v>
      </c>
      <c r="C1451" s="76" t="s">
        <v>5685</v>
      </c>
      <c r="D1451" s="76" t="s">
        <v>5686</v>
      </c>
      <c r="E1451" s="76" t="s">
        <v>5366</v>
      </c>
      <c r="F1451" s="76"/>
    </row>
    <row r="1452" spans="1:6" ht="63.95" customHeight="1">
      <c r="A1452" s="76" t="s">
        <v>1865</v>
      </c>
      <c r="B1452" s="76" t="s">
        <v>5687</v>
      </c>
      <c r="C1452" s="76" t="s">
        <v>5688</v>
      </c>
      <c r="D1452" s="76" t="s">
        <v>5689</v>
      </c>
      <c r="E1452" s="76" t="s">
        <v>5366</v>
      </c>
      <c r="F1452" s="76"/>
    </row>
    <row r="1453" spans="1:6" ht="63.95" customHeight="1">
      <c r="A1453" s="76" t="s">
        <v>1865</v>
      </c>
      <c r="B1453" s="76" t="s">
        <v>5690</v>
      </c>
      <c r="C1453" s="76" t="s">
        <v>5691</v>
      </c>
      <c r="D1453" s="76" t="s">
        <v>5692</v>
      </c>
      <c r="E1453" s="76" t="s">
        <v>5366</v>
      </c>
      <c r="F1453" s="76"/>
    </row>
    <row r="1454" spans="1:6" ht="63.95" customHeight="1">
      <c r="A1454" s="76" t="s">
        <v>1865</v>
      </c>
      <c r="B1454" s="76" t="s">
        <v>5693</v>
      </c>
      <c r="C1454" s="76" t="s">
        <v>5694</v>
      </c>
      <c r="D1454" s="76" t="s">
        <v>5695</v>
      </c>
      <c r="E1454" s="76" t="s">
        <v>5366</v>
      </c>
      <c r="F1454" s="76"/>
    </row>
    <row r="1455" spans="1:6" ht="63.95" customHeight="1">
      <c r="A1455" s="76" t="s">
        <v>1865</v>
      </c>
      <c r="B1455" s="76" t="s">
        <v>5696</v>
      </c>
      <c r="C1455" s="76" t="s">
        <v>5697</v>
      </c>
      <c r="D1455" s="76" t="s">
        <v>5698</v>
      </c>
      <c r="E1455" s="76" t="s">
        <v>5366</v>
      </c>
      <c r="F1455" s="76"/>
    </row>
    <row r="1456" spans="1:6" ht="63.95" customHeight="1">
      <c r="A1456" s="76" t="s">
        <v>1865</v>
      </c>
      <c r="B1456" s="76" t="s">
        <v>5699</v>
      </c>
      <c r="C1456" s="76" t="s">
        <v>5700</v>
      </c>
      <c r="D1456" s="76" t="s">
        <v>5701</v>
      </c>
      <c r="E1456" s="76" t="s">
        <v>5366</v>
      </c>
      <c r="F1456" s="76"/>
    </row>
    <row r="1457" spans="1:6" ht="63.95" customHeight="1">
      <c r="A1457" s="76" t="s">
        <v>1865</v>
      </c>
      <c r="B1457" s="76" t="s">
        <v>5702</v>
      </c>
      <c r="C1457" s="76" t="s">
        <v>5703</v>
      </c>
      <c r="D1457" s="76" t="s">
        <v>5704</v>
      </c>
      <c r="E1457" s="76" t="s">
        <v>5366</v>
      </c>
      <c r="F1457" s="76"/>
    </row>
    <row r="1458" spans="1:6" ht="63.95" customHeight="1">
      <c r="A1458" s="76" t="s">
        <v>1865</v>
      </c>
      <c r="B1458" s="76" t="s">
        <v>5705</v>
      </c>
      <c r="C1458" s="76" t="s">
        <v>5706</v>
      </c>
      <c r="D1458" s="76" t="s">
        <v>5707</v>
      </c>
      <c r="E1458" s="76" t="s">
        <v>5366</v>
      </c>
      <c r="F1458" s="76"/>
    </row>
    <row r="1459" spans="1:6" ht="63.95" customHeight="1">
      <c r="A1459" s="76" t="s">
        <v>1865</v>
      </c>
      <c r="B1459" s="76" t="s">
        <v>5708</v>
      </c>
      <c r="C1459" s="76" t="s">
        <v>5709</v>
      </c>
      <c r="D1459" s="76" t="s">
        <v>5710</v>
      </c>
      <c r="E1459" s="76" t="s">
        <v>5366</v>
      </c>
      <c r="F1459" s="76"/>
    </row>
    <row r="1460" spans="1:6" ht="63.95" customHeight="1">
      <c r="A1460" s="76" t="s">
        <v>1865</v>
      </c>
      <c r="B1460" s="76" t="s">
        <v>5711</v>
      </c>
      <c r="C1460" s="76" t="s">
        <v>5712</v>
      </c>
      <c r="D1460" s="76" t="s">
        <v>5713</v>
      </c>
      <c r="E1460" s="76" t="s">
        <v>5366</v>
      </c>
      <c r="F1460" s="76"/>
    </row>
    <row r="1461" spans="1:6" ht="63.95" customHeight="1">
      <c r="A1461" s="76" t="s">
        <v>1865</v>
      </c>
      <c r="B1461" s="76" t="s">
        <v>5714</v>
      </c>
      <c r="C1461" s="76" t="s">
        <v>5715</v>
      </c>
      <c r="D1461" s="76" t="s">
        <v>5716</v>
      </c>
      <c r="E1461" s="76" t="s">
        <v>5366</v>
      </c>
      <c r="F1461" s="76"/>
    </row>
    <row r="1462" spans="1:6" ht="63.95" customHeight="1">
      <c r="A1462" s="76" t="s">
        <v>1865</v>
      </c>
      <c r="B1462" s="76" t="s">
        <v>5717</v>
      </c>
      <c r="C1462" s="76" t="s">
        <v>5718</v>
      </c>
      <c r="D1462" s="76" t="s">
        <v>5719</v>
      </c>
      <c r="E1462" s="76" t="s">
        <v>5366</v>
      </c>
      <c r="F1462" s="76"/>
    </row>
    <row r="1463" spans="1:6" ht="63.95" customHeight="1">
      <c r="A1463" s="76" t="s">
        <v>1865</v>
      </c>
      <c r="B1463" s="76" t="s">
        <v>5720</v>
      </c>
      <c r="C1463" s="76" t="s">
        <v>5721</v>
      </c>
      <c r="D1463" s="76" t="s">
        <v>5722</v>
      </c>
      <c r="E1463" s="76" t="s">
        <v>5366</v>
      </c>
      <c r="F1463" s="76"/>
    </row>
    <row r="1464" spans="1:6" ht="63.95" customHeight="1">
      <c r="A1464" s="76" t="s">
        <v>1865</v>
      </c>
      <c r="B1464" s="76" t="s">
        <v>5723</v>
      </c>
      <c r="C1464" s="76" t="s">
        <v>5724</v>
      </c>
      <c r="D1464" s="76" t="s">
        <v>5725</v>
      </c>
      <c r="E1464" s="76" t="s">
        <v>5366</v>
      </c>
      <c r="F1464" s="76"/>
    </row>
    <row r="1465" spans="1:6" ht="63.95" customHeight="1">
      <c r="A1465" s="76" t="s">
        <v>1865</v>
      </c>
      <c r="B1465" s="76" t="s">
        <v>5726</v>
      </c>
      <c r="C1465" s="76" t="s">
        <v>5727</v>
      </c>
      <c r="D1465" s="76" t="s">
        <v>5728</v>
      </c>
      <c r="E1465" s="76" t="s">
        <v>5366</v>
      </c>
      <c r="F1465" s="76"/>
    </row>
    <row r="1466" spans="1:6" ht="63.95" customHeight="1">
      <c r="A1466" s="76" t="s">
        <v>1865</v>
      </c>
      <c r="B1466" s="76" t="s">
        <v>5729</v>
      </c>
      <c r="C1466" s="76" t="s">
        <v>5730</v>
      </c>
      <c r="D1466" s="76" t="s">
        <v>5731</v>
      </c>
      <c r="E1466" s="76" t="s">
        <v>5366</v>
      </c>
      <c r="F1466" s="76"/>
    </row>
    <row r="1467" spans="1:6" ht="63.95" customHeight="1">
      <c r="A1467" s="76" t="s">
        <v>1865</v>
      </c>
      <c r="B1467" s="76" t="s">
        <v>5732</v>
      </c>
      <c r="C1467" s="76" t="s">
        <v>5733</v>
      </c>
      <c r="D1467" s="76" t="s">
        <v>5734</v>
      </c>
      <c r="E1467" s="76" t="s">
        <v>5366</v>
      </c>
      <c r="F1467" s="76"/>
    </row>
    <row r="1468" spans="1:6" ht="63.95" customHeight="1">
      <c r="A1468" s="76" t="s">
        <v>1865</v>
      </c>
      <c r="B1468" s="76" t="s">
        <v>5735</v>
      </c>
      <c r="C1468" s="76" t="s">
        <v>5736</v>
      </c>
      <c r="D1468" s="76" t="s">
        <v>5737</v>
      </c>
      <c r="E1468" s="76" t="s">
        <v>5366</v>
      </c>
      <c r="F1468" s="76"/>
    </row>
    <row r="1469" spans="1:6" ht="63.95" customHeight="1">
      <c r="A1469" s="76" t="s">
        <v>1865</v>
      </c>
      <c r="B1469" s="76" t="s">
        <v>5738</v>
      </c>
      <c r="C1469" s="76" t="s">
        <v>5739</v>
      </c>
      <c r="D1469" s="76" t="s">
        <v>5740</v>
      </c>
      <c r="E1469" s="76" t="s">
        <v>5366</v>
      </c>
      <c r="F1469" s="76"/>
    </row>
    <row r="1470" spans="1:6" ht="63.95" customHeight="1">
      <c r="A1470" s="76" t="s">
        <v>1865</v>
      </c>
      <c r="B1470" s="76" t="s">
        <v>5741</v>
      </c>
      <c r="C1470" s="76" t="s">
        <v>5742</v>
      </c>
      <c r="D1470" s="76" t="s">
        <v>5743</v>
      </c>
      <c r="E1470" s="76" t="s">
        <v>5366</v>
      </c>
      <c r="F1470" s="76"/>
    </row>
    <row r="1471" spans="1:6" ht="63.95" customHeight="1">
      <c r="A1471" s="76" t="s">
        <v>1865</v>
      </c>
      <c r="B1471" s="76" t="s">
        <v>5744</v>
      </c>
      <c r="C1471" s="76" t="s">
        <v>5745</v>
      </c>
      <c r="D1471" s="76" t="s">
        <v>5746</v>
      </c>
      <c r="E1471" s="76" t="s">
        <v>5366</v>
      </c>
      <c r="F1471" s="76"/>
    </row>
    <row r="1472" spans="1:6" ht="63.95" customHeight="1">
      <c r="A1472" s="76" t="s">
        <v>1865</v>
      </c>
      <c r="B1472" s="76" t="s">
        <v>5747</v>
      </c>
      <c r="C1472" s="76" t="s">
        <v>5748</v>
      </c>
      <c r="D1472" s="76" t="s">
        <v>5749</v>
      </c>
      <c r="E1472" s="76" t="s">
        <v>5366</v>
      </c>
      <c r="F1472" s="76"/>
    </row>
    <row r="1473" spans="1:6" ht="63.95" customHeight="1">
      <c r="A1473" s="76" t="s">
        <v>1865</v>
      </c>
      <c r="B1473" s="76" t="s">
        <v>5750</v>
      </c>
      <c r="C1473" s="76" t="s">
        <v>5751</v>
      </c>
      <c r="D1473" s="76" t="s">
        <v>5752</v>
      </c>
      <c r="E1473" s="76" t="s">
        <v>5366</v>
      </c>
      <c r="F1473" s="76"/>
    </row>
    <row r="1474" spans="1:6" ht="63.95" customHeight="1">
      <c r="A1474" s="76" t="s">
        <v>1865</v>
      </c>
      <c r="B1474" s="76" t="s">
        <v>5753</v>
      </c>
      <c r="C1474" s="76" t="s">
        <v>5754</v>
      </c>
      <c r="D1474" s="76" t="s">
        <v>5755</v>
      </c>
      <c r="E1474" s="76" t="s">
        <v>5366</v>
      </c>
      <c r="F1474" s="76"/>
    </row>
    <row r="1475" spans="1:6" ht="63.95" customHeight="1">
      <c r="A1475" s="76" t="s">
        <v>1865</v>
      </c>
      <c r="B1475" s="76" t="s">
        <v>5756</v>
      </c>
      <c r="C1475" s="76" t="s">
        <v>5757</v>
      </c>
      <c r="D1475" s="76" t="s">
        <v>5758</v>
      </c>
      <c r="E1475" s="76" t="s">
        <v>5366</v>
      </c>
      <c r="F1475" s="76"/>
    </row>
    <row r="1476" spans="1:6" ht="63.95" customHeight="1">
      <c r="A1476" s="76" t="s">
        <v>1865</v>
      </c>
      <c r="B1476" s="76" t="s">
        <v>5759</v>
      </c>
      <c r="C1476" s="76" t="s">
        <v>5760</v>
      </c>
      <c r="D1476" s="76" t="s">
        <v>5761</v>
      </c>
      <c r="E1476" s="76" t="s">
        <v>5366</v>
      </c>
      <c r="F1476" s="76"/>
    </row>
    <row r="1477" spans="1:6" ht="63.95" customHeight="1">
      <c r="A1477" s="76" t="s">
        <v>1865</v>
      </c>
      <c r="B1477" s="76" t="s">
        <v>5762</v>
      </c>
      <c r="C1477" s="76" t="s">
        <v>5763</v>
      </c>
      <c r="D1477" s="76" t="s">
        <v>5764</v>
      </c>
      <c r="E1477" s="76" t="s">
        <v>5366</v>
      </c>
      <c r="F1477" s="76"/>
    </row>
    <row r="1478" spans="1:6" ht="63.95" customHeight="1">
      <c r="A1478" s="76" t="s">
        <v>1865</v>
      </c>
      <c r="B1478" s="76" t="s">
        <v>5765</v>
      </c>
      <c r="C1478" s="76" t="s">
        <v>5766</v>
      </c>
      <c r="D1478" s="76" t="s">
        <v>5767</v>
      </c>
      <c r="E1478" s="76" t="s">
        <v>5366</v>
      </c>
      <c r="F1478" s="76"/>
    </row>
    <row r="1479" spans="1:6" ht="63.95" customHeight="1">
      <c r="A1479" s="76" t="s">
        <v>1865</v>
      </c>
      <c r="B1479" s="76" t="s">
        <v>5768</v>
      </c>
      <c r="C1479" s="76" t="s">
        <v>5769</v>
      </c>
      <c r="D1479" s="76" t="s">
        <v>5770</v>
      </c>
      <c r="E1479" s="76" t="s">
        <v>5366</v>
      </c>
      <c r="F1479" s="76"/>
    </row>
    <row r="1480" spans="1:6" ht="63.95" customHeight="1">
      <c r="A1480" s="76" t="s">
        <v>1865</v>
      </c>
      <c r="B1480" s="76" t="s">
        <v>5771</v>
      </c>
      <c r="C1480" s="76" t="s">
        <v>5772</v>
      </c>
      <c r="D1480" s="76" t="s">
        <v>5773</v>
      </c>
      <c r="E1480" s="76" t="s">
        <v>5366</v>
      </c>
      <c r="F1480" s="76"/>
    </row>
    <row r="1481" spans="1:6" ht="63.95" customHeight="1">
      <c r="A1481" s="76" t="s">
        <v>1865</v>
      </c>
      <c r="B1481" s="76" t="s">
        <v>5774</v>
      </c>
      <c r="C1481" s="76" t="s">
        <v>5775</v>
      </c>
      <c r="D1481" s="76" t="s">
        <v>5776</v>
      </c>
      <c r="E1481" s="76" t="s">
        <v>5366</v>
      </c>
      <c r="F1481" s="76"/>
    </row>
    <row r="1482" spans="1:6" ht="63.95" customHeight="1">
      <c r="A1482" s="76" t="s">
        <v>1865</v>
      </c>
      <c r="B1482" s="76" t="s">
        <v>5777</v>
      </c>
      <c r="C1482" s="76" t="s">
        <v>5778</v>
      </c>
      <c r="D1482" s="76" t="s">
        <v>5779</v>
      </c>
      <c r="E1482" s="76" t="s">
        <v>5366</v>
      </c>
      <c r="F1482" s="76"/>
    </row>
    <row r="1483" spans="1:6" ht="63.95" customHeight="1">
      <c r="A1483" s="76" t="s">
        <v>1865</v>
      </c>
      <c r="B1483" s="76" t="s">
        <v>5780</v>
      </c>
      <c r="C1483" s="76" t="s">
        <v>5781</v>
      </c>
      <c r="D1483" s="76" t="s">
        <v>5782</v>
      </c>
      <c r="E1483" s="76" t="s">
        <v>5366</v>
      </c>
      <c r="F1483" s="76"/>
    </row>
    <row r="1484" spans="1:6" ht="63.95" customHeight="1">
      <c r="A1484" s="76" t="s">
        <v>1865</v>
      </c>
      <c r="B1484" s="76" t="s">
        <v>5783</v>
      </c>
      <c r="C1484" s="76" t="s">
        <v>5784</v>
      </c>
      <c r="D1484" s="76" t="s">
        <v>5785</v>
      </c>
      <c r="E1484" s="76" t="s">
        <v>5366</v>
      </c>
      <c r="F1484" s="76"/>
    </row>
    <row r="1485" spans="1:6" ht="63.95" customHeight="1">
      <c r="A1485" s="76" t="s">
        <v>1865</v>
      </c>
      <c r="B1485" s="76" t="s">
        <v>5786</v>
      </c>
      <c r="C1485" s="76" t="s">
        <v>5787</v>
      </c>
      <c r="D1485" s="76" t="s">
        <v>5788</v>
      </c>
      <c r="E1485" s="76" t="s">
        <v>5366</v>
      </c>
      <c r="F1485" s="76"/>
    </row>
    <row r="1486" spans="1:6" ht="63.95" customHeight="1">
      <c r="A1486" s="76" t="s">
        <v>1865</v>
      </c>
      <c r="B1486" s="76" t="s">
        <v>5789</v>
      </c>
      <c r="C1486" s="76" t="s">
        <v>5790</v>
      </c>
      <c r="D1486" s="76" t="s">
        <v>5791</v>
      </c>
      <c r="E1486" s="76" t="s">
        <v>5366</v>
      </c>
      <c r="F1486" s="76"/>
    </row>
    <row r="1487" spans="1:6" ht="63.95" customHeight="1">
      <c r="A1487" s="76" t="s">
        <v>1865</v>
      </c>
      <c r="B1487" s="76" t="s">
        <v>5792</v>
      </c>
      <c r="C1487" s="76" t="s">
        <v>5793</v>
      </c>
      <c r="D1487" s="76" t="s">
        <v>5794</v>
      </c>
      <c r="E1487" s="76" t="s">
        <v>5366</v>
      </c>
      <c r="F1487" s="76"/>
    </row>
    <row r="1488" spans="1:6" ht="63.95" customHeight="1">
      <c r="A1488" s="76" t="s">
        <v>1865</v>
      </c>
      <c r="B1488" s="76" t="s">
        <v>5795</v>
      </c>
      <c r="C1488" s="76" t="s">
        <v>5796</v>
      </c>
      <c r="D1488" s="76" t="s">
        <v>5797</v>
      </c>
      <c r="E1488" s="76" t="s">
        <v>5366</v>
      </c>
      <c r="F1488" s="76"/>
    </row>
    <row r="1489" spans="1:6" ht="63.95" customHeight="1">
      <c r="A1489" s="76" t="s">
        <v>1865</v>
      </c>
      <c r="B1489" s="76" t="s">
        <v>5798</v>
      </c>
      <c r="C1489" s="76" t="s">
        <v>5799</v>
      </c>
      <c r="D1489" s="76" t="s">
        <v>5800</v>
      </c>
      <c r="E1489" s="76" t="s">
        <v>5366</v>
      </c>
      <c r="F1489" s="76"/>
    </row>
    <row r="1490" spans="1:6" ht="63.95" customHeight="1">
      <c r="A1490" s="76" t="s">
        <v>1865</v>
      </c>
      <c r="B1490" s="76" t="s">
        <v>5801</v>
      </c>
      <c r="C1490" s="76" t="s">
        <v>5802</v>
      </c>
      <c r="D1490" s="76" t="s">
        <v>5803</v>
      </c>
      <c r="E1490" s="76" t="s">
        <v>5366</v>
      </c>
      <c r="F1490" s="76"/>
    </row>
    <row r="1491" spans="1:6" ht="63.95" customHeight="1">
      <c r="A1491" s="76" t="s">
        <v>1865</v>
      </c>
      <c r="B1491" s="76" t="s">
        <v>5804</v>
      </c>
      <c r="C1491" s="76" t="s">
        <v>5805</v>
      </c>
      <c r="D1491" s="76" t="s">
        <v>5806</v>
      </c>
      <c r="E1491" s="76" t="s">
        <v>5366</v>
      </c>
      <c r="F1491" s="76"/>
    </row>
    <row r="1492" spans="1:6" ht="63.95" customHeight="1">
      <c r="A1492" s="76" t="s">
        <v>1865</v>
      </c>
      <c r="B1492" s="76" t="s">
        <v>5807</v>
      </c>
      <c r="C1492" s="76" t="s">
        <v>5808</v>
      </c>
      <c r="D1492" s="76" t="s">
        <v>5809</v>
      </c>
      <c r="E1492" s="76" t="s">
        <v>5366</v>
      </c>
      <c r="F1492" s="76"/>
    </row>
    <row r="1493" spans="1:6" ht="63.95" customHeight="1">
      <c r="A1493" s="76" t="s">
        <v>1865</v>
      </c>
      <c r="B1493" s="76" t="s">
        <v>5810</v>
      </c>
      <c r="C1493" s="76" t="s">
        <v>5811</v>
      </c>
      <c r="D1493" s="76" t="s">
        <v>5812</v>
      </c>
      <c r="E1493" s="76" t="s">
        <v>5366</v>
      </c>
      <c r="F1493" s="76"/>
    </row>
    <row r="1494" spans="1:6" ht="63.95" customHeight="1">
      <c r="A1494" s="76" t="s">
        <v>1865</v>
      </c>
      <c r="B1494" s="76" t="s">
        <v>5813</v>
      </c>
      <c r="C1494" s="76" t="s">
        <v>5814</v>
      </c>
      <c r="D1494" s="76" t="s">
        <v>5815</v>
      </c>
      <c r="E1494" s="76" t="s">
        <v>5366</v>
      </c>
      <c r="F1494" s="76"/>
    </row>
    <row r="1495" spans="1:6" ht="63.95" customHeight="1">
      <c r="A1495" s="76" t="s">
        <v>1865</v>
      </c>
      <c r="B1495" s="76" t="s">
        <v>5816</v>
      </c>
      <c r="C1495" s="76" t="s">
        <v>5817</v>
      </c>
      <c r="D1495" s="76" t="s">
        <v>5818</v>
      </c>
      <c r="E1495" s="76" t="s">
        <v>5366</v>
      </c>
      <c r="F1495" s="76"/>
    </row>
    <row r="1496" spans="1:6" ht="63.95" customHeight="1">
      <c r="A1496" s="76" t="s">
        <v>1865</v>
      </c>
      <c r="B1496" s="76" t="s">
        <v>5819</v>
      </c>
      <c r="C1496" s="76" t="s">
        <v>5820</v>
      </c>
      <c r="D1496" s="76" t="s">
        <v>5821</v>
      </c>
      <c r="E1496" s="76" t="s">
        <v>5366</v>
      </c>
      <c r="F1496" s="76"/>
    </row>
    <row r="1497" spans="1:6" ht="63.95" customHeight="1">
      <c r="A1497" s="76" t="s">
        <v>1865</v>
      </c>
      <c r="B1497" s="76" t="s">
        <v>5822</v>
      </c>
      <c r="C1497" s="76" t="s">
        <v>5823</v>
      </c>
      <c r="D1497" s="76" t="s">
        <v>5824</v>
      </c>
      <c r="E1497" s="76" t="s">
        <v>5366</v>
      </c>
      <c r="F1497" s="76"/>
    </row>
    <row r="1498" spans="1:6" ht="63.95" customHeight="1">
      <c r="A1498" s="76" t="s">
        <v>1865</v>
      </c>
      <c r="B1498" s="76" t="s">
        <v>5825</v>
      </c>
      <c r="C1498" s="76" t="s">
        <v>5826</v>
      </c>
      <c r="D1498" s="76" t="s">
        <v>5827</v>
      </c>
      <c r="E1498" s="76" t="s">
        <v>5366</v>
      </c>
      <c r="F1498" s="76"/>
    </row>
    <row r="1499" spans="1:6" ht="63.95" customHeight="1">
      <c r="A1499" s="76" t="s">
        <v>1868</v>
      </c>
      <c r="B1499" s="76" t="s">
        <v>1967</v>
      </c>
      <c r="C1499" s="76" t="s">
        <v>5828</v>
      </c>
      <c r="D1499" s="76" t="s">
        <v>5829</v>
      </c>
      <c r="E1499" s="76" t="s">
        <v>3612</v>
      </c>
      <c r="F1499" s="76"/>
    </row>
    <row r="1500" spans="1:6" ht="63.95" customHeight="1">
      <c r="A1500" s="76" t="s">
        <v>1868</v>
      </c>
      <c r="B1500" s="76" t="s">
        <v>3682</v>
      </c>
      <c r="C1500" s="76" t="s">
        <v>3614</v>
      </c>
      <c r="D1500" s="76" t="s">
        <v>1280</v>
      </c>
      <c r="E1500" s="76" t="s">
        <v>3612</v>
      </c>
      <c r="F1500" s="76"/>
    </row>
    <row r="1501" spans="1:6" ht="63.95" customHeight="1">
      <c r="A1501" s="76" t="s">
        <v>1868</v>
      </c>
      <c r="B1501" s="76" t="s">
        <v>3685</v>
      </c>
      <c r="C1501" s="76" t="s">
        <v>5830</v>
      </c>
      <c r="D1501" s="76" t="s">
        <v>1281</v>
      </c>
      <c r="E1501" s="76" t="s">
        <v>3612</v>
      </c>
      <c r="F1501" s="76"/>
    </row>
    <row r="1502" spans="1:6" ht="63.95" customHeight="1">
      <c r="A1502" s="76" t="s">
        <v>1868</v>
      </c>
      <c r="B1502" s="76" t="s">
        <v>5831</v>
      </c>
      <c r="C1502" s="76" t="s">
        <v>3616</v>
      </c>
      <c r="D1502" s="76" t="s">
        <v>1282</v>
      </c>
      <c r="E1502" s="76" t="s">
        <v>3612</v>
      </c>
      <c r="F1502" s="76"/>
    </row>
    <row r="1503" spans="1:6" ht="63.95" customHeight="1">
      <c r="A1503" s="76" t="s">
        <v>1868</v>
      </c>
      <c r="B1503" s="76" t="s">
        <v>5832</v>
      </c>
      <c r="C1503" s="76" t="s">
        <v>3619</v>
      </c>
      <c r="D1503" s="76" t="s">
        <v>1283</v>
      </c>
      <c r="E1503" s="76" t="s">
        <v>3612</v>
      </c>
      <c r="F1503" s="76"/>
    </row>
    <row r="1504" spans="1:6" ht="63.95" customHeight="1">
      <c r="A1504" s="76" t="s">
        <v>1868</v>
      </c>
      <c r="B1504" s="76" t="s">
        <v>3687</v>
      </c>
      <c r="C1504" s="76" t="s">
        <v>5833</v>
      </c>
      <c r="D1504" s="76" t="s">
        <v>5834</v>
      </c>
      <c r="E1504" s="76" t="s">
        <v>3624</v>
      </c>
      <c r="F1504" s="76"/>
    </row>
    <row r="1505" spans="1:6" ht="63.95" customHeight="1">
      <c r="A1505" s="76" t="s">
        <v>1868</v>
      </c>
      <c r="B1505" s="76" t="s">
        <v>3690</v>
      </c>
      <c r="C1505" s="76" t="s">
        <v>5835</v>
      </c>
      <c r="D1505" s="76" t="s">
        <v>5836</v>
      </c>
      <c r="E1505" s="76" t="s">
        <v>3624</v>
      </c>
      <c r="F1505" s="76"/>
    </row>
    <row r="1506" spans="1:6" ht="63.95" customHeight="1">
      <c r="A1506" s="76" t="s">
        <v>1868</v>
      </c>
      <c r="B1506" s="76" t="s">
        <v>3693</v>
      </c>
      <c r="C1506" s="76" t="s">
        <v>5837</v>
      </c>
      <c r="D1506" s="76" t="s">
        <v>5838</v>
      </c>
      <c r="E1506" s="76" t="s">
        <v>3624</v>
      </c>
      <c r="F1506" s="76"/>
    </row>
    <row r="1507" spans="1:6" ht="63.95" customHeight="1">
      <c r="A1507" s="76" t="s">
        <v>1868</v>
      </c>
      <c r="B1507" s="76" t="s">
        <v>3696</v>
      </c>
      <c r="C1507" s="76" t="s">
        <v>5839</v>
      </c>
      <c r="D1507" s="76" t="s">
        <v>5840</v>
      </c>
      <c r="E1507" s="76" t="s">
        <v>3624</v>
      </c>
      <c r="F1507" s="76"/>
    </row>
    <row r="1508" spans="1:6" ht="63.95" customHeight="1">
      <c r="A1508" s="76" t="s">
        <v>1868</v>
      </c>
      <c r="B1508" s="76" t="s">
        <v>3699</v>
      </c>
      <c r="C1508" s="76" t="s">
        <v>5841</v>
      </c>
      <c r="D1508" s="76" t="s">
        <v>5842</v>
      </c>
      <c r="E1508" s="76" t="s">
        <v>3624</v>
      </c>
      <c r="F1508" s="76"/>
    </row>
    <row r="1509" spans="1:6" ht="63.95" customHeight="1">
      <c r="A1509" s="76" t="s">
        <v>1868</v>
      </c>
      <c r="B1509" s="76" t="s">
        <v>3702</v>
      </c>
      <c r="C1509" s="76" t="s">
        <v>5843</v>
      </c>
      <c r="D1509" s="76" t="s">
        <v>5844</v>
      </c>
      <c r="E1509" s="76" t="s">
        <v>3624</v>
      </c>
      <c r="F1509" s="76"/>
    </row>
    <row r="1510" spans="1:6" ht="63.95" customHeight="1">
      <c r="A1510" s="76" t="s">
        <v>1868</v>
      </c>
      <c r="B1510" s="76" t="s">
        <v>3705</v>
      </c>
      <c r="C1510" s="76" t="s">
        <v>5845</v>
      </c>
      <c r="D1510" s="76" t="s">
        <v>5846</v>
      </c>
      <c r="E1510" s="76" t="s">
        <v>3624</v>
      </c>
      <c r="F1510" s="76"/>
    </row>
    <row r="1511" spans="1:6" ht="63.95" customHeight="1">
      <c r="A1511" s="76" t="s">
        <v>1868</v>
      </c>
      <c r="B1511" s="76" t="s">
        <v>3708</v>
      </c>
      <c r="C1511" s="76" t="s">
        <v>5847</v>
      </c>
      <c r="D1511" s="76" t="s">
        <v>5848</v>
      </c>
      <c r="E1511" s="76" t="s">
        <v>3624</v>
      </c>
      <c r="F1511" s="76"/>
    </row>
    <row r="1512" spans="1:6" ht="63.95" customHeight="1">
      <c r="A1512" s="76" t="s">
        <v>1868</v>
      </c>
      <c r="B1512" s="76" t="s">
        <v>3711</v>
      </c>
      <c r="C1512" s="76" t="s">
        <v>5849</v>
      </c>
      <c r="D1512" s="76" t="s">
        <v>5850</v>
      </c>
      <c r="E1512" s="76" t="s">
        <v>3624</v>
      </c>
      <c r="F1512" s="76"/>
    </row>
    <row r="1513" spans="1:6" ht="63.95" customHeight="1">
      <c r="A1513" s="76" t="s">
        <v>1868</v>
      </c>
      <c r="B1513" s="76" t="s">
        <v>3714</v>
      </c>
      <c r="C1513" s="76" t="s">
        <v>5851</v>
      </c>
      <c r="D1513" s="76" t="s">
        <v>5852</v>
      </c>
      <c r="E1513" s="76" t="s">
        <v>3624</v>
      </c>
      <c r="F1513" s="76"/>
    </row>
    <row r="1514" spans="1:6" ht="63.95" customHeight="1">
      <c r="A1514" s="76" t="s">
        <v>1868</v>
      </c>
      <c r="B1514" s="76" t="s">
        <v>3717</v>
      </c>
      <c r="C1514" s="76" t="s">
        <v>5853</v>
      </c>
      <c r="D1514" s="76" t="s">
        <v>5854</v>
      </c>
      <c r="E1514" s="76" t="s">
        <v>3624</v>
      </c>
      <c r="F1514" s="76"/>
    </row>
    <row r="1515" spans="1:6" ht="63.95" customHeight="1">
      <c r="A1515" s="76" t="s">
        <v>1868</v>
      </c>
      <c r="B1515" s="76" t="s">
        <v>3720</v>
      </c>
      <c r="C1515" s="76" t="s">
        <v>5855</v>
      </c>
      <c r="D1515" s="76" t="s">
        <v>5856</v>
      </c>
      <c r="E1515" s="76" t="s">
        <v>3624</v>
      </c>
      <c r="F1515" s="76"/>
    </row>
    <row r="1516" spans="1:6" ht="63.95" customHeight="1">
      <c r="A1516" s="76" t="s">
        <v>1868</v>
      </c>
      <c r="B1516" s="76" t="s">
        <v>3723</v>
      </c>
      <c r="C1516" s="76" t="s">
        <v>5857</v>
      </c>
      <c r="D1516" s="76" t="s">
        <v>5858</v>
      </c>
      <c r="E1516" s="76" t="s">
        <v>3624</v>
      </c>
      <c r="F1516" s="76"/>
    </row>
    <row r="1517" spans="1:6" ht="63.95" customHeight="1">
      <c r="A1517" s="76" t="s">
        <v>1868</v>
      </c>
      <c r="B1517" s="76" t="s">
        <v>3726</v>
      </c>
      <c r="C1517" s="76" t="s">
        <v>5859</v>
      </c>
      <c r="D1517" s="76" t="s">
        <v>5860</v>
      </c>
      <c r="E1517" s="76" t="s">
        <v>3624</v>
      </c>
      <c r="F1517" s="76"/>
    </row>
    <row r="1518" spans="1:6" ht="63.95" customHeight="1">
      <c r="A1518" s="76" t="s">
        <v>1868</v>
      </c>
      <c r="B1518" s="76" t="s">
        <v>3729</v>
      </c>
      <c r="C1518" s="76" t="s">
        <v>5861</v>
      </c>
      <c r="D1518" s="76" t="s">
        <v>5862</v>
      </c>
      <c r="E1518" s="76" t="s">
        <v>3624</v>
      </c>
      <c r="F1518" s="76"/>
    </row>
    <row r="1519" spans="1:6" ht="63.95" customHeight="1">
      <c r="A1519" s="76" t="s">
        <v>1868</v>
      </c>
      <c r="B1519" s="76" t="s">
        <v>3732</v>
      </c>
      <c r="C1519" s="76" t="s">
        <v>5863</v>
      </c>
      <c r="D1519" s="76" t="s">
        <v>5864</v>
      </c>
      <c r="E1519" s="76" t="s">
        <v>3624</v>
      </c>
      <c r="F1519" s="76"/>
    </row>
    <row r="1520" spans="1:6" ht="63.95" customHeight="1">
      <c r="A1520" s="76" t="s">
        <v>1868</v>
      </c>
      <c r="B1520" s="76" t="s">
        <v>3735</v>
      </c>
      <c r="C1520" s="76" t="s">
        <v>5865</v>
      </c>
      <c r="D1520" s="76" t="s">
        <v>5866</v>
      </c>
      <c r="E1520" s="76" t="s">
        <v>3624</v>
      </c>
      <c r="F1520" s="76"/>
    </row>
    <row r="1521" spans="1:6" ht="63.95" customHeight="1">
      <c r="A1521" s="76" t="s">
        <v>1868</v>
      </c>
      <c r="B1521" s="76" t="s">
        <v>3738</v>
      </c>
      <c r="C1521" s="76" t="s">
        <v>5867</v>
      </c>
      <c r="D1521" s="76" t="s">
        <v>5868</v>
      </c>
      <c r="E1521" s="76" t="s">
        <v>3624</v>
      </c>
      <c r="F1521" s="76"/>
    </row>
    <row r="1522" spans="1:6" ht="63.95" customHeight="1">
      <c r="A1522" s="76" t="s">
        <v>1868</v>
      </c>
      <c r="B1522" s="76" t="s">
        <v>3741</v>
      </c>
      <c r="C1522" s="76" t="s">
        <v>5869</v>
      </c>
      <c r="D1522" s="76" t="s">
        <v>5870</v>
      </c>
      <c r="E1522" s="76" t="s">
        <v>3624</v>
      </c>
      <c r="F1522" s="76"/>
    </row>
    <row r="1523" spans="1:6" ht="63.95" customHeight="1">
      <c r="A1523" s="76" t="s">
        <v>1868</v>
      </c>
      <c r="B1523" s="76" t="s">
        <v>3744</v>
      </c>
      <c r="C1523" s="76" t="s">
        <v>5871</v>
      </c>
      <c r="D1523" s="76" t="s">
        <v>5872</v>
      </c>
      <c r="E1523" s="76" t="s">
        <v>3624</v>
      </c>
      <c r="F1523" s="76"/>
    </row>
    <row r="1524" spans="1:6" ht="63.95" customHeight="1">
      <c r="A1524" s="76" t="s">
        <v>1868</v>
      </c>
      <c r="B1524" s="76" t="s">
        <v>3747</v>
      </c>
      <c r="C1524" s="76" t="s">
        <v>5873</v>
      </c>
      <c r="D1524" s="76" t="s">
        <v>5874</v>
      </c>
      <c r="E1524" s="76" t="s">
        <v>3624</v>
      </c>
      <c r="F1524" s="76"/>
    </row>
    <row r="1525" spans="1:6" ht="63.95" customHeight="1">
      <c r="A1525" s="76" t="s">
        <v>1868</v>
      </c>
      <c r="B1525" s="76" t="s">
        <v>3750</v>
      </c>
      <c r="C1525" s="76" t="s">
        <v>5875</v>
      </c>
      <c r="D1525" s="76" t="s">
        <v>5876</v>
      </c>
      <c r="E1525" s="76" t="s">
        <v>3624</v>
      </c>
      <c r="F1525" s="76"/>
    </row>
    <row r="1526" spans="1:6" ht="63.95" customHeight="1">
      <c r="A1526" s="76" t="s">
        <v>1868</v>
      </c>
      <c r="B1526" s="76" t="s">
        <v>3753</v>
      </c>
      <c r="C1526" s="76" t="s">
        <v>5877</v>
      </c>
      <c r="D1526" s="76" t="s">
        <v>5878</v>
      </c>
      <c r="E1526" s="76" t="s">
        <v>3624</v>
      </c>
      <c r="F1526" s="76"/>
    </row>
    <row r="1527" spans="1:6" ht="63.95" customHeight="1">
      <c r="A1527" s="76" t="s">
        <v>1868</v>
      </c>
      <c r="B1527" s="76" t="s">
        <v>3756</v>
      </c>
      <c r="C1527" s="76" t="s">
        <v>5879</v>
      </c>
      <c r="D1527" s="76" t="s">
        <v>5880</v>
      </c>
      <c r="E1527" s="76" t="s">
        <v>3624</v>
      </c>
      <c r="F1527" s="76"/>
    </row>
    <row r="1528" spans="1:6" ht="63.95" customHeight="1">
      <c r="A1528" s="76" t="s">
        <v>1868</v>
      </c>
      <c r="B1528" s="76" t="s">
        <v>3759</v>
      </c>
      <c r="C1528" s="76" t="s">
        <v>5881</v>
      </c>
      <c r="D1528" s="76" t="s">
        <v>5882</v>
      </c>
      <c r="E1528" s="76" t="s">
        <v>3624</v>
      </c>
      <c r="F1528" s="76"/>
    </row>
    <row r="1529" spans="1:6" ht="63.95" customHeight="1">
      <c r="A1529" s="76" t="s">
        <v>1868</v>
      </c>
      <c r="B1529" s="76" t="s">
        <v>3762</v>
      </c>
      <c r="C1529" s="76" t="s">
        <v>5883</v>
      </c>
      <c r="D1529" s="76" t="s">
        <v>5884</v>
      </c>
      <c r="E1529" s="76" t="s">
        <v>3624</v>
      </c>
      <c r="F1529" s="76"/>
    </row>
    <row r="1530" spans="1:6" ht="63.95" customHeight="1">
      <c r="A1530" s="76" t="s">
        <v>1868</v>
      </c>
      <c r="B1530" s="76" t="s">
        <v>3765</v>
      </c>
      <c r="C1530" s="76" t="s">
        <v>5885</v>
      </c>
      <c r="D1530" s="76" t="s">
        <v>5886</v>
      </c>
      <c r="E1530" s="76" t="s">
        <v>3624</v>
      </c>
      <c r="F1530" s="76"/>
    </row>
    <row r="1531" spans="1:6" ht="63.95" customHeight="1">
      <c r="A1531" s="76" t="s">
        <v>1868</v>
      </c>
      <c r="B1531" s="76" t="s">
        <v>3768</v>
      </c>
      <c r="C1531" s="76" t="s">
        <v>5887</v>
      </c>
      <c r="D1531" s="76" t="s">
        <v>5888</v>
      </c>
      <c r="E1531" s="76" t="s">
        <v>3624</v>
      </c>
      <c r="F1531" s="76"/>
    </row>
    <row r="1532" spans="1:6" ht="63.95" customHeight="1">
      <c r="A1532" s="76" t="s">
        <v>1868</v>
      </c>
      <c r="B1532" s="76" t="s">
        <v>3771</v>
      </c>
      <c r="C1532" s="76" t="s">
        <v>5889</v>
      </c>
      <c r="D1532" s="76" t="s">
        <v>5890</v>
      </c>
      <c r="E1532" s="76" t="s">
        <v>3624</v>
      </c>
      <c r="F1532" s="76"/>
    </row>
    <row r="1533" spans="1:6" ht="63.95" customHeight="1">
      <c r="A1533" s="76" t="s">
        <v>1868</v>
      </c>
      <c r="B1533" s="76" t="s">
        <v>3774</v>
      </c>
      <c r="C1533" s="76" t="s">
        <v>5891</v>
      </c>
      <c r="D1533" s="76" t="s">
        <v>5892</v>
      </c>
      <c r="E1533" s="76" t="s">
        <v>3624</v>
      </c>
      <c r="F1533" s="76"/>
    </row>
    <row r="1534" spans="1:6" ht="63.95" customHeight="1">
      <c r="A1534" s="76" t="s">
        <v>1868</v>
      </c>
      <c r="B1534" s="76" t="s">
        <v>3777</v>
      </c>
      <c r="C1534" s="76" t="s">
        <v>5893</v>
      </c>
      <c r="D1534" s="76" t="s">
        <v>5894</v>
      </c>
      <c r="E1534" s="76" t="s">
        <v>3624</v>
      </c>
      <c r="F1534" s="76"/>
    </row>
    <row r="1535" spans="1:6" ht="63.95" customHeight="1">
      <c r="A1535" s="76" t="s">
        <v>1868</v>
      </c>
      <c r="B1535" s="76" t="s">
        <v>3780</v>
      </c>
      <c r="C1535" s="76" t="s">
        <v>5895</v>
      </c>
      <c r="D1535" s="76" t="s">
        <v>5896</v>
      </c>
      <c r="E1535" s="76" t="s">
        <v>3624</v>
      </c>
      <c r="F1535" s="76"/>
    </row>
    <row r="1536" spans="1:6" ht="63.95" customHeight="1">
      <c r="A1536" s="76" t="s">
        <v>1868</v>
      </c>
      <c r="B1536" s="76" t="s">
        <v>3783</v>
      </c>
      <c r="C1536" s="76" t="s">
        <v>5897</v>
      </c>
      <c r="D1536" s="76" t="s">
        <v>5898</v>
      </c>
      <c r="E1536" s="76" t="s">
        <v>3624</v>
      </c>
      <c r="F1536" s="76"/>
    </row>
    <row r="1537" spans="1:6" ht="63.95" customHeight="1">
      <c r="A1537" s="76" t="s">
        <v>1868</v>
      </c>
      <c r="B1537" s="76" t="s">
        <v>3786</v>
      </c>
      <c r="C1537" s="76" t="s">
        <v>5899</v>
      </c>
      <c r="D1537" s="76" t="s">
        <v>5900</v>
      </c>
      <c r="E1537" s="76" t="s">
        <v>3624</v>
      </c>
      <c r="F1537" s="76"/>
    </row>
    <row r="1538" spans="1:6" ht="63.95" customHeight="1">
      <c r="A1538" s="76" t="s">
        <v>1868</v>
      </c>
      <c r="B1538" s="76" t="s">
        <v>3789</v>
      </c>
      <c r="C1538" s="76" t="s">
        <v>5901</v>
      </c>
      <c r="D1538" s="76" t="s">
        <v>5902</v>
      </c>
      <c r="E1538" s="76" t="s">
        <v>3624</v>
      </c>
      <c r="F1538" s="76"/>
    </row>
    <row r="1539" spans="1:6" ht="63.95" customHeight="1">
      <c r="A1539" s="76" t="s">
        <v>1868</v>
      </c>
      <c r="B1539" s="76" t="s">
        <v>3792</v>
      </c>
      <c r="C1539" s="76" t="s">
        <v>5903</v>
      </c>
      <c r="D1539" s="76" t="s">
        <v>5904</v>
      </c>
      <c r="E1539" s="76" t="s">
        <v>3624</v>
      </c>
      <c r="F1539" s="76"/>
    </row>
    <row r="1540" spans="1:6" ht="63.95" customHeight="1">
      <c r="A1540" s="76" t="s">
        <v>1868</v>
      </c>
      <c r="B1540" s="76" t="s">
        <v>3795</v>
      </c>
      <c r="C1540" s="76" t="s">
        <v>5905</v>
      </c>
      <c r="D1540" s="76" t="s">
        <v>5906</v>
      </c>
      <c r="E1540" s="76" t="s">
        <v>3624</v>
      </c>
      <c r="F1540" s="76"/>
    </row>
    <row r="1541" spans="1:6" ht="63.95" customHeight="1">
      <c r="A1541" s="76" t="s">
        <v>1868</v>
      </c>
      <c r="B1541" s="76" t="s">
        <v>3798</v>
      </c>
      <c r="C1541" s="76" t="s">
        <v>5907</v>
      </c>
      <c r="D1541" s="76" t="s">
        <v>5908</v>
      </c>
      <c r="E1541" s="76" t="s">
        <v>3624</v>
      </c>
      <c r="F1541" s="76"/>
    </row>
    <row r="1542" spans="1:6" ht="63.95" customHeight="1">
      <c r="A1542" s="76" t="s">
        <v>1868</v>
      </c>
      <c r="B1542" s="76" t="s">
        <v>3801</v>
      </c>
      <c r="C1542" s="76" t="s">
        <v>5909</v>
      </c>
      <c r="D1542" s="76" t="s">
        <v>5910</v>
      </c>
      <c r="E1542" s="76" t="s">
        <v>3624</v>
      </c>
      <c r="F1542" s="76"/>
    </row>
    <row r="1543" spans="1:6" ht="63.95" customHeight="1">
      <c r="A1543" s="76" t="s">
        <v>1868</v>
      </c>
      <c r="B1543" s="76" t="s">
        <v>3804</v>
      </c>
      <c r="C1543" s="76" t="s">
        <v>5911</v>
      </c>
      <c r="D1543" s="76" t="s">
        <v>5912</v>
      </c>
      <c r="E1543" s="76" t="s">
        <v>3624</v>
      </c>
      <c r="F1543" s="76"/>
    </row>
    <row r="1544" spans="1:6" ht="63.95" customHeight="1">
      <c r="A1544" s="76" t="s">
        <v>1868</v>
      </c>
      <c r="B1544" s="76" t="s">
        <v>3807</v>
      </c>
      <c r="C1544" s="76" t="s">
        <v>5913</v>
      </c>
      <c r="D1544" s="76" t="s">
        <v>5914</v>
      </c>
      <c r="E1544" s="76" t="s">
        <v>3624</v>
      </c>
      <c r="F1544" s="76"/>
    </row>
    <row r="1545" spans="1:6" ht="63.95" customHeight="1">
      <c r="A1545" s="76" t="s">
        <v>1868</v>
      </c>
      <c r="B1545" s="76" t="s">
        <v>3810</v>
      </c>
      <c r="C1545" s="76" t="s">
        <v>5915</v>
      </c>
      <c r="D1545" s="76" t="s">
        <v>5916</v>
      </c>
      <c r="E1545" s="76" t="s">
        <v>3624</v>
      </c>
      <c r="F1545" s="76"/>
    </row>
    <row r="1546" spans="1:6" ht="63.95" customHeight="1">
      <c r="A1546" s="76" t="s">
        <v>1868</v>
      </c>
      <c r="B1546" s="76" t="s">
        <v>3813</v>
      </c>
      <c r="C1546" s="76" t="s">
        <v>5917</v>
      </c>
      <c r="D1546" s="76" t="s">
        <v>5918</v>
      </c>
      <c r="E1546" s="76" t="s">
        <v>3624</v>
      </c>
      <c r="F1546" s="76"/>
    </row>
    <row r="1547" spans="1:6" ht="63.95" customHeight="1">
      <c r="A1547" s="76" t="s">
        <v>1868</v>
      </c>
      <c r="B1547" s="76" t="s">
        <v>3816</v>
      </c>
      <c r="C1547" s="76" t="s">
        <v>5919</v>
      </c>
      <c r="D1547" s="76" t="s">
        <v>5920</v>
      </c>
      <c r="E1547" s="76" t="s">
        <v>3624</v>
      </c>
      <c r="F1547" s="76"/>
    </row>
    <row r="1548" spans="1:6" ht="63.95" customHeight="1">
      <c r="A1548" s="76" t="s">
        <v>1868</v>
      </c>
      <c r="B1548" s="76" t="s">
        <v>3819</v>
      </c>
      <c r="C1548" s="76" t="s">
        <v>5921</v>
      </c>
      <c r="D1548" s="76" t="s">
        <v>5922</v>
      </c>
      <c r="E1548" s="76" t="s">
        <v>3624</v>
      </c>
      <c r="F1548" s="76"/>
    </row>
    <row r="1549" spans="1:6" ht="63.95" customHeight="1">
      <c r="A1549" s="76" t="s">
        <v>1868</v>
      </c>
      <c r="B1549" s="76" t="s">
        <v>3822</v>
      </c>
      <c r="C1549" s="76" t="s">
        <v>5923</v>
      </c>
      <c r="D1549" s="76" t="s">
        <v>5924</v>
      </c>
      <c r="E1549" s="76" t="s">
        <v>3624</v>
      </c>
      <c r="F1549" s="76"/>
    </row>
    <row r="1550" spans="1:6" ht="63.95" customHeight="1">
      <c r="A1550" s="76" t="s">
        <v>1868</v>
      </c>
      <c r="B1550" s="76" t="s">
        <v>3825</v>
      </c>
      <c r="C1550" s="76" t="s">
        <v>5925</v>
      </c>
      <c r="D1550" s="76" t="s">
        <v>5926</v>
      </c>
      <c r="E1550" s="76" t="s">
        <v>3624</v>
      </c>
      <c r="F1550" s="76"/>
    </row>
    <row r="1551" spans="1:6" ht="63.95" customHeight="1">
      <c r="A1551" s="76" t="s">
        <v>1868</v>
      </c>
      <c r="B1551" s="76" t="s">
        <v>3828</v>
      </c>
      <c r="C1551" s="76" t="s">
        <v>5927</v>
      </c>
      <c r="D1551" s="76" t="s">
        <v>5928</v>
      </c>
      <c r="E1551" s="76" t="s">
        <v>3624</v>
      </c>
      <c r="F1551" s="76"/>
    </row>
    <row r="1552" spans="1:6" ht="63.95" customHeight="1">
      <c r="A1552" s="76" t="s">
        <v>1868</v>
      </c>
      <c r="B1552" s="76" t="s">
        <v>3831</v>
      </c>
      <c r="C1552" s="76" t="s">
        <v>5929</v>
      </c>
      <c r="D1552" s="76" t="s">
        <v>5930</v>
      </c>
      <c r="E1552" s="76" t="s">
        <v>3624</v>
      </c>
      <c r="F1552" s="76"/>
    </row>
    <row r="1553" spans="1:6" ht="63.95" customHeight="1">
      <c r="A1553" s="76" t="s">
        <v>1868</v>
      </c>
      <c r="B1553" s="76" t="s">
        <v>3834</v>
      </c>
      <c r="C1553" s="76" t="s">
        <v>5931</v>
      </c>
      <c r="D1553" s="76" t="s">
        <v>5932</v>
      </c>
      <c r="E1553" s="76" t="s">
        <v>3624</v>
      </c>
      <c r="F1553" s="76"/>
    </row>
    <row r="1554" spans="1:6" ht="63.95" customHeight="1">
      <c r="A1554" s="76" t="s">
        <v>1868</v>
      </c>
      <c r="B1554" s="76" t="s">
        <v>3837</v>
      </c>
      <c r="C1554" s="76" t="s">
        <v>5933</v>
      </c>
      <c r="D1554" s="76" t="s">
        <v>5934</v>
      </c>
      <c r="E1554" s="76" t="s">
        <v>3624</v>
      </c>
      <c r="F1554" s="76"/>
    </row>
    <row r="1555" spans="1:6" ht="63.95" customHeight="1">
      <c r="A1555" s="76" t="s">
        <v>1868</v>
      </c>
      <c r="B1555" s="76" t="s">
        <v>3840</v>
      </c>
      <c r="C1555" s="76" t="s">
        <v>5935</v>
      </c>
      <c r="D1555" s="76" t="s">
        <v>5936</v>
      </c>
      <c r="E1555" s="76" t="s">
        <v>3624</v>
      </c>
      <c r="F1555" s="76"/>
    </row>
    <row r="1556" spans="1:6" ht="63.95" customHeight="1">
      <c r="A1556" s="76" t="s">
        <v>1868</v>
      </c>
      <c r="B1556" s="76" t="s">
        <v>3843</v>
      </c>
      <c r="C1556" s="76" t="s">
        <v>5937</v>
      </c>
      <c r="D1556" s="76" t="s">
        <v>5938</v>
      </c>
      <c r="E1556" s="76" t="s">
        <v>3624</v>
      </c>
      <c r="F1556" s="76"/>
    </row>
    <row r="1557" spans="1:6" ht="63.95" customHeight="1">
      <c r="A1557" s="76" t="s">
        <v>1868</v>
      </c>
      <c r="B1557" s="76" t="s">
        <v>3846</v>
      </c>
      <c r="C1557" s="76" t="s">
        <v>5939</v>
      </c>
      <c r="D1557" s="76" t="s">
        <v>5940</v>
      </c>
      <c r="E1557" s="76" t="s">
        <v>3624</v>
      </c>
      <c r="F1557" s="76"/>
    </row>
    <row r="1558" spans="1:6" ht="63.95" customHeight="1">
      <c r="A1558" s="76" t="s">
        <v>1868</v>
      </c>
      <c r="B1558" s="76" t="s">
        <v>3849</v>
      </c>
      <c r="C1558" s="76" t="s">
        <v>5941</v>
      </c>
      <c r="D1558" s="76" t="s">
        <v>5942</v>
      </c>
      <c r="E1558" s="76" t="s">
        <v>3624</v>
      </c>
      <c r="F1558" s="76"/>
    </row>
    <row r="1559" spans="1:6" ht="63.95" customHeight="1">
      <c r="A1559" s="76" t="s">
        <v>1868</v>
      </c>
      <c r="B1559" s="76" t="s">
        <v>3852</v>
      </c>
      <c r="C1559" s="76" t="s">
        <v>5943</v>
      </c>
      <c r="D1559" s="76" t="s">
        <v>5944</v>
      </c>
      <c r="E1559" s="76" t="s">
        <v>3624</v>
      </c>
      <c r="F1559" s="76"/>
    </row>
    <row r="1560" spans="1:6" ht="63.95" customHeight="1">
      <c r="A1560" s="76" t="s">
        <v>1868</v>
      </c>
      <c r="B1560" s="76" t="s">
        <v>3855</v>
      </c>
      <c r="C1560" s="76" t="s">
        <v>5945</v>
      </c>
      <c r="D1560" s="76" t="s">
        <v>5946</v>
      </c>
      <c r="E1560" s="76" t="s">
        <v>3624</v>
      </c>
      <c r="F1560" s="76"/>
    </row>
    <row r="1561" spans="1:6" ht="63.95" customHeight="1">
      <c r="A1561" s="76" t="s">
        <v>1868</v>
      </c>
      <c r="B1561" s="76" t="s">
        <v>3858</v>
      </c>
      <c r="C1561" s="76" t="s">
        <v>5947</v>
      </c>
      <c r="D1561" s="76" t="s">
        <v>5948</v>
      </c>
      <c r="E1561" s="76" t="s">
        <v>3624</v>
      </c>
      <c r="F1561" s="76"/>
    </row>
    <row r="1562" spans="1:6" ht="63.95" customHeight="1">
      <c r="A1562" s="76" t="s">
        <v>1868</v>
      </c>
      <c r="B1562" s="76" t="s">
        <v>3861</v>
      </c>
      <c r="C1562" s="76" t="s">
        <v>5949</v>
      </c>
      <c r="D1562" s="76" t="s">
        <v>5950</v>
      </c>
      <c r="E1562" s="76" t="s">
        <v>3624</v>
      </c>
      <c r="F1562" s="76"/>
    </row>
    <row r="1563" spans="1:6" ht="63.95" customHeight="1">
      <c r="A1563" s="76" t="s">
        <v>1868</v>
      </c>
      <c r="B1563" s="76" t="s">
        <v>3864</v>
      </c>
      <c r="C1563" s="76" t="s">
        <v>5951</v>
      </c>
      <c r="D1563" s="76" t="s">
        <v>5952</v>
      </c>
      <c r="E1563" s="76" t="s">
        <v>3624</v>
      </c>
      <c r="F1563" s="76"/>
    </row>
    <row r="1564" spans="1:6" ht="63.95" customHeight="1">
      <c r="A1564" s="76" t="s">
        <v>1870</v>
      </c>
      <c r="B1564" s="76" t="s">
        <v>5953</v>
      </c>
      <c r="C1564" s="76" t="s">
        <v>5954</v>
      </c>
      <c r="D1564" s="76" t="s">
        <v>1391</v>
      </c>
      <c r="E1564" s="76" t="s">
        <v>3612</v>
      </c>
      <c r="F1564" s="76"/>
    </row>
    <row r="1565" spans="1:6" ht="63.95" customHeight="1">
      <c r="A1565" s="76" t="s">
        <v>1870</v>
      </c>
      <c r="B1565" s="76" t="s">
        <v>5955</v>
      </c>
      <c r="C1565" s="76" t="s">
        <v>5956</v>
      </c>
      <c r="D1565" s="76" t="s">
        <v>1394</v>
      </c>
      <c r="E1565" s="76" t="s">
        <v>3612</v>
      </c>
      <c r="F1565" s="76"/>
    </row>
    <row r="1566" spans="1:6" ht="63.95" customHeight="1">
      <c r="A1566" s="76" t="s">
        <v>1870</v>
      </c>
      <c r="B1566" s="76" t="s">
        <v>5957</v>
      </c>
      <c r="C1566" s="76" t="s">
        <v>5958</v>
      </c>
      <c r="D1566" s="76" t="s">
        <v>1396</v>
      </c>
      <c r="E1566" s="76" t="s">
        <v>3612</v>
      </c>
      <c r="F1566" s="76"/>
    </row>
    <row r="1567" spans="1:6" ht="63.95" customHeight="1">
      <c r="A1567" s="76" t="s">
        <v>1870</v>
      </c>
      <c r="B1567" s="76" t="s">
        <v>5959</v>
      </c>
      <c r="C1567" s="76" t="s">
        <v>5960</v>
      </c>
      <c r="D1567" s="76" t="s">
        <v>1399</v>
      </c>
      <c r="E1567" s="76" t="s">
        <v>3612</v>
      </c>
      <c r="F1567" s="76"/>
    </row>
    <row r="1568" spans="1:6" ht="63.95" customHeight="1">
      <c r="A1568" s="76" t="s">
        <v>1870</v>
      </c>
      <c r="B1568" s="76" t="s">
        <v>5961</v>
      </c>
      <c r="C1568" s="76" t="s">
        <v>5962</v>
      </c>
      <c r="D1568" s="76" t="s">
        <v>5963</v>
      </c>
      <c r="E1568" s="76" t="s">
        <v>3624</v>
      </c>
      <c r="F1568" s="76"/>
    </row>
    <row r="1569" spans="1:6" ht="63.95" customHeight="1">
      <c r="A1569" s="76" t="s">
        <v>1870</v>
      </c>
      <c r="B1569" s="76" t="s">
        <v>1977</v>
      </c>
      <c r="C1569" s="76" t="s">
        <v>5964</v>
      </c>
      <c r="D1569" s="76" t="s">
        <v>5965</v>
      </c>
      <c r="E1569" s="76" t="s">
        <v>3624</v>
      </c>
      <c r="F1569" s="76"/>
    </row>
    <row r="1570" spans="1:6" ht="63.95" customHeight="1">
      <c r="A1570" s="76" t="s">
        <v>1870</v>
      </c>
      <c r="B1570" s="76" t="s">
        <v>5966</v>
      </c>
      <c r="C1570" s="76" t="s">
        <v>5967</v>
      </c>
      <c r="D1570" s="76" t="s">
        <v>1400</v>
      </c>
      <c r="E1570" s="76" t="s">
        <v>3612</v>
      </c>
      <c r="F1570" s="76"/>
    </row>
    <row r="1571" spans="1:6" ht="63.95" customHeight="1">
      <c r="A1571" s="76" t="s">
        <v>1870</v>
      </c>
      <c r="B1571" s="76" t="s">
        <v>5968</v>
      </c>
      <c r="C1571" s="76" t="s">
        <v>5969</v>
      </c>
      <c r="D1571" s="76" t="s">
        <v>1401</v>
      </c>
      <c r="E1571" s="76" t="s">
        <v>3612</v>
      </c>
      <c r="F1571" s="76"/>
    </row>
    <row r="1572" spans="1:6" ht="63.95" customHeight="1">
      <c r="A1572" s="76" t="s">
        <v>1870</v>
      </c>
      <c r="B1572" s="76" t="s">
        <v>1983</v>
      </c>
      <c r="C1572" s="76" t="s">
        <v>5970</v>
      </c>
      <c r="D1572" s="76" t="s">
        <v>5971</v>
      </c>
      <c r="E1572" s="76" t="s">
        <v>3624</v>
      </c>
      <c r="F1572" s="76"/>
    </row>
    <row r="1573" spans="1:6" ht="63.95" customHeight="1">
      <c r="A1573" s="76" t="s">
        <v>1870</v>
      </c>
      <c r="B1573" s="76" t="s">
        <v>1986</v>
      </c>
      <c r="C1573" s="76" t="s">
        <v>5972</v>
      </c>
      <c r="D1573" s="76" t="s">
        <v>5973</v>
      </c>
      <c r="E1573" s="76" t="s">
        <v>3624</v>
      </c>
      <c r="F1573" s="76"/>
    </row>
    <row r="1574" spans="1:6" ht="63.95" customHeight="1">
      <c r="A1574" s="76" t="s">
        <v>1870</v>
      </c>
      <c r="B1574" s="76" t="s">
        <v>5974</v>
      </c>
      <c r="C1574" s="76" t="s">
        <v>5975</v>
      </c>
      <c r="D1574" s="76" t="s">
        <v>1402</v>
      </c>
      <c r="E1574" s="76" t="s">
        <v>3612</v>
      </c>
      <c r="F1574" s="76"/>
    </row>
    <row r="1575" spans="1:6" ht="63.95" customHeight="1">
      <c r="A1575" s="76" t="s">
        <v>1870</v>
      </c>
      <c r="B1575" s="76" t="s">
        <v>5976</v>
      </c>
      <c r="C1575" s="76" t="s">
        <v>3619</v>
      </c>
      <c r="D1575" s="76" t="s">
        <v>1403</v>
      </c>
      <c r="E1575" s="76" t="s">
        <v>3612</v>
      </c>
      <c r="F1575" s="76"/>
    </row>
    <row r="1576" spans="1:6" ht="63.95" customHeight="1">
      <c r="A1576" s="76" t="s">
        <v>1870</v>
      </c>
      <c r="B1576" s="76" t="s">
        <v>5977</v>
      </c>
      <c r="C1576" s="76" t="s">
        <v>5978</v>
      </c>
      <c r="D1576" s="76" t="s">
        <v>1404</v>
      </c>
      <c r="E1576" s="76" t="s">
        <v>3612</v>
      </c>
      <c r="F1576" s="76"/>
    </row>
    <row r="1577" spans="1:6" ht="63.95" customHeight="1">
      <c r="A1577" s="76" t="s">
        <v>1870</v>
      </c>
      <c r="B1577" s="76" t="s">
        <v>5979</v>
      </c>
      <c r="C1577" s="76" t="s">
        <v>5980</v>
      </c>
      <c r="D1577" s="76" t="s">
        <v>1408</v>
      </c>
      <c r="E1577" s="76" t="s">
        <v>5981</v>
      </c>
      <c r="F1577" s="76"/>
    </row>
    <row r="1578" spans="1:6" ht="63.95" customHeight="1">
      <c r="A1578" s="76" t="s">
        <v>1872</v>
      </c>
      <c r="B1578" s="76" t="s">
        <v>4763</v>
      </c>
      <c r="C1578" s="76" t="s">
        <v>5982</v>
      </c>
      <c r="D1578" s="76" t="s">
        <v>5983</v>
      </c>
      <c r="E1578" s="76" t="s">
        <v>5984</v>
      </c>
      <c r="F1578" s="76"/>
    </row>
    <row r="1579" spans="1:6" ht="63.95" customHeight="1">
      <c r="A1579" s="76" t="s">
        <v>1872</v>
      </c>
      <c r="B1579" s="76" t="s">
        <v>5968</v>
      </c>
      <c r="C1579" s="76"/>
      <c r="D1579" s="76" t="s">
        <v>94</v>
      </c>
      <c r="E1579" s="76" t="s">
        <v>2032</v>
      </c>
      <c r="F1579" s="76" t="s">
        <v>2033</v>
      </c>
    </row>
    <row r="1580" spans="1:6" ht="63.95" customHeight="1">
      <c r="A1580" s="76" t="s">
        <v>1872</v>
      </c>
      <c r="B1580" s="76" t="s">
        <v>1983</v>
      </c>
      <c r="C1580" s="76"/>
      <c r="D1580" s="76">
        <v>12</v>
      </c>
      <c r="E1580" s="76" t="s">
        <v>2032</v>
      </c>
      <c r="F1580" s="76" t="s">
        <v>2033</v>
      </c>
    </row>
    <row r="1581" spans="1:6" ht="63.95" customHeight="1">
      <c r="A1581" s="76" t="s">
        <v>1872</v>
      </c>
      <c r="B1581" s="76" t="s">
        <v>1986</v>
      </c>
      <c r="C1581" s="76"/>
      <c r="D1581" s="76">
        <v>2</v>
      </c>
      <c r="E1581" s="76" t="s">
        <v>2032</v>
      </c>
      <c r="F1581" s="76" t="s">
        <v>2033</v>
      </c>
    </row>
    <row r="1582" spans="1:6" ht="63.95" customHeight="1">
      <c r="A1582" s="76" t="s">
        <v>1872</v>
      </c>
      <c r="B1582" s="76" t="s">
        <v>1988</v>
      </c>
      <c r="C1582" s="76"/>
      <c r="D1582" s="76" t="s">
        <v>5985</v>
      </c>
      <c r="E1582" s="76" t="s">
        <v>2032</v>
      </c>
      <c r="F1582" s="76" t="s">
        <v>2033</v>
      </c>
    </row>
    <row r="1583" spans="1:6" ht="63.95" customHeight="1">
      <c r="A1583" s="76" t="s">
        <v>1872</v>
      </c>
      <c r="B1583" s="76" t="s">
        <v>5974</v>
      </c>
      <c r="C1583" s="76"/>
      <c r="D1583" s="76" t="s">
        <v>5986</v>
      </c>
      <c r="E1583" s="76" t="s">
        <v>2032</v>
      </c>
      <c r="F1583" s="76" t="s">
        <v>2033</v>
      </c>
    </row>
    <row r="1584" spans="1:6" ht="63.95" customHeight="1">
      <c r="A1584" s="76" t="s">
        <v>1872</v>
      </c>
      <c r="B1584" s="76" t="s">
        <v>4788</v>
      </c>
      <c r="C1584" s="76"/>
      <c r="D1584" s="76" t="s">
        <v>5987</v>
      </c>
      <c r="E1584" s="76" t="s">
        <v>2032</v>
      </c>
      <c r="F1584" s="76" t="s">
        <v>2033</v>
      </c>
    </row>
    <row r="1585" spans="1:6" ht="63.95" customHeight="1">
      <c r="A1585" s="76" t="s">
        <v>1872</v>
      </c>
      <c r="B1585" s="76" t="s">
        <v>3729</v>
      </c>
      <c r="C1585" s="76"/>
      <c r="D1585" s="76" t="s">
        <v>5988</v>
      </c>
      <c r="E1585" s="76" t="s">
        <v>2032</v>
      </c>
      <c r="F1585" s="76" t="s">
        <v>2033</v>
      </c>
    </row>
    <row r="1586" spans="1:6" ht="63.95" customHeight="1">
      <c r="A1586" s="76" t="s">
        <v>1872</v>
      </c>
      <c r="B1586" s="76" t="s">
        <v>5976</v>
      </c>
      <c r="C1586" s="76"/>
      <c r="D1586" s="76" t="s">
        <v>96</v>
      </c>
      <c r="E1586" s="76" t="s">
        <v>2032</v>
      </c>
      <c r="F1586" s="76" t="s">
        <v>2033</v>
      </c>
    </row>
    <row r="1587" spans="1:6" ht="63.95" customHeight="1">
      <c r="A1587" s="76" t="s">
        <v>1872</v>
      </c>
      <c r="B1587" s="76" t="s">
        <v>1991</v>
      </c>
      <c r="C1587" s="76"/>
      <c r="D1587" s="76">
        <v>6</v>
      </c>
      <c r="E1587" s="76" t="s">
        <v>2032</v>
      </c>
      <c r="F1587" s="76" t="s">
        <v>2033</v>
      </c>
    </row>
    <row r="1588" spans="1:6" ht="63.95" customHeight="1">
      <c r="A1588" s="76" t="s">
        <v>1872</v>
      </c>
      <c r="B1588" s="76" t="s">
        <v>1994</v>
      </c>
      <c r="C1588" s="76"/>
      <c r="D1588" s="76">
        <v>0.89999999999999991</v>
      </c>
      <c r="E1588" s="76" t="s">
        <v>2032</v>
      </c>
      <c r="F1588" s="76" t="s">
        <v>2033</v>
      </c>
    </row>
    <row r="1589" spans="1:6" ht="63.95" customHeight="1">
      <c r="A1589" s="76" t="s">
        <v>1872</v>
      </c>
      <c r="B1589" s="76" t="s">
        <v>1995</v>
      </c>
      <c r="C1589" s="76"/>
      <c r="D1589" s="76" t="s">
        <v>5985</v>
      </c>
      <c r="E1589" s="76" t="s">
        <v>2032</v>
      </c>
      <c r="F1589" s="76" t="s">
        <v>2033</v>
      </c>
    </row>
    <row r="1590" spans="1:6" ht="63.95" customHeight="1">
      <c r="A1590" s="76" t="s">
        <v>1872</v>
      </c>
      <c r="B1590" s="76" t="s">
        <v>5977</v>
      </c>
      <c r="C1590" s="76"/>
      <c r="D1590" s="76" t="s">
        <v>5989</v>
      </c>
      <c r="E1590" s="76" t="s">
        <v>2032</v>
      </c>
      <c r="F1590" s="76" t="s">
        <v>2033</v>
      </c>
    </row>
    <row r="1591" spans="1:6" ht="63.95" customHeight="1">
      <c r="A1591" s="76" t="s">
        <v>1872</v>
      </c>
      <c r="B1591" s="76" t="s">
        <v>4791</v>
      </c>
      <c r="C1591" s="76"/>
      <c r="D1591" s="76" t="s">
        <v>5990</v>
      </c>
      <c r="E1591" s="76" t="s">
        <v>2032</v>
      </c>
      <c r="F1591" s="76" t="s">
        <v>2033</v>
      </c>
    </row>
    <row r="1592" spans="1:6" ht="63.95" customHeight="1">
      <c r="A1592" s="76" t="s">
        <v>1872</v>
      </c>
      <c r="B1592" s="76" t="s">
        <v>3735</v>
      </c>
      <c r="C1592" s="76"/>
      <c r="D1592" s="76" t="s">
        <v>5991</v>
      </c>
      <c r="E1592" s="76" t="s">
        <v>2032</v>
      </c>
      <c r="F1592" s="76" t="s">
        <v>2033</v>
      </c>
    </row>
    <row r="1593" spans="1:6" ht="63.95" customHeight="1">
      <c r="A1593" s="76" t="s">
        <v>1872</v>
      </c>
      <c r="B1593" s="76" t="s">
        <v>5992</v>
      </c>
      <c r="C1593" s="76"/>
      <c r="D1593" s="76" t="s">
        <v>97</v>
      </c>
      <c r="E1593" s="76" t="s">
        <v>2032</v>
      </c>
      <c r="F1593" s="76" t="s">
        <v>2033</v>
      </c>
    </row>
    <row r="1594" spans="1:6" ht="63.95" customHeight="1">
      <c r="A1594" s="76" t="s">
        <v>1872</v>
      </c>
      <c r="B1594" s="76" t="s">
        <v>1998</v>
      </c>
      <c r="C1594" s="76"/>
      <c r="D1594" s="76">
        <v>14</v>
      </c>
      <c r="E1594" s="76" t="s">
        <v>2032</v>
      </c>
      <c r="F1594" s="76" t="s">
        <v>2033</v>
      </c>
    </row>
    <row r="1595" spans="1:6" ht="63.95" customHeight="1">
      <c r="A1595" s="76" t="s">
        <v>1872</v>
      </c>
      <c r="B1595" s="76" t="s">
        <v>5993</v>
      </c>
      <c r="C1595" s="76"/>
      <c r="D1595" s="76">
        <v>1.2000000000000002</v>
      </c>
      <c r="E1595" s="76" t="s">
        <v>2032</v>
      </c>
      <c r="F1595" s="76" t="s">
        <v>2033</v>
      </c>
    </row>
    <row r="1596" spans="1:6" ht="63.95" customHeight="1">
      <c r="A1596" s="76" t="s">
        <v>1872</v>
      </c>
      <c r="B1596" s="76" t="s">
        <v>5994</v>
      </c>
      <c r="C1596" s="76"/>
      <c r="D1596" s="76" t="s">
        <v>5985</v>
      </c>
      <c r="E1596" s="76" t="s">
        <v>2032</v>
      </c>
      <c r="F1596" s="76" t="s">
        <v>2033</v>
      </c>
    </row>
    <row r="1597" spans="1:6" ht="63.95" customHeight="1">
      <c r="A1597" s="76" t="s">
        <v>1872</v>
      </c>
      <c r="B1597" s="76" t="s">
        <v>5995</v>
      </c>
      <c r="C1597" s="76"/>
      <c r="D1597" s="76" t="s">
        <v>5996</v>
      </c>
      <c r="E1597" s="76" t="s">
        <v>2032</v>
      </c>
      <c r="F1597" s="76" t="s">
        <v>2033</v>
      </c>
    </row>
    <row r="1598" spans="1:6" ht="63.95" customHeight="1">
      <c r="A1598" s="76" t="s">
        <v>1872</v>
      </c>
      <c r="B1598" s="76" t="s">
        <v>4794</v>
      </c>
      <c r="C1598" s="76"/>
      <c r="D1598" s="76" t="s">
        <v>5997</v>
      </c>
      <c r="E1598" s="76" t="s">
        <v>2032</v>
      </c>
      <c r="F1598" s="76" t="s">
        <v>2033</v>
      </c>
    </row>
    <row r="1599" spans="1:6" ht="63.95" customHeight="1">
      <c r="A1599" s="76" t="s">
        <v>1872</v>
      </c>
      <c r="B1599" s="76" t="s">
        <v>3741</v>
      </c>
      <c r="C1599" s="76"/>
      <c r="D1599" s="76" t="s">
        <v>5998</v>
      </c>
      <c r="E1599" s="76" t="s">
        <v>2032</v>
      </c>
      <c r="F1599" s="76" t="s">
        <v>2033</v>
      </c>
    </row>
    <row r="1600" spans="1:6" ht="63.95" customHeight="1">
      <c r="A1600" s="76" t="s">
        <v>1872</v>
      </c>
      <c r="B1600" s="76" t="s">
        <v>5999</v>
      </c>
      <c r="C1600" s="76"/>
      <c r="D1600" s="76" t="s">
        <v>110</v>
      </c>
      <c r="E1600" s="76" t="s">
        <v>2032</v>
      </c>
      <c r="F1600" s="76" t="s">
        <v>2033</v>
      </c>
    </row>
    <row r="1601" spans="1:6" ht="63.95" customHeight="1">
      <c r="A1601" s="76" t="s">
        <v>1872</v>
      </c>
      <c r="B1601" s="76" t="s">
        <v>6000</v>
      </c>
      <c r="C1601" s="76"/>
      <c r="D1601" s="76">
        <v>8</v>
      </c>
      <c r="E1601" s="76" t="s">
        <v>2032</v>
      </c>
      <c r="F1601" s="76" t="s">
        <v>2033</v>
      </c>
    </row>
    <row r="1602" spans="1:6" ht="63.95" customHeight="1">
      <c r="A1602" s="76" t="s">
        <v>1872</v>
      </c>
      <c r="B1602" s="76" t="s">
        <v>6001</v>
      </c>
      <c r="C1602" s="76"/>
      <c r="D1602" s="76">
        <v>3.4</v>
      </c>
      <c r="E1602" s="76" t="s">
        <v>2032</v>
      </c>
      <c r="F1602" s="76" t="s">
        <v>2033</v>
      </c>
    </row>
    <row r="1603" spans="1:6" ht="63.95" customHeight="1">
      <c r="A1603" s="76" t="s">
        <v>1872</v>
      </c>
      <c r="B1603" s="76" t="s">
        <v>6002</v>
      </c>
      <c r="C1603" s="76"/>
      <c r="D1603" s="76" t="s">
        <v>5985</v>
      </c>
      <c r="E1603" s="76" t="s">
        <v>2032</v>
      </c>
      <c r="F1603" s="76" t="s">
        <v>2033</v>
      </c>
    </row>
    <row r="1604" spans="1:6" ht="63.95" customHeight="1">
      <c r="A1604" s="76" t="s">
        <v>1872</v>
      </c>
      <c r="B1604" s="76" t="s">
        <v>6003</v>
      </c>
      <c r="C1604" s="76"/>
      <c r="D1604" s="76" t="s">
        <v>6004</v>
      </c>
      <c r="E1604" s="76" t="s">
        <v>2032</v>
      </c>
      <c r="F1604" s="76" t="s">
        <v>2033</v>
      </c>
    </row>
    <row r="1605" spans="1:6" ht="63.95" customHeight="1">
      <c r="A1605" s="76" t="s">
        <v>1872</v>
      </c>
      <c r="B1605" s="76" t="s">
        <v>4797</v>
      </c>
      <c r="C1605" s="76"/>
      <c r="D1605" s="76" t="s">
        <v>6005</v>
      </c>
      <c r="E1605" s="76" t="s">
        <v>2032</v>
      </c>
      <c r="F1605" s="76" t="s">
        <v>2033</v>
      </c>
    </row>
    <row r="1606" spans="1:6" ht="63.95" customHeight="1">
      <c r="A1606" s="76" t="s">
        <v>1872</v>
      </c>
      <c r="B1606" s="76" t="s">
        <v>3747</v>
      </c>
      <c r="C1606" s="76"/>
      <c r="D1606" s="76" t="s">
        <v>6006</v>
      </c>
      <c r="E1606" s="76" t="s">
        <v>2032</v>
      </c>
      <c r="F1606" s="76" t="s">
        <v>2033</v>
      </c>
    </row>
    <row r="1607" spans="1:6" ht="63.95" customHeight="1">
      <c r="A1607" s="76" t="s">
        <v>1872</v>
      </c>
      <c r="B1607" s="76" t="s">
        <v>6007</v>
      </c>
      <c r="C1607" s="76"/>
      <c r="D1607" s="76" t="s">
        <v>113</v>
      </c>
      <c r="E1607" s="76" t="s">
        <v>2032</v>
      </c>
      <c r="F1607" s="76" t="s">
        <v>2033</v>
      </c>
    </row>
    <row r="1608" spans="1:6" ht="63.95" customHeight="1">
      <c r="A1608" s="76" t="s">
        <v>1872</v>
      </c>
      <c r="B1608" s="76" t="s">
        <v>2001</v>
      </c>
      <c r="C1608" s="76"/>
      <c r="D1608" s="76">
        <v>12</v>
      </c>
      <c r="E1608" s="76" t="s">
        <v>2032</v>
      </c>
      <c r="F1608" s="76" t="s">
        <v>2033</v>
      </c>
    </row>
    <row r="1609" spans="1:6" ht="63.95" customHeight="1">
      <c r="A1609" s="76" t="s">
        <v>1872</v>
      </c>
      <c r="B1609" s="76" t="s">
        <v>2004</v>
      </c>
      <c r="C1609" s="76"/>
      <c r="D1609" s="76">
        <v>4.8</v>
      </c>
      <c r="E1609" s="76" t="s">
        <v>2032</v>
      </c>
      <c r="F1609" s="76" t="s">
        <v>2033</v>
      </c>
    </row>
    <row r="1610" spans="1:6" ht="63.95" customHeight="1">
      <c r="A1610" s="76" t="s">
        <v>1872</v>
      </c>
      <c r="B1610" s="76" t="s">
        <v>2005</v>
      </c>
      <c r="C1610" s="76"/>
      <c r="D1610" s="76" t="s">
        <v>5985</v>
      </c>
      <c r="E1610" s="76" t="s">
        <v>2032</v>
      </c>
      <c r="F1610" s="76" t="s">
        <v>2033</v>
      </c>
    </row>
    <row r="1611" spans="1:6" ht="63.95" customHeight="1">
      <c r="A1611" s="76" t="s">
        <v>1872</v>
      </c>
      <c r="B1611" s="76" t="s">
        <v>6008</v>
      </c>
      <c r="C1611" s="76"/>
      <c r="D1611" s="76" t="s">
        <v>6009</v>
      </c>
      <c r="E1611" s="76" t="s">
        <v>2032</v>
      </c>
      <c r="F1611" s="76" t="s">
        <v>2033</v>
      </c>
    </row>
    <row r="1612" spans="1:6" ht="63.95" customHeight="1">
      <c r="A1612" s="76" t="s">
        <v>1872</v>
      </c>
      <c r="B1612" s="76" t="s">
        <v>4800</v>
      </c>
      <c r="C1612" s="76"/>
      <c r="D1612" s="76" t="s">
        <v>6010</v>
      </c>
      <c r="E1612" s="76" t="s">
        <v>2032</v>
      </c>
      <c r="F1612" s="76" t="s">
        <v>2033</v>
      </c>
    </row>
    <row r="1613" spans="1:6" ht="63.95" customHeight="1">
      <c r="A1613" s="76" t="s">
        <v>1872</v>
      </c>
      <c r="B1613" s="76" t="s">
        <v>3753</v>
      </c>
      <c r="C1613" s="76"/>
      <c r="D1613" s="76" t="s">
        <v>6011</v>
      </c>
      <c r="E1613" s="76" t="s">
        <v>2032</v>
      </c>
      <c r="F1613" s="76" t="s">
        <v>2033</v>
      </c>
    </row>
    <row r="1614" spans="1:6" ht="63.95" customHeight="1">
      <c r="A1614" s="76" t="s">
        <v>1872</v>
      </c>
      <c r="B1614" s="76" t="s">
        <v>6012</v>
      </c>
      <c r="C1614" s="76"/>
      <c r="D1614" s="76" t="s">
        <v>118</v>
      </c>
      <c r="E1614" s="76" t="s">
        <v>2032</v>
      </c>
      <c r="F1614" s="76" t="s">
        <v>2033</v>
      </c>
    </row>
    <row r="1615" spans="1:6" ht="63.95" customHeight="1">
      <c r="A1615" s="76" t="s">
        <v>1872</v>
      </c>
      <c r="B1615" s="76" t="s">
        <v>6013</v>
      </c>
      <c r="C1615" s="76"/>
      <c r="D1615" s="76">
        <v>6</v>
      </c>
      <c r="E1615" s="76" t="s">
        <v>2032</v>
      </c>
      <c r="F1615" s="76" t="s">
        <v>2033</v>
      </c>
    </row>
    <row r="1616" spans="1:6" ht="63.95" customHeight="1">
      <c r="A1616" s="76" t="s">
        <v>1872</v>
      </c>
      <c r="B1616" s="76" t="s">
        <v>6014</v>
      </c>
      <c r="C1616" s="76"/>
      <c r="D1616" s="76">
        <v>2.5499999999999998</v>
      </c>
      <c r="E1616" s="76" t="s">
        <v>2032</v>
      </c>
      <c r="F1616" s="76" t="s">
        <v>2033</v>
      </c>
    </row>
    <row r="1617" spans="1:6" ht="63.95" customHeight="1">
      <c r="A1617" s="76" t="s">
        <v>1872</v>
      </c>
      <c r="B1617" s="76" t="s">
        <v>6015</v>
      </c>
      <c r="C1617" s="76"/>
      <c r="D1617" s="76" t="s">
        <v>5985</v>
      </c>
      <c r="E1617" s="76" t="s">
        <v>2032</v>
      </c>
      <c r="F1617" s="76" t="s">
        <v>2033</v>
      </c>
    </row>
    <row r="1618" spans="1:6" ht="63.95" customHeight="1">
      <c r="A1618" s="76" t="s">
        <v>1872</v>
      </c>
      <c r="B1618" s="76" t="s">
        <v>6016</v>
      </c>
      <c r="C1618" s="76"/>
      <c r="D1618" s="76" t="s">
        <v>6017</v>
      </c>
      <c r="E1618" s="76" t="s">
        <v>2032</v>
      </c>
      <c r="F1618" s="76" t="s">
        <v>2033</v>
      </c>
    </row>
    <row r="1619" spans="1:6" ht="63.95" customHeight="1">
      <c r="A1619" s="76" t="s">
        <v>1872</v>
      </c>
      <c r="B1619" s="76" t="s">
        <v>4803</v>
      </c>
      <c r="C1619" s="76"/>
      <c r="D1619" s="76" t="s">
        <v>6018</v>
      </c>
      <c r="E1619" s="76" t="s">
        <v>2032</v>
      </c>
      <c r="F1619" s="76" t="s">
        <v>2033</v>
      </c>
    </row>
    <row r="1620" spans="1:6" ht="63.95" customHeight="1">
      <c r="A1620" s="76" t="s">
        <v>1872</v>
      </c>
      <c r="B1620" s="76" t="s">
        <v>3759</v>
      </c>
      <c r="C1620" s="76"/>
      <c r="D1620" s="76" t="s">
        <v>6019</v>
      </c>
      <c r="E1620" s="76" t="s">
        <v>2032</v>
      </c>
      <c r="F1620" s="76" t="s">
        <v>2033</v>
      </c>
    </row>
    <row r="1621" spans="1:6" ht="63.95" customHeight="1">
      <c r="A1621" s="76" t="s">
        <v>1872</v>
      </c>
      <c r="B1621" s="76" t="s">
        <v>6020</v>
      </c>
      <c r="C1621" s="76"/>
      <c r="D1621" s="76" t="s">
        <v>153</v>
      </c>
      <c r="E1621" s="76" t="s">
        <v>2032</v>
      </c>
      <c r="F1621" s="76" t="s">
        <v>2033</v>
      </c>
    </row>
    <row r="1622" spans="1:6" ht="63.95" customHeight="1">
      <c r="A1622" s="76" t="s">
        <v>1872</v>
      </c>
      <c r="B1622" s="76" t="s">
        <v>6021</v>
      </c>
      <c r="C1622" s="76"/>
      <c r="D1622" s="76">
        <v>8</v>
      </c>
      <c r="E1622" s="76" t="s">
        <v>2032</v>
      </c>
      <c r="F1622" s="76" t="s">
        <v>2033</v>
      </c>
    </row>
    <row r="1623" spans="1:6" ht="63.95" customHeight="1">
      <c r="A1623" s="76" t="s">
        <v>1872</v>
      </c>
      <c r="B1623" s="76" t="s">
        <v>6022</v>
      </c>
      <c r="C1623" s="76"/>
      <c r="D1623" s="76">
        <v>1.2000000000000002</v>
      </c>
      <c r="E1623" s="76" t="s">
        <v>2032</v>
      </c>
      <c r="F1623" s="76" t="s">
        <v>2033</v>
      </c>
    </row>
    <row r="1624" spans="1:6" ht="63.95" customHeight="1">
      <c r="A1624" s="76" t="s">
        <v>1872</v>
      </c>
      <c r="B1624" s="76" t="s">
        <v>6023</v>
      </c>
      <c r="C1624" s="76"/>
      <c r="D1624" s="76" t="s">
        <v>5985</v>
      </c>
      <c r="E1624" s="76" t="s">
        <v>2032</v>
      </c>
      <c r="F1624" s="76" t="s">
        <v>2033</v>
      </c>
    </row>
    <row r="1625" spans="1:6" ht="63.95" customHeight="1">
      <c r="A1625" s="76" t="s">
        <v>1872</v>
      </c>
      <c r="B1625" s="76" t="s">
        <v>6024</v>
      </c>
      <c r="C1625" s="76"/>
      <c r="D1625" s="76" t="s">
        <v>6025</v>
      </c>
      <c r="E1625" s="76" t="s">
        <v>2032</v>
      </c>
      <c r="F1625" s="76" t="s">
        <v>2033</v>
      </c>
    </row>
    <row r="1626" spans="1:6" ht="63.95" customHeight="1">
      <c r="A1626" s="76" t="s">
        <v>1872</v>
      </c>
      <c r="B1626" s="76" t="s">
        <v>4806</v>
      </c>
      <c r="C1626" s="76"/>
      <c r="D1626" s="76" t="s">
        <v>6026</v>
      </c>
      <c r="E1626" s="76" t="s">
        <v>2032</v>
      </c>
      <c r="F1626" s="76" t="s">
        <v>2033</v>
      </c>
    </row>
    <row r="1627" spans="1:6" ht="63.95" customHeight="1">
      <c r="A1627" s="76" t="s">
        <v>1872</v>
      </c>
      <c r="B1627" s="76" t="s">
        <v>3765</v>
      </c>
      <c r="C1627" s="76"/>
      <c r="D1627" s="76" t="s">
        <v>6027</v>
      </c>
      <c r="E1627" s="76" t="s">
        <v>2032</v>
      </c>
      <c r="F1627" s="76" t="s">
        <v>2033</v>
      </c>
    </row>
    <row r="1628" spans="1:6" ht="63.95" customHeight="1">
      <c r="A1628" s="76" t="s">
        <v>1872</v>
      </c>
      <c r="B1628" s="76" t="s">
        <v>2008</v>
      </c>
      <c r="C1628" s="76"/>
      <c r="D1628" s="76" t="s">
        <v>158</v>
      </c>
      <c r="E1628" s="76" t="s">
        <v>2032</v>
      </c>
      <c r="F1628" s="76" t="s">
        <v>2033</v>
      </c>
    </row>
    <row r="1629" spans="1:6" ht="63.95" customHeight="1">
      <c r="A1629" s="76" t="s">
        <v>1872</v>
      </c>
      <c r="B1629" s="76" t="s">
        <v>2011</v>
      </c>
      <c r="C1629" s="76"/>
      <c r="D1629" s="76">
        <v>16</v>
      </c>
      <c r="E1629" s="76" t="s">
        <v>2032</v>
      </c>
      <c r="F1629" s="76" t="s">
        <v>2033</v>
      </c>
    </row>
    <row r="1630" spans="1:6" ht="63.95" customHeight="1">
      <c r="A1630" s="76" t="s">
        <v>1872</v>
      </c>
      <c r="B1630" s="76" t="s">
        <v>2014</v>
      </c>
      <c r="C1630" s="76"/>
      <c r="D1630" s="76">
        <v>1.7999999999999998</v>
      </c>
      <c r="E1630" s="76" t="s">
        <v>2032</v>
      </c>
      <c r="F1630" s="76" t="s">
        <v>2033</v>
      </c>
    </row>
    <row r="1631" spans="1:6" ht="63.95" customHeight="1">
      <c r="A1631" s="76" t="s">
        <v>1872</v>
      </c>
      <c r="B1631" s="76" t="s">
        <v>2016</v>
      </c>
      <c r="C1631" s="76"/>
      <c r="D1631" s="76" t="s">
        <v>5985</v>
      </c>
      <c r="E1631" s="76" t="s">
        <v>2032</v>
      </c>
      <c r="F1631" s="76" t="s">
        <v>2033</v>
      </c>
    </row>
    <row r="1632" spans="1:6" ht="63.95" customHeight="1">
      <c r="A1632" s="76" t="s">
        <v>1872</v>
      </c>
      <c r="B1632" s="76" t="s">
        <v>6028</v>
      </c>
      <c r="C1632" s="76"/>
      <c r="D1632" s="76" t="s">
        <v>6029</v>
      </c>
      <c r="E1632" s="76" t="s">
        <v>2032</v>
      </c>
      <c r="F1632" s="76" t="s">
        <v>2033</v>
      </c>
    </row>
    <row r="1633" spans="1:6" ht="63.95" customHeight="1">
      <c r="A1633" s="76" t="s">
        <v>1872</v>
      </c>
      <c r="B1633" s="76" t="s">
        <v>4809</v>
      </c>
      <c r="C1633" s="76"/>
      <c r="D1633" s="76" t="s">
        <v>6030</v>
      </c>
      <c r="E1633" s="76" t="s">
        <v>2032</v>
      </c>
      <c r="F1633" s="76" t="s">
        <v>2033</v>
      </c>
    </row>
    <row r="1634" spans="1:6" ht="63.95" customHeight="1">
      <c r="A1634" s="76" t="s">
        <v>1872</v>
      </c>
      <c r="B1634" s="76" t="s">
        <v>3771</v>
      </c>
      <c r="C1634" s="76"/>
      <c r="D1634" s="76" t="s">
        <v>6031</v>
      </c>
      <c r="E1634" s="76" t="s">
        <v>2032</v>
      </c>
      <c r="F1634" s="76" t="s">
        <v>2033</v>
      </c>
    </row>
    <row r="1635" spans="1:6" ht="63.95" customHeight="1">
      <c r="A1635" s="76" t="s">
        <v>1872</v>
      </c>
      <c r="B1635" s="76" t="s">
        <v>6032</v>
      </c>
      <c r="C1635" s="76"/>
      <c r="D1635" s="76" t="s">
        <v>159</v>
      </c>
      <c r="E1635" s="76" t="s">
        <v>2032</v>
      </c>
      <c r="F1635" s="76" t="s">
        <v>2033</v>
      </c>
    </row>
    <row r="1636" spans="1:6" ht="63.95" customHeight="1">
      <c r="A1636" s="76" t="s">
        <v>1872</v>
      </c>
      <c r="B1636" s="76" t="s">
        <v>6033</v>
      </c>
      <c r="C1636" s="76"/>
      <c r="D1636" s="76">
        <v>14</v>
      </c>
      <c r="E1636" s="76" t="s">
        <v>2032</v>
      </c>
      <c r="F1636" s="76" t="s">
        <v>2033</v>
      </c>
    </row>
    <row r="1637" spans="1:6" ht="63.95" customHeight="1">
      <c r="A1637" s="76" t="s">
        <v>1872</v>
      </c>
      <c r="B1637" s="76" t="s">
        <v>6034</v>
      </c>
      <c r="C1637" s="76"/>
      <c r="D1637" s="76">
        <v>3.2</v>
      </c>
      <c r="E1637" s="76" t="s">
        <v>2032</v>
      </c>
      <c r="F1637" s="76" t="s">
        <v>2033</v>
      </c>
    </row>
    <row r="1638" spans="1:6" ht="63.95" customHeight="1">
      <c r="A1638" s="76" t="s">
        <v>1872</v>
      </c>
      <c r="B1638" s="76" t="s">
        <v>6035</v>
      </c>
      <c r="C1638" s="76"/>
      <c r="D1638" s="76" t="s">
        <v>5985</v>
      </c>
      <c r="E1638" s="76" t="s">
        <v>2032</v>
      </c>
      <c r="F1638" s="76" t="s">
        <v>2033</v>
      </c>
    </row>
    <row r="1639" spans="1:6" ht="63.95" customHeight="1">
      <c r="A1639" s="76" t="s">
        <v>1872</v>
      </c>
      <c r="B1639" s="76" t="s">
        <v>6036</v>
      </c>
      <c r="C1639" s="76"/>
      <c r="D1639" s="76" t="s">
        <v>6037</v>
      </c>
      <c r="E1639" s="76" t="s">
        <v>2032</v>
      </c>
      <c r="F1639" s="76" t="s">
        <v>2033</v>
      </c>
    </row>
    <row r="1640" spans="1:6" ht="63.95" customHeight="1">
      <c r="A1640" s="76" t="s">
        <v>1872</v>
      </c>
      <c r="B1640" s="76" t="s">
        <v>4812</v>
      </c>
      <c r="C1640" s="76"/>
      <c r="D1640" s="76" t="s">
        <v>6038</v>
      </c>
      <c r="E1640" s="76" t="s">
        <v>2032</v>
      </c>
      <c r="F1640" s="76" t="s">
        <v>2033</v>
      </c>
    </row>
    <row r="1641" spans="1:6" ht="63.95" customHeight="1">
      <c r="A1641" s="76" t="s">
        <v>1872</v>
      </c>
      <c r="B1641" s="76" t="s">
        <v>3777</v>
      </c>
      <c r="C1641" s="76"/>
      <c r="D1641" s="76" t="s">
        <v>6039</v>
      </c>
      <c r="E1641" s="76" t="s">
        <v>2032</v>
      </c>
      <c r="F1641" s="76" t="s">
        <v>2033</v>
      </c>
    </row>
    <row r="1642" spans="1:6" ht="63.95" customHeight="1">
      <c r="A1642" s="76" t="s">
        <v>1872</v>
      </c>
      <c r="B1642" s="76" t="s">
        <v>5979</v>
      </c>
      <c r="C1642" s="76"/>
      <c r="D1642" s="76" t="s">
        <v>167</v>
      </c>
      <c r="E1642" s="76" t="s">
        <v>2032</v>
      </c>
      <c r="F1642" s="76" t="s">
        <v>2033</v>
      </c>
    </row>
    <row r="1643" spans="1:6" ht="63.95" customHeight="1">
      <c r="A1643" s="76" t="s">
        <v>1872</v>
      </c>
      <c r="B1643" s="76" t="s">
        <v>5303</v>
      </c>
      <c r="C1643" s="76"/>
      <c r="D1643" s="76">
        <v>24</v>
      </c>
      <c r="E1643" s="76" t="s">
        <v>2032</v>
      </c>
      <c r="F1643" s="76" t="s">
        <v>2033</v>
      </c>
    </row>
    <row r="1644" spans="1:6" ht="63.95" customHeight="1">
      <c r="A1644" s="76" t="s">
        <v>1872</v>
      </c>
      <c r="B1644" s="76" t="s">
        <v>6040</v>
      </c>
      <c r="C1644" s="76"/>
      <c r="D1644" s="76">
        <v>1.7999999999999998</v>
      </c>
      <c r="E1644" s="76" t="s">
        <v>2032</v>
      </c>
      <c r="F1644" s="76" t="s">
        <v>2033</v>
      </c>
    </row>
    <row r="1645" spans="1:6" ht="63.95" customHeight="1">
      <c r="A1645" s="76" t="s">
        <v>1872</v>
      </c>
      <c r="B1645" s="76" t="s">
        <v>6041</v>
      </c>
      <c r="C1645" s="76"/>
      <c r="D1645" s="76" t="s">
        <v>5985</v>
      </c>
      <c r="E1645" s="76" t="s">
        <v>2032</v>
      </c>
      <c r="F1645" s="76" t="s">
        <v>2033</v>
      </c>
    </row>
    <row r="1646" spans="1:6" ht="63.95" customHeight="1">
      <c r="A1646" s="76" t="s">
        <v>1872</v>
      </c>
      <c r="B1646" s="76" t="s">
        <v>6042</v>
      </c>
      <c r="C1646" s="76"/>
      <c r="D1646" s="76" t="s">
        <v>6043</v>
      </c>
      <c r="E1646" s="76" t="s">
        <v>2032</v>
      </c>
      <c r="F1646" s="76" t="s">
        <v>2033</v>
      </c>
    </row>
    <row r="1647" spans="1:6" ht="63.95" customHeight="1">
      <c r="A1647" s="76" t="s">
        <v>1872</v>
      </c>
      <c r="B1647" s="76" t="s">
        <v>4815</v>
      </c>
      <c r="C1647" s="76"/>
      <c r="D1647" s="76" t="s">
        <v>6044</v>
      </c>
      <c r="E1647" s="76" t="s">
        <v>2032</v>
      </c>
      <c r="F1647" s="76" t="s">
        <v>2033</v>
      </c>
    </row>
    <row r="1648" spans="1:6" ht="63.95" customHeight="1">
      <c r="A1648" s="76" t="s">
        <v>1872</v>
      </c>
      <c r="B1648" s="76" t="s">
        <v>3783</v>
      </c>
      <c r="C1648" s="76"/>
      <c r="D1648" s="76" t="s">
        <v>6045</v>
      </c>
      <c r="E1648" s="76" t="s">
        <v>2032</v>
      </c>
      <c r="F1648" s="76" t="s">
        <v>2033</v>
      </c>
    </row>
    <row r="1649" spans="1:6" ht="63.95" customHeight="1">
      <c r="A1649" s="76" t="s">
        <v>1872</v>
      </c>
      <c r="B1649" s="76" t="s">
        <v>6046</v>
      </c>
      <c r="C1649" s="76"/>
      <c r="D1649" s="76" t="s">
        <v>173</v>
      </c>
      <c r="E1649" s="76" t="s">
        <v>2032</v>
      </c>
      <c r="F1649" s="76" t="s">
        <v>2033</v>
      </c>
    </row>
    <row r="1650" spans="1:6" ht="63.95" customHeight="1">
      <c r="A1650" s="76" t="s">
        <v>1872</v>
      </c>
      <c r="B1650" s="76" t="s">
        <v>6047</v>
      </c>
      <c r="C1650" s="76"/>
      <c r="D1650" s="76">
        <v>12</v>
      </c>
      <c r="E1650" s="76" t="s">
        <v>2032</v>
      </c>
      <c r="F1650" s="76" t="s">
        <v>2033</v>
      </c>
    </row>
    <row r="1651" spans="1:6" ht="63.95" customHeight="1">
      <c r="A1651" s="76" t="s">
        <v>1872</v>
      </c>
      <c r="B1651" s="76" t="s">
        <v>6048</v>
      </c>
      <c r="C1651" s="76"/>
      <c r="D1651" s="76">
        <v>4.32</v>
      </c>
      <c r="E1651" s="76" t="s">
        <v>2032</v>
      </c>
      <c r="F1651" s="76" t="s">
        <v>2033</v>
      </c>
    </row>
    <row r="1652" spans="1:6" ht="63.95" customHeight="1">
      <c r="A1652" s="76" t="s">
        <v>1872</v>
      </c>
      <c r="B1652" s="76" t="s">
        <v>6049</v>
      </c>
      <c r="C1652" s="76"/>
      <c r="D1652" s="76" t="s">
        <v>5985</v>
      </c>
      <c r="E1652" s="76" t="s">
        <v>2032</v>
      </c>
      <c r="F1652" s="76" t="s">
        <v>2033</v>
      </c>
    </row>
    <row r="1653" spans="1:6" ht="63.95" customHeight="1">
      <c r="A1653" s="76" t="s">
        <v>1872</v>
      </c>
      <c r="B1653" s="76" t="s">
        <v>6050</v>
      </c>
      <c r="C1653" s="76"/>
      <c r="D1653" s="76" t="s">
        <v>6051</v>
      </c>
      <c r="E1653" s="76" t="s">
        <v>2032</v>
      </c>
      <c r="F1653" s="76" t="s">
        <v>2033</v>
      </c>
    </row>
    <row r="1654" spans="1:6" ht="63.95" customHeight="1">
      <c r="A1654" s="76" t="s">
        <v>1872</v>
      </c>
      <c r="B1654" s="76" t="s">
        <v>4818</v>
      </c>
      <c r="C1654" s="76"/>
      <c r="D1654" s="76" t="s">
        <v>6052</v>
      </c>
      <c r="E1654" s="76" t="s">
        <v>2032</v>
      </c>
      <c r="F1654" s="76" t="s">
        <v>2033</v>
      </c>
    </row>
    <row r="1655" spans="1:6" ht="63.95" customHeight="1">
      <c r="A1655" s="76" t="s">
        <v>1872</v>
      </c>
      <c r="B1655" s="76" t="s">
        <v>3789</v>
      </c>
      <c r="C1655" s="76"/>
      <c r="D1655" s="76" t="s">
        <v>6053</v>
      </c>
      <c r="E1655" s="76" t="s">
        <v>2032</v>
      </c>
      <c r="F1655" s="76" t="s">
        <v>2033</v>
      </c>
    </row>
    <row r="1656" spans="1:6" ht="63.95" customHeight="1">
      <c r="A1656" s="76" t="s">
        <v>1872</v>
      </c>
      <c r="B1656" s="76" t="s">
        <v>6054</v>
      </c>
      <c r="C1656" s="76"/>
      <c r="D1656" s="76" t="s">
        <v>174</v>
      </c>
      <c r="E1656" s="76" t="s">
        <v>2032</v>
      </c>
      <c r="F1656" s="76" t="s">
        <v>2033</v>
      </c>
    </row>
    <row r="1657" spans="1:6" ht="63.95" customHeight="1">
      <c r="A1657" s="76" t="s">
        <v>1872</v>
      </c>
      <c r="B1657" s="76" t="s">
        <v>6055</v>
      </c>
      <c r="C1657" s="76"/>
      <c r="D1657" s="76">
        <v>12</v>
      </c>
      <c r="E1657" s="76" t="s">
        <v>2032</v>
      </c>
      <c r="F1657" s="76" t="s">
        <v>2033</v>
      </c>
    </row>
    <row r="1658" spans="1:6" ht="63.95" customHeight="1">
      <c r="A1658" s="76" t="s">
        <v>1872</v>
      </c>
      <c r="B1658" s="76" t="s">
        <v>6056</v>
      </c>
      <c r="C1658" s="76"/>
      <c r="D1658" s="76">
        <v>4.32</v>
      </c>
      <c r="E1658" s="76" t="s">
        <v>2032</v>
      </c>
      <c r="F1658" s="76" t="s">
        <v>2033</v>
      </c>
    </row>
    <row r="1659" spans="1:6" ht="63.95" customHeight="1">
      <c r="A1659" s="76" t="s">
        <v>1872</v>
      </c>
      <c r="B1659" s="76" t="s">
        <v>6057</v>
      </c>
      <c r="C1659" s="76"/>
      <c r="D1659" s="76" t="s">
        <v>5985</v>
      </c>
      <c r="E1659" s="76" t="s">
        <v>2032</v>
      </c>
      <c r="F1659" s="76" t="s">
        <v>2033</v>
      </c>
    </row>
    <row r="1660" spans="1:6" ht="63.95" customHeight="1">
      <c r="A1660" s="76" t="s">
        <v>1872</v>
      </c>
      <c r="B1660" s="76" t="s">
        <v>6058</v>
      </c>
      <c r="C1660" s="76"/>
      <c r="D1660" s="76" t="s">
        <v>6059</v>
      </c>
      <c r="E1660" s="76" t="s">
        <v>2032</v>
      </c>
      <c r="F1660" s="76" t="s">
        <v>2033</v>
      </c>
    </row>
    <row r="1661" spans="1:6" ht="63.95" customHeight="1">
      <c r="A1661" s="76" t="s">
        <v>1872</v>
      </c>
      <c r="B1661" s="76" t="s">
        <v>4821</v>
      </c>
      <c r="C1661" s="76"/>
      <c r="D1661" s="76" t="s">
        <v>6060</v>
      </c>
      <c r="E1661" s="76" t="s">
        <v>2032</v>
      </c>
      <c r="F1661" s="76" t="s">
        <v>2033</v>
      </c>
    </row>
    <row r="1662" spans="1:6" ht="63.95" customHeight="1">
      <c r="A1662" s="76" t="s">
        <v>1872</v>
      </c>
      <c r="B1662" s="76" t="s">
        <v>3795</v>
      </c>
      <c r="C1662" s="76"/>
      <c r="D1662" s="76" t="s">
        <v>6061</v>
      </c>
      <c r="E1662" s="76" t="s">
        <v>2032</v>
      </c>
      <c r="F1662" s="76" t="s">
        <v>2033</v>
      </c>
    </row>
    <row r="1663" spans="1:6" ht="63.95" customHeight="1">
      <c r="A1663" s="76" t="s">
        <v>1872</v>
      </c>
      <c r="B1663" s="76" t="s">
        <v>6062</v>
      </c>
      <c r="C1663" s="76"/>
      <c r="D1663" s="76" t="s">
        <v>177</v>
      </c>
      <c r="E1663" s="76" t="s">
        <v>2032</v>
      </c>
      <c r="F1663" s="76" t="s">
        <v>2033</v>
      </c>
    </row>
    <row r="1664" spans="1:6" ht="63.95" customHeight="1">
      <c r="A1664" s="76" t="s">
        <v>1872</v>
      </c>
      <c r="B1664" s="76" t="s">
        <v>6063</v>
      </c>
      <c r="C1664" s="76"/>
      <c r="D1664" s="76">
        <v>8</v>
      </c>
      <c r="E1664" s="76" t="s">
        <v>2032</v>
      </c>
      <c r="F1664" s="76" t="s">
        <v>2033</v>
      </c>
    </row>
    <row r="1665" spans="1:6" ht="63.95" customHeight="1">
      <c r="A1665" s="76" t="s">
        <v>1872</v>
      </c>
      <c r="B1665" s="76" t="s">
        <v>6064</v>
      </c>
      <c r="C1665" s="76"/>
      <c r="D1665" s="76">
        <v>1.2000000000000002</v>
      </c>
      <c r="E1665" s="76" t="s">
        <v>2032</v>
      </c>
      <c r="F1665" s="76" t="s">
        <v>2033</v>
      </c>
    </row>
    <row r="1666" spans="1:6" ht="63.95" customHeight="1">
      <c r="A1666" s="76" t="s">
        <v>1872</v>
      </c>
      <c r="B1666" s="76" t="s">
        <v>6065</v>
      </c>
      <c r="C1666" s="76"/>
      <c r="D1666" s="76" t="s">
        <v>5985</v>
      </c>
      <c r="E1666" s="76" t="s">
        <v>2032</v>
      </c>
      <c r="F1666" s="76" t="s">
        <v>2033</v>
      </c>
    </row>
    <row r="1667" spans="1:6" ht="63.95" customHeight="1">
      <c r="A1667" s="76" t="s">
        <v>1872</v>
      </c>
      <c r="B1667" s="76" t="s">
        <v>6066</v>
      </c>
      <c r="C1667" s="76"/>
      <c r="D1667" s="76" t="s">
        <v>6067</v>
      </c>
      <c r="E1667" s="76" t="s">
        <v>2032</v>
      </c>
      <c r="F1667" s="76" t="s">
        <v>2033</v>
      </c>
    </row>
    <row r="1668" spans="1:6" ht="63.95" customHeight="1">
      <c r="A1668" s="76" t="s">
        <v>1872</v>
      </c>
      <c r="B1668" s="76" t="s">
        <v>4824</v>
      </c>
      <c r="C1668" s="76"/>
      <c r="D1668" s="76" t="s">
        <v>6068</v>
      </c>
      <c r="E1668" s="76" t="s">
        <v>2032</v>
      </c>
      <c r="F1668" s="76" t="s">
        <v>2033</v>
      </c>
    </row>
    <row r="1669" spans="1:6" ht="63.95" customHeight="1">
      <c r="A1669" s="76" t="s">
        <v>1872</v>
      </c>
      <c r="B1669" s="76" t="s">
        <v>3801</v>
      </c>
      <c r="C1669" s="76"/>
      <c r="D1669" s="76" t="s">
        <v>6069</v>
      </c>
      <c r="E1669" s="76" t="s">
        <v>2032</v>
      </c>
      <c r="F1669" s="76" t="s">
        <v>2033</v>
      </c>
    </row>
    <row r="1670" spans="1:6" ht="63.95" customHeight="1">
      <c r="A1670" s="76" t="s">
        <v>1872</v>
      </c>
      <c r="B1670" s="76" t="s">
        <v>6070</v>
      </c>
      <c r="C1670" s="76"/>
      <c r="D1670" s="76" t="s">
        <v>194</v>
      </c>
      <c r="E1670" s="76" t="s">
        <v>2032</v>
      </c>
      <c r="F1670" s="76" t="s">
        <v>2033</v>
      </c>
    </row>
    <row r="1671" spans="1:6" ht="63.95" customHeight="1">
      <c r="A1671" s="76" t="s">
        <v>1872</v>
      </c>
      <c r="B1671" s="76" t="s">
        <v>6071</v>
      </c>
      <c r="C1671" s="76"/>
      <c r="D1671" s="76">
        <v>30</v>
      </c>
      <c r="E1671" s="76" t="s">
        <v>2032</v>
      </c>
      <c r="F1671" s="76" t="s">
        <v>2033</v>
      </c>
    </row>
    <row r="1672" spans="1:6" ht="63.95" customHeight="1">
      <c r="A1672" s="76" t="s">
        <v>1872</v>
      </c>
      <c r="B1672" s="76" t="s">
        <v>6072</v>
      </c>
      <c r="C1672" s="76"/>
      <c r="D1672" s="76">
        <v>11.2</v>
      </c>
      <c r="E1672" s="76" t="s">
        <v>2032</v>
      </c>
      <c r="F1672" s="76" t="s">
        <v>2033</v>
      </c>
    </row>
    <row r="1673" spans="1:6" ht="63.95" customHeight="1">
      <c r="A1673" s="76" t="s">
        <v>1872</v>
      </c>
      <c r="B1673" s="76" t="s">
        <v>6073</v>
      </c>
      <c r="C1673" s="76"/>
      <c r="D1673" s="76" t="s">
        <v>5985</v>
      </c>
      <c r="E1673" s="76" t="s">
        <v>2032</v>
      </c>
      <c r="F1673" s="76" t="s">
        <v>2033</v>
      </c>
    </row>
    <row r="1674" spans="1:6" ht="63.95" customHeight="1">
      <c r="A1674" s="76" t="s">
        <v>1872</v>
      </c>
      <c r="B1674" s="76" t="s">
        <v>6074</v>
      </c>
      <c r="C1674" s="76"/>
      <c r="D1674" s="76" t="s">
        <v>6075</v>
      </c>
      <c r="E1674" s="76" t="s">
        <v>2032</v>
      </c>
      <c r="F1674" s="76" t="s">
        <v>2033</v>
      </c>
    </row>
    <row r="1675" spans="1:6" ht="63.95" customHeight="1">
      <c r="A1675" s="76" t="s">
        <v>1872</v>
      </c>
      <c r="B1675" s="76" t="s">
        <v>4827</v>
      </c>
      <c r="C1675" s="76"/>
      <c r="D1675" s="76" t="s">
        <v>6076</v>
      </c>
      <c r="E1675" s="76" t="s">
        <v>2032</v>
      </c>
      <c r="F1675" s="76" t="s">
        <v>2033</v>
      </c>
    </row>
    <row r="1676" spans="1:6" ht="63.95" customHeight="1">
      <c r="A1676" s="76" t="s">
        <v>1872</v>
      </c>
      <c r="B1676" s="76" t="s">
        <v>3807</v>
      </c>
      <c r="C1676" s="76"/>
      <c r="D1676" s="76" t="s">
        <v>6077</v>
      </c>
      <c r="E1676" s="76" t="s">
        <v>2032</v>
      </c>
      <c r="F1676" s="76" t="s">
        <v>2033</v>
      </c>
    </row>
    <row r="1677" spans="1:6" ht="63.95" customHeight="1">
      <c r="A1677" s="76" t="s">
        <v>1872</v>
      </c>
      <c r="B1677" s="76" t="s">
        <v>6078</v>
      </c>
      <c r="C1677" s="76"/>
      <c r="D1677" s="76" t="s">
        <v>212</v>
      </c>
      <c r="E1677" s="76" t="s">
        <v>2032</v>
      </c>
      <c r="F1677" s="76" t="s">
        <v>2033</v>
      </c>
    </row>
    <row r="1678" spans="1:6" ht="63.95" customHeight="1">
      <c r="A1678" s="76" t="s">
        <v>1872</v>
      </c>
      <c r="B1678" s="76" t="s">
        <v>6079</v>
      </c>
      <c r="C1678" s="76"/>
      <c r="D1678" s="76">
        <v>8</v>
      </c>
      <c r="E1678" s="76" t="s">
        <v>2032</v>
      </c>
      <c r="F1678" s="76" t="s">
        <v>2033</v>
      </c>
    </row>
    <row r="1679" spans="1:6" ht="63.95" customHeight="1">
      <c r="A1679" s="76" t="s">
        <v>1872</v>
      </c>
      <c r="B1679" s="76" t="s">
        <v>6080</v>
      </c>
      <c r="C1679" s="76"/>
      <c r="D1679" s="76">
        <v>1.2000000000000002</v>
      </c>
      <c r="E1679" s="76" t="s">
        <v>2032</v>
      </c>
      <c r="F1679" s="76" t="s">
        <v>2033</v>
      </c>
    </row>
    <row r="1680" spans="1:6" ht="63.95" customHeight="1">
      <c r="A1680" s="76" t="s">
        <v>1872</v>
      </c>
      <c r="B1680" s="76" t="s">
        <v>6081</v>
      </c>
      <c r="C1680" s="76"/>
      <c r="D1680" s="76" t="s">
        <v>5985</v>
      </c>
      <c r="E1680" s="76" t="s">
        <v>2032</v>
      </c>
      <c r="F1680" s="76" t="s">
        <v>2033</v>
      </c>
    </row>
    <row r="1681" spans="1:6" ht="63.95" customHeight="1">
      <c r="A1681" s="76" t="s">
        <v>1872</v>
      </c>
      <c r="B1681" s="76" t="s">
        <v>6082</v>
      </c>
      <c r="C1681" s="76"/>
      <c r="D1681" s="76" t="s">
        <v>6083</v>
      </c>
      <c r="E1681" s="76" t="s">
        <v>2032</v>
      </c>
      <c r="F1681" s="76" t="s">
        <v>2033</v>
      </c>
    </row>
    <row r="1682" spans="1:6" ht="63.95" customHeight="1">
      <c r="A1682" s="76" t="s">
        <v>1872</v>
      </c>
      <c r="B1682" s="76" t="s">
        <v>4830</v>
      </c>
      <c r="C1682" s="76"/>
      <c r="D1682" s="76" t="s">
        <v>6084</v>
      </c>
      <c r="E1682" s="76" t="s">
        <v>2032</v>
      </c>
      <c r="F1682" s="76" t="s">
        <v>2033</v>
      </c>
    </row>
    <row r="1683" spans="1:6" ht="63.95" customHeight="1">
      <c r="A1683" s="76" t="s">
        <v>1872</v>
      </c>
      <c r="B1683" s="76" t="s">
        <v>3813</v>
      </c>
      <c r="C1683" s="76"/>
      <c r="D1683" s="76" t="s">
        <v>6085</v>
      </c>
      <c r="E1683" s="76" t="s">
        <v>2032</v>
      </c>
      <c r="F1683" s="76" t="s">
        <v>2033</v>
      </c>
    </row>
    <row r="1684" spans="1:6" ht="63.95" customHeight="1">
      <c r="A1684" s="76" t="s">
        <v>1872</v>
      </c>
      <c r="B1684" s="76" t="s">
        <v>6086</v>
      </c>
      <c r="C1684" s="76"/>
      <c r="D1684" s="76" t="s">
        <v>213</v>
      </c>
      <c r="E1684" s="76" t="s">
        <v>2032</v>
      </c>
      <c r="F1684" s="76" t="s">
        <v>2033</v>
      </c>
    </row>
    <row r="1685" spans="1:6" ht="63.95" customHeight="1">
      <c r="A1685" s="76" t="s">
        <v>1872</v>
      </c>
      <c r="B1685" s="76" t="s">
        <v>6087</v>
      </c>
      <c r="C1685" s="76"/>
      <c r="D1685" s="76">
        <v>10</v>
      </c>
      <c r="E1685" s="76" t="s">
        <v>2032</v>
      </c>
      <c r="F1685" s="76" t="s">
        <v>2033</v>
      </c>
    </row>
    <row r="1686" spans="1:6" ht="63.95" customHeight="1">
      <c r="A1686" s="76" t="s">
        <v>1872</v>
      </c>
      <c r="B1686" s="76" t="s">
        <v>6088</v>
      </c>
      <c r="C1686" s="76"/>
      <c r="D1686" s="76">
        <v>1.5</v>
      </c>
      <c r="E1686" s="76" t="s">
        <v>2032</v>
      </c>
      <c r="F1686" s="76" t="s">
        <v>2033</v>
      </c>
    </row>
    <row r="1687" spans="1:6" ht="63.95" customHeight="1">
      <c r="A1687" s="76" t="s">
        <v>1872</v>
      </c>
      <c r="B1687" s="76" t="s">
        <v>6089</v>
      </c>
      <c r="C1687" s="76"/>
      <c r="D1687" s="76" t="s">
        <v>5985</v>
      </c>
      <c r="E1687" s="76" t="s">
        <v>2032</v>
      </c>
      <c r="F1687" s="76" t="s">
        <v>2033</v>
      </c>
    </row>
    <row r="1688" spans="1:6" ht="63.95" customHeight="1">
      <c r="A1688" s="76" t="s">
        <v>1872</v>
      </c>
      <c r="B1688" s="76" t="s">
        <v>6090</v>
      </c>
      <c r="C1688" s="76"/>
      <c r="D1688" s="76" t="s">
        <v>6091</v>
      </c>
      <c r="E1688" s="76" t="s">
        <v>2032</v>
      </c>
      <c r="F1688" s="76" t="s">
        <v>2033</v>
      </c>
    </row>
    <row r="1689" spans="1:6" ht="63.95" customHeight="1">
      <c r="A1689" s="76" t="s">
        <v>1872</v>
      </c>
      <c r="B1689" s="76" t="s">
        <v>4833</v>
      </c>
      <c r="C1689" s="76"/>
      <c r="D1689" s="76" t="s">
        <v>6092</v>
      </c>
      <c r="E1689" s="76" t="s">
        <v>2032</v>
      </c>
      <c r="F1689" s="76" t="s">
        <v>2033</v>
      </c>
    </row>
    <row r="1690" spans="1:6" ht="63.95" customHeight="1">
      <c r="A1690" s="76" t="s">
        <v>1872</v>
      </c>
      <c r="B1690" s="76" t="s">
        <v>3819</v>
      </c>
      <c r="C1690" s="76"/>
      <c r="D1690" s="76" t="s">
        <v>6093</v>
      </c>
      <c r="E1690" s="76" t="s">
        <v>2032</v>
      </c>
      <c r="F1690" s="76" t="s">
        <v>2033</v>
      </c>
    </row>
    <row r="1691" spans="1:6" ht="63.95" customHeight="1">
      <c r="A1691" s="76" t="s">
        <v>1872</v>
      </c>
      <c r="B1691" s="76" t="s">
        <v>6094</v>
      </c>
      <c r="C1691" s="76"/>
      <c r="D1691" s="76" t="s">
        <v>218</v>
      </c>
      <c r="E1691" s="76" t="s">
        <v>2032</v>
      </c>
      <c r="F1691" s="76" t="s">
        <v>2033</v>
      </c>
    </row>
    <row r="1692" spans="1:6" ht="63.95" customHeight="1">
      <c r="A1692" s="76" t="s">
        <v>1872</v>
      </c>
      <c r="B1692" s="76" t="s">
        <v>6095</v>
      </c>
      <c r="C1692" s="76"/>
      <c r="D1692" s="76">
        <v>12</v>
      </c>
      <c r="E1692" s="76" t="s">
        <v>2032</v>
      </c>
      <c r="F1692" s="76" t="s">
        <v>2033</v>
      </c>
    </row>
    <row r="1693" spans="1:6" ht="63.95" customHeight="1">
      <c r="A1693" s="76" t="s">
        <v>1872</v>
      </c>
      <c r="B1693" s="76" t="s">
        <v>6096</v>
      </c>
      <c r="C1693" s="76"/>
      <c r="D1693" s="76">
        <v>7.2</v>
      </c>
      <c r="E1693" s="76" t="s">
        <v>2032</v>
      </c>
      <c r="F1693" s="76" t="s">
        <v>2033</v>
      </c>
    </row>
    <row r="1694" spans="1:6" ht="63.95" customHeight="1">
      <c r="A1694" s="76" t="s">
        <v>1872</v>
      </c>
      <c r="B1694" s="76" t="s">
        <v>6097</v>
      </c>
      <c r="C1694" s="76"/>
      <c r="D1694" s="76" t="s">
        <v>5985</v>
      </c>
      <c r="E1694" s="76" t="s">
        <v>2032</v>
      </c>
      <c r="F1694" s="76" t="s">
        <v>2033</v>
      </c>
    </row>
    <row r="1695" spans="1:6" ht="63.95" customHeight="1">
      <c r="A1695" s="76" t="s">
        <v>1872</v>
      </c>
      <c r="B1695" s="76" t="s">
        <v>6098</v>
      </c>
      <c r="C1695" s="76"/>
      <c r="D1695" s="76" t="s">
        <v>6099</v>
      </c>
      <c r="E1695" s="76" t="s">
        <v>2032</v>
      </c>
      <c r="F1695" s="76" t="s">
        <v>2033</v>
      </c>
    </row>
    <row r="1696" spans="1:6" ht="63.95" customHeight="1">
      <c r="A1696" s="76" t="s">
        <v>1872</v>
      </c>
      <c r="B1696" s="76" t="s">
        <v>4836</v>
      </c>
      <c r="C1696" s="76"/>
      <c r="D1696" s="76" t="s">
        <v>6100</v>
      </c>
      <c r="E1696" s="76" t="s">
        <v>2032</v>
      </c>
      <c r="F1696" s="76" t="s">
        <v>2033</v>
      </c>
    </row>
    <row r="1697" spans="1:6" ht="63.95" customHeight="1">
      <c r="A1697" s="76" t="s">
        <v>1872</v>
      </c>
      <c r="B1697" s="76" t="s">
        <v>3825</v>
      </c>
      <c r="C1697" s="76"/>
      <c r="D1697" s="76" t="s">
        <v>6101</v>
      </c>
      <c r="E1697" s="76" t="s">
        <v>2032</v>
      </c>
      <c r="F1697" s="76" t="s">
        <v>2033</v>
      </c>
    </row>
    <row r="1698" spans="1:6" ht="63.95" customHeight="1">
      <c r="A1698" s="76" t="s">
        <v>1872</v>
      </c>
      <c r="B1698" s="76" t="s">
        <v>6102</v>
      </c>
      <c r="C1698" s="76"/>
      <c r="D1698" s="76" t="s">
        <v>222</v>
      </c>
      <c r="E1698" s="76" t="s">
        <v>2032</v>
      </c>
      <c r="F1698" s="76" t="s">
        <v>2033</v>
      </c>
    </row>
    <row r="1699" spans="1:6" ht="63.95" customHeight="1">
      <c r="A1699" s="76" t="s">
        <v>1872</v>
      </c>
      <c r="B1699" s="76" t="s">
        <v>6103</v>
      </c>
      <c r="C1699" s="76"/>
      <c r="D1699" s="76">
        <v>12</v>
      </c>
      <c r="E1699" s="76" t="s">
        <v>2032</v>
      </c>
      <c r="F1699" s="76" t="s">
        <v>2033</v>
      </c>
    </row>
    <row r="1700" spans="1:6" ht="63.95" customHeight="1">
      <c r="A1700" s="76" t="s">
        <v>1872</v>
      </c>
      <c r="B1700" s="76" t="s">
        <v>6104</v>
      </c>
      <c r="C1700" s="76"/>
      <c r="D1700" s="76">
        <v>1.7999999999999998</v>
      </c>
      <c r="E1700" s="76" t="s">
        <v>2032</v>
      </c>
      <c r="F1700" s="76" t="s">
        <v>2033</v>
      </c>
    </row>
    <row r="1701" spans="1:6" ht="63.95" customHeight="1">
      <c r="A1701" s="76" t="s">
        <v>1872</v>
      </c>
      <c r="B1701" s="76" t="s">
        <v>6105</v>
      </c>
      <c r="C1701" s="76"/>
      <c r="D1701" s="76" t="s">
        <v>5985</v>
      </c>
      <c r="E1701" s="76" t="s">
        <v>2032</v>
      </c>
      <c r="F1701" s="76" t="s">
        <v>2033</v>
      </c>
    </row>
    <row r="1702" spans="1:6" ht="63.95" customHeight="1">
      <c r="A1702" s="76" t="s">
        <v>1872</v>
      </c>
      <c r="B1702" s="76" t="s">
        <v>6106</v>
      </c>
      <c r="C1702" s="76"/>
      <c r="D1702" s="76" t="s">
        <v>6107</v>
      </c>
      <c r="E1702" s="76" t="s">
        <v>2032</v>
      </c>
      <c r="F1702" s="76" t="s">
        <v>2033</v>
      </c>
    </row>
    <row r="1703" spans="1:6" ht="63.95" customHeight="1">
      <c r="A1703" s="76" t="s">
        <v>1872</v>
      </c>
      <c r="B1703" s="76" t="s">
        <v>4839</v>
      </c>
      <c r="C1703" s="76"/>
      <c r="D1703" s="76" t="s">
        <v>6108</v>
      </c>
      <c r="E1703" s="76" t="s">
        <v>2032</v>
      </c>
      <c r="F1703" s="76" t="s">
        <v>2033</v>
      </c>
    </row>
    <row r="1704" spans="1:6" ht="63.95" customHeight="1">
      <c r="A1704" s="76" t="s">
        <v>1872</v>
      </c>
      <c r="B1704" s="76" t="s">
        <v>3831</v>
      </c>
      <c r="C1704" s="76"/>
      <c r="D1704" s="76" t="s">
        <v>6109</v>
      </c>
      <c r="E1704" s="76" t="s">
        <v>2032</v>
      </c>
      <c r="F1704" s="76" t="s">
        <v>2033</v>
      </c>
    </row>
    <row r="1705" spans="1:6" ht="63.95" customHeight="1">
      <c r="A1705" s="76" t="s">
        <v>1872</v>
      </c>
      <c r="B1705" s="76" t="s">
        <v>6110</v>
      </c>
      <c r="C1705" s="76"/>
      <c r="D1705" s="76" t="s">
        <v>226</v>
      </c>
      <c r="E1705" s="76" t="s">
        <v>2032</v>
      </c>
      <c r="F1705" s="76" t="s">
        <v>2033</v>
      </c>
    </row>
    <row r="1706" spans="1:6" ht="63.95" customHeight="1">
      <c r="A1706" s="76" t="s">
        <v>1872</v>
      </c>
      <c r="B1706" s="76" t="s">
        <v>6111</v>
      </c>
      <c r="C1706" s="76"/>
      <c r="D1706" s="76">
        <v>12</v>
      </c>
      <c r="E1706" s="76" t="s">
        <v>2032</v>
      </c>
      <c r="F1706" s="76" t="s">
        <v>2033</v>
      </c>
    </row>
    <row r="1707" spans="1:6" ht="63.95" customHeight="1">
      <c r="A1707" s="76" t="s">
        <v>1872</v>
      </c>
      <c r="B1707" s="76" t="s">
        <v>6112</v>
      </c>
      <c r="C1707" s="76"/>
      <c r="D1707" s="76">
        <v>2</v>
      </c>
      <c r="E1707" s="76" t="s">
        <v>2032</v>
      </c>
      <c r="F1707" s="76" t="s">
        <v>2033</v>
      </c>
    </row>
    <row r="1708" spans="1:6" ht="63.95" customHeight="1">
      <c r="A1708" s="76" t="s">
        <v>1872</v>
      </c>
      <c r="B1708" s="76" t="s">
        <v>6113</v>
      </c>
      <c r="C1708" s="76"/>
      <c r="D1708" s="76" t="s">
        <v>5985</v>
      </c>
      <c r="E1708" s="76" t="s">
        <v>2032</v>
      </c>
      <c r="F1708" s="76" t="s">
        <v>2033</v>
      </c>
    </row>
    <row r="1709" spans="1:6" ht="63.95" customHeight="1">
      <c r="A1709" s="76" t="s">
        <v>1872</v>
      </c>
      <c r="B1709" s="76" t="s">
        <v>6114</v>
      </c>
      <c r="C1709" s="76"/>
      <c r="D1709" s="76" t="s">
        <v>6115</v>
      </c>
      <c r="E1709" s="76" t="s">
        <v>2032</v>
      </c>
      <c r="F1709" s="76" t="s">
        <v>2033</v>
      </c>
    </row>
    <row r="1710" spans="1:6" ht="63.95" customHeight="1">
      <c r="A1710" s="76" t="s">
        <v>1872</v>
      </c>
      <c r="B1710" s="76" t="s">
        <v>4842</v>
      </c>
      <c r="C1710" s="76"/>
      <c r="D1710" s="76" t="s">
        <v>6116</v>
      </c>
      <c r="E1710" s="76" t="s">
        <v>2032</v>
      </c>
      <c r="F1710" s="76" t="s">
        <v>2033</v>
      </c>
    </row>
    <row r="1711" spans="1:6" ht="63.95" customHeight="1">
      <c r="A1711" s="76" t="s">
        <v>1872</v>
      </c>
      <c r="B1711" s="76" t="s">
        <v>3837</v>
      </c>
      <c r="C1711" s="76"/>
      <c r="D1711" s="76" t="s">
        <v>6117</v>
      </c>
      <c r="E1711" s="76" t="s">
        <v>2032</v>
      </c>
      <c r="F1711" s="76" t="s">
        <v>2033</v>
      </c>
    </row>
    <row r="1712" spans="1:6" ht="63.95" customHeight="1">
      <c r="A1712" s="76" t="s">
        <v>1875</v>
      </c>
      <c r="B1712" s="76" t="s">
        <v>6118</v>
      </c>
      <c r="C1712" s="76" t="s">
        <v>6119</v>
      </c>
      <c r="D1712" s="76" t="s">
        <v>6120</v>
      </c>
      <c r="E1712" s="76" t="s">
        <v>2032</v>
      </c>
      <c r="F1712" s="76" t="s">
        <v>2033</v>
      </c>
    </row>
    <row r="1713" spans="1:6" ht="63.95" customHeight="1">
      <c r="A1713" s="76" t="s">
        <v>1875</v>
      </c>
      <c r="B1713" s="76" t="s">
        <v>6121</v>
      </c>
      <c r="C1713" s="76" t="s">
        <v>6122</v>
      </c>
      <c r="D1713" s="76" t="s">
        <v>6123</v>
      </c>
      <c r="E1713" s="76" t="s">
        <v>2032</v>
      </c>
      <c r="F1713" s="76" t="s">
        <v>2033</v>
      </c>
    </row>
    <row r="1714" spans="1:6" ht="63.95" customHeight="1">
      <c r="A1714" s="76" t="s">
        <v>1875</v>
      </c>
      <c r="B1714" s="76" t="s">
        <v>6124</v>
      </c>
      <c r="C1714" s="76" t="s">
        <v>6125</v>
      </c>
      <c r="D1714" s="76" t="s">
        <v>6126</v>
      </c>
      <c r="E1714" s="76" t="s">
        <v>2032</v>
      </c>
      <c r="F1714" s="76" t="s">
        <v>2033</v>
      </c>
    </row>
    <row r="1715" spans="1:6" ht="63.95" customHeight="1">
      <c r="A1715" s="76" t="s">
        <v>1875</v>
      </c>
      <c r="B1715" s="76" t="s">
        <v>6127</v>
      </c>
      <c r="C1715" s="76" t="s">
        <v>6128</v>
      </c>
      <c r="D1715" s="76" t="s">
        <v>6129</v>
      </c>
      <c r="E1715" s="76" t="s">
        <v>2032</v>
      </c>
      <c r="F1715" s="76" t="s">
        <v>2033</v>
      </c>
    </row>
    <row r="1716" spans="1:6" ht="63.95" customHeight="1">
      <c r="A1716" s="76" t="s">
        <v>1875</v>
      </c>
      <c r="B1716" s="76" t="s">
        <v>1971</v>
      </c>
      <c r="C1716" s="76" t="s">
        <v>6130</v>
      </c>
      <c r="D1716" s="76" t="s">
        <v>6131</v>
      </c>
      <c r="E1716" s="76" t="s">
        <v>2032</v>
      </c>
      <c r="F1716" s="76" t="s">
        <v>2033</v>
      </c>
    </row>
    <row r="1717" spans="1:6" ht="63.95" customHeight="1">
      <c r="A1717" s="76" t="s">
        <v>1875</v>
      </c>
      <c r="B1717" s="76" t="s">
        <v>1974</v>
      </c>
      <c r="C1717" s="76" t="s">
        <v>6132</v>
      </c>
      <c r="D1717" s="76" t="s">
        <v>6133</v>
      </c>
      <c r="E1717" s="76" t="s">
        <v>2032</v>
      </c>
      <c r="F1717" s="76" t="s">
        <v>2033</v>
      </c>
    </row>
    <row r="1718" spans="1:6" ht="63.95" customHeight="1">
      <c r="A1718" s="76" t="s">
        <v>1875</v>
      </c>
      <c r="B1718" s="76" t="s">
        <v>6134</v>
      </c>
      <c r="C1718" s="76" t="s">
        <v>6135</v>
      </c>
      <c r="D1718" s="76" t="s">
        <v>6136</v>
      </c>
      <c r="E1718" s="76" t="s">
        <v>2032</v>
      </c>
      <c r="F1718" s="76" t="s">
        <v>2033</v>
      </c>
    </row>
    <row r="1719" spans="1:6" ht="63.95" customHeight="1">
      <c r="A1719" s="76" t="s">
        <v>1875</v>
      </c>
      <c r="B1719" s="76" t="s">
        <v>6137</v>
      </c>
      <c r="C1719" s="76" t="s">
        <v>6138</v>
      </c>
      <c r="D1719" s="76" t="s">
        <v>6139</v>
      </c>
      <c r="E1719" s="76" t="s">
        <v>2032</v>
      </c>
      <c r="F1719" s="76" t="s">
        <v>2033</v>
      </c>
    </row>
    <row r="1720" spans="1:6" ht="63.95" customHeight="1">
      <c r="A1720" s="76" t="s">
        <v>1875</v>
      </c>
      <c r="B1720" s="76" t="s">
        <v>6140</v>
      </c>
      <c r="C1720" s="76" t="s">
        <v>6141</v>
      </c>
      <c r="D1720" s="76" t="s">
        <v>6142</v>
      </c>
      <c r="E1720" s="76" t="s">
        <v>2032</v>
      </c>
      <c r="F1720" s="76" t="s">
        <v>2033</v>
      </c>
    </row>
    <row r="1721" spans="1:6" ht="63.95" customHeight="1">
      <c r="A1721" s="76" t="s">
        <v>1875</v>
      </c>
      <c r="B1721" s="76" t="s">
        <v>6143</v>
      </c>
      <c r="C1721" s="76" t="s">
        <v>6144</v>
      </c>
      <c r="D1721" s="76" t="s">
        <v>6145</v>
      </c>
      <c r="E1721" s="76" t="s">
        <v>2032</v>
      </c>
      <c r="F1721" s="76" t="s">
        <v>2033</v>
      </c>
    </row>
    <row r="1722" spans="1:6" ht="63.95" customHeight="1">
      <c r="A1722" s="76" t="s">
        <v>1875</v>
      </c>
      <c r="B1722" s="76" t="s">
        <v>6146</v>
      </c>
      <c r="C1722" s="76" t="s">
        <v>6147</v>
      </c>
      <c r="D1722" s="76" t="s">
        <v>6148</v>
      </c>
      <c r="E1722" s="76" t="s">
        <v>2032</v>
      </c>
      <c r="F1722" s="76" t="s">
        <v>2033</v>
      </c>
    </row>
    <row r="1723" spans="1:6" ht="63.95" customHeight="1">
      <c r="A1723" s="76" t="s">
        <v>1875</v>
      </c>
      <c r="B1723" s="76" t="s">
        <v>6149</v>
      </c>
      <c r="C1723" s="76" t="s">
        <v>6150</v>
      </c>
      <c r="D1723" s="76" t="s">
        <v>6151</v>
      </c>
      <c r="E1723" s="76" t="s">
        <v>2032</v>
      </c>
      <c r="F1723" s="76" t="s">
        <v>2033</v>
      </c>
    </row>
    <row r="1724" spans="1:6" ht="63.95" customHeight="1">
      <c r="A1724" s="76" t="s">
        <v>1875</v>
      </c>
      <c r="B1724" s="76" t="s">
        <v>6152</v>
      </c>
      <c r="C1724" s="76" t="s">
        <v>6153</v>
      </c>
      <c r="D1724" s="76" t="s">
        <v>6154</v>
      </c>
      <c r="E1724" s="76" t="s">
        <v>2032</v>
      </c>
      <c r="F1724" s="76" t="s">
        <v>2033</v>
      </c>
    </row>
    <row r="1725" spans="1:6" ht="63.95" customHeight="1">
      <c r="A1725" s="76" t="s">
        <v>1875</v>
      </c>
      <c r="B1725" s="76" t="s">
        <v>6155</v>
      </c>
      <c r="C1725" s="76" t="s">
        <v>6156</v>
      </c>
      <c r="D1725" s="76" t="s">
        <v>6157</v>
      </c>
      <c r="E1725" s="76" t="s">
        <v>2032</v>
      </c>
      <c r="F1725" s="76" t="s">
        <v>2033</v>
      </c>
    </row>
    <row r="1726" spans="1:6" ht="63.95" customHeight="1">
      <c r="A1726" s="76" t="s">
        <v>1875</v>
      </c>
      <c r="B1726" s="76" t="s">
        <v>1977</v>
      </c>
      <c r="C1726" s="76" t="s">
        <v>6158</v>
      </c>
      <c r="D1726" s="76" t="s">
        <v>6159</v>
      </c>
      <c r="E1726" s="76" t="s">
        <v>2032</v>
      </c>
      <c r="F1726" s="76" t="s">
        <v>2033</v>
      </c>
    </row>
    <row r="1727" spans="1:6" ht="63.95" customHeight="1">
      <c r="A1727" s="76" t="s">
        <v>1875</v>
      </c>
      <c r="B1727" s="76" t="s">
        <v>1980</v>
      </c>
      <c r="C1727" s="76" t="s">
        <v>6160</v>
      </c>
      <c r="D1727" s="76" t="s">
        <v>6161</v>
      </c>
      <c r="E1727" s="76" t="s">
        <v>2032</v>
      </c>
      <c r="F1727" s="76" t="s">
        <v>2033</v>
      </c>
    </row>
    <row r="1728" spans="1:6" ht="63.95" customHeight="1">
      <c r="A1728" s="76" t="s">
        <v>1875</v>
      </c>
      <c r="B1728" s="76" t="s">
        <v>1986</v>
      </c>
      <c r="C1728" s="76" t="s">
        <v>6162</v>
      </c>
      <c r="D1728" s="76" t="s">
        <v>6163</v>
      </c>
      <c r="E1728" s="76" t="s">
        <v>2032</v>
      </c>
      <c r="F1728" s="76" t="s">
        <v>2033</v>
      </c>
    </row>
    <row r="1729" spans="1:6" ht="63.95" customHeight="1">
      <c r="A1729" s="76" t="s">
        <v>1875</v>
      </c>
      <c r="B1729" s="76" t="s">
        <v>1988</v>
      </c>
      <c r="C1729" s="76" t="s">
        <v>6164</v>
      </c>
      <c r="D1729" s="76" t="s">
        <v>6165</v>
      </c>
      <c r="E1729" s="76" t="s">
        <v>2032</v>
      </c>
      <c r="F1729" s="76" t="s">
        <v>2033</v>
      </c>
    </row>
    <row r="1730" spans="1:6" ht="63.95" customHeight="1">
      <c r="A1730" s="76" t="s">
        <v>1875</v>
      </c>
      <c r="B1730" s="76" t="s">
        <v>1994</v>
      </c>
      <c r="C1730" s="76" t="s">
        <v>6166</v>
      </c>
      <c r="D1730" s="76" t="s">
        <v>6167</v>
      </c>
      <c r="E1730" s="76" t="s">
        <v>2032</v>
      </c>
      <c r="F1730" s="76" t="s">
        <v>2033</v>
      </c>
    </row>
    <row r="1731" spans="1:6" ht="63.95" customHeight="1">
      <c r="A1731" s="76" t="s">
        <v>1875</v>
      </c>
      <c r="B1731" s="76" t="s">
        <v>1995</v>
      </c>
      <c r="C1731" s="76" t="s">
        <v>6168</v>
      </c>
      <c r="D1731" s="76" t="s">
        <v>6169</v>
      </c>
      <c r="E1731" s="76" t="s">
        <v>2032</v>
      </c>
      <c r="F1731" s="76" t="s">
        <v>2033</v>
      </c>
    </row>
    <row r="1732" spans="1:6" ht="63.95" customHeight="1">
      <c r="A1732" s="76" t="s">
        <v>1875</v>
      </c>
      <c r="B1732" s="76" t="s">
        <v>5993</v>
      </c>
      <c r="C1732" s="76" t="s">
        <v>6170</v>
      </c>
      <c r="D1732" s="76" t="s">
        <v>6171</v>
      </c>
      <c r="E1732" s="76" t="s">
        <v>2032</v>
      </c>
      <c r="F1732" s="76" t="s">
        <v>2033</v>
      </c>
    </row>
    <row r="1733" spans="1:6" ht="63.95" customHeight="1">
      <c r="A1733" s="76" t="s">
        <v>1875</v>
      </c>
      <c r="B1733" s="76" t="s">
        <v>5994</v>
      </c>
      <c r="C1733" s="76" t="s">
        <v>6172</v>
      </c>
      <c r="D1733" s="76" t="s">
        <v>6173</v>
      </c>
      <c r="E1733" s="76" t="s">
        <v>2032</v>
      </c>
      <c r="F1733" s="76" t="s">
        <v>2033</v>
      </c>
    </row>
    <row r="1734" spans="1:6" ht="63.95" customHeight="1">
      <c r="A1734" s="76" t="s">
        <v>1875</v>
      </c>
      <c r="B1734" s="76" t="s">
        <v>6001</v>
      </c>
      <c r="C1734" s="76" t="s">
        <v>6174</v>
      </c>
      <c r="D1734" s="76" t="s">
        <v>6175</v>
      </c>
      <c r="E1734" s="76" t="s">
        <v>2032</v>
      </c>
      <c r="F1734" s="76" t="s">
        <v>2033</v>
      </c>
    </row>
    <row r="1735" spans="1:6" ht="63.95" customHeight="1">
      <c r="A1735" s="76" t="s">
        <v>1875</v>
      </c>
      <c r="B1735" s="76" t="s">
        <v>6002</v>
      </c>
      <c r="C1735" s="76" t="s">
        <v>6176</v>
      </c>
      <c r="D1735" s="76" t="s">
        <v>6177</v>
      </c>
      <c r="E1735" s="76" t="s">
        <v>2032</v>
      </c>
      <c r="F1735" s="76" t="s">
        <v>2033</v>
      </c>
    </row>
    <row r="1736" spans="1:6" ht="63.95" customHeight="1">
      <c r="A1736" s="76" t="s">
        <v>1875</v>
      </c>
      <c r="B1736" s="76" t="s">
        <v>2004</v>
      </c>
      <c r="C1736" s="76" t="s">
        <v>6178</v>
      </c>
      <c r="D1736" s="76" t="s">
        <v>6179</v>
      </c>
      <c r="E1736" s="76" t="s">
        <v>2032</v>
      </c>
      <c r="F1736" s="76" t="s">
        <v>2033</v>
      </c>
    </row>
    <row r="1737" spans="1:6" ht="63.95" customHeight="1">
      <c r="A1737" s="76" t="s">
        <v>1875</v>
      </c>
      <c r="B1737" s="76" t="s">
        <v>2005</v>
      </c>
      <c r="C1737" s="76" t="s">
        <v>6180</v>
      </c>
      <c r="D1737" s="76" t="s">
        <v>6181</v>
      </c>
      <c r="E1737" s="76" t="s">
        <v>2032</v>
      </c>
      <c r="F1737" s="76" t="s">
        <v>2033</v>
      </c>
    </row>
    <row r="1738" spans="1:6" ht="63.95" customHeight="1">
      <c r="A1738" s="76" t="s">
        <v>1875</v>
      </c>
      <c r="B1738" s="76" t="s">
        <v>6014</v>
      </c>
      <c r="C1738" s="76" t="s">
        <v>6182</v>
      </c>
      <c r="D1738" s="76" t="s">
        <v>6183</v>
      </c>
      <c r="E1738" s="76" t="s">
        <v>2032</v>
      </c>
      <c r="F1738" s="76" t="s">
        <v>2033</v>
      </c>
    </row>
    <row r="1739" spans="1:6" ht="63.95" customHeight="1">
      <c r="A1739" s="76" t="s">
        <v>1875</v>
      </c>
      <c r="B1739" s="76" t="s">
        <v>6015</v>
      </c>
      <c r="C1739" s="76" t="s">
        <v>6184</v>
      </c>
      <c r="D1739" s="76" t="s">
        <v>6185</v>
      </c>
      <c r="E1739" s="76" t="s">
        <v>2032</v>
      </c>
      <c r="F1739" s="76" t="s">
        <v>2033</v>
      </c>
    </row>
    <row r="1740" spans="1:6" ht="63.95" customHeight="1">
      <c r="A1740" s="76" t="s">
        <v>1875</v>
      </c>
      <c r="B1740" s="76" t="s">
        <v>6022</v>
      </c>
      <c r="C1740" s="76" t="s">
        <v>6186</v>
      </c>
      <c r="D1740" s="76" t="s">
        <v>6187</v>
      </c>
      <c r="E1740" s="76" t="s">
        <v>2032</v>
      </c>
      <c r="F1740" s="76" t="s">
        <v>2033</v>
      </c>
    </row>
    <row r="1741" spans="1:6" ht="63.95" customHeight="1">
      <c r="A1741" s="76" t="s">
        <v>1875</v>
      </c>
      <c r="B1741" s="76" t="s">
        <v>6023</v>
      </c>
      <c r="C1741" s="76" t="s">
        <v>6188</v>
      </c>
      <c r="D1741" s="76" t="s">
        <v>6189</v>
      </c>
      <c r="E1741" s="76" t="s">
        <v>2032</v>
      </c>
      <c r="F1741" s="76" t="s">
        <v>2033</v>
      </c>
    </row>
    <row r="1742" spans="1:6" ht="63.95" customHeight="1">
      <c r="A1742" s="76" t="s">
        <v>1875</v>
      </c>
      <c r="B1742" s="76" t="s">
        <v>2014</v>
      </c>
      <c r="C1742" s="76" t="s">
        <v>6190</v>
      </c>
      <c r="D1742" s="76" t="s">
        <v>6191</v>
      </c>
      <c r="E1742" s="76" t="s">
        <v>2032</v>
      </c>
      <c r="F1742" s="76" t="s">
        <v>2033</v>
      </c>
    </row>
    <row r="1743" spans="1:6" ht="63.95" customHeight="1">
      <c r="A1743" s="76" t="s">
        <v>1875</v>
      </c>
      <c r="B1743" s="76" t="s">
        <v>2016</v>
      </c>
      <c r="C1743" s="76" t="s">
        <v>6192</v>
      </c>
      <c r="D1743" s="76" t="s">
        <v>6193</v>
      </c>
      <c r="E1743" s="76" t="s">
        <v>2032</v>
      </c>
      <c r="F1743" s="76" t="s">
        <v>2033</v>
      </c>
    </row>
    <row r="1744" spans="1:6" ht="63.95" customHeight="1">
      <c r="A1744" s="76" t="s">
        <v>1875</v>
      </c>
      <c r="B1744" s="76" t="s">
        <v>6034</v>
      </c>
      <c r="C1744" s="76" t="s">
        <v>6194</v>
      </c>
      <c r="D1744" s="76" t="s">
        <v>6195</v>
      </c>
      <c r="E1744" s="76" t="s">
        <v>2032</v>
      </c>
      <c r="F1744" s="76" t="s">
        <v>2033</v>
      </c>
    </row>
    <row r="1745" spans="1:6" ht="63.95" customHeight="1">
      <c r="A1745" s="76" t="s">
        <v>1875</v>
      </c>
      <c r="B1745" s="76" t="s">
        <v>6035</v>
      </c>
      <c r="C1745" s="76" t="s">
        <v>6196</v>
      </c>
      <c r="D1745" s="76" t="s">
        <v>6197</v>
      </c>
      <c r="E1745" s="76" t="s">
        <v>2032</v>
      </c>
      <c r="F1745" s="76" t="s">
        <v>2033</v>
      </c>
    </row>
    <row r="1746" spans="1:6" ht="63.95" customHeight="1">
      <c r="A1746" s="76" t="s">
        <v>1875</v>
      </c>
      <c r="B1746" s="76" t="s">
        <v>6040</v>
      </c>
      <c r="C1746" s="76" t="s">
        <v>6198</v>
      </c>
      <c r="D1746" s="76" t="s">
        <v>6199</v>
      </c>
      <c r="E1746" s="76" t="s">
        <v>2032</v>
      </c>
      <c r="F1746" s="76" t="s">
        <v>2033</v>
      </c>
    </row>
    <row r="1747" spans="1:6" ht="63.95" customHeight="1">
      <c r="A1747" s="76" t="s">
        <v>1875</v>
      </c>
      <c r="B1747" s="76" t="s">
        <v>6041</v>
      </c>
      <c r="C1747" s="76" t="s">
        <v>6200</v>
      </c>
      <c r="D1747" s="76" t="s">
        <v>6201</v>
      </c>
      <c r="E1747" s="76" t="s">
        <v>2032</v>
      </c>
      <c r="F1747" s="76" t="s">
        <v>2033</v>
      </c>
    </row>
    <row r="1748" spans="1:6" ht="63.95" customHeight="1">
      <c r="A1748" s="76" t="s">
        <v>1875</v>
      </c>
      <c r="B1748" s="76" t="s">
        <v>6048</v>
      </c>
      <c r="C1748" s="76" t="s">
        <v>6202</v>
      </c>
      <c r="D1748" s="76" t="s">
        <v>6203</v>
      </c>
      <c r="E1748" s="76" t="s">
        <v>2032</v>
      </c>
      <c r="F1748" s="76" t="s">
        <v>2033</v>
      </c>
    </row>
    <row r="1749" spans="1:6" ht="63.95" customHeight="1">
      <c r="A1749" s="76" t="s">
        <v>1875</v>
      </c>
      <c r="B1749" s="76" t="s">
        <v>6049</v>
      </c>
      <c r="C1749" s="76" t="s">
        <v>6204</v>
      </c>
      <c r="D1749" s="76" t="s">
        <v>6205</v>
      </c>
      <c r="E1749" s="76" t="s">
        <v>2032</v>
      </c>
      <c r="F1749" s="76" t="s">
        <v>2033</v>
      </c>
    </row>
    <row r="1750" spans="1:6" ht="63.95" customHeight="1">
      <c r="A1750" s="76" t="s">
        <v>1875</v>
      </c>
      <c r="B1750" s="76" t="s">
        <v>6056</v>
      </c>
      <c r="C1750" s="76" t="s">
        <v>6206</v>
      </c>
      <c r="D1750" s="76" t="s">
        <v>6207</v>
      </c>
      <c r="E1750" s="76" t="s">
        <v>2032</v>
      </c>
      <c r="F1750" s="76" t="s">
        <v>2033</v>
      </c>
    </row>
    <row r="1751" spans="1:6" ht="63.95" customHeight="1">
      <c r="A1751" s="76" t="s">
        <v>1875</v>
      </c>
      <c r="B1751" s="76" t="s">
        <v>6057</v>
      </c>
      <c r="C1751" s="76" t="s">
        <v>6208</v>
      </c>
      <c r="D1751" s="76" t="s">
        <v>6209</v>
      </c>
      <c r="E1751" s="76" t="s">
        <v>2032</v>
      </c>
      <c r="F1751" s="76" t="s">
        <v>2033</v>
      </c>
    </row>
    <row r="1752" spans="1:6" ht="63.95" customHeight="1">
      <c r="A1752" s="76" t="s">
        <v>1875</v>
      </c>
      <c r="B1752" s="76" t="s">
        <v>6064</v>
      </c>
      <c r="C1752" s="76" t="s">
        <v>6210</v>
      </c>
      <c r="D1752" s="76" t="s">
        <v>6211</v>
      </c>
      <c r="E1752" s="76" t="s">
        <v>2032</v>
      </c>
      <c r="F1752" s="76" t="s">
        <v>2033</v>
      </c>
    </row>
    <row r="1753" spans="1:6" ht="63.95" customHeight="1">
      <c r="A1753" s="76" t="s">
        <v>1875</v>
      </c>
      <c r="B1753" s="76" t="s">
        <v>6065</v>
      </c>
      <c r="C1753" s="76" t="s">
        <v>6212</v>
      </c>
      <c r="D1753" s="76" t="s">
        <v>6213</v>
      </c>
      <c r="E1753" s="76" t="s">
        <v>2032</v>
      </c>
      <c r="F1753" s="76" t="s">
        <v>2033</v>
      </c>
    </row>
    <row r="1754" spans="1:6" ht="63.95" customHeight="1">
      <c r="A1754" s="76" t="s">
        <v>1875</v>
      </c>
      <c r="B1754" s="76" t="s">
        <v>6072</v>
      </c>
      <c r="C1754" s="76" t="s">
        <v>6214</v>
      </c>
      <c r="D1754" s="76" t="s">
        <v>6215</v>
      </c>
      <c r="E1754" s="76" t="s">
        <v>2032</v>
      </c>
      <c r="F1754" s="76" t="s">
        <v>2033</v>
      </c>
    </row>
    <row r="1755" spans="1:6" ht="63.95" customHeight="1">
      <c r="A1755" s="76" t="s">
        <v>1875</v>
      </c>
      <c r="B1755" s="76" t="s">
        <v>6073</v>
      </c>
      <c r="C1755" s="76" t="s">
        <v>6216</v>
      </c>
      <c r="D1755" s="76" t="s">
        <v>6217</v>
      </c>
      <c r="E1755" s="76" t="s">
        <v>2032</v>
      </c>
      <c r="F1755" s="76" t="s">
        <v>2033</v>
      </c>
    </row>
    <row r="1756" spans="1:6" ht="63.95" customHeight="1">
      <c r="A1756" s="76" t="s">
        <v>1875</v>
      </c>
      <c r="B1756" s="76" t="s">
        <v>6080</v>
      </c>
      <c r="C1756" s="76" t="s">
        <v>6218</v>
      </c>
      <c r="D1756" s="76" t="s">
        <v>6219</v>
      </c>
      <c r="E1756" s="76" t="s">
        <v>2032</v>
      </c>
      <c r="F1756" s="76" t="s">
        <v>2033</v>
      </c>
    </row>
    <row r="1757" spans="1:6" ht="63.95" customHeight="1">
      <c r="A1757" s="76" t="s">
        <v>1875</v>
      </c>
      <c r="B1757" s="76" t="s">
        <v>6081</v>
      </c>
      <c r="C1757" s="76" t="s">
        <v>6220</v>
      </c>
      <c r="D1757" s="76" t="s">
        <v>6221</v>
      </c>
      <c r="E1757" s="76" t="s">
        <v>2032</v>
      </c>
      <c r="F1757" s="76" t="s">
        <v>2033</v>
      </c>
    </row>
    <row r="1758" spans="1:6" ht="63.95" customHeight="1">
      <c r="A1758" s="76" t="s">
        <v>1875</v>
      </c>
      <c r="B1758" s="76" t="s">
        <v>6088</v>
      </c>
      <c r="C1758" s="76" t="s">
        <v>6222</v>
      </c>
      <c r="D1758" s="76" t="s">
        <v>6223</v>
      </c>
      <c r="E1758" s="76" t="s">
        <v>2032</v>
      </c>
      <c r="F1758" s="76" t="s">
        <v>2033</v>
      </c>
    </row>
    <row r="1759" spans="1:6" ht="63.95" customHeight="1">
      <c r="A1759" s="76" t="s">
        <v>1875</v>
      </c>
      <c r="B1759" s="76" t="s">
        <v>6089</v>
      </c>
      <c r="C1759" s="76" t="s">
        <v>6224</v>
      </c>
      <c r="D1759" s="76" t="s">
        <v>6225</v>
      </c>
      <c r="E1759" s="76" t="s">
        <v>2032</v>
      </c>
      <c r="F1759" s="76" t="s">
        <v>2033</v>
      </c>
    </row>
    <row r="1760" spans="1:6" ht="63.95" customHeight="1">
      <c r="A1760" s="76" t="s">
        <v>1875</v>
      </c>
      <c r="B1760" s="76" t="s">
        <v>6096</v>
      </c>
      <c r="C1760" s="76" t="s">
        <v>6226</v>
      </c>
      <c r="D1760" s="76" t="s">
        <v>6227</v>
      </c>
      <c r="E1760" s="76" t="s">
        <v>2032</v>
      </c>
      <c r="F1760" s="76" t="s">
        <v>2033</v>
      </c>
    </row>
    <row r="1761" spans="1:6" ht="63.95" customHeight="1">
      <c r="A1761" s="76" t="s">
        <v>1875</v>
      </c>
      <c r="B1761" s="76" t="s">
        <v>6097</v>
      </c>
      <c r="C1761" s="76" t="s">
        <v>6228</v>
      </c>
      <c r="D1761" s="76" t="s">
        <v>6229</v>
      </c>
      <c r="E1761" s="76" t="s">
        <v>2032</v>
      </c>
      <c r="F1761" s="76" t="s">
        <v>2033</v>
      </c>
    </row>
    <row r="1762" spans="1:6" ht="63.95" customHeight="1">
      <c r="A1762" s="76" t="s">
        <v>1875</v>
      </c>
      <c r="B1762" s="76" t="s">
        <v>6104</v>
      </c>
      <c r="C1762" s="76" t="s">
        <v>6230</v>
      </c>
      <c r="D1762" s="76" t="s">
        <v>6231</v>
      </c>
      <c r="E1762" s="76" t="s">
        <v>2032</v>
      </c>
      <c r="F1762" s="76" t="s">
        <v>2033</v>
      </c>
    </row>
    <row r="1763" spans="1:6" ht="63.95" customHeight="1">
      <c r="A1763" s="76" t="s">
        <v>1875</v>
      </c>
      <c r="B1763" s="76" t="s">
        <v>6105</v>
      </c>
      <c r="C1763" s="76" t="s">
        <v>6232</v>
      </c>
      <c r="D1763" s="76" t="s">
        <v>6233</v>
      </c>
      <c r="E1763" s="76" t="s">
        <v>2032</v>
      </c>
      <c r="F1763" s="76" t="s">
        <v>2033</v>
      </c>
    </row>
    <row r="1764" spans="1:6" ht="63.95" customHeight="1">
      <c r="A1764" s="76" t="s">
        <v>1875</v>
      </c>
      <c r="B1764" s="76" t="s">
        <v>6112</v>
      </c>
      <c r="C1764" s="76" t="s">
        <v>6234</v>
      </c>
      <c r="D1764" s="76" t="s">
        <v>6235</v>
      </c>
      <c r="E1764" s="76" t="s">
        <v>2032</v>
      </c>
      <c r="F1764" s="76" t="s">
        <v>2033</v>
      </c>
    </row>
    <row r="1765" spans="1:6" ht="63.95" customHeight="1">
      <c r="A1765" s="76" t="s">
        <v>1875</v>
      </c>
      <c r="B1765" s="76" t="s">
        <v>6113</v>
      </c>
      <c r="C1765" s="76" t="s">
        <v>6236</v>
      </c>
      <c r="D1765" s="76" t="s">
        <v>6237</v>
      </c>
      <c r="E1765" s="76" t="s">
        <v>2032</v>
      </c>
      <c r="F1765" s="76" t="s">
        <v>2033</v>
      </c>
    </row>
    <row r="1766" spans="1:6" ht="63.95" customHeight="1">
      <c r="A1766" s="76" t="s">
        <v>1875</v>
      </c>
      <c r="B1766" s="76" t="s">
        <v>6238</v>
      </c>
      <c r="C1766" s="76" t="s">
        <v>6239</v>
      </c>
      <c r="D1766" s="76" t="s">
        <v>6240</v>
      </c>
      <c r="E1766" s="76" t="s">
        <v>2032</v>
      </c>
      <c r="F1766" s="76" t="s">
        <v>2033</v>
      </c>
    </row>
    <row r="1767" spans="1:6" ht="63.95" customHeight="1">
      <c r="A1767" s="76" t="s">
        <v>1875</v>
      </c>
      <c r="B1767" s="76" t="s">
        <v>6241</v>
      </c>
      <c r="C1767" s="76" t="s">
        <v>6242</v>
      </c>
      <c r="D1767" s="76" t="s">
        <v>6243</v>
      </c>
      <c r="E1767" s="76" t="s">
        <v>2032</v>
      </c>
      <c r="F1767" s="76" t="s">
        <v>2033</v>
      </c>
    </row>
    <row r="1768" spans="1:6" ht="63.95" customHeight="1">
      <c r="A1768" s="76" t="s">
        <v>1875</v>
      </c>
      <c r="B1768" s="76" t="s">
        <v>6244</v>
      </c>
      <c r="C1768" s="76" t="s">
        <v>6245</v>
      </c>
      <c r="D1768" s="76" t="s">
        <v>6246</v>
      </c>
      <c r="E1768" s="76" t="s">
        <v>2032</v>
      </c>
      <c r="F1768" s="76" t="s">
        <v>2033</v>
      </c>
    </row>
    <row r="1769" spans="1:6" ht="63.95" customHeight="1">
      <c r="A1769" s="76" t="s">
        <v>1875</v>
      </c>
      <c r="B1769" s="76" t="s">
        <v>6247</v>
      </c>
      <c r="C1769" s="76" t="s">
        <v>6248</v>
      </c>
      <c r="D1769" s="76" t="s">
        <v>6249</v>
      </c>
      <c r="E1769" s="76" t="s">
        <v>2032</v>
      </c>
      <c r="F1769" s="76" t="s">
        <v>2033</v>
      </c>
    </row>
    <row r="1770" spans="1:6" ht="63.95" customHeight="1">
      <c r="A1770" s="76" t="s">
        <v>1875</v>
      </c>
      <c r="B1770" s="76" t="s">
        <v>6250</v>
      </c>
      <c r="C1770" s="76" t="s">
        <v>6251</v>
      </c>
      <c r="D1770" s="76" t="s">
        <v>6252</v>
      </c>
      <c r="E1770" s="76" t="s">
        <v>2032</v>
      </c>
      <c r="F1770" s="76" t="s">
        <v>2033</v>
      </c>
    </row>
    <row r="1771" spans="1:6" ht="63.95" customHeight="1">
      <c r="A1771" s="76" t="s">
        <v>1875</v>
      </c>
      <c r="B1771" s="76" t="s">
        <v>6253</v>
      </c>
      <c r="C1771" s="76" t="s">
        <v>6254</v>
      </c>
      <c r="D1771" s="76" t="s">
        <v>6255</v>
      </c>
      <c r="E1771" s="76" t="s">
        <v>2032</v>
      </c>
      <c r="F1771" s="76" t="s">
        <v>2033</v>
      </c>
    </row>
    <row r="1772" spans="1:6" ht="63.95" customHeight="1">
      <c r="A1772" s="76" t="s">
        <v>1875</v>
      </c>
      <c r="B1772" s="76" t="s">
        <v>6256</v>
      </c>
      <c r="C1772" s="76" t="s">
        <v>6257</v>
      </c>
      <c r="D1772" s="76" t="s">
        <v>6258</v>
      </c>
      <c r="E1772" s="76" t="s">
        <v>2032</v>
      </c>
      <c r="F1772" s="76" t="s">
        <v>2033</v>
      </c>
    </row>
    <row r="1773" spans="1:6" ht="63.95" customHeight="1">
      <c r="A1773" s="76" t="s">
        <v>1875</v>
      </c>
      <c r="B1773" s="76" t="s">
        <v>6259</v>
      </c>
      <c r="C1773" s="76" t="s">
        <v>6260</v>
      </c>
      <c r="D1773" s="76" t="s">
        <v>6261</v>
      </c>
      <c r="E1773" s="76" t="s">
        <v>2032</v>
      </c>
      <c r="F1773" s="76" t="s">
        <v>2033</v>
      </c>
    </row>
    <row r="1774" spans="1:6" ht="63.95" customHeight="1">
      <c r="A1774" s="76" t="s">
        <v>1875</v>
      </c>
      <c r="B1774" s="76" t="s">
        <v>6262</v>
      </c>
      <c r="C1774" s="76" t="s">
        <v>6263</v>
      </c>
      <c r="D1774" s="76" t="s">
        <v>6264</v>
      </c>
      <c r="E1774" s="76" t="s">
        <v>2032</v>
      </c>
      <c r="F1774" s="76" t="s">
        <v>2033</v>
      </c>
    </row>
    <row r="1775" spans="1:6" ht="63.95" customHeight="1">
      <c r="A1775" s="76" t="s">
        <v>1875</v>
      </c>
      <c r="B1775" s="76" t="s">
        <v>6265</v>
      </c>
      <c r="C1775" s="76" t="s">
        <v>6266</v>
      </c>
      <c r="D1775" s="76" t="s">
        <v>6267</v>
      </c>
      <c r="E1775" s="76" t="s">
        <v>2032</v>
      </c>
      <c r="F1775" s="76" t="s">
        <v>2033</v>
      </c>
    </row>
    <row r="1776" spans="1:6" ht="63.95" customHeight="1">
      <c r="A1776" s="76" t="s">
        <v>1875</v>
      </c>
      <c r="B1776" s="76" t="s">
        <v>6268</v>
      </c>
      <c r="C1776" s="76" t="s">
        <v>6269</v>
      </c>
      <c r="D1776" s="76" t="s">
        <v>6270</v>
      </c>
      <c r="E1776" s="76" t="s">
        <v>2032</v>
      </c>
      <c r="F1776" s="76" t="s">
        <v>2033</v>
      </c>
    </row>
    <row r="1777" spans="1:6" ht="63.95" customHeight="1">
      <c r="A1777" s="76" t="s">
        <v>1875</v>
      </c>
      <c r="B1777" s="76" t="s">
        <v>6271</v>
      </c>
      <c r="C1777" s="76" t="s">
        <v>6272</v>
      </c>
      <c r="D1777" s="76" t="s">
        <v>6273</v>
      </c>
      <c r="E1777" s="76" t="s">
        <v>2032</v>
      </c>
      <c r="F1777" s="76" t="s">
        <v>2033</v>
      </c>
    </row>
    <row r="1778" spans="1:6" ht="63.95" customHeight="1">
      <c r="A1778" s="76" t="s">
        <v>1875</v>
      </c>
      <c r="B1778" s="76" t="s">
        <v>6274</v>
      </c>
      <c r="C1778" s="76" t="s">
        <v>6275</v>
      </c>
      <c r="D1778" s="76" t="s">
        <v>6276</v>
      </c>
      <c r="E1778" s="76" t="s">
        <v>2032</v>
      </c>
      <c r="F1778" s="76" t="s">
        <v>2033</v>
      </c>
    </row>
    <row r="1779" spans="1:6" ht="63.95" customHeight="1">
      <c r="A1779" s="76" t="s">
        <v>1875</v>
      </c>
      <c r="B1779" s="76" t="s">
        <v>6277</v>
      </c>
      <c r="C1779" s="76" t="s">
        <v>6278</v>
      </c>
      <c r="D1779" s="76" t="s">
        <v>6279</v>
      </c>
      <c r="E1779" s="76" t="s">
        <v>2032</v>
      </c>
      <c r="F1779" s="76" t="s">
        <v>2033</v>
      </c>
    </row>
    <row r="1780" spans="1:6" ht="63.95" customHeight="1">
      <c r="A1780" s="76" t="s">
        <v>1875</v>
      </c>
      <c r="B1780" s="76" t="s">
        <v>6280</v>
      </c>
      <c r="C1780" s="76" t="s">
        <v>6281</v>
      </c>
      <c r="D1780" s="76" t="s">
        <v>6282</v>
      </c>
      <c r="E1780" s="76" t="s">
        <v>2032</v>
      </c>
      <c r="F1780" s="76" t="s">
        <v>2033</v>
      </c>
    </row>
    <row r="1781" spans="1:6" ht="63.95" customHeight="1">
      <c r="A1781" s="76" t="s">
        <v>1875</v>
      </c>
      <c r="B1781" s="76" t="s">
        <v>6283</v>
      </c>
      <c r="C1781" s="76" t="s">
        <v>6284</v>
      </c>
      <c r="D1781" s="76" t="s">
        <v>6285</v>
      </c>
      <c r="E1781" s="76" t="s">
        <v>2032</v>
      </c>
      <c r="F1781" s="76" t="s">
        <v>2033</v>
      </c>
    </row>
    <row r="1782" spans="1:6" ht="63.95" customHeight="1">
      <c r="A1782" s="76" t="s">
        <v>1875</v>
      </c>
      <c r="B1782" s="76" t="s">
        <v>6286</v>
      </c>
      <c r="C1782" s="76" t="s">
        <v>6287</v>
      </c>
      <c r="D1782" s="76" t="s">
        <v>6288</v>
      </c>
      <c r="E1782" s="76" t="s">
        <v>2032</v>
      </c>
      <c r="F1782" s="76" t="s">
        <v>2033</v>
      </c>
    </row>
    <row r="1783" spans="1:6" ht="63.95" customHeight="1">
      <c r="A1783" s="76" t="s">
        <v>1875</v>
      </c>
      <c r="B1783" s="76" t="s">
        <v>6289</v>
      </c>
      <c r="C1783" s="76" t="s">
        <v>6290</v>
      </c>
      <c r="D1783" s="76" t="s">
        <v>6291</v>
      </c>
      <c r="E1783" s="76" t="s">
        <v>2032</v>
      </c>
      <c r="F1783" s="76" t="s">
        <v>2033</v>
      </c>
    </row>
    <row r="1784" spans="1:6" ht="63.95" customHeight="1">
      <c r="A1784" s="76" t="s">
        <v>1875</v>
      </c>
      <c r="B1784" s="76" t="s">
        <v>6292</v>
      </c>
      <c r="C1784" s="76" t="s">
        <v>6293</v>
      </c>
      <c r="D1784" s="76" t="s">
        <v>6294</v>
      </c>
      <c r="E1784" s="76" t="s">
        <v>2032</v>
      </c>
      <c r="F1784" s="76" t="s">
        <v>2033</v>
      </c>
    </row>
    <row r="1785" spans="1:6" ht="63.95" customHeight="1">
      <c r="A1785" s="76" t="s">
        <v>1875</v>
      </c>
      <c r="B1785" s="76" t="s">
        <v>6295</v>
      </c>
      <c r="C1785" s="76" t="s">
        <v>6296</v>
      </c>
      <c r="D1785" s="76" t="s">
        <v>6297</v>
      </c>
      <c r="E1785" s="76" t="s">
        <v>2032</v>
      </c>
      <c r="F1785" s="76" t="s">
        <v>2033</v>
      </c>
    </row>
    <row r="1786" spans="1:6" ht="63.95" customHeight="1">
      <c r="A1786" s="76" t="s">
        <v>1875</v>
      </c>
      <c r="B1786" s="76" t="s">
        <v>6298</v>
      </c>
      <c r="C1786" s="76" t="s">
        <v>6299</v>
      </c>
      <c r="D1786" s="76" t="s">
        <v>6300</v>
      </c>
      <c r="E1786" s="76" t="s">
        <v>2032</v>
      </c>
      <c r="F1786" s="76" t="s">
        <v>2033</v>
      </c>
    </row>
    <row r="1787" spans="1:6" ht="63.95" customHeight="1">
      <c r="A1787" s="76" t="s">
        <v>1875</v>
      </c>
      <c r="B1787" s="76" t="s">
        <v>6301</v>
      </c>
      <c r="C1787" s="76" t="s">
        <v>6302</v>
      </c>
      <c r="D1787" s="76" t="s">
        <v>6303</v>
      </c>
      <c r="E1787" s="76" t="s">
        <v>2032</v>
      </c>
      <c r="F1787" s="76" t="s">
        <v>2033</v>
      </c>
    </row>
    <row r="1788" spans="1:6" ht="63.95" customHeight="1">
      <c r="A1788" s="76" t="s">
        <v>1875</v>
      </c>
      <c r="B1788" s="76" t="s">
        <v>6304</v>
      </c>
      <c r="C1788" s="76" t="s">
        <v>6305</v>
      </c>
      <c r="D1788" s="76" t="s">
        <v>6306</v>
      </c>
      <c r="E1788" s="76" t="s">
        <v>2032</v>
      </c>
      <c r="F1788" s="76" t="s">
        <v>2033</v>
      </c>
    </row>
    <row r="1789" spans="1:6" ht="63.95" customHeight="1">
      <c r="A1789" s="76" t="s">
        <v>1875</v>
      </c>
      <c r="B1789" s="76" t="s">
        <v>6307</v>
      </c>
      <c r="C1789" s="76" t="s">
        <v>6308</v>
      </c>
      <c r="D1789" s="76" t="s">
        <v>6309</v>
      </c>
      <c r="E1789" s="76" t="s">
        <v>2032</v>
      </c>
      <c r="F1789" s="76" t="s">
        <v>2033</v>
      </c>
    </row>
    <row r="1790" spans="1:6" ht="63.95" customHeight="1">
      <c r="A1790" s="76" t="s">
        <v>1875</v>
      </c>
      <c r="B1790" s="76" t="s">
        <v>6310</v>
      </c>
      <c r="C1790" s="76" t="s">
        <v>6311</v>
      </c>
      <c r="D1790" s="76" t="s">
        <v>6312</v>
      </c>
      <c r="E1790" s="76" t="s">
        <v>2032</v>
      </c>
      <c r="F1790" s="76" t="s">
        <v>2033</v>
      </c>
    </row>
    <row r="1791" spans="1:6" ht="63.95" customHeight="1">
      <c r="A1791" s="76" t="s">
        <v>1875</v>
      </c>
      <c r="B1791" s="76" t="s">
        <v>6313</v>
      </c>
      <c r="C1791" s="76" t="s">
        <v>6314</v>
      </c>
      <c r="D1791" s="76" t="s">
        <v>6315</v>
      </c>
      <c r="E1791" s="76" t="s">
        <v>2032</v>
      </c>
      <c r="F1791" s="76" t="s">
        <v>2033</v>
      </c>
    </row>
    <row r="1792" spans="1:6" ht="63.95" customHeight="1">
      <c r="A1792" s="76" t="s">
        <v>1875</v>
      </c>
      <c r="B1792" s="76" t="s">
        <v>6316</v>
      </c>
      <c r="C1792" s="76" t="s">
        <v>6317</v>
      </c>
      <c r="D1792" s="76" t="s">
        <v>6318</v>
      </c>
      <c r="E1792" s="76" t="s">
        <v>2032</v>
      </c>
      <c r="F1792" s="76" t="s">
        <v>2033</v>
      </c>
    </row>
    <row r="1793" spans="1:6" ht="63.95" customHeight="1">
      <c r="A1793" s="76" t="s">
        <v>1875</v>
      </c>
      <c r="B1793" s="76" t="s">
        <v>6319</v>
      </c>
      <c r="C1793" s="76" t="s">
        <v>6320</v>
      </c>
      <c r="D1793" s="76" t="s">
        <v>6321</v>
      </c>
      <c r="E1793" s="76" t="s">
        <v>2032</v>
      </c>
      <c r="F1793" s="76" t="s">
        <v>2033</v>
      </c>
    </row>
    <row r="1794" spans="1:6" ht="63.95" customHeight="1">
      <c r="A1794" s="76" t="s">
        <v>1875</v>
      </c>
      <c r="B1794" s="76" t="s">
        <v>6322</v>
      </c>
      <c r="C1794" s="76" t="s">
        <v>6323</v>
      </c>
      <c r="D1794" s="76" t="s">
        <v>6324</v>
      </c>
      <c r="E1794" s="76" t="s">
        <v>2032</v>
      </c>
      <c r="F1794" s="76" t="s">
        <v>2033</v>
      </c>
    </row>
    <row r="1795" spans="1:6" ht="63.95" customHeight="1">
      <c r="A1795" s="76" t="s">
        <v>1875</v>
      </c>
      <c r="B1795" s="76" t="s">
        <v>6325</v>
      </c>
      <c r="C1795" s="76" t="s">
        <v>6326</v>
      </c>
      <c r="D1795" s="76" t="s">
        <v>6327</v>
      </c>
      <c r="E1795" s="76" t="s">
        <v>2032</v>
      </c>
      <c r="F1795" s="76" t="s">
        <v>2033</v>
      </c>
    </row>
    <row r="1796" spans="1:6" ht="63.95" customHeight="1">
      <c r="A1796" s="76" t="s">
        <v>1875</v>
      </c>
      <c r="B1796" s="76" t="s">
        <v>6328</v>
      </c>
      <c r="C1796" s="76" t="s">
        <v>6329</v>
      </c>
      <c r="D1796" s="76" t="s">
        <v>6330</v>
      </c>
      <c r="E1796" s="76" t="s">
        <v>2032</v>
      </c>
      <c r="F1796" s="76" t="s">
        <v>2033</v>
      </c>
    </row>
    <row r="1797" spans="1:6" ht="63.95" customHeight="1">
      <c r="A1797" s="76" t="s">
        <v>1875</v>
      </c>
      <c r="B1797" s="76" t="s">
        <v>6331</v>
      </c>
      <c r="C1797" s="76" t="s">
        <v>6332</v>
      </c>
      <c r="D1797" s="76" t="s">
        <v>6333</v>
      </c>
      <c r="E1797" s="76" t="s">
        <v>2032</v>
      </c>
      <c r="F1797" s="76" t="s">
        <v>2033</v>
      </c>
    </row>
    <row r="1798" spans="1:6" ht="63.95" customHeight="1">
      <c r="A1798" s="76" t="s">
        <v>1875</v>
      </c>
      <c r="B1798" s="76" t="s">
        <v>5326</v>
      </c>
      <c r="C1798" s="76" t="s">
        <v>6334</v>
      </c>
      <c r="D1798" s="76" t="s">
        <v>6335</v>
      </c>
      <c r="E1798" s="76" t="s">
        <v>2032</v>
      </c>
      <c r="F1798" s="76" t="s">
        <v>2033</v>
      </c>
    </row>
    <row r="1799" spans="1:6" ht="63.95" customHeight="1">
      <c r="A1799" s="76" t="s">
        <v>1875</v>
      </c>
      <c r="B1799" s="76" t="s">
        <v>5327</v>
      </c>
      <c r="C1799" s="76" t="s">
        <v>6336</v>
      </c>
      <c r="D1799" s="76" t="s">
        <v>6337</v>
      </c>
      <c r="E1799" s="76" t="s">
        <v>2032</v>
      </c>
      <c r="F1799" s="76" t="s">
        <v>2033</v>
      </c>
    </row>
    <row r="1800" spans="1:6" ht="63.95" customHeight="1">
      <c r="A1800" s="76" t="s">
        <v>1875</v>
      </c>
      <c r="B1800" s="76" t="s">
        <v>5335</v>
      </c>
      <c r="C1800" s="76" t="s">
        <v>6338</v>
      </c>
      <c r="D1800" s="76" t="s">
        <v>6339</v>
      </c>
      <c r="E1800" s="76" t="s">
        <v>2032</v>
      </c>
      <c r="F1800" s="76" t="s">
        <v>2033</v>
      </c>
    </row>
    <row r="1801" spans="1:6" ht="63.95" customHeight="1">
      <c r="A1801" s="76" t="s">
        <v>1875</v>
      </c>
      <c r="B1801" s="76" t="s">
        <v>5336</v>
      </c>
      <c r="C1801" s="76" t="s">
        <v>6340</v>
      </c>
      <c r="D1801" s="76" t="s">
        <v>6341</v>
      </c>
      <c r="E1801" s="76" t="s">
        <v>2032</v>
      </c>
      <c r="F1801" s="76" t="s">
        <v>2033</v>
      </c>
    </row>
    <row r="1802" spans="1:6" ht="63.95" customHeight="1">
      <c r="A1802" s="76" t="s">
        <v>1875</v>
      </c>
      <c r="B1802" s="76" t="s">
        <v>5341</v>
      </c>
      <c r="C1802" s="76" t="s">
        <v>118</v>
      </c>
      <c r="D1802" s="76" t="s">
        <v>119</v>
      </c>
      <c r="E1802" s="76" t="s">
        <v>2032</v>
      </c>
      <c r="F1802" s="76" t="s">
        <v>2033</v>
      </c>
    </row>
    <row r="1803" spans="1:6" ht="63.95" customHeight="1">
      <c r="A1803" s="76" t="s">
        <v>1875</v>
      </c>
      <c r="B1803" s="76" t="s">
        <v>5342</v>
      </c>
      <c r="C1803" s="76" t="s">
        <v>836</v>
      </c>
      <c r="D1803" s="76" t="s">
        <v>877</v>
      </c>
      <c r="E1803" s="76" t="s">
        <v>2032</v>
      </c>
      <c r="F1803" s="76" t="s">
        <v>2033</v>
      </c>
    </row>
    <row r="1804" spans="1:6" ht="63.95" customHeight="1">
      <c r="A1804" s="76" t="s">
        <v>1875</v>
      </c>
      <c r="B1804" s="76" t="s">
        <v>5343</v>
      </c>
      <c r="C1804" s="76" t="s">
        <v>6342</v>
      </c>
      <c r="D1804" s="76" t="s">
        <v>6343</v>
      </c>
      <c r="E1804" s="76" t="s">
        <v>2032</v>
      </c>
      <c r="F1804" s="76" t="s">
        <v>2033</v>
      </c>
    </row>
    <row r="1805" spans="1:6" ht="63.95" customHeight="1">
      <c r="A1805" s="76" t="s">
        <v>1875</v>
      </c>
      <c r="B1805" s="76" t="s">
        <v>5344</v>
      </c>
      <c r="C1805" s="76" t="s">
        <v>6344</v>
      </c>
      <c r="D1805" s="76" t="s">
        <v>6345</v>
      </c>
      <c r="E1805" s="76" t="s">
        <v>2032</v>
      </c>
      <c r="F1805" s="76" t="s">
        <v>2033</v>
      </c>
    </row>
    <row r="1806" spans="1:6" ht="63.95" customHeight="1">
      <c r="A1806" s="76" t="s">
        <v>1875</v>
      </c>
      <c r="B1806" s="76" t="s">
        <v>5320</v>
      </c>
      <c r="C1806" s="76" t="s">
        <v>877</v>
      </c>
      <c r="D1806" s="76" t="s">
        <v>856</v>
      </c>
      <c r="E1806" s="76" t="s">
        <v>2032</v>
      </c>
      <c r="F1806" s="76" t="s">
        <v>2033</v>
      </c>
    </row>
    <row r="1807" spans="1:6" ht="63.95" customHeight="1">
      <c r="A1807" s="76" t="s">
        <v>1875</v>
      </c>
      <c r="B1807" s="76" t="s">
        <v>5347</v>
      </c>
      <c r="C1807" s="76" t="s">
        <v>6346</v>
      </c>
      <c r="D1807" s="76" t="s">
        <v>6347</v>
      </c>
      <c r="E1807" s="76" t="s">
        <v>2032</v>
      </c>
      <c r="F1807" s="76" t="s">
        <v>2033</v>
      </c>
    </row>
    <row r="1808" spans="1:6" ht="63.95" customHeight="1">
      <c r="A1808" s="76" t="s">
        <v>1875</v>
      </c>
      <c r="B1808" s="76" t="s">
        <v>5348</v>
      </c>
      <c r="C1808" s="76" t="s">
        <v>6348</v>
      </c>
      <c r="D1808" s="76" t="s">
        <v>6349</v>
      </c>
      <c r="E1808" s="76" t="s">
        <v>2032</v>
      </c>
      <c r="F1808" s="76" t="s">
        <v>2033</v>
      </c>
    </row>
    <row r="1809" spans="1:6" ht="63.95" customHeight="1">
      <c r="A1809" s="76" t="s">
        <v>1875</v>
      </c>
      <c r="B1809" s="76" t="s">
        <v>5351</v>
      </c>
      <c r="C1809" s="76" t="s">
        <v>119</v>
      </c>
      <c r="D1809" s="76" t="s">
        <v>120</v>
      </c>
      <c r="E1809" s="76" t="s">
        <v>2032</v>
      </c>
      <c r="F1809" s="76" t="s">
        <v>2033</v>
      </c>
    </row>
    <row r="1810" spans="1:6" ht="63.95" customHeight="1">
      <c r="A1810" s="76" t="s">
        <v>1875</v>
      </c>
      <c r="B1810" s="76" t="s">
        <v>5352</v>
      </c>
      <c r="C1810" s="76" t="s">
        <v>856</v>
      </c>
      <c r="D1810" s="76" t="s">
        <v>850</v>
      </c>
      <c r="E1810" s="76" t="s">
        <v>2032</v>
      </c>
      <c r="F1810" s="76" t="s">
        <v>2033</v>
      </c>
    </row>
    <row r="1811" spans="1:6" ht="63.95" customHeight="1">
      <c r="A1811" s="76" t="s">
        <v>1875</v>
      </c>
      <c r="B1811" s="76" t="s">
        <v>5353</v>
      </c>
      <c r="C1811" s="76" t="s">
        <v>6350</v>
      </c>
      <c r="D1811" s="76" t="s">
        <v>6351</v>
      </c>
      <c r="E1811" s="76" t="s">
        <v>2032</v>
      </c>
      <c r="F1811" s="76" t="s">
        <v>2033</v>
      </c>
    </row>
    <row r="1812" spans="1:6" ht="63.95" customHeight="1">
      <c r="A1812" s="76" t="s">
        <v>1875</v>
      </c>
      <c r="B1812" s="76" t="s">
        <v>5354</v>
      </c>
      <c r="C1812" s="76" t="s">
        <v>6352</v>
      </c>
      <c r="D1812" s="76" t="s">
        <v>6353</v>
      </c>
      <c r="E1812" s="76" t="s">
        <v>2032</v>
      </c>
      <c r="F1812" s="76" t="s">
        <v>2033</v>
      </c>
    </row>
    <row r="1813" spans="1:6" ht="63.95" customHeight="1">
      <c r="A1813" s="76" t="s">
        <v>1875</v>
      </c>
      <c r="B1813" s="76" t="s">
        <v>5358</v>
      </c>
      <c r="C1813" s="76" t="s">
        <v>850</v>
      </c>
      <c r="D1813" s="76" t="s">
        <v>873</v>
      </c>
      <c r="E1813" s="76" t="s">
        <v>2032</v>
      </c>
      <c r="F1813" s="76" t="s">
        <v>2033</v>
      </c>
    </row>
    <row r="1814" spans="1:6" ht="63.95" customHeight="1">
      <c r="A1814" s="76" t="s">
        <v>1875</v>
      </c>
      <c r="B1814" s="76" t="s">
        <v>5359</v>
      </c>
      <c r="C1814" s="76" t="s">
        <v>6354</v>
      </c>
      <c r="D1814" s="76" t="s">
        <v>6355</v>
      </c>
      <c r="E1814" s="76" t="s">
        <v>2032</v>
      </c>
      <c r="F1814" s="76" t="s">
        <v>2033</v>
      </c>
    </row>
    <row r="1815" spans="1:6" ht="63.95" customHeight="1">
      <c r="A1815" s="76" t="s">
        <v>1875</v>
      </c>
      <c r="B1815" s="76" t="s">
        <v>5360</v>
      </c>
      <c r="C1815" s="76" t="s">
        <v>6356</v>
      </c>
      <c r="D1815" s="76" t="s">
        <v>6357</v>
      </c>
      <c r="E1815" s="76" t="s">
        <v>2032</v>
      </c>
      <c r="F1815" s="76" t="s">
        <v>2033</v>
      </c>
    </row>
    <row r="1816" spans="1:6" ht="63.95" customHeight="1">
      <c r="A1816" s="76" t="s">
        <v>1875</v>
      </c>
      <c r="B1816" s="76" t="s">
        <v>6358</v>
      </c>
      <c r="C1816" s="76" t="s">
        <v>120</v>
      </c>
      <c r="D1816" s="76" t="s">
        <v>122</v>
      </c>
      <c r="E1816" s="76" t="s">
        <v>2032</v>
      </c>
      <c r="F1816" s="76" t="s">
        <v>2033</v>
      </c>
    </row>
    <row r="1817" spans="1:6" ht="63.95" customHeight="1">
      <c r="A1817" s="76" t="s">
        <v>1875</v>
      </c>
      <c r="B1817" s="76" t="s">
        <v>6359</v>
      </c>
      <c r="C1817" s="76" t="s">
        <v>873</v>
      </c>
      <c r="D1817" s="76" t="s">
        <v>869</v>
      </c>
      <c r="E1817" s="76" t="s">
        <v>2032</v>
      </c>
      <c r="F1817" s="76" t="s">
        <v>2033</v>
      </c>
    </row>
    <row r="1818" spans="1:6" ht="63.95" customHeight="1">
      <c r="A1818" s="76" t="s">
        <v>1875</v>
      </c>
      <c r="B1818" s="76" t="s">
        <v>6360</v>
      </c>
      <c r="C1818" s="76" t="s">
        <v>6361</v>
      </c>
      <c r="D1818" s="76" t="s">
        <v>6362</v>
      </c>
      <c r="E1818" s="76" t="s">
        <v>2032</v>
      </c>
      <c r="F1818" s="76" t="s">
        <v>2033</v>
      </c>
    </row>
    <row r="1819" spans="1:6" ht="63.95" customHeight="1">
      <c r="A1819" s="76" t="s">
        <v>1875</v>
      </c>
      <c r="B1819" s="76" t="s">
        <v>6363</v>
      </c>
      <c r="C1819" s="76" t="s">
        <v>6364</v>
      </c>
      <c r="D1819" s="76" t="s">
        <v>6365</v>
      </c>
      <c r="E1819" s="76" t="s">
        <v>2032</v>
      </c>
      <c r="F1819" s="76" t="s">
        <v>2033</v>
      </c>
    </row>
    <row r="1820" spans="1:6" ht="63.95" customHeight="1">
      <c r="A1820" s="76" t="s">
        <v>1875</v>
      </c>
      <c r="B1820" s="76" t="s">
        <v>6366</v>
      </c>
      <c r="C1820" s="76" t="s">
        <v>122</v>
      </c>
      <c r="D1820" s="76" t="s">
        <v>124</v>
      </c>
      <c r="E1820" s="76" t="s">
        <v>2032</v>
      </c>
      <c r="F1820" s="76" t="s">
        <v>2033</v>
      </c>
    </row>
    <row r="1821" spans="1:6" ht="63.95" customHeight="1">
      <c r="A1821" s="76" t="s">
        <v>1875</v>
      </c>
      <c r="B1821" s="76" t="s">
        <v>6367</v>
      </c>
      <c r="C1821" s="76" t="s">
        <v>6368</v>
      </c>
      <c r="D1821" s="76" t="s">
        <v>6369</v>
      </c>
      <c r="E1821" s="76" t="s">
        <v>2032</v>
      </c>
      <c r="F1821" s="76" t="s">
        <v>2033</v>
      </c>
    </row>
    <row r="1822" spans="1:6" ht="63.95" customHeight="1">
      <c r="A1822" s="76" t="s">
        <v>1875</v>
      </c>
      <c r="B1822" s="76" t="s">
        <v>6370</v>
      </c>
      <c r="C1822" s="76" t="s">
        <v>6371</v>
      </c>
      <c r="D1822" s="76" t="s">
        <v>6372</v>
      </c>
      <c r="E1822" s="76" t="s">
        <v>2032</v>
      </c>
      <c r="F1822" s="76" t="s">
        <v>2033</v>
      </c>
    </row>
    <row r="1823" spans="1:6" ht="63.95" customHeight="1">
      <c r="A1823" s="76" t="s">
        <v>1875</v>
      </c>
      <c r="B1823" s="76" t="s">
        <v>6373</v>
      </c>
      <c r="C1823" s="76" t="s">
        <v>124</v>
      </c>
      <c r="D1823" s="76" t="s">
        <v>126</v>
      </c>
      <c r="E1823" s="76" t="s">
        <v>2032</v>
      </c>
      <c r="F1823" s="76" t="s">
        <v>2033</v>
      </c>
    </row>
    <row r="1824" spans="1:6" ht="63.95" customHeight="1">
      <c r="A1824" s="76" t="s">
        <v>1875</v>
      </c>
      <c r="B1824" s="76" t="s">
        <v>6374</v>
      </c>
      <c r="C1824" s="76" t="s">
        <v>869</v>
      </c>
      <c r="D1824" s="76" t="s">
        <v>956</v>
      </c>
      <c r="E1824" s="76" t="s">
        <v>2032</v>
      </c>
      <c r="F1824" s="76" t="s">
        <v>2033</v>
      </c>
    </row>
    <row r="1825" spans="1:6" ht="63.95" customHeight="1">
      <c r="A1825" s="76" t="s">
        <v>1875</v>
      </c>
      <c r="B1825" s="76" t="s">
        <v>6375</v>
      </c>
      <c r="C1825" s="76" t="s">
        <v>6376</v>
      </c>
      <c r="D1825" s="76" t="s">
        <v>6377</v>
      </c>
      <c r="E1825" s="76" t="s">
        <v>2032</v>
      </c>
      <c r="F1825" s="76" t="s">
        <v>2033</v>
      </c>
    </row>
    <row r="1826" spans="1:6" ht="63.95" customHeight="1">
      <c r="A1826" s="76" t="s">
        <v>1875</v>
      </c>
      <c r="B1826" s="76" t="s">
        <v>6378</v>
      </c>
      <c r="C1826" s="76" t="s">
        <v>6379</v>
      </c>
      <c r="D1826" s="76" t="s">
        <v>6380</v>
      </c>
      <c r="E1826" s="76" t="s">
        <v>2032</v>
      </c>
      <c r="F1826" s="76" t="s">
        <v>2033</v>
      </c>
    </row>
    <row r="1827" spans="1:6" ht="63.95" customHeight="1">
      <c r="A1827" s="76" t="s">
        <v>1875</v>
      </c>
      <c r="B1827" s="76" t="s">
        <v>6381</v>
      </c>
      <c r="C1827" s="76" t="s">
        <v>126</v>
      </c>
      <c r="D1827" s="76" t="s">
        <v>138</v>
      </c>
      <c r="E1827" s="76" t="s">
        <v>2032</v>
      </c>
      <c r="F1827" s="76" t="s">
        <v>2033</v>
      </c>
    </row>
    <row r="1828" spans="1:6" ht="63.95" customHeight="1">
      <c r="A1828" s="76" t="s">
        <v>1875</v>
      </c>
      <c r="B1828" s="76" t="s">
        <v>6382</v>
      </c>
      <c r="C1828" s="76" t="s">
        <v>956</v>
      </c>
      <c r="D1828" s="76" t="s">
        <v>890</v>
      </c>
      <c r="E1828" s="76" t="s">
        <v>2032</v>
      </c>
      <c r="F1828" s="76" t="s">
        <v>2033</v>
      </c>
    </row>
    <row r="1829" spans="1:6" ht="63.95" customHeight="1">
      <c r="A1829" s="76" t="s">
        <v>1875</v>
      </c>
      <c r="B1829" s="76" t="s">
        <v>6383</v>
      </c>
      <c r="C1829" s="76" t="s">
        <v>6384</v>
      </c>
      <c r="D1829" s="76" t="s">
        <v>6385</v>
      </c>
      <c r="E1829" s="76" t="s">
        <v>2032</v>
      </c>
      <c r="F1829" s="76" t="s">
        <v>2033</v>
      </c>
    </row>
    <row r="1830" spans="1:6" ht="63.95" customHeight="1">
      <c r="A1830" s="76" t="s">
        <v>1875</v>
      </c>
      <c r="B1830" s="76" t="s">
        <v>6386</v>
      </c>
      <c r="C1830" s="76" t="s">
        <v>6387</v>
      </c>
      <c r="D1830" s="76" t="s">
        <v>6388</v>
      </c>
      <c r="E1830" s="76" t="s">
        <v>2032</v>
      </c>
      <c r="F1830" s="76" t="s">
        <v>2033</v>
      </c>
    </row>
    <row r="1831" spans="1:6" ht="63.95" customHeight="1">
      <c r="A1831" s="76" t="s">
        <v>1875</v>
      </c>
      <c r="B1831" s="76" t="s">
        <v>6389</v>
      </c>
      <c r="C1831" s="76" t="s">
        <v>138</v>
      </c>
      <c r="D1831" s="76" t="s">
        <v>139</v>
      </c>
      <c r="E1831" s="76" t="s">
        <v>2032</v>
      </c>
      <c r="F1831" s="76" t="s">
        <v>2033</v>
      </c>
    </row>
    <row r="1832" spans="1:6" ht="63.95" customHeight="1">
      <c r="A1832" s="76" t="s">
        <v>1875</v>
      </c>
      <c r="B1832" s="76" t="s">
        <v>6390</v>
      </c>
      <c r="C1832" s="76" t="s">
        <v>890</v>
      </c>
      <c r="D1832" s="76" t="s">
        <v>913</v>
      </c>
      <c r="E1832" s="76" t="s">
        <v>2032</v>
      </c>
      <c r="F1832" s="76" t="s">
        <v>2033</v>
      </c>
    </row>
    <row r="1833" spans="1:6" ht="63.95" customHeight="1">
      <c r="A1833" s="76" t="s">
        <v>1875</v>
      </c>
      <c r="B1833" s="76" t="s">
        <v>6391</v>
      </c>
      <c r="C1833" s="76" t="s">
        <v>6392</v>
      </c>
      <c r="D1833" s="76" t="s">
        <v>6393</v>
      </c>
      <c r="E1833" s="76" t="s">
        <v>2032</v>
      </c>
      <c r="F1833" s="76" t="s">
        <v>2033</v>
      </c>
    </row>
    <row r="1834" spans="1:6" ht="63.95" customHeight="1">
      <c r="A1834" s="76" t="s">
        <v>1875</v>
      </c>
      <c r="B1834" s="76" t="s">
        <v>6394</v>
      </c>
      <c r="C1834" s="76" t="s">
        <v>6395</v>
      </c>
      <c r="D1834" s="76" t="s">
        <v>6396</v>
      </c>
      <c r="E1834" s="76" t="s">
        <v>2032</v>
      </c>
      <c r="F1834" s="76" t="s">
        <v>2033</v>
      </c>
    </row>
    <row r="1835" spans="1:6" ht="63.95" customHeight="1">
      <c r="A1835" s="76" t="s">
        <v>1875</v>
      </c>
      <c r="B1835" s="76" t="s">
        <v>6397</v>
      </c>
      <c r="C1835" s="76" t="s">
        <v>139</v>
      </c>
      <c r="D1835" s="76" t="s">
        <v>140</v>
      </c>
      <c r="E1835" s="76" t="s">
        <v>2032</v>
      </c>
      <c r="F1835" s="76" t="s">
        <v>2033</v>
      </c>
    </row>
    <row r="1836" spans="1:6" ht="63.95" customHeight="1">
      <c r="A1836" s="76" t="s">
        <v>1875</v>
      </c>
      <c r="B1836" s="76" t="s">
        <v>6398</v>
      </c>
      <c r="C1836" s="76" t="s">
        <v>913</v>
      </c>
      <c r="D1836" s="76" t="s">
        <v>890</v>
      </c>
      <c r="E1836" s="76" t="s">
        <v>2032</v>
      </c>
      <c r="F1836" s="76" t="s">
        <v>2033</v>
      </c>
    </row>
    <row r="1837" spans="1:6" ht="63.95" customHeight="1">
      <c r="A1837" s="76" t="s">
        <v>1875</v>
      </c>
      <c r="B1837" s="76" t="s">
        <v>6399</v>
      </c>
      <c r="C1837" s="76" t="s">
        <v>6400</v>
      </c>
      <c r="D1837" s="76" t="s">
        <v>6401</v>
      </c>
      <c r="E1837" s="76" t="s">
        <v>2032</v>
      </c>
      <c r="F1837" s="76" t="s">
        <v>2033</v>
      </c>
    </row>
    <row r="1838" spans="1:6" ht="63.95" customHeight="1">
      <c r="A1838" s="76" t="s">
        <v>1875</v>
      </c>
      <c r="B1838" s="76" t="s">
        <v>6402</v>
      </c>
      <c r="C1838" s="76" t="s">
        <v>6403</v>
      </c>
      <c r="D1838" s="76" t="s">
        <v>6404</v>
      </c>
      <c r="E1838" s="76" t="s">
        <v>2032</v>
      </c>
      <c r="F1838" s="76" t="s">
        <v>2033</v>
      </c>
    </row>
    <row r="1839" spans="1:6" ht="63.95" customHeight="1">
      <c r="A1839" s="76" t="s">
        <v>1875</v>
      </c>
      <c r="B1839" s="76" t="s">
        <v>6405</v>
      </c>
      <c r="C1839" s="76" t="s">
        <v>890</v>
      </c>
      <c r="D1839" s="76" t="s">
        <v>896</v>
      </c>
      <c r="E1839" s="76" t="s">
        <v>2032</v>
      </c>
      <c r="F1839" s="76" t="s">
        <v>2033</v>
      </c>
    </row>
    <row r="1840" spans="1:6" ht="63.95" customHeight="1">
      <c r="A1840" s="76" t="s">
        <v>1875</v>
      </c>
      <c r="B1840" s="76" t="s">
        <v>6406</v>
      </c>
      <c r="C1840" s="76" t="s">
        <v>6407</v>
      </c>
      <c r="D1840" s="76" t="s">
        <v>6408</v>
      </c>
      <c r="E1840" s="76" t="s">
        <v>2032</v>
      </c>
      <c r="F1840" s="76" t="s">
        <v>2033</v>
      </c>
    </row>
    <row r="1841" spans="1:6" ht="63.95" customHeight="1">
      <c r="A1841" s="76" t="s">
        <v>1875</v>
      </c>
      <c r="B1841" s="76" t="s">
        <v>6409</v>
      </c>
      <c r="C1841" s="76" t="s">
        <v>6410</v>
      </c>
      <c r="D1841" s="76" t="s">
        <v>6411</v>
      </c>
      <c r="E1841" s="76" t="s">
        <v>2032</v>
      </c>
      <c r="F1841" s="76" t="s">
        <v>2033</v>
      </c>
    </row>
    <row r="1842" spans="1:6" ht="63.95" customHeight="1">
      <c r="A1842" s="76" t="s">
        <v>1875</v>
      </c>
      <c r="B1842" s="76" t="s">
        <v>6412</v>
      </c>
      <c r="C1842" s="76" t="s">
        <v>140</v>
      </c>
      <c r="D1842" s="76" t="s">
        <v>141</v>
      </c>
      <c r="E1842" s="76" t="s">
        <v>2032</v>
      </c>
      <c r="F1842" s="76" t="s">
        <v>2033</v>
      </c>
    </row>
    <row r="1843" spans="1:6" ht="63.95" customHeight="1">
      <c r="A1843" s="76" t="s">
        <v>1875</v>
      </c>
      <c r="B1843" s="76" t="s">
        <v>6413</v>
      </c>
      <c r="C1843" s="76" t="s">
        <v>896</v>
      </c>
      <c r="D1843" s="76" t="s">
        <v>903</v>
      </c>
      <c r="E1843" s="76" t="s">
        <v>2032</v>
      </c>
      <c r="F1843" s="76" t="s">
        <v>2033</v>
      </c>
    </row>
    <row r="1844" spans="1:6" ht="63.95" customHeight="1">
      <c r="A1844" s="76" t="s">
        <v>1875</v>
      </c>
      <c r="B1844" s="76" t="s">
        <v>6414</v>
      </c>
      <c r="C1844" s="76" t="s">
        <v>6415</v>
      </c>
      <c r="D1844" s="76" t="s">
        <v>6416</v>
      </c>
      <c r="E1844" s="76" t="s">
        <v>2032</v>
      </c>
      <c r="F1844" s="76" t="s">
        <v>2033</v>
      </c>
    </row>
    <row r="1845" spans="1:6" ht="63.95" customHeight="1">
      <c r="A1845" s="76" t="s">
        <v>1875</v>
      </c>
      <c r="B1845" s="76" t="s">
        <v>6417</v>
      </c>
      <c r="C1845" s="76" t="s">
        <v>6418</v>
      </c>
      <c r="D1845" s="76" t="s">
        <v>6419</v>
      </c>
      <c r="E1845" s="76" t="s">
        <v>2032</v>
      </c>
      <c r="F1845" s="76" t="s">
        <v>2033</v>
      </c>
    </row>
    <row r="1846" spans="1:6" ht="63.95" customHeight="1">
      <c r="A1846" s="76" t="s">
        <v>1875</v>
      </c>
      <c r="B1846" s="76" t="s">
        <v>6420</v>
      </c>
      <c r="C1846" s="76" t="s">
        <v>141</v>
      </c>
      <c r="D1846" s="76" t="s">
        <v>147</v>
      </c>
      <c r="E1846" s="76" t="s">
        <v>2032</v>
      </c>
      <c r="F1846" s="76" t="s">
        <v>2033</v>
      </c>
    </row>
    <row r="1847" spans="1:6" ht="63.95" customHeight="1">
      <c r="A1847" s="76" t="s">
        <v>1875</v>
      </c>
      <c r="B1847" s="76" t="s">
        <v>6421</v>
      </c>
      <c r="C1847" s="76" t="s">
        <v>903</v>
      </c>
      <c r="D1847" s="76" t="s">
        <v>907</v>
      </c>
      <c r="E1847" s="76" t="s">
        <v>2032</v>
      </c>
      <c r="F1847" s="76" t="s">
        <v>2033</v>
      </c>
    </row>
    <row r="1848" spans="1:6" ht="63.95" customHeight="1">
      <c r="A1848" s="76" t="s">
        <v>1875</v>
      </c>
      <c r="B1848" s="76" t="s">
        <v>6422</v>
      </c>
      <c r="C1848" s="76" t="s">
        <v>6423</v>
      </c>
      <c r="D1848" s="76" t="s">
        <v>6424</v>
      </c>
      <c r="E1848" s="76" t="s">
        <v>2032</v>
      </c>
      <c r="F1848" s="76" t="s">
        <v>2033</v>
      </c>
    </row>
    <row r="1849" spans="1:6" ht="63.95" customHeight="1">
      <c r="A1849" s="76" t="s">
        <v>1875</v>
      </c>
      <c r="B1849" s="76" t="s">
        <v>6425</v>
      </c>
      <c r="C1849" s="76" t="s">
        <v>6426</v>
      </c>
      <c r="D1849" s="76" t="s">
        <v>6427</v>
      </c>
      <c r="E1849" s="76" t="s">
        <v>2032</v>
      </c>
      <c r="F1849" s="76" t="s">
        <v>2033</v>
      </c>
    </row>
    <row r="1850" spans="1:6" ht="63.95" customHeight="1">
      <c r="A1850" s="76" t="s">
        <v>1875</v>
      </c>
      <c r="B1850" s="76" t="s">
        <v>6428</v>
      </c>
      <c r="C1850" s="76" t="s">
        <v>147</v>
      </c>
      <c r="D1850" s="76" t="s">
        <v>148</v>
      </c>
      <c r="E1850" s="76" t="s">
        <v>2032</v>
      </c>
      <c r="F1850" s="76" t="s">
        <v>2033</v>
      </c>
    </row>
    <row r="1851" spans="1:6" ht="63.95" customHeight="1">
      <c r="A1851" s="76" t="s">
        <v>1875</v>
      </c>
      <c r="B1851" s="76" t="s">
        <v>6429</v>
      </c>
      <c r="C1851" s="76" t="s">
        <v>907</v>
      </c>
      <c r="D1851" s="76" t="s">
        <v>988</v>
      </c>
      <c r="E1851" s="76" t="s">
        <v>2032</v>
      </c>
      <c r="F1851" s="76" t="s">
        <v>2033</v>
      </c>
    </row>
    <row r="1852" spans="1:6" ht="63.95" customHeight="1">
      <c r="A1852" s="76" t="s">
        <v>1875</v>
      </c>
      <c r="B1852" s="76" t="s">
        <v>6430</v>
      </c>
      <c r="C1852" s="76" t="s">
        <v>6431</v>
      </c>
      <c r="D1852" s="76" t="s">
        <v>6432</v>
      </c>
      <c r="E1852" s="76" t="s">
        <v>2032</v>
      </c>
      <c r="F1852" s="76" t="s">
        <v>2033</v>
      </c>
    </row>
    <row r="1853" spans="1:6" ht="63.95" customHeight="1">
      <c r="A1853" s="76" t="s">
        <v>1875</v>
      </c>
      <c r="B1853" s="76" t="s">
        <v>6433</v>
      </c>
      <c r="C1853" s="76" t="s">
        <v>6434</v>
      </c>
      <c r="D1853" s="76" t="s">
        <v>6435</v>
      </c>
      <c r="E1853" s="76" t="s">
        <v>2032</v>
      </c>
      <c r="F1853" s="76" t="s">
        <v>2033</v>
      </c>
    </row>
    <row r="1854" spans="1:6" ht="63.95" customHeight="1">
      <c r="A1854" s="76" t="s">
        <v>1875</v>
      </c>
      <c r="B1854" s="76" t="s">
        <v>6436</v>
      </c>
      <c r="C1854" s="76" t="s">
        <v>988</v>
      </c>
      <c r="D1854" s="76" t="s">
        <v>966</v>
      </c>
      <c r="E1854" s="76" t="s">
        <v>2032</v>
      </c>
      <c r="F1854" s="76" t="s">
        <v>2033</v>
      </c>
    </row>
    <row r="1855" spans="1:6" ht="63.95" customHeight="1">
      <c r="A1855" s="76" t="s">
        <v>1875</v>
      </c>
      <c r="B1855" s="76" t="s">
        <v>6437</v>
      </c>
      <c r="C1855" s="76" t="s">
        <v>6438</v>
      </c>
      <c r="D1855" s="76" t="s">
        <v>6439</v>
      </c>
      <c r="E1855" s="76" t="s">
        <v>2032</v>
      </c>
      <c r="F1855" s="76" t="s">
        <v>2033</v>
      </c>
    </row>
    <row r="1856" spans="1:6" ht="63.95" customHeight="1">
      <c r="A1856" s="76" t="s">
        <v>1875</v>
      </c>
      <c r="B1856" s="76" t="s">
        <v>6440</v>
      </c>
      <c r="C1856" s="76" t="s">
        <v>6441</v>
      </c>
      <c r="D1856" s="76" t="s">
        <v>6442</v>
      </c>
      <c r="E1856" s="76" t="s">
        <v>2032</v>
      </c>
      <c r="F1856" s="76" t="s">
        <v>2033</v>
      </c>
    </row>
    <row r="1857" spans="1:6" ht="63.95" customHeight="1">
      <c r="A1857" s="76" t="s">
        <v>1875</v>
      </c>
      <c r="B1857" s="76" t="s">
        <v>6443</v>
      </c>
      <c r="C1857" s="76" t="s">
        <v>148</v>
      </c>
      <c r="D1857" s="76" t="s">
        <v>150</v>
      </c>
      <c r="E1857" s="76" t="s">
        <v>2032</v>
      </c>
      <c r="F1857" s="76" t="s">
        <v>2033</v>
      </c>
    </row>
    <row r="1858" spans="1:6" ht="63.95" customHeight="1">
      <c r="A1858" s="76" t="s">
        <v>1875</v>
      </c>
      <c r="B1858" s="76" t="s">
        <v>6444</v>
      </c>
      <c r="C1858" s="76" t="s">
        <v>966</v>
      </c>
      <c r="D1858" s="76" t="s">
        <v>884</v>
      </c>
      <c r="E1858" s="76" t="s">
        <v>2032</v>
      </c>
      <c r="F1858" s="76" t="s">
        <v>2033</v>
      </c>
    </row>
    <row r="1859" spans="1:6" ht="63.95" customHeight="1">
      <c r="A1859" s="76" t="s">
        <v>1875</v>
      </c>
      <c r="B1859" s="76" t="s">
        <v>6445</v>
      </c>
      <c r="C1859" s="76" t="s">
        <v>6446</v>
      </c>
      <c r="D1859" s="76" t="s">
        <v>6447</v>
      </c>
      <c r="E1859" s="76" t="s">
        <v>2032</v>
      </c>
      <c r="F1859" s="76" t="s">
        <v>2033</v>
      </c>
    </row>
    <row r="1860" spans="1:6" ht="63.95" customHeight="1">
      <c r="A1860" s="76" t="s">
        <v>1875</v>
      </c>
      <c r="B1860" s="76" t="s">
        <v>6448</v>
      </c>
      <c r="C1860" s="76" t="s">
        <v>6449</v>
      </c>
      <c r="D1860" s="76" t="s">
        <v>6450</v>
      </c>
      <c r="E1860" s="76" t="s">
        <v>2032</v>
      </c>
      <c r="F1860" s="76" t="s">
        <v>2033</v>
      </c>
    </row>
    <row r="1861" spans="1:6" ht="63.95" customHeight="1">
      <c r="A1861" s="76" t="s">
        <v>1875</v>
      </c>
      <c r="B1861" s="76" t="s">
        <v>6451</v>
      </c>
      <c r="C1861" s="76" t="s">
        <v>884</v>
      </c>
      <c r="D1861" s="76" t="s">
        <v>988</v>
      </c>
      <c r="E1861" s="76" t="s">
        <v>2032</v>
      </c>
      <c r="F1861" s="76" t="s">
        <v>2033</v>
      </c>
    </row>
    <row r="1862" spans="1:6" ht="63.95" customHeight="1">
      <c r="A1862" s="76" t="s">
        <v>1875</v>
      </c>
      <c r="B1862" s="76" t="s">
        <v>6452</v>
      </c>
      <c r="C1862" s="76" t="s">
        <v>6453</v>
      </c>
      <c r="D1862" s="76" t="s">
        <v>6454</v>
      </c>
      <c r="E1862" s="76" t="s">
        <v>2032</v>
      </c>
      <c r="F1862" s="76" t="s">
        <v>2033</v>
      </c>
    </row>
    <row r="1863" spans="1:6" ht="63.95" customHeight="1">
      <c r="A1863" s="76" t="s">
        <v>1875</v>
      </c>
      <c r="B1863" s="76" t="s">
        <v>6455</v>
      </c>
      <c r="C1863" s="76" t="s">
        <v>6456</v>
      </c>
      <c r="D1863" s="76" t="s">
        <v>6457</v>
      </c>
      <c r="E1863" s="76" t="s">
        <v>2032</v>
      </c>
      <c r="F1863" s="76" t="s">
        <v>2033</v>
      </c>
    </row>
    <row r="1864" spans="1:6" ht="63.95" customHeight="1">
      <c r="A1864" s="76" t="s">
        <v>1875</v>
      </c>
      <c r="B1864" s="76" t="s">
        <v>6458</v>
      </c>
      <c r="C1864" s="76" t="s">
        <v>150</v>
      </c>
      <c r="D1864" s="76" t="s">
        <v>155</v>
      </c>
      <c r="E1864" s="76" t="s">
        <v>2032</v>
      </c>
      <c r="F1864" s="76" t="s">
        <v>2033</v>
      </c>
    </row>
    <row r="1865" spans="1:6" ht="63.95" customHeight="1">
      <c r="A1865" s="76" t="s">
        <v>1875</v>
      </c>
      <c r="B1865" s="76" t="s">
        <v>6459</v>
      </c>
      <c r="C1865" s="76" t="s">
        <v>988</v>
      </c>
      <c r="D1865" s="76" t="s">
        <v>952</v>
      </c>
      <c r="E1865" s="76" t="s">
        <v>2032</v>
      </c>
      <c r="F1865" s="76" t="s">
        <v>2033</v>
      </c>
    </row>
    <row r="1866" spans="1:6" ht="63.95" customHeight="1">
      <c r="A1866" s="76" t="s">
        <v>1875</v>
      </c>
      <c r="B1866" s="76" t="s">
        <v>6460</v>
      </c>
      <c r="C1866" s="76" t="s">
        <v>6461</v>
      </c>
      <c r="D1866" s="76" t="s">
        <v>6462</v>
      </c>
      <c r="E1866" s="76" t="s">
        <v>2032</v>
      </c>
      <c r="F1866" s="76" t="s">
        <v>2033</v>
      </c>
    </row>
    <row r="1867" spans="1:6" ht="63.95" customHeight="1">
      <c r="A1867" s="76" t="s">
        <v>1875</v>
      </c>
      <c r="B1867" s="76" t="s">
        <v>6463</v>
      </c>
      <c r="C1867" s="76" t="s">
        <v>6464</v>
      </c>
      <c r="D1867" s="76" t="s">
        <v>6465</v>
      </c>
      <c r="E1867" s="76" t="s">
        <v>2032</v>
      </c>
      <c r="F1867" s="76" t="s">
        <v>2033</v>
      </c>
    </row>
    <row r="1868" spans="1:6" ht="63.95" customHeight="1">
      <c r="A1868" s="76" t="s">
        <v>1875</v>
      </c>
      <c r="B1868" s="76" t="s">
        <v>6466</v>
      </c>
      <c r="C1868" s="76" t="s">
        <v>155</v>
      </c>
      <c r="D1868" s="76" t="s">
        <v>158</v>
      </c>
      <c r="E1868" s="76" t="s">
        <v>2032</v>
      </c>
      <c r="F1868" s="76" t="s">
        <v>2033</v>
      </c>
    </row>
    <row r="1869" spans="1:6" ht="63.95" customHeight="1">
      <c r="A1869" s="76" t="s">
        <v>1875</v>
      </c>
      <c r="B1869" s="76" t="s">
        <v>6467</v>
      </c>
      <c r="C1869" s="76" t="s">
        <v>952</v>
      </c>
      <c r="D1869" s="76" t="s">
        <v>939</v>
      </c>
      <c r="E1869" s="76" t="s">
        <v>2032</v>
      </c>
      <c r="F1869" s="76" t="s">
        <v>2033</v>
      </c>
    </row>
    <row r="1870" spans="1:6" ht="63.95" customHeight="1">
      <c r="A1870" s="76" t="s">
        <v>1875</v>
      </c>
      <c r="B1870" s="76" t="s">
        <v>6468</v>
      </c>
      <c r="C1870" s="76" t="s">
        <v>6469</v>
      </c>
      <c r="D1870" s="76" t="s">
        <v>6470</v>
      </c>
      <c r="E1870" s="76" t="s">
        <v>2032</v>
      </c>
      <c r="F1870" s="76" t="s">
        <v>2033</v>
      </c>
    </row>
    <row r="1871" spans="1:6" ht="63.95" customHeight="1">
      <c r="A1871" s="76" t="s">
        <v>1875</v>
      </c>
      <c r="B1871" s="76" t="s">
        <v>6471</v>
      </c>
      <c r="C1871" s="76" t="s">
        <v>6472</v>
      </c>
      <c r="D1871" s="76" t="s">
        <v>6473</v>
      </c>
      <c r="E1871" s="76" t="s">
        <v>2032</v>
      </c>
      <c r="F1871" s="76" t="s">
        <v>2033</v>
      </c>
    </row>
    <row r="1872" spans="1:6" ht="63.95" customHeight="1">
      <c r="A1872" s="76" t="s">
        <v>1875</v>
      </c>
      <c r="B1872" s="76" t="s">
        <v>6474</v>
      </c>
      <c r="C1872" s="76" t="s">
        <v>158</v>
      </c>
      <c r="D1872" s="76" t="s">
        <v>159</v>
      </c>
      <c r="E1872" s="76" t="s">
        <v>2032</v>
      </c>
      <c r="F1872" s="76" t="s">
        <v>2033</v>
      </c>
    </row>
    <row r="1873" spans="1:6" ht="63.95" customHeight="1">
      <c r="A1873" s="76" t="s">
        <v>1875</v>
      </c>
      <c r="B1873" s="76" t="s">
        <v>6475</v>
      </c>
      <c r="C1873" s="76" t="s">
        <v>939</v>
      </c>
      <c r="D1873" s="76" t="s">
        <v>954</v>
      </c>
      <c r="E1873" s="76" t="s">
        <v>2032</v>
      </c>
      <c r="F1873" s="76" t="s">
        <v>2033</v>
      </c>
    </row>
    <row r="1874" spans="1:6" ht="63.95" customHeight="1">
      <c r="A1874" s="76" t="s">
        <v>1875</v>
      </c>
      <c r="B1874" s="76" t="s">
        <v>6476</v>
      </c>
      <c r="C1874" s="76" t="s">
        <v>6477</v>
      </c>
      <c r="D1874" s="76" t="s">
        <v>6478</v>
      </c>
      <c r="E1874" s="76" t="s">
        <v>2032</v>
      </c>
      <c r="F1874" s="76" t="s">
        <v>2033</v>
      </c>
    </row>
    <row r="1875" spans="1:6" ht="63.95" customHeight="1">
      <c r="A1875" s="76" t="s">
        <v>1875</v>
      </c>
      <c r="B1875" s="76" t="s">
        <v>6479</v>
      </c>
      <c r="C1875" s="76" t="s">
        <v>6480</v>
      </c>
      <c r="D1875" s="76" t="s">
        <v>6481</v>
      </c>
      <c r="E1875" s="76" t="s">
        <v>2032</v>
      </c>
      <c r="F1875" s="76" t="s">
        <v>2033</v>
      </c>
    </row>
    <row r="1876" spans="1:6" ht="63.95" customHeight="1">
      <c r="A1876" s="76" t="s">
        <v>1875</v>
      </c>
      <c r="B1876" s="76" t="s">
        <v>6482</v>
      </c>
      <c r="C1876" s="76" t="s">
        <v>159</v>
      </c>
      <c r="D1876" s="76" t="s">
        <v>161</v>
      </c>
      <c r="E1876" s="76" t="s">
        <v>2032</v>
      </c>
      <c r="F1876" s="76" t="s">
        <v>2033</v>
      </c>
    </row>
    <row r="1877" spans="1:6" ht="63.95" customHeight="1">
      <c r="A1877" s="76" t="s">
        <v>1875</v>
      </c>
      <c r="B1877" s="76" t="s">
        <v>6483</v>
      </c>
      <c r="C1877" s="76" t="s">
        <v>954</v>
      </c>
      <c r="D1877" s="76" t="s">
        <v>842</v>
      </c>
      <c r="E1877" s="76" t="s">
        <v>2032</v>
      </c>
      <c r="F1877" s="76" t="s">
        <v>2033</v>
      </c>
    </row>
    <row r="1878" spans="1:6" ht="63.95" customHeight="1">
      <c r="A1878" s="76" t="s">
        <v>1875</v>
      </c>
      <c r="B1878" s="76" t="s">
        <v>6484</v>
      </c>
      <c r="C1878" s="76" t="s">
        <v>6485</v>
      </c>
      <c r="D1878" s="76" t="s">
        <v>6486</v>
      </c>
      <c r="E1878" s="76" t="s">
        <v>2032</v>
      </c>
      <c r="F1878" s="76" t="s">
        <v>2033</v>
      </c>
    </row>
    <row r="1879" spans="1:6" ht="63.95" customHeight="1">
      <c r="A1879" s="76" t="s">
        <v>1875</v>
      </c>
      <c r="B1879" s="76" t="s">
        <v>6487</v>
      </c>
      <c r="C1879" s="76" t="s">
        <v>6488</v>
      </c>
      <c r="D1879" s="76" t="s">
        <v>6489</v>
      </c>
      <c r="E1879" s="76" t="s">
        <v>2032</v>
      </c>
      <c r="F1879" s="76" t="s">
        <v>2033</v>
      </c>
    </row>
    <row r="1880" spans="1:6" ht="63.95" customHeight="1">
      <c r="A1880" s="76" t="s">
        <v>1875</v>
      </c>
      <c r="B1880" s="76" t="s">
        <v>6490</v>
      </c>
      <c r="C1880" s="76" t="s">
        <v>161</v>
      </c>
      <c r="D1880" s="76" t="s">
        <v>162</v>
      </c>
      <c r="E1880" s="76" t="s">
        <v>2032</v>
      </c>
      <c r="F1880" s="76" t="s">
        <v>2033</v>
      </c>
    </row>
    <row r="1881" spans="1:6" ht="63.95" customHeight="1">
      <c r="A1881" s="76" t="s">
        <v>1875</v>
      </c>
      <c r="B1881" s="76" t="s">
        <v>6491</v>
      </c>
      <c r="C1881" s="76" t="s">
        <v>842</v>
      </c>
      <c r="D1881" s="76" t="s">
        <v>964</v>
      </c>
      <c r="E1881" s="76" t="s">
        <v>2032</v>
      </c>
      <c r="F1881" s="76" t="s">
        <v>2033</v>
      </c>
    </row>
    <row r="1882" spans="1:6" ht="63.95" customHeight="1">
      <c r="A1882" s="76" t="s">
        <v>1875</v>
      </c>
      <c r="B1882" s="76" t="s">
        <v>6492</v>
      </c>
      <c r="C1882" s="76" t="s">
        <v>6493</v>
      </c>
      <c r="D1882" s="76" t="s">
        <v>6494</v>
      </c>
      <c r="E1882" s="76" t="s">
        <v>2032</v>
      </c>
      <c r="F1882" s="76" t="s">
        <v>2033</v>
      </c>
    </row>
    <row r="1883" spans="1:6" ht="63.95" customHeight="1">
      <c r="A1883" s="76" t="s">
        <v>1875</v>
      </c>
      <c r="B1883" s="76" t="s">
        <v>6495</v>
      </c>
      <c r="C1883" s="76" t="s">
        <v>6496</v>
      </c>
      <c r="D1883" s="76" t="s">
        <v>6497</v>
      </c>
      <c r="E1883" s="76" t="s">
        <v>2032</v>
      </c>
      <c r="F1883" s="76" t="s">
        <v>2033</v>
      </c>
    </row>
    <row r="1884" spans="1:6" ht="63.95" customHeight="1">
      <c r="A1884" s="76" t="s">
        <v>1875</v>
      </c>
      <c r="B1884" s="76" t="s">
        <v>6498</v>
      </c>
      <c r="C1884" s="76" t="s">
        <v>162</v>
      </c>
      <c r="D1884" s="76" t="s">
        <v>166</v>
      </c>
      <c r="E1884" s="76" t="s">
        <v>2032</v>
      </c>
      <c r="F1884" s="76" t="s">
        <v>2033</v>
      </c>
    </row>
    <row r="1885" spans="1:6" ht="63.95" customHeight="1">
      <c r="A1885" s="76" t="s">
        <v>1875</v>
      </c>
      <c r="B1885" s="76" t="s">
        <v>6499</v>
      </c>
      <c r="C1885" s="76" t="s">
        <v>964</v>
      </c>
      <c r="D1885" s="76" t="s">
        <v>952</v>
      </c>
      <c r="E1885" s="76" t="s">
        <v>2032</v>
      </c>
      <c r="F1885" s="76" t="s">
        <v>2033</v>
      </c>
    </row>
    <row r="1886" spans="1:6" ht="63.95" customHeight="1">
      <c r="A1886" s="76" t="s">
        <v>1875</v>
      </c>
      <c r="B1886" s="76" t="s">
        <v>6500</v>
      </c>
      <c r="C1886" s="76" t="s">
        <v>6501</v>
      </c>
      <c r="D1886" s="76" t="s">
        <v>6502</v>
      </c>
      <c r="E1886" s="76" t="s">
        <v>2032</v>
      </c>
      <c r="F1886" s="76" t="s">
        <v>2033</v>
      </c>
    </row>
    <row r="1887" spans="1:6" ht="63.95" customHeight="1">
      <c r="A1887" s="76" t="s">
        <v>1875</v>
      </c>
      <c r="B1887" s="76" t="s">
        <v>6503</v>
      </c>
      <c r="C1887" s="76" t="s">
        <v>6504</v>
      </c>
      <c r="D1887" s="76" t="s">
        <v>6505</v>
      </c>
      <c r="E1887" s="76" t="s">
        <v>2032</v>
      </c>
      <c r="F1887" s="76" t="s">
        <v>2033</v>
      </c>
    </row>
    <row r="1888" spans="1:6" ht="63.95" customHeight="1">
      <c r="A1888" s="76" t="s">
        <v>1875</v>
      </c>
      <c r="B1888" s="76" t="s">
        <v>6506</v>
      </c>
      <c r="C1888" s="76" t="s">
        <v>166</v>
      </c>
      <c r="D1888" s="76" t="s">
        <v>167</v>
      </c>
      <c r="E1888" s="76" t="s">
        <v>2032</v>
      </c>
      <c r="F1888" s="76" t="s">
        <v>2033</v>
      </c>
    </row>
    <row r="1889" spans="1:6" ht="63.95" customHeight="1">
      <c r="A1889" s="76" t="s">
        <v>1875</v>
      </c>
      <c r="B1889" s="76" t="s">
        <v>6507</v>
      </c>
      <c r="C1889" s="76" t="s">
        <v>952</v>
      </c>
      <c r="D1889" s="76" t="s">
        <v>956</v>
      </c>
      <c r="E1889" s="76" t="s">
        <v>2032</v>
      </c>
      <c r="F1889" s="76" t="s">
        <v>2033</v>
      </c>
    </row>
    <row r="1890" spans="1:6" ht="63.95" customHeight="1">
      <c r="A1890" s="76" t="s">
        <v>1875</v>
      </c>
      <c r="B1890" s="76" t="s">
        <v>6508</v>
      </c>
      <c r="C1890" s="76" t="s">
        <v>6509</v>
      </c>
      <c r="D1890" s="76" t="s">
        <v>6510</v>
      </c>
      <c r="E1890" s="76" t="s">
        <v>2032</v>
      </c>
      <c r="F1890" s="76" t="s">
        <v>2033</v>
      </c>
    </row>
    <row r="1891" spans="1:6" ht="63.95" customHeight="1">
      <c r="A1891" s="76" t="s">
        <v>1875</v>
      </c>
      <c r="B1891" s="76" t="s">
        <v>6511</v>
      </c>
      <c r="C1891" s="76" t="s">
        <v>6512</v>
      </c>
      <c r="D1891" s="76" t="s">
        <v>6513</v>
      </c>
      <c r="E1891" s="76" t="s">
        <v>2032</v>
      </c>
      <c r="F1891" s="76" t="s">
        <v>2033</v>
      </c>
    </row>
    <row r="1892" spans="1:6" ht="63.95" customHeight="1">
      <c r="A1892" s="76" t="s">
        <v>1875</v>
      </c>
      <c r="B1892" s="76" t="s">
        <v>6514</v>
      </c>
      <c r="C1892" s="76" t="s">
        <v>167</v>
      </c>
      <c r="D1892" s="76" t="s">
        <v>170</v>
      </c>
      <c r="E1892" s="76" t="s">
        <v>2032</v>
      </c>
      <c r="F1892" s="76" t="s">
        <v>2033</v>
      </c>
    </row>
    <row r="1893" spans="1:6" ht="63.95" customHeight="1">
      <c r="A1893" s="76" t="s">
        <v>1875</v>
      </c>
      <c r="B1893" s="76" t="s">
        <v>6515</v>
      </c>
      <c r="C1893" s="76" t="s">
        <v>956</v>
      </c>
      <c r="D1893" s="76" t="s">
        <v>964</v>
      </c>
      <c r="E1893" s="76" t="s">
        <v>2032</v>
      </c>
      <c r="F1893" s="76" t="s">
        <v>2033</v>
      </c>
    </row>
    <row r="1894" spans="1:6" ht="63.95" customHeight="1">
      <c r="A1894" s="76" t="s">
        <v>1875</v>
      </c>
      <c r="B1894" s="76" t="s">
        <v>6516</v>
      </c>
      <c r="C1894" s="76" t="s">
        <v>6517</v>
      </c>
      <c r="D1894" s="76" t="s">
        <v>6518</v>
      </c>
      <c r="E1894" s="76" t="s">
        <v>2032</v>
      </c>
      <c r="F1894" s="76" t="s">
        <v>2033</v>
      </c>
    </row>
    <row r="1895" spans="1:6" ht="63.95" customHeight="1">
      <c r="A1895" s="76" t="s">
        <v>1875</v>
      </c>
      <c r="B1895" s="76" t="s">
        <v>6519</v>
      </c>
      <c r="C1895" s="76" t="s">
        <v>6520</v>
      </c>
      <c r="D1895" s="76" t="s">
        <v>6521</v>
      </c>
      <c r="E1895" s="76" t="s">
        <v>2032</v>
      </c>
      <c r="F1895" s="76" t="s">
        <v>2033</v>
      </c>
    </row>
    <row r="1896" spans="1:6" ht="63.95" customHeight="1">
      <c r="A1896" s="76" t="s">
        <v>1875</v>
      </c>
      <c r="B1896" s="76" t="s">
        <v>6522</v>
      </c>
      <c r="C1896" s="76" t="s">
        <v>170</v>
      </c>
      <c r="D1896" s="76" t="s">
        <v>171</v>
      </c>
      <c r="E1896" s="76" t="s">
        <v>2032</v>
      </c>
      <c r="F1896" s="76" t="s">
        <v>2033</v>
      </c>
    </row>
    <row r="1897" spans="1:6" ht="63.95" customHeight="1">
      <c r="A1897" s="76" t="s">
        <v>1875</v>
      </c>
      <c r="B1897" s="76" t="s">
        <v>6523</v>
      </c>
      <c r="C1897" s="76" t="s">
        <v>964</v>
      </c>
      <c r="D1897" s="76" t="s">
        <v>836</v>
      </c>
      <c r="E1897" s="76" t="s">
        <v>2032</v>
      </c>
      <c r="F1897" s="76" t="s">
        <v>2033</v>
      </c>
    </row>
    <row r="1898" spans="1:6" ht="63.95" customHeight="1">
      <c r="A1898" s="76" t="s">
        <v>1875</v>
      </c>
      <c r="B1898" s="76" t="s">
        <v>6524</v>
      </c>
      <c r="C1898" s="76" t="s">
        <v>6525</v>
      </c>
      <c r="D1898" s="76" t="s">
        <v>6526</v>
      </c>
      <c r="E1898" s="76" t="s">
        <v>2032</v>
      </c>
      <c r="F1898" s="76" t="s">
        <v>2033</v>
      </c>
    </row>
    <row r="1899" spans="1:6" ht="63.95" customHeight="1">
      <c r="A1899" s="76" t="s">
        <v>1875</v>
      </c>
      <c r="B1899" s="76" t="s">
        <v>6527</v>
      </c>
      <c r="C1899" s="76" t="s">
        <v>6528</v>
      </c>
      <c r="D1899" s="76" t="s">
        <v>6529</v>
      </c>
      <c r="E1899" s="76" t="s">
        <v>2032</v>
      </c>
      <c r="F1899" s="76" t="s">
        <v>2033</v>
      </c>
    </row>
    <row r="1900" spans="1:6" ht="63.95" customHeight="1">
      <c r="A1900" s="76" t="s">
        <v>1875</v>
      </c>
      <c r="B1900" s="76" t="s">
        <v>6530</v>
      </c>
      <c r="C1900" s="76" t="s">
        <v>171</v>
      </c>
      <c r="D1900" s="76" t="s">
        <v>173</v>
      </c>
      <c r="E1900" s="76" t="s">
        <v>2032</v>
      </c>
      <c r="F1900" s="76" t="s">
        <v>2033</v>
      </c>
    </row>
    <row r="1901" spans="1:6" ht="63.95" customHeight="1">
      <c r="A1901" s="76" t="s">
        <v>1875</v>
      </c>
      <c r="B1901" s="76" t="s">
        <v>6531</v>
      </c>
      <c r="C1901" s="76" t="s">
        <v>836</v>
      </c>
      <c r="D1901" s="76" t="s">
        <v>956</v>
      </c>
      <c r="E1901" s="76" t="s">
        <v>2032</v>
      </c>
      <c r="F1901" s="76" t="s">
        <v>2033</v>
      </c>
    </row>
    <row r="1902" spans="1:6" ht="63.95" customHeight="1">
      <c r="A1902" s="76" t="s">
        <v>1875</v>
      </c>
      <c r="B1902" s="76" t="s">
        <v>6532</v>
      </c>
      <c r="C1902" s="76" t="s">
        <v>6533</v>
      </c>
      <c r="D1902" s="76" t="s">
        <v>6534</v>
      </c>
      <c r="E1902" s="76" t="s">
        <v>2032</v>
      </c>
      <c r="F1902" s="76" t="s">
        <v>2033</v>
      </c>
    </row>
    <row r="1903" spans="1:6" ht="63.95" customHeight="1">
      <c r="A1903" s="76" t="s">
        <v>1875</v>
      </c>
      <c r="B1903" s="76" t="s">
        <v>6535</v>
      </c>
      <c r="C1903" s="76" t="s">
        <v>6536</v>
      </c>
      <c r="D1903" s="76" t="s">
        <v>6537</v>
      </c>
      <c r="E1903" s="76" t="s">
        <v>2032</v>
      </c>
      <c r="F1903" s="76" t="s">
        <v>2033</v>
      </c>
    </row>
    <row r="1904" spans="1:6" ht="63.95" customHeight="1">
      <c r="A1904" s="76" t="s">
        <v>1875</v>
      </c>
      <c r="B1904" s="76" t="s">
        <v>6538</v>
      </c>
      <c r="C1904" s="76" t="s">
        <v>173</v>
      </c>
      <c r="D1904" s="76" t="s">
        <v>174</v>
      </c>
      <c r="E1904" s="76" t="s">
        <v>2032</v>
      </c>
      <c r="F1904" s="76" t="s">
        <v>2033</v>
      </c>
    </row>
    <row r="1905" spans="1:6" ht="63.95" customHeight="1">
      <c r="A1905" s="76" t="s">
        <v>1875</v>
      </c>
      <c r="B1905" s="76" t="s">
        <v>6539</v>
      </c>
      <c r="C1905" s="76" t="s">
        <v>956</v>
      </c>
      <c r="D1905" s="76" t="s">
        <v>958</v>
      </c>
      <c r="E1905" s="76" t="s">
        <v>2032</v>
      </c>
      <c r="F1905" s="76" t="s">
        <v>2033</v>
      </c>
    </row>
    <row r="1906" spans="1:6" ht="63.95" customHeight="1">
      <c r="A1906" s="76" t="s">
        <v>1875</v>
      </c>
      <c r="B1906" s="76" t="s">
        <v>6540</v>
      </c>
      <c r="C1906" s="76" t="s">
        <v>6541</v>
      </c>
      <c r="D1906" s="76" t="s">
        <v>6542</v>
      </c>
      <c r="E1906" s="76" t="s">
        <v>2032</v>
      </c>
      <c r="F1906" s="76" t="s">
        <v>2033</v>
      </c>
    </row>
    <row r="1907" spans="1:6" ht="63.95" customHeight="1">
      <c r="A1907" s="76" t="s">
        <v>1875</v>
      </c>
      <c r="B1907" s="76" t="s">
        <v>6543</v>
      </c>
      <c r="C1907" s="76" t="s">
        <v>6544</v>
      </c>
      <c r="D1907" s="76" t="s">
        <v>6545</v>
      </c>
      <c r="E1907" s="76" t="s">
        <v>2032</v>
      </c>
      <c r="F1907" s="76" t="s">
        <v>2033</v>
      </c>
    </row>
    <row r="1908" spans="1:6" ht="63.95" customHeight="1">
      <c r="A1908" s="76" t="s">
        <v>1875</v>
      </c>
      <c r="B1908" s="76" t="s">
        <v>6546</v>
      </c>
      <c r="C1908" s="76" t="s">
        <v>174</v>
      </c>
      <c r="D1908" s="76" t="s">
        <v>182</v>
      </c>
      <c r="E1908" s="76" t="s">
        <v>2032</v>
      </c>
      <c r="F1908" s="76" t="s">
        <v>2033</v>
      </c>
    </row>
    <row r="1909" spans="1:6" ht="63.95" customHeight="1">
      <c r="A1909" s="76" t="s">
        <v>1875</v>
      </c>
      <c r="B1909" s="76" t="s">
        <v>6547</v>
      </c>
      <c r="C1909" s="76" t="s">
        <v>958</v>
      </c>
      <c r="D1909" s="76" t="s">
        <v>941</v>
      </c>
      <c r="E1909" s="76" t="s">
        <v>2032</v>
      </c>
      <c r="F1909" s="76" t="s">
        <v>2033</v>
      </c>
    </row>
    <row r="1910" spans="1:6" ht="63.95" customHeight="1">
      <c r="A1910" s="76" t="s">
        <v>1875</v>
      </c>
      <c r="B1910" s="76" t="s">
        <v>6548</v>
      </c>
      <c r="C1910" s="76" t="s">
        <v>6549</v>
      </c>
      <c r="D1910" s="76" t="s">
        <v>6550</v>
      </c>
      <c r="E1910" s="76" t="s">
        <v>2032</v>
      </c>
      <c r="F1910" s="76" t="s">
        <v>2033</v>
      </c>
    </row>
    <row r="1911" spans="1:6" ht="63.95" customHeight="1">
      <c r="A1911" s="76" t="s">
        <v>1875</v>
      </c>
      <c r="B1911" s="76" t="s">
        <v>6551</v>
      </c>
      <c r="C1911" s="76" t="s">
        <v>6552</v>
      </c>
      <c r="D1911" s="76" t="s">
        <v>6553</v>
      </c>
      <c r="E1911" s="76" t="s">
        <v>2032</v>
      </c>
      <c r="F1911" s="76" t="s">
        <v>2033</v>
      </c>
    </row>
    <row r="1912" spans="1:6" ht="63.95" customHeight="1">
      <c r="A1912" s="76" t="s">
        <v>1875</v>
      </c>
      <c r="B1912" s="76" t="s">
        <v>6554</v>
      </c>
      <c r="C1912" s="76" t="s">
        <v>182</v>
      </c>
      <c r="D1912" s="76" t="s">
        <v>189</v>
      </c>
      <c r="E1912" s="76" t="s">
        <v>2032</v>
      </c>
      <c r="F1912" s="76" t="s">
        <v>2033</v>
      </c>
    </row>
    <row r="1913" spans="1:6" ht="63.95" customHeight="1">
      <c r="A1913" s="76" t="s">
        <v>1875</v>
      </c>
      <c r="B1913" s="76" t="s">
        <v>6555</v>
      </c>
      <c r="C1913" s="76" t="s">
        <v>941</v>
      </c>
      <c r="D1913" s="76" t="s">
        <v>848</v>
      </c>
      <c r="E1913" s="76" t="s">
        <v>2032</v>
      </c>
      <c r="F1913" s="76" t="s">
        <v>2033</v>
      </c>
    </row>
    <row r="1914" spans="1:6" ht="63.95" customHeight="1">
      <c r="A1914" s="76" t="s">
        <v>1875</v>
      </c>
      <c r="B1914" s="76" t="s">
        <v>6556</v>
      </c>
      <c r="C1914" s="76" t="s">
        <v>6557</v>
      </c>
      <c r="D1914" s="76" t="s">
        <v>6558</v>
      </c>
      <c r="E1914" s="76" t="s">
        <v>2032</v>
      </c>
      <c r="F1914" s="76" t="s">
        <v>2033</v>
      </c>
    </row>
    <row r="1915" spans="1:6" ht="63.95" customHeight="1">
      <c r="A1915" s="76" t="s">
        <v>1875</v>
      </c>
      <c r="B1915" s="76" t="s">
        <v>6559</v>
      </c>
      <c r="C1915" s="76" t="s">
        <v>6560</v>
      </c>
      <c r="D1915" s="76" t="s">
        <v>6561</v>
      </c>
      <c r="E1915" s="76" t="s">
        <v>2032</v>
      </c>
      <c r="F1915" s="76" t="s">
        <v>2033</v>
      </c>
    </row>
    <row r="1916" spans="1:6" ht="63.95" customHeight="1">
      <c r="A1916" s="76" t="s">
        <v>1875</v>
      </c>
      <c r="B1916" s="76" t="s">
        <v>6562</v>
      </c>
      <c r="C1916" s="76" t="s">
        <v>189</v>
      </c>
      <c r="D1916" s="76" t="s">
        <v>194</v>
      </c>
      <c r="E1916" s="76" t="s">
        <v>2032</v>
      </c>
      <c r="F1916" s="76" t="s">
        <v>2033</v>
      </c>
    </row>
    <row r="1917" spans="1:6" ht="63.95" customHeight="1">
      <c r="A1917" s="76" t="s">
        <v>1875</v>
      </c>
      <c r="B1917" s="76" t="s">
        <v>6563</v>
      </c>
      <c r="C1917" s="76" t="s">
        <v>848</v>
      </c>
      <c r="D1917" s="76" t="s">
        <v>862</v>
      </c>
      <c r="E1917" s="76" t="s">
        <v>2032</v>
      </c>
      <c r="F1917" s="76" t="s">
        <v>2033</v>
      </c>
    </row>
    <row r="1918" spans="1:6" ht="63.95" customHeight="1">
      <c r="A1918" s="76" t="s">
        <v>1875</v>
      </c>
      <c r="B1918" s="76" t="s">
        <v>6564</v>
      </c>
      <c r="C1918" s="76" t="s">
        <v>6565</v>
      </c>
      <c r="D1918" s="76" t="s">
        <v>6566</v>
      </c>
      <c r="E1918" s="76" t="s">
        <v>2032</v>
      </c>
      <c r="F1918" s="76" t="s">
        <v>2033</v>
      </c>
    </row>
    <row r="1919" spans="1:6" ht="63.95" customHeight="1">
      <c r="A1919" s="76" t="s">
        <v>1875</v>
      </c>
      <c r="B1919" s="76" t="s">
        <v>6567</v>
      </c>
      <c r="C1919" s="76" t="s">
        <v>6568</v>
      </c>
      <c r="D1919" s="76" t="s">
        <v>6569</v>
      </c>
      <c r="E1919" s="76" t="s">
        <v>2032</v>
      </c>
      <c r="F1919" s="76" t="s">
        <v>2033</v>
      </c>
    </row>
    <row r="1920" spans="1:6" ht="63.95" customHeight="1">
      <c r="A1920" s="76" t="s">
        <v>1875</v>
      </c>
      <c r="B1920" s="76" t="s">
        <v>6570</v>
      </c>
      <c r="C1920" s="76" t="s">
        <v>862</v>
      </c>
      <c r="D1920" s="76" t="s">
        <v>867</v>
      </c>
      <c r="E1920" s="76" t="s">
        <v>2032</v>
      </c>
      <c r="F1920" s="76" t="s">
        <v>2033</v>
      </c>
    </row>
    <row r="1921" spans="1:6" ht="63.95" customHeight="1">
      <c r="A1921" s="76" t="s">
        <v>1875</v>
      </c>
      <c r="B1921" s="76" t="s">
        <v>6571</v>
      </c>
      <c r="C1921" s="76" t="s">
        <v>6572</v>
      </c>
      <c r="D1921" s="76" t="s">
        <v>6573</v>
      </c>
      <c r="E1921" s="76" t="s">
        <v>2032</v>
      </c>
      <c r="F1921" s="76" t="s">
        <v>2033</v>
      </c>
    </row>
    <row r="1922" spans="1:6" ht="63.95" customHeight="1">
      <c r="A1922" s="76" t="s">
        <v>1875</v>
      </c>
      <c r="B1922" s="76" t="s">
        <v>6574</v>
      </c>
      <c r="C1922" s="76" t="s">
        <v>6575</v>
      </c>
      <c r="D1922" s="76" t="s">
        <v>6576</v>
      </c>
      <c r="E1922" s="76" t="s">
        <v>2032</v>
      </c>
      <c r="F1922" s="76" t="s">
        <v>2033</v>
      </c>
    </row>
    <row r="1923" spans="1:6" ht="63.95" customHeight="1">
      <c r="A1923" s="76" t="s">
        <v>1875</v>
      </c>
      <c r="B1923" s="76" t="s">
        <v>6577</v>
      </c>
      <c r="C1923" s="76" t="s">
        <v>867</v>
      </c>
      <c r="D1923" s="76" t="s">
        <v>869</v>
      </c>
      <c r="E1923" s="76" t="s">
        <v>2032</v>
      </c>
      <c r="F1923" s="76" t="s">
        <v>2033</v>
      </c>
    </row>
    <row r="1924" spans="1:6" ht="63.95" customHeight="1">
      <c r="A1924" s="76" t="s">
        <v>1875</v>
      </c>
      <c r="B1924" s="76" t="s">
        <v>6578</v>
      </c>
      <c r="C1924" s="76" t="s">
        <v>6579</v>
      </c>
      <c r="D1924" s="76" t="s">
        <v>6580</v>
      </c>
      <c r="E1924" s="76" t="s">
        <v>2032</v>
      </c>
      <c r="F1924" s="76" t="s">
        <v>2033</v>
      </c>
    </row>
    <row r="1925" spans="1:6" ht="63.95" customHeight="1">
      <c r="A1925" s="76" t="s">
        <v>1875</v>
      </c>
      <c r="B1925" s="76" t="s">
        <v>6581</v>
      </c>
      <c r="C1925" s="76" t="s">
        <v>6582</v>
      </c>
      <c r="D1925" s="76" t="s">
        <v>6583</v>
      </c>
      <c r="E1925" s="76" t="s">
        <v>2032</v>
      </c>
      <c r="F1925" s="76" t="s">
        <v>2033</v>
      </c>
    </row>
    <row r="1926" spans="1:6" ht="63.95" customHeight="1">
      <c r="A1926" s="76" t="s">
        <v>1875</v>
      </c>
      <c r="B1926" s="76" t="s">
        <v>6584</v>
      </c>
      <c r="C1926" s="76" t="s">
        <v>869</v>
      </c>
      <c r="D1926" s="76" t="s">
        <v>871</v>
      </c>
      <c r="E1926" s="76" t="s">
        <v>2032</v>
      </c>
      <c r="F1926" s="76" t="s">
        <v>2033</v>
      </c>
    </row>
    <row r="1927" spans="1:6" ht="63.95" customHeight="1">
      <c r="A1927" s="76" t="s">
        <v>1875</v>
      </c>
      <c r="B1927" s="76" t="s">
        <v>6585</v>
      </c>
      <c r="C1927" s="76" t="s">
        <v>6586</v>
      </c>
      <c r="D1927" s="76" t="s">
        <v>6587</v>
      </c>
      <c r="E1927" s="76" t="s">
        <v>2032</v>
      </c>
      <c r="F1927" s="76" t="s">
        <v>2033</v>
      </c>
    </row>
    <row r="1928" spans="1:6" ht="63.95" customHeight="1">
      <c r="A1928" s="76" t="s">
        <v>1875</v>
      </c>
      <c r="B1928" s="76" t="s">
        <v>6588</v>
      </c>
      <c r="C1928" s="76" t="s">
        <v>6589</v>
      </c>
      <c r="D1928" s="76" t="s">
        <v>6590</v>
      </c>
      <c r="E1928" s="76" t="s">
        <v>2032</v>
      </c>
      <c r="F1928" s="76" t="s">
        <v>2033</v>
      </c>
    </row>
    <row r="1929" spans="1:6" ht="63.95" customHeight="1">
      <c r="A1929" s="76" t="s">
        <v>1875</v>
      </c>
      <c r="B1929" s="76" t="s">
        <v>6591</v>
      </c>
      <c r="C1929" s="76" t="s">
        <v>871</v>
      </c>
      <c r="D1929" s="76" t="s">
        <v>873</v>
      </c>
      <c r="E1929" s="76" t="s">
        <v>2032</v>
      </c>
      <c r="F1929" s="76" t="s">
        <v>2033</v>
      </c>
    </row>
    <row r="1930" spans="1:6" ht="63.95" customHeight="1">
      <c r="A1930" s="76" t="s">
        <v>1875</v>
      </c>
      <c r="B1930" s="76" t="s">
        <v>6592</v>
      </c>
      <c r="C1930" s="76" t="s">
        <v>6593</v>
      </c>
      <c r="D1930" s="76" t="s">
        <v>6594</v>
      </c>
      <c r="E1930" s="76" t="s">
        <v>2032</v>
      </c>
      <c r="F1930" s="76" t="s">
        <v>2033</v>
      </c>
    </row>
    <row r="1931" spans="1:6" ht="63.95" customHeight="1">
      <c r="A1931" s="76" t="s">
        <v>1875</v>
      </c>
      <c r="B1931" s="76" t="s">
        <v>6595</v>
      </c>
      <c r="C1931" s="76" t="s">
        <v>6596</v>
      </c>
      <c r="D1931" s="76" t="s">
        <v>6597</v>
      </c>
      <c r="E1931" s="76" t="s">
        <v>2032</v>
      </c>
      <c r="F1931" s="76" t="s">
        <v>2033</v>
      </c>
    </row>
    <row r="1932" spans="1:6" ht="63.95" customHeight="1">
      <c r="A1932" s="76" t="s">
        <v>1875</v>
      </c>
      <c r="B1932" s="76" t="s">
        <v>6598</v>
      </c>
      <c r="C1932" s="76" t="s">
        <v>873</v>
      </c>
      <c r="D1932" s="76" t="s">
        <v>879</v>
      </c>
      <c r="E1932" s="76" t="s">
        <v>2032</v>
      </c>
      <c r="F1932" s="76" t="s">
        <v>2033</v>
      </c>
    </row>
    <row r="1933" spans="1:6" ht="63.95" customHeight="1">
      <c r="A1933" s="76" t="s">
        <v>1875</v>
      </c>
      <c r="B1933" s="76" t="s">
        <v>6599</v>
      </c>
      <c r="C1933" s="76" t="s">
        <v>6600</v>
      </c>
      <c r="D1933" s="76" t="s">
        <v>6601</v>
      </c>
      <c r="E1933" s="76" t="s">
        <v>2032</v>
      </c>
      <c r="F1933" s="76" t="s">
        <v>2033</v>
      </c>
    </row>
    <row r="1934" spans="1:6" ht="63.95" customHeight="1">
      <c r="A1934" s="76" t="s">
        <v>1875</v>
      </c>
      <c r="B1934" s="76" t="s">
        <v>6602</v>
      </c>
      <c r="C1934" s="76" t="s">
        <v>6603</v>
      </c>
      <c r="D1934" s="76" t="s">
        <v>6604</v>
      </c>
      <c r="E1934" s="76" t="s">
        <v>2032</v>
      </c>
      <c r="F1934" s="76" t="s">
        <v>2033</v>
      </c>
    </row>
    <row r="1935" spans="1:6" ht="63.95" customHeight="1">
      <c r="A1935" s="76" t="s">
        <v>1875</v>
      </c>
      <c r="B1935" s="76" t="s">
        <v>6605</v>
      </c>
      <c r="C1935" s="76" t="s">
        <v>879</v>
      </c>
      <c r="D1935" s="76" t="s">
        <v>928</v>
      </c>
      <c r="E1935" s="76" t="s">
        <v>2032</v>
      </c>
      <c r="F1935" s="76" t="s">
        <v>2033</v>
      </c>
    </row>
    <row r="1936" spans="1:6" ht="63.95" customHeight="1">
      <c r="A1936" s="76" t="s">
        <v>1875</v>
      </c>
      <c r="B1936" s="76" t="s">
        <v>6606</v>
      </c>
      <c r="C1936" s="76" t="s">
        <v>6607</v>
      </c>
      <c r="D1936" s="76" t="s">
        <v>6608</v>
      </c>
      <c r="E1936" s="76" t="s">
        <v>2032</v>
      </c>
      <c r="F1936" s="76" t="s">
        <v>2033</v>
      </c>
    </row>
    <row r="1937" spans="1:6" ht="63.95" customHeight="1">
      <c r="A1937" s="76" t="s">
        <v>1875</v>
      </c>
      <c r="B1937" s="76" t="s">
        <v>6609</v>
      </c>
      <c r="C1937" s="76" t="s">
        <v>6610</v>
      </c>
      <c r="D1937" s="76" t="s">
        <v>6611</v>
      </c>
      <c r="E1937" s="76" t="s">
        <v>2032</v>
      </c>
      <c r="F1937" s="76" t="s">
        <v>2033</v>
      </c>
    </row>
    <row r="1938" spans="1:6" ht="63.95" customHeight="1">
      <c r="A1938" s="76" t="s">
        <v>1875</v>
      </c>
      <c r="B1938" s="76" t="s">
        <v>6612</v>
      </c>
      <c r="C1938" s="76" t="s">
        <v>194</v>
      </c>
      <c r="D1938" s="76" t="s">
        <v>195</v>
      </c>
      <c r="E1938" s="76" t="s">
        <v>2032</v>
      </c>
      <c r="F1938" s="76" t="s">
        <v>2033</v>
      </c>
    </row>
    <row r="1939" spans="1:6" ht="63.95" customHeight="1">
      <c r="A1939" s="76" t="s">
        <v>1875</v>
      </c>
      <c r="B1939" s="76" t="s">
        <v>6613</v>
      </c>
      <c r="C1939" s="76" t="s">
        <v>928</v>
      </c>
      <c r="D1939" s="76" t="s">
        <v>856</v>
      </c>
      <c r="E1939" s="76" t="s">
        <v>2032</v>
      </c>
      <c r="F1939" s="76" t="s">
        <v>2033</v>
      </c>
    </row>
    <row r="1940" spans="1:6" ht="63.95" customHeight="1">
      <c r="A1940" s="76" t="s">
        <v>1875</v>
      </c>
      <c r="B1940" s="76" t="s">
        <v>6614</v>
      </c>
      <c r="C1940" s="76" t="s">
        <v>6615</v>
      </c>
      <c r="D1940" s="76" t="s">
        <v>6616</v>
      </c>
      <c r="E1940" s="76" t="s">
        <v>2032</v>
      </c>
      <c r="F1940" s="76" t="s">
        <v>2033</v>
      </c>
    </row>
    <row r="1941" spans="1:6" ht="63.95" customHeight="1">
      <c r="A1941" s="76" t="s">
        <v>1875</v>
      </c>
      <c r="B1941" s="76" t="s">
        <v>6617</v>
      </c>
      <c r="C1941" s="76" t="s">
        <v>6618</v>
      </c>
      <c r="D1941" s="76" t="s">
        <v>6619</v>
      </c>
      <c r="E1941" s="76" t="s">
        <v>2032</v>
      </c>
      <c r="F1941" s="76" t="s">
        <v>2033</v>
      </c>
    </row>
    <row r="1942" spans="1:6" ht="63.95" customHeight="1">
      <c r="A1942" s="76" t="s">
        <v>1875</v>
      </c>
      <c r="B1942" s="76" t="s">
        <v>6620</v>
      </c>
      <c r="C1942" s="76" t="s">
        <v>856</v>
      </c>
      <c r="D1942" s="76" t="s">
        <v>922</v>
      </c>
      <c r="E1942" s="76" t="s">
        <v>2032</v>
      </c>
      <c r="F1942" s="76" t="s">
        <v>2033</v>
      </c>
    </row>
    <row r="1943" spans="1:6" ht="63.95" customHeight="1">
      <c r="A1943" s="76" t="s">
        <v>1875</v>
      </c>
      <c r="B1943" s="76" t="s">
        <v>6621</v>
      </c>
      <c r="C1943" s="76" t="s">
        <v>6622</v>
      </c>
      <c r="D1943" s="76" t="s">
        <v>6623</v>
      </c>
      <c r="E1943" s="76" t="s">
        <v>2032</v>
      </c>
      <c r="F1943" s="76" t="s">
        <v>2033</v>
      </c>
    </row>
    <row r="1944" spans="1:6" ht="63.95" customHeight="1">
      <c r="A1944" s="76" t="s">
        <v>1875</v>
      </c>
      <c r="B1944" s="76" t="s">
        <v>6624</v>
      </c>
      <c r="C1944" s="76" t="s">
        <v>6625</v>
      </c>
      <c r="D1944" s="76" t="s">
        <v>6626</v>
      </c>
      <c r="E1944" s="76" t="s">
        <v>2032</v>
      </c>
      <c r="F1944" s="76" t="s">
        <v>2033</v>
      </c>
    </row>
    <row r="1945" spans="1:6" ht="63.95" customHeight="1">
      <c r="A1945" s="76" t="s">
        <v>1875</v>
      </c>
      <c r="B1945" s="76" t="s">
        <v>6627</v>
      </c>
      <c r="C1945" s="76" t="s">
        <v>195</v>
      </c>
      <c r="D1945" s="76" t="s">
        <v>196</v>
      </c>
      <c r="E1945" s="76" t="s">
        <v>2032</v>
      </c>
      <c r="F1945" s="76" t="s">
        <v>2033</v>
      </c>
    </row>
    <row r="1946" spans="1:6" ht="63.95" customHeight="1">
      <c r="A1946" s="76" t="s">
        <v>1875</v>
      </c>
      <c r="B1946" s="76" t="s">
        <v>6628</v>
      </c>
      <c r="C1946" s="76" t="s">
        <v>922</v>
      </c>
      <c r="D1946" s="76" t="s">
        <v>975</v>
      </c>
      <c r="E1946" s="76" t="s">
        <v>2032</v>
      </c>
      <c r="F1946" s="76" t="s">
        <v>2033</v>
      </c>
    </row>
    <row r="1947" spans="1:6" ht="63.95" customHeight="1">
      <c r="A1947" s="76" t="s">
        <v>1875</v>
      </c>
      <c r="B1947" s="76" t="s">
        <v>6629</v>
      </c>
      <c r="C1947" s="76" t="s">
        <v>6630</v>
      </c>
      <c r="D1947" s="76" t="s">
        <v>6631</v>
      </c>
      <c r="E1947" s="76" t="s">
        <v>2032</v>
      </c>
      <c r="F1947" s="76" t="s">
        <v>2033</v>
      </c>
    </row>
    <row r="1948" spans="1:6" ht="63.95" customHeight="1">
      <c r="A1948" s="76" t="s">
        <v>1875</v>
      </c>
      <c r="B1948" s="76" t="s">
        <v>6632</v>
      </c>
      <c r="C1948" s="76" t="s">
        <v>6633</v>
      </c>
      <c r="D1948" s="76" t="s">
        <v>6634</v>
      </c>
      <c r="E1948" s="76" t="s">
        <v>2032</v>
      </c>
      <c r="F1948" s="76" t="s">
        <v>2033</v>
      </c>
    </row>
    <row r="1949" spans="1:6" ht="63.95" customHeight="1">
      <c r="A1949" s="76" t="s">
        <v>1875</v>
      </c>
      <c r="B1949" s="76" t="s">
        <v>6635</v>
      </c>
      <c r="C1949" s="76" t="s">
        <v>196</v>
      </c>
      <c r="D1949" s="76" t="s">
        <v>197</v>
      </c>
      <c r="E1949" s="76" t="s">
        <v>2032</v>
      </c>
      <c r="F1949" s="76" t="s">
        <v>2033</v>
      </c>
    </row>
    <row r="1950" spans="1:6" ht="63.95" customHeight="1">
      <c r="A1950" s="76" t="s">
        <v>1875</v>
      </c>
      <c r="B1950" s="76" t="s">
        <v>6636</v>
      </c>
      <c r="C1950" s="76" t="s">
        <v>975</v>
      </c>
      <c r="D1950" s="76" t="s">
        <v>884</v>
      </c>
      <c r="E1950" s="76" t="s">
        <v>2032</v>
      </c>
      <c r="F1950" s="76" t="s">
        <v>2033</v>
      </c>
    </row>
    <row r="1951" spans="1:6" ht="63.95" customHeight="1">
      <c r="A1951" s="76" t="s">
        <v>1875</v>
      </c>
      <c r="B1951" s="76" t="s">
        <v>6637</v>
      </c>
      <c r="C1951" s="76" t="s">
        <v>6638</v>
      </c>
      <c r="D1951" s="76" t="s">
        <v>6639</v>
      </c>
      <c r="E1951" s="76" t="s">
        <v>2032</v>
      </c>
      <c r="F1951" s="76" t="s">
        <v>2033</v>
      </c>
    </row>
    <row r="1952" spans="1:6" ht="63.95" customHeight="1">
      <c r="A1952" s="76" t="s">
        <v>1875</v>
      </c>
      <c r="B1952" s="76" t="s">
        <v>6640</v>
      </c>
      <c r="C1952" s="76" t="s">
        <v>6641</v>
      </c>
      <c r="D1952" s="76" t="s">
        <v>6642</v>
      </c>
      <c r="E1952" s="76" t="s">
        <v>2032</v>
      </c>
      <c r="F1952" s="76" t="s">
        <v>2033</v>
      </c>
    </row>
    <row r="1953" spans="1:6" ht="63.95" customHeight="1">
      <c r="A1953" s="76" t="s">
        <v>1875</v>
      </c>
      <c r="B1953" s="76" t="s">
        <v>6643</v>
      </c>
      <c r="C1953" s="76" t="s">
        <v>884</v>
      </c>
      <c r="D1953" s="76" t="s">
        <v>888</v>
      </c>
      <c r="E1953" s="76" t="s">
        <v>2032</v>
      </c>
      <c r="F1953" s="76" t="s">
        <v>2033</v>
      </c>
    </row>
    <row r="1954" spans="1:6" ht="63.95" customHeight="1">
      <c r="A1954" s="76" t="s">
        <v>1875</v>
      </c>
      <c r="B1954" s="76" t="s">
        <v>6644</v>
      </c>
      <c r="C1954" s="76" t="s">
        <v>6645</v>
      </c>
      <c r="D1954" s="76" t="s">
        <v>6646</v>
      </c>
      <c r="E1954" s="76" t="s">
        <v>2032</v>
      </c>
      <c r="F1954" s="76" t="s">
        <v>2033</v>
      </c>
    </row>
    <row r="1955" spans="1:6" ht="63.95" customHeight="1">
      <c r="A1955" s="76" t="s">
        <v>1875</v>
      </c>
      <c r="B1955" s="76" t="s">
        <v>6647</v>
      </c>
      <c r="C1955" s="76" t="s">
        <v>6648</v>
      </c>
      <c r="D1955" s="76" t="s">
        <v>6649</v>
      </c>
      <c r="E1955" s="76" t="s">
        <v>2032</v>
      </c>
      <c r="F1955" s="76" t="s">
        <v>2033</v>
      </c>
    </row>
    <row r="1956" spans="1:6" ht="63.95" customHeight="1">
      <c r="A1956" s="76" t="s">
        <v>1875</v>
      </c>
      <c r="B1956" s="76" t="s">
        <v>6650</v>
      </c>
      <c r="C1956" s="76" t="s">
        <v>197</v>
      </c>
      <c r="D1956" s="76" t="s">
        <v>202</v>
      </c>
      <c r="E1956" s="76" t="s">
        <v>2032</v>
      </c>
      <c r="F1956" s="76" t="s">
        <v>2033</v>
      </c>
    </row>
    <row r="1957" spans="1:6" ht="63.95" customHeight="1">
      <c r="A1957" s="76" t="s">
        <v>1875</v>
      </c>
      <c r="B1957" s="76" t="s">
        <v>6651</v>
      </c>
      <c r="C1957" s="76" t="s">
        <v>888</v>
      </c>
      <c r="D1957" s="76" t="s">
        <v>869</v>
      </c>
      <c r="E1957" s="76" t="s">
        <v>2032</v>
      </c>
      <c r="F1957" s="76" t="s">
        <v>2033</v>
      </c>
    </row>
    <row r="1958" spans="1:6" ht="63.95" customHeight="1">
      <c r="A1958" s="76" t="s">
        <v>1875</v>
      </c>
      <c r="B1958" s="76" t="s">
        <v>6652</v>
      </c>
      <c r="C1958" s="76" t="s">
        <v>6653</v>
      </c>
      <c r="D1958" s="76" t="s">
        <v>6654</v>
      </c>
      <c r="E1958" s="76" t="s">
        <v>2032</v>
      </c>
      <c r="F1958" s="76" t="s">
        <v>2033</v>
      </c>
    </row>
    <row r="1959" spans="1:6" ht="63.95" customHeight="1">
      <c r="A1959" s="76" t="s">
        <v>1875</v>
      </c>
      <c r="B1959" s="76" t="s">
        <v>6655</v>
      </c>
      <c r="C1959" s="76" t="s">
        <v>6656</v>
      </c>
      <c r="D1959" s="76" t="s">
        <v>6657</v>
      </c>
      <c r="E1959" s="76" t="s">
        <v>2032</v>
      </c>
      <c r="F1959" s="76" t="s">
        <v>2033</v>
      </c>
    </row>
    <row r="1960" spans="1:6" ht="63.95" customHeight="1">
      <c r="A1960" s="76" t="s">
        <v>1875</v>
      </c>
      <c r="B1960" s="76" t="s">
        <v>6658</v>
      </c>
      <c r="C1960" s="76" t="s">
        <v>202</v>
      </c>
      <c r="D1960" s="76" t="s">
        <v>208</v>
      </c>
      <c r="E1960" s="76" t="s">
        <v>2032</v>
      </c>
      <c r="F1960" s="76" t="s">
        <v>2033</v>
      </c>
    </row>
    <row r="1961" spans="1:6" ht="63.95" customHeight="1">
      <c r="A1961" s="76" t="s">
        <v>1875</v>
      </c>
      <c r="B1961" s="76" t="s">
        <v>6659</v>
      </c>
      <c r="C1961" s="76" t="s">
        <v>869</v>
      </c>
      <c r="D1961" s="76" t="s">
        <v>960</v>
      </c>
      <c r="E1961" s="76" t="s">
        <v>2032</v>
      </c>
      <c r="F1961" s="76" t="s">
        <v>2033</v>
      </c>
    </row>
    <row r="1962" spans="1:6" ht="63.95" customHeight="1">
      <c r="A1962" s="76" t="s">
        <v>1875</v>
      </c>
      <c r="B1962" s="76" t="s">
        <v>6660</v>
      </c>
      <c r="C1962" s="76" t="s">
        <v>6661</v>
      </c>
      <c r="D1962" s="76" t="s">
        <v>6662</v>
      </c>
      <c r="E1962" s="76" t="s">
        <v>2032</v>
      </c>
      <c r="F1962" s="76" t="s">
        <v>2033</v>
      </c>
    </row>
    <row r="1963" spans="1:6" ht="63.95" customHeight="1">
      <c r="A1963" s="76" t="s">
        <v>1875</v>
      </c>
      <c r="B1963" s="76" t="s">
        <v>6663</v>
      </c>
      <c r="C1963" s="76" t="s">
        <v>6664</v>
      </c>
      <c r="D1963" s="76" t="s">
        <v>6665</v>
      </c>
      <c r="E1963" s="76" t="s">
        <v>2032</v>
      </c>
      <c r="F1963" s="76" t="s">
        <v>2033</v>
      </c>
    </row>
    <row r="1964" spans="1:6" ht="63.95" customHeight="1">
      <c r="A1964" s="76" t="s">
        <v>1875</v>
      </c>
      <c r="B1964" s="76" t="s">
        <v>6666</v>
      </c>
      <c r="C1964" s="76" t="s">
        <v>208</v>
      </c>
      <c r="D1964" s="76" t="s">
        <v>211</v>
      </c>
      <c r="E1964" s="76" t="s">
        <v>2032</v>
      </c>
      <c r="F1964" s="76" t="s">
        <v>2033</v>
      </c>
    </row>
    <row r="1965" spans="1:6" ht="63.95" customHeight="1">
      <c r="A1965" s="76" t="s">
        <v>1875</v>
      </c>
      <c r="B1965" s="76" t="s">
        <v>6667</v>
      </c>
      <c r="C1965" s="76" t="s">
        <v>960</v>
      </c>
      <c r="D1965" s="76" t="s">
        <v>973</v>
      </c>
      <c r="E1965" s="76" t="s">
        <v>2032</v>
      </c>
      <c r="F1965" s="76" t="s">
        <v>2033</v>
      </c>
    </row>
    <row r="1966" spans="1:6" ht="63.95" customHeight="1">
      <c r="A1966" s="76" t="s">
        <v>1875</v>
      </c>
      <c r="B1966" s="76" t="s">
        <v>6668</v>
      </c>
      <c r="C1966" s="76" t="s">
        <v>6669</v>
      </c>
      <c r="D1966" s="76" t="s">
        <v>6670</v>
      </c>
      <c r="E1966" s="76" t="s">
        <v>2032</v>
      </c>
      <c r="F1966" s="76" t="s">
        <v>2033</v>
      </c>
    </row>
    <row r="1967" spans="1:6" ht="63.95" customHeight="1">
      <c r="A1967" s="76" t="s">
        <v>1875</v>
      </c>
      <c r="B1967" s="76" t="s">
        <v>6671</v>
      </c>
      <c r="C1967" s="76" t="s">
        <v>6672</v>
      </c>
      <c r="D1967" s="76" t="s">
        <v>6673</v>
      </c>
      <c r="E1967" s="76" t="s">
        <v>2032</v>
      </c>
      <c r="F1967" s="76" t="s">
        <v>2033</v>
      </c>
    </row>
    <row r="1968" spans="1:6" ht="63.95" customHeight="1">
      <c r="A1968" s="76" t="s">
        <v>1875</v>
      </c>
      <c r="B1968" s="76" t="s">
        <v>6674</v>
      </c>
      <c r="C1968" s="76" t="s">
        <v>211</v>
      </c>
      <c r="D1968" s="76" t="s">
        <v>212</v>
      </c>
      <c r="E1968" s="76" t="s">
        <v>2032</v>
      </c>
      <c r="F1968" s="76" t="s">
        <v>2033</v>
      </c>
    </row>
    <row r="1969" spans="1:6" ht="63.95" customHeight="1">
      <c r="A1969" s="76" t="s">
        <v>1875</v>
      </c>
      <c r="B1969" s="76" t="s">
        <v>6675</v>
      </c>
      <c r="C1969" s="76" t="s">
        <v>973</v>
      </c>
      <c r="D1969" s="76" t="s">
        <v>977</v>
      </c>
      <c r="E1969" s="76" t="s">
        <v>2032</v>
      </c>
      <c r="F1969" s="76" t="s">
        <v>2033</v>
      </c>
    </row>
    <row r="1970" spans="1:6" ht="63.95" customHeight="1">
      <c r="A1970" s="76" t="s">
        <v>1875</v>
      </c>
      <c r="B1970" s="76" t="s">
        <v>6676</v>
      </c>
      <c r="C1970" s="76" t="s">
        <v>6677</v>
      </c>
      <c r="D1970" s="76" t="s">
        <v>6678</v>
      </c>
      <c r="E1970" s="76" t="s">
        <v>2032</v>
      </c>
      <c r="F1970" s="76" t="s">
        <v>2033</v>
      </c>
    </row>
    <row r="1971" spans="1:6" ht="63.95" customHeight="1">
      <c r="A1971" s="76" t="s">
        <v>1875</v>
      </c>
      <c r="B1971" s="76" t="s">
        <v>6679</v>
      </c>
      <c r="C1971" s="76" t="s">
        <v>6680</v>
      </c>
      <c r="D1971" s="76" t="s">
        <v>6681</v>
      </c>
      <c r="E1971" s="76" t="s">
        <v>2032</v>
      </c>
      <c r="F1971" s="76" t="s">
        <v>2033</v>
      </c>
    </row>
    <row r="1972" spans="1:6" ht="63.95" customHeight="1">
      <c r="A1972" s="76" t="s">
        <v>1875</v>
      </c>
      <c r="B1972" s="76" t="s">
        <v>6682</v>
      </c>
      <c r="C1972" s="76" t="s">
        <v>977</v>
      </c>
      <c r="D1972" s="76" t="s">
        <v>922</v>
      </c>
      <c r="E1972" s="76" t="s">
        <v>2032</v>
      </c>
      <c r="F1972" s="76" t="s">
        <v>2033</v>
      </c>
    </row>
    <row r="1973" spans="1:6" ht="63.95" customHeight="1">
      <c r="A1973" s="76" t="s">
        <v>1875</v>
      </c>
      <c r="B1973" s="76" t="s">
        <v>6683</v>
      </c>
      <c r="C1973" s="76" t="s">
        <v>6684</v>
      </c>
      <c r="D1973" s="76" t="s">
        <v>6685</v>
      </c>
      <c r="E1973" s="76" t="s">
        <v>2032</v>
      </c>
      <c r="F1973" s="76" t="s">
        <v>2033</v>
      </c>
    </row>
    <row r="1974" spans="1:6" ht="63.95" customHeight="1">
      <c r="A1974" s="76" t="s">
        <v>1875</v>
      </c>
      <c r="B1974" s="76" t="s">
        <v>6686</v>
      </c>
      <c r="C1974" s="76" t="s">
        <v>6687</v>
      </c>
      <c r="D1974" s="76" t="s">
        <v>6688</v>
      </c>
      <c r="E1974" s="76" t="s">
        <v>2032</v>
      </c>
      <c r="F1974" s="76" t="s">
        <v>2033</v>
      </c>
    </row>
    <row r="1975" spans="1:6" ht="63.95" customHeight="1">
      <c r="A1975" s="76" t="s">
        <v>1875</v>
      </c>
      <c r="B1975" s="76" t="s">
        <v>6689</v>
      </c>
      <c r="C1975" s="76" t="s">
        <v>922</v>
      </c>
      <c r="D1975" s="76" t="s">
        <v>981</v>
      </c>
      <c r="E1975" s="76" t="s">
        <v>2032</v>
      </c>
      <c r="F1975" s="76" t="s">
        <v>2033</v>
      </c>
    </row>
    <row r="1976" spans="1:6" ht="63.95" customHeight="1">
      <c r="A1976" s="76" t="s">
        <v>1875</v>
      </c>
      <c r="B1976" s="76" t="s">
        <v>6690</v>
      </c>
      <c r="C1976" s="76" t="s">
        <v>6691</v>
      </c>
      <c r="D1976" s="76" t="s">
        <v>6692</v>
      </c>
      <c r="E1976" s="76" t="s">
        <v>2032</v>
      </c>
      <c r="F1976" s="76" t="s">
        <v>2033</v>
      </c>
    </row>
    <row r="1977" spans="1:6" ht="63.95" customHeight="1">
      <c r="A1977" s="76" t="s">
        <v>1875</v>
      </c>
      <c r="B1977" s="76" t="s">
        <v>6693</v>
      </c>
      <c r="C1977" s="76" t="s">
        <v>6694</v>
      </c>
      <c r="D1977" s="76" t="s">
        <v>6695</v>
      </c>
      <c r="E1977" s="76" t="s">
        <v>2032</v>
      </c>
      <c r="F1977" s="76" t="s">
        <v>2033</v>
      </c>
    </row>
    <row r="1978" spans="1:6" ht="63.95" customHeight="1">
      <c r="A1978" s="76" t="s">
        <v>1875</v>
      </c>
      <c r="B1978" s="76" t="s">
        <v>6696</v>
      </c>
      <c r="C1978" s="76" t="s">
        <v>212</v>
      </c>
      <c r="D1978" s="76" t="s">
        <v>214</v>
      </c>
      <c r="E1978" s="76" t="s">
        <v>2032</v>
      </c>
      <c r="F1978" s="76" t="s">
        <v>2033</v>
      </c>
    </row>
    <row r="1979" spans="1:6" ht="63.95" customHeight="1">
      <c r="A1979" s="76" t="s">
        <v>1875</v>
      </c>
      <c r="B1979" s="76" t="s">
        <v>6697</v>
      </c>
      <c r="C1979" s="76" t="s">
        <v>981</v>
      </c>
      <c r="D1979" s="76" t="s">
        <v>884</v>
      </c>
      <c r="E1979" s="76" t="s">
        <v>2032</v>
      </c>
      <c r="F1979" s="76" t="s">
        <v>2033</v>
      </c>
    </row>
    <row r="1980" spans="1:6" ht="63.95" customHeight="1">
      <c r="A1980" s="76" t="s">
        <v>1875</v>
      </c>
      <c r="B1980" s="76" t="s">
        <v>6698</v>
      </c>
      <c r="C1980" s="76" t="s">
        <v>6699</v>
      </c>
      <c r="D1980" s="76" t="s">
        <v>6700</v>
      </c>
      <c r="E1980" s="76" t="s">
        <v>2032</v>
      </c>
      <c r="F1980" s="76" t="s">
        <v>2033</v>
      </c>
    </row>
    <row r="1981" spans="1:6" ht="63.95" customHeight="1">
      <c r="A1981" s="76" t="s">
        <v>1875</v>
      </c>
      <c r="B1981" s="76" t="s">
        <v>6701</v>
      </c>
      <c r="C1981" s="76" t="s">
        <v>6702</v>
      </c>
      <c r="D1981" s="76" t="s">
        <v>6703</v>
      </c>
      <c r="E1981" s="76" t="s">
        <v>2032</v>
      </c>
      <c r="F1981" s="76" t="s">
        <v>2033</v>
      </c>
    </row>
    <row r="1982" spans="1:6" ht="63.95" customHeight="1">
      <c r="A1982" s="76" t="s">
        <v>1875</v>
      </c>
      <c r="B1982" s="76" t="s">
        <v>6704</v>
      </c>
      <c r="C1982" s="76" t="s">
        <v>214</v>
      </c>
      <c r="D1982" s="76" t="s">
        <v>215</v>
      </c>
      <c r="E1982" s="76" t="s">
        <v>2032</v>
      </c>
      <c r="F1982" s="76" t="s">
        <v>2033</v>
      </c>
    </row>
    <row r="1983" spans="1:6" ht="63.95" customHeight="1">
      <c r="A1983" s="76" t="s">
        <v>1875</v>
      </c>
      <c r="B1983" s="76" t="s">
        <v>6705</v>
      </c>
      <c r="C1983" s="76" t="s">
        <v>884</v>
      </c>
      <c r="D1983" s="76" t="s">
        <v>888</v>
      </c>
      <c r="E1983" s="76" t="s">
        <v>2032</v>
      </c>
      <c r="F1983" s="76" t="s">
        <v>2033</v>
      </c>
    </row>
    <row r="1984" spans="1:6" ht="63.95" customHeight="1">
      <c r="A1984" s="76" t="s">
        <v>1875</v>
      </c>
      <c r="B1984" s="76" t="s">
        <v>6706</v>
      </c>
      <c r="C1984" s="76" t="s">
        <v>6707</v>
      </c>
      <c r="D1984" s="76" t="s">
        <v>6708</v>
      </c>
      <c r="E1984" s="76" t="s">
        <v>2032</v>
      </c>
      <c r="F1984" s="76" t="s">
        <v>2033</v>
      </c>
    </row>
    <row r="1985" spans="1:6" ht="63.95" customHeight="1">
      <c r="A1985" s="76" t="s">
        <v>1875</v>
      </c>
      <c r="B1985" s="76" t="s">
        <v>6709</v>
      </c>
      <c r="C1985" s="76" t="s">
        <v>6710</v>
      </c>
      <c r="D1985" s="76" t="s">
        <v>6711</v>
      </c>
      <c r="E1985" s="76" t="s">
        <v>2032</v>
      </c>
      <c r="F1985" s="76" t="s">
        <v>2033</v>
      </c>
    </row>
    <row r="1986" spans="1:6" ht="63.95" customHeight="1">
      <c r="A1986" s="76" t="s">
        <v>1875</v>
      </c>
      <c r="B1986" s="76" t="s">
        <v>6712</v>
      </c>
      <c r="C1986" s="76" t="s">
        <v>888</v>
      </c>
      <c r="D1986" s="76" t="s">
        <v>894</v>
      </c>
      <c r="E1986" s="76" t="s">
        <v>2032</v>
      </c>
      <c r="F1986" s="76" t="s">
        <v>2033</v>
      </c>
    </row>
    <row r="1987" spans="1:6" ht="63.95" customHeight="1">
      <c r="A1987" s="76" t="s">
        <v>1875</v>
      </c>
      <c r="B1987" s="76" t="s">
        <v>6713</v>
      </c>
      <c r="C1987" s="76" t="s">
        <v>6714</v>
      </c>
      <c r="D1987" s="76" t="s">
        <v>6715</v>
      </c>
      <c r="E1987" s="76" t="s">
        <v>2032</v>
      </c>
      <c r="F1987" s="76" t="s">
        <v>2033</v>
      </c>
    </row>
    <row r="1988" spans="1:6" ht="63.95" customHeight="1">
      <c r="A1988" s="76" t="s">
        <v>1875</v>
      </c>
      <c r="B1988" s="76" t="s">
        <v>6716</v>
      </c>
      <c r="C1988" s="76" t="s">
        <v>6717</v>
      </c>
      <c r="D1988" s="76" t="s">
        <v>6718</v>
      </c>
      <c r="E1988" s="76" t="s">
        <v>2032</v>
      </c>
      <c r="F1988" s="76" t="s">
        <v>2033</v>
      </c>
    </row>
    <row r="1989" spans="1:6" ht="63.95" customHeight="1">
      <c r="A1989" s="76" t="s">
        <v>1875</v>
      </c>
      <c r="B1989" s="76" t="s">
        <v>6719</v>
      </c>
      <c r="C1989" s="76" t="s">
        <v>215</v>
      </c>
      <c r="D1989" s="76" t="s">
        <v>218</v>
      </c>
      <c r="E1989" s="76" t="s">
        <v>2032</v>
      </c>
      <c r="F1989" s="76" t="s">
        <v>2033</v>
      </c>
    </row>
    <row r="1990" spans="1:6" ht="63.95" customHeight="1">
      <c r="A1990" s="76" t="s">
        <v>1875</v>
      </c>
      <c r="B1990" s="76" t="s">
        <v>6720</v>
      </c>
      <c r="C1990" s="76" t="s">
        <v>894</v>
      </c>
      <c r="D1990" s="76" t="s">
        <v>945</v>
      </c>
      <c r="E1990" s="76" t="s">
        <v>2032</v>
      </c>
      <c r="F1990" s="76" t="s">
        <v>2033</v>
      </c>
    </row>
    <row r="1991" spans="1:6" ht="63.95" customHeight="1">
      <c r="A1991" s="76" t="s">
        <v>1875</v>
      </c>
      <c r="B1991" s="76" t="s">
        <v>6721</v>
      </c>
      <c r="C1991" s="76" t="s">
        <v>6722</v>
      </c>
      <c r="D1991" s="76" t="s">
        <v>6723</v>
      </c>
      <c r="E1991" s="76" t="s">
        <v>2032</v>
      </c>
      <c r="F1991" s="76" t="s">
        <v>2033</v>
      </c>
    </row>
    <row r="1992" spans="1:6" ht="63.95" customHeight="1">
      <c r="A1992" s="76" t="s">
        <v>1875</v>
      </c>
      <c r="B1992" s="76" t="s">
        <v>6724</v>
      </c>
      <c r="C1992" s="76" t="s">
        <v>6725</v>
      </c>
      <c r="D1992" s="76" t="s">
        <v>6726</v>
      </c>
      <c r="E1992" s="76" t="s">
        <v>2032</v>
      </c>
      <c r="F1992" s="76" t="s">
        <v>2033</v>
      </c>
    </row>
    <row r="1993" spans="1:6" ht="63.95" customHeight="1">
      <c r="A1993" s="76" t="s">
        <v>1875</v>
      </c>
      <c r="B1993" s="76" t="s">
        <v>6727</v>
      </c>
      <c r="C1993" s="76" t="s">
        <v>218</v>
      </c>
      <c r="D1993" s="76" t="s">
        <v>219</v>
      </c>
      <c r="E1993" s="76" t="s">
        <v>2032</v>
      </c>
      <c r="F1993" s="76" t="s">
        <v>2033</v>
      </c>
    </row>
    <row r="1994" spans="1:6" ht="63.95" customHeight="1">
      <c r="A1994" s="76" t="s">
        <v>1875</v>
      </c>
      <c r="B1994" s="76" t="s">
        <v>6728</v>
      </c>
      <c r="C1994" s="76" t="s">
        <v>945</v>
      </c>
      <c r="D1994" s="76" t="s">
        <v>907</v>
      </c>
      <c r="E1994" s="76" t="s">
        <v>2032</v>
      </c>
      <c r="F1994" s="76" t="s">
        <v>2033</v>
      </c>
    </row>
    <row r="1995" spans="1:6" ht="63.95" customHeight="1">
      <c r="A1995" s="76" t="s">
        <v>1875</v>
      </c>
      <c r="B1995" s="76" t="s">
        <v>6729</v>
      </c>
      <c r="C1995" s="76" t="s">
        <v>6730</v>
      </c>
      <c r="D1995" s="76" t="s">
        <v>6731</v>
      </c>
      <c r="E1995" s="76" t="s">
        <v>2032</v>
      </c>
      <c r="F1995" s="76" t="s">
        <v>2033</v>
      </c>
    </row>
    <row r="1996" spans="1:6" ht="63.95" customHeight="1">
      <c r="A1996" s="76" t="s">
        <v>1875</v>
      </c>
      <c r="B1996" s="76" t="s">
        <v>6732</v>
      </c>
      <c r="C1996" s="76" t="s">
        <v>6733</v>
      </c>
      <c r="D1996" s="76" t="s">
        <v>6734</v>
      </c>
      <c r="E1996" s="76" t="s">
        <v>2032</v>
      </c>
      <c r="F1996" s="76" t="s">
        <v>2033</v>
      </c>
    </row>
    <row r="1997" spans="1:6" ht="63.95" customHeight="1">
      <c r="A1997" s="76" t="s">
        <v>1875</v>
      </c>
      <c r="B1997" s="76" t="s">
        <v>6735</v>
      </c>
      <c r="C1997" s="76" t="s">
        <v>219</v>
      </c>
      <c r="D1997" s="76" t="s">
        <v>222</v>
      </c>
      <c r="E1997" s="76" t="s">
        <v>2032</v>
      </c>
      <c r="F1997" s="76" t="s">
        <v>2033</v>
      </c>
    </row>
    <row r="1998" spans="1:6" ht="63.95" customHeight="1">
      <c r="A1998" s="76" t="s">
        <v>1875</v>
      </c>
      <c r="B1998" s="76" t="s">
        <v>6736</v>
      </c>
      <c r="C1998" s="76" t="s">
        <v>907</v>
      </c>
      <c r="D1998" s="76" t="s">
        <v>896</v>
      </c>
      <c r="E1998" s="76" t="s">
        <v>2032</v>
      </c>
      <c r="F1998" s="76" t="s">
        <v>2033</v>
      </c>
    </row>
    <row r="1999" spans="1:6" ht="63.95" customHeight="1">
      <c r="A1999" s="76" t="s">
        <v>1875</v>
      </c>
      <c r="B1999" s="76" t="s">
        <v>6737</v>
      </c>
      <c r="C1999" s="76" t="s">
        <v>6738</v>
      </c>
      <c r="D1999" s="76" t="s">
        <v>6739</v>
      </c>
      <c r="E1999" s="76" t="s">
        <v>2032</v>
      </c>
      <c r="F1999" s="76" t="s">
        <v>2033</v>
      </c>
    </row>
    <row r="2000" spans="1:6" ht="63.95" customHeight="1">
      <c r="A2000" s="76" t="s">
        <v>1875</v>
      </c>
      <c r="B2000" s="76" t="s">
        <v>6740</v>
      </c>
      <c r="C2000" s="76" t="s">
        <v>6741</v>
      </c>
      <c r="D2000" s="76" t="s">
        <v>6742</v>
      </c>
      <c r="E2000" s="76" t="s">
        <v>2032</v>
      </c>
      <c r="F2000" s="76" t="s">
        <v>2033</v>
      </c>
    </row>
    <row r="2001" spans="1:6" ht="63.95" customHeight="1">
      <c r="A2001" s="76" t="s">
        <v>1875</v>
      </c>
      <c r="B2001" s="76" t="s">
        <v>6743</v>
      </c>
      <c r="C2001" s="76" t="s">
        <v>222</v>
      </c>
      <c r="D2001" s="76" t="s">
        <v>223</v>
      </c>
      <c r="E2001" s="76" t="s">
        <v>2032</v>
      </c>
      <c r="F2001" s="76" t="s">
        <v>2033</v>
      </c>
    </row>
    <row r="2002" spans="1:6" ht="63.95" customHeight="1">
      <c r="A2002" s="76" t="s">
        <v>1875</v>
      </c>
      <c r="B2002" s="76" t="s">
        <v>6744</v>
      </c>
      <c r="C2002" s="76" t="s">
        <v>896</v>
      </c>
      <c r="D2002" s="76" t="s">
        <v>890</v>
      </c>
      <c r="E2002" s="76" t="s">
        <v>2032</v>
      </c>
      <c r="F2002" s="76" t="s">
        <v>2033</v>
      </c>
    </row>
    <row r="2003" spans="1:6" ht="63.95" customHeight="1">
      <c r="A2003" s="76" t="s">
        <v>1875</v>
      </c>
      <c r="B2003" s="76" t="s">
        <v>6745</v>
      </c>
      <c r="C2003" s="76" t="s">
        <v>6746</v>
      </c>
      <c r="D2003" s="76" t="s">
        <v>6747</v>
      </c>
      <c r="E2003" s="76" t="s">
        <v>2032</v>
      </c>
      <c r="F2003" s="76" t="s">
        <v>2033</v>
      </c>
    </row>
    <row r="2004" spans="1:6" ht="63.95" customHeight="1">
      <c r="A2004" s="76" t="s">
        <v>1875</v>
      </c>
      <c r="B2004" s="76" t="s">
        <v>6748</v>
      </c>
      <c r="C2004" s="76" t="s">
        <v>6749</v>
      </c>
      <c r="D2004" s="76" t="s">
        <v>6750</v>
      </c>
      <c r="E2004" s="76" t="s">
        <v>2032</v>
      </c>
      <c r="F2004" s="76" t="s">
        <v>2033</v>
      </c>
    </row>
    <row r="2005" spans="1:6" ht="63.95" customHeight="1">
      <c r="A2005" s="76" t="s">
        <v>1875</v>
      </c>
      <c r="B2005" s="76" t="s">
        <v>6751</v>
      </c>
      <c r="C2005" s="76" t="s">
        <v>890</v>
      </c>
      <c r="D2005" s="76" t="s">
        <v>896</v>
      </c>
      <c r="E2005" s="76" t="s">
        <v>2032</v>
      </c>
      <c r="F2005" s="76" t="s">
        <v>2033</v>
      </c>
    </row>
    <row r="2006" spans="1:6" ht="63.95" customHeight="1">
      <c r="A2006" s="76" t="s">
        <v>1875</v>
      </c>
      <c r="B2006" s="76" t="s">
        <v>6752</v>
      </c>
      <c r="C2006" s="76" t="s">
        <v>6753</v>
      </c>
      <c r="D2006" s="76" t="s">
        <v>6754</v>
      </c>
      <c r="E2006" s="76" t="s">
        <v>2032</v>
      </c>
      <c r="F2006" s="76" t="s">
        <v>2033</v>
      </c>
    </row>
    <row r="2007" spans="1:6" ht="63.95" customHeight="1">
      <c r="A2007" s="76" t="s">
        <v>1875</v>
      </c>
      <c r="B2007" s="76" t="s">
        <v>6755</v>
      </c>
      <c r="C2007" s="76" t="s">
        <v>6756</v>
      </c>
      <c r="D2007" s="76" t="s">
        <v>6757</v>
      </c>
      <c r="E2007" s="76" t="s">
        <v>2032</v>
      </c>
      <c r="F2007" s="76" t="s">
        <v>2033</v>
      </c>
    </row>
    <row r="2008" spans="1:6" ht="63.95" customHeight="1">
      <c r="A2008" s="76" t="s">
        <v>1875</v>
      </c>
      <c r="B2008" s="76" t="s">
        <v>6758</v>
      </c>
      <c r="C2008" s="76" t="s">
        <v>223</v>
      </c>
      <c r="D2008" s="76" t="s">
        <v>224</v>
      </c>
      <c r="E2008" s="76" t="s">
        <v>2032</v>
      </c>
      <c r="F2008" s="76" t="s">
        <v>2033</v>
      </c>
    </row>
    <row r="2009" spans="1:6" ht="63.95" customHeight="1">
      <c r="A2009" s="76" t="s">
        <v>1875</v>
      </c>
      <c r="B2009" s="76" t="s">
        <v>6759</v>
      </c>
      <c r="C2009" s="76" t="s">
        <v>896</v>
      </c>
      <c r="D2009" s="76" t="s">
        <v>881</v>
      </c>
      <c r="E2009" s="76" t="s">
        <v>2032</v>
      </c>
      <c r="F2009" s="76" t="s">
        <v>2033</v>
      </c>
    </row>
    <row r="2010" spans="1:6" ht="63.95" customHeight="1">
      <c r="A2010" s="76" t="s">
        <v>1875</v>
      </c>
      <c r="B2010" s="76" t="s">
        <v>6760</v>
      </c>
      <c r="C2010" s="76" t="s">
        <v>6761</v>
      </c>
      <c r="D2010" s="76" t="s">
        <v>6762</v>
      </c>
      <c r="E2010" s="76" t="s">
        <v>2032</v>
      </c>
      <c r="F2010" s="76" t="s">
        <v>2033</v>
      </c>
    </row>
    <row r="2011" spans="1:6" ht="63.95" customHeight="1">
      <c r="A2011" s="76" t="s">
        <v>1875</v>
      </c>
      <c r="B2011" s="76" t="s">
        <v>6763</v>
      </c>
      <c r="C2011" s="76" t="s">
        <v>6764</v>
      </c>
      <c r="D2011" s="76" t="s">
        <v>6765</v>
      </c>
      <c r="E2011" s="76" t="s">
        <v>2032</v>
      </c>
      <c r="F2011" s="76" t="s">
        <v>2033</v>
      </c>
    </row>
    <row r="2012" spans="1:6" ht="63.95" customHeight="1">
      <c r="A2012" s="76" t="s">
        <v>1875</v>
      </c>
      <c r="B2012" s="76" t="s">
        <v>6766</v>
      </c>
      <c r="C2012" s="76" t="s">
        <v>881</v>
      </c>
      <c r="D2012" s="76" t="s">
        <v>884</v>
      </c>
      <c r="E2012" s="76" t="s">
        <v>2032</v>
      </c>
      <c r="F2012" s="76" t="s">
        <v>2033</v>
      </c>
    </row>
    <row r="2013" spans="1:6" ht="63.95" customHeight="1">
      <c r="A2013" s="76" t="s">
        <v>1875</v>
      </c>
      <c r="B2013" s="76" t="s">
        <v>6767</v>
      </c>
      <c r="C2013" s="76" t="s">
        <v>6768</v>
      </c>
      <c r="D2013" s="76" t="s">
        <v>6769</v>
      </c>
      <c r="E2013" s="76" t="s">
        <v>2032</v>
      </c>
      <c r="F2013" s="76" t="s">
        <v>2033</v>
      </c>
    </row>
    <row r="2014" spans="1:6" ht="63.95" customHeight="1">
      <c r="A2014" s="76" t="s">
        <v>1875</v>
      </c>
      <c r="B2014" s="76" t="s">
        <v>6770</v>
      </c>
      <c r="C2014" s="76" t="s">
        <v>6771</v>
      </c>
      <c r="D2014" s="76" t="s">
        <v>6772</v>
      </c>
      <c r="E2014" s="76" t="s">
        <v>2032</v>
      </c>
      <c r="F2014" s="76" t="s">
        <v>2033</v>
      </c>
    </row>
    <row r="2015" spans="1:6" ht="63.95" customHeight="1">
      <c r="A2015" s="76" t="s">
        <v>1875</v>
      </c>
      <c r="B2015" s="76" t="s">
        <v>6773</v>
      </c>
      <c r="C2015" s="76" t="s">
        <v>224</v>
      </c>
      <c r="D2015" s="76" t="s">
        <v>225</v>
      </c>
      <c r="E2015" s="76" t="s">
        <v>2032</v>
      </c>
      <c r="F2015" s="76" t="s">
        <v>2033</v>
      </c>
    </row>
    <row r="2016" spans="1:6" ht="63.95" customHeight="1">
      <c r="A2016" s="76" t="s">
        <v>1875</v>
      </c>
      <c r="B2016" s="76" t="s">
        <v>6774</v>
      </c>
      <c r="C2016" s="76" t="s">
        <v>884</v>
      </c>
      <c r="D2016" s="76" t="s">
        <v>869</v>
      </c>
      <c r="E2016" s="76" t="s">
        <v>2032</v>
      </c>
      <c r="F2016" s="76" t="s">
        <v>2033</v>
      </c>
    </row>
    <row r="2017" spans="1:6" ht="63.95" customHeight="1">
      <c r="A2017" s="76" t="s">
        <v>1875</v>
      </c>
      <c r="B2017" s="76" t="s">
        <v>6775</v>
      </c>
      <c r="C2017" s="76" t="s">
        <v>6776</v>
      </c>
      <c r="D2017" s="76" t="s">
        <v>6777</v>
      </c>
      <c r="E2017" s="76" t="s">
        <v>2032</v>
      </c>
      <c r="F2017" s="76" t="s">
        <v>2033</v>
      </c>
    </row>
    <row r="2018" spans="1:6" ht="63.95" customHeight="1">
      <c r="A2018" s="76" t="s">
        <v>1875</v>
      </c>
      <c r="B2018" s="76" t="s">
        <v>6778</v>
      </c>
      <c r="C2018" s="76" t="s">
        <v>6779</v>
      </c>
      <c r="D2018" s="76" t="s">
        <v>6780</v>
      </c>
      <c r="E2018" s="76" t="s">
        <v>2032</v>
      </c>
      <c r="F2018" s="76" t="s">
        <v>2033</v>
      </c>
    </row>
    <row r="2019" spans="1:6" ht="63.95" customHeight="1">
      <c r="A2019" s="76" t="s">
        <v>1875</v>
      </c>
      <c r="B2019" s="76" t="s">
        <v>6781</v>
      </c>
      <c r="C2019" s="76" t="s">
        <v>225</v>
      </c>
      <c r="D2019" s="76" t="s">
        <v>226</v>
      </c>
      <c r="E2019" s="76" t="s">
        <v>2032</v>
      </c>
      <c r="F2019" s="76" t="s">
        <v>2033</v>
      </c>
    </row>
    <row r="2020" spans="1:6" ht="63.95" customHeight="1">
      <c r="A2020" s="76" t="s">
        <v>1875</v>
      </c>
      <c r="B2020" s="76" t="s">
        <v>6782</v>
      </c>
      <c r="C2020" s="76" t="s">
        <v>869</v>
      </c>
      <c r="D2020" s="76" t="s">
        <v>971</v>
      </c>
      <c r="E2020" s="76" t="s">
        <v>2032</v>
      </c>
      <c r="F2020" s="76" t="s">
        <v>2033</v>
      </c>
    </row>
    <row r="2021" spans="1:6" ht="63.95" customHeight="1">
      <c r="A2021" s="76" t="s">
        <v>1875</v>
      </c>
      <c r="B2021" s="76" t="s">
        <v>6783</v>
      </c>
      <c r="C2021" s="76" t="s">
        <v>6784</v>
      </c>
      <c r="D2021" s="76" t="s">
        <v>6785</v>
      </c>
      <c r="E2021" s="76" t="s">
        <v>2032</v>
      </c>
      <c r="F2021" s="76" t="s">
        <v>2033</v>
      </c>
    </row>
    <row r="2022" spans="1:6" ht="63.95" customHeight="1">
      <c r="A2022" s="76" t="s">
        <v>1875</v>
      </c>
      <c r="B2022" s="76" t="s">
        <v>6786</v>
      </c>
      <c r="C2022" s="76" t="s">
        <v>6787</v>
      </c>
      <c r="D2022" s="76" t="s">
        <v>6788</v>
      </c>
      <c r="E2022" s="76" t="s">
        <v>2032</v>
      </c>
      <c r="F2022" s="76" t="s">
        <v>2033</v>
      </c>
    </row>
    <row r="2023" spans="1:6" ht="63.95" customHeight="1">
      <c r="A2023" s="76" t="s">
        <v>1875</v>
      </c>
      <c r="B2023" s="76" t="s">
        <v>6789</v>
      </c>
      <c r="C2023" s="76" t="s">
        <v>971</v>
      </c>
      <c r="D2023" s="76" t="s">
        <v>973</v>
      </c>
      <c r="E2023" s="76" t="s">
        <v>2032</v>
      </c>
      <c r="F2023" s="76" t="s">
        <v>2033</v>
      </c>
    </row>
    <row r="2024" spans="1:6" ht="63.95" customHeight="1">
      <c r="A2024" s="76" t="s">
        <v>1875</v>
      </c>
      <c r="B2024" s="76" t="s">
        <v>6790</v>
      </c>
      <c r="C2024" s="76" t="s">
        <v>6791</v>
      </c>
      <c r="D2024" s="76" t="s">
        <v>6792</v>
      </c>
      <c r="E2024" s="76" t="s">
        <v>2032</v>
      </c>
      <c r="F2024" s="76" t="s">
        <v>2033</v>
      </c>
    </row>
    <row r="2025" spans="1:6" ht="63.95" customHeight="1">
      <c r="A2025" s="76" t="s">
        <v>1875</v>
      </c>
      <c r="B2025" s="76" t="s">
        <v>6793</v>
      </c>
      <c r="C2025" s="76" t="s">
        <v>6794</v>
      </c>
      <c r="D2025" s="76" t="s">
        <v>6795</v>
      </c>
      <c r="E2025" s="76" t="s">
        <v>2032</v>
      </c>
      <c r="F2025" s="76" t="s">
        <v>2033</v>
      </c>
    </row>
    <row r="2026" spans="1:6" ht="63.95" customHeight="1">
      <c r="A2026" s="76" t="s">
        <v>1875</v>
      </c>
      <c r="B2026" s="76" t="s">
        <v>6796</v>
      </c>
      <c r="C2026" s="76" t="s">
        <v>226</v>
      </c>
      <c r="D2026" s="76" t="s">
        <v>228</v>
      </c>
      <c r="E2026" s="76" t="s">
        <v>2032</v>
      </c>
      <c r="F2026" s="76" t="s">
        <v>2033</v>
      </c>
    </row>
    <row r="2027" spans="1:6" ht="63.95" customHeight="1">
      <c r="A2027" s="76" t="s">
        <v>1875</v>
      </c>
      <c r="B2027" s="76" t="s">
        <v>6797</v>
      </c>
      <c r="C2027" s="76" t="s">
        <v>973</v>
      </c>
      <c r="D2027" s="76" t="s">
        <v>886</v>
      </c>
      <c r="E2027" s="76" t="s">
        <v>2032</v>
      </c>
      <c r="F2027" s="76" t="s">
        <v>2033</v>
      </c>
    </row>
    <row r="2028" spans="1:6" ht="63.95" customHeight="1">
      <c r="A2028" s="76" t="s">
        <v>1875</v>
      </c>
      <c r="B2028" s="76" t="s">
        <v>6798</v>
      </c>
      <c r="C2028" s="76" t="s">
        <v>6799</v>
      </c>
      <c r="D2028" s="76" t="s">
        <v>6800</v>
      </c>
      <c r="E2028" s="76" t="s">
        <v>2032</v>
      </c>
      <c r="F2028" s="76" t="s">
        <v>2033</v>
      </c>
    </row>
    <row r="2029" spans="1:6" ht="63.95" customHeight="1">
      <c r="A2029" s="76" t="s">
        <v>1875</v>
      </c>
      <c r="B2029" s="76" t="s">
        <v>6801</v>
      </c>
      <c r="C2029" s="76" t="s">
        <v>6802</v>
      </c>
      <c r="D2029" s="76" t="s">
        <v>6803</v>
      </c>
      <c r="E2029" s="76" t="s">
        <v>2032</v>
      </c>
      <c r="F2029" s="76" t="s">
        <v>2033</v>
      </c>
    </row>
    <row r="2030" spans="1:6" ht="63.95" customHeight="1">
      <c r="A2030" s="76" t="s">
        <v>1875</v>
      </c>
      <c r="B2030" s="76" t="s">
        <v>6804</v>
      </c>
      <c r="C2030" s="76" t="s">
        <v>886</v>
      </c>
      <c r="D2030" s="76" t="s">
        <v>896</v>
      </c>
      <c r="E2030" s="76" t="s">
        <v>2032</v>
      </c>
      <c r="F2030" s="76" t="s">
        <v>2033</v>
      </c>
    </row>
    <row r="2031" spans="1:6" ht="63.95" customHeight="1">
      <c r="A2031" s="76" t="s">
        <v>1875</v>
      </c>
      <c r="B2031" s="76" t="s">
        <v>6805</v>
      </c>
      <c r="C2031" s="76" t="s">
        <v>6806</v>
      </c>
      <c r="D2031" s="76" t="s">
        <v>6807</v>
      </c>
      <c r="E2031" s="76" t="s">
        <v>2032</v>
      </c>
      <c r="F2031" s="76" t="s">
        <v>2033</v>
      </c>
    </row>
    <row r="2032" spans="1:6" ht="63.95" customHeight="1">
      <c r="A2032" s="76" t="s">
        <v>1875</v>
      </c>
      <c r="B2032" s="76" t="s">
        <v>6808</v>
      </c>
      <c r="C2032" s="76" t="s">
        <v>6809</v>
      </c>
      <c r="D2032" s="76" t="s">
        <v>6810</v>
      </c>
      <c r="E2032" s="76" t="s">
        <v>2032</v>
      </c>
      <c r="F2032" s="76" t="s">
        <v>2033</v>
      </c>
    </row>
    <row r="2033" spans="1:6" ht="63.95" customHeight="1">
      <c r="A2033" s="76" t="s">
        <v>1875</v>
      </c>
      <c r="B2033" s="76" t="s">
        <v>6811</v>
      </c>
      <c r="C2033" s="76" t="s">
        <v>896</v>
      </c>
      <c r="D2033" s="76" t="s">
        <v>913</v>
      </c>
      <c r="E2033" s="76" t="s">
        <v>2032</v>
      </c>
      <c r="F2033" s="76" t="s">
        <v>2033</v>
      </c>
    </row>
    <row r="2034" spans="1:6" ht="63.95" customHeight="1">
      <c r="A2034" s="76" t="s">
        <v>1875</v>
      </c>
      <c r="B2034" s="76" t="s">
        <v>6812</v>
      </c>
      <c r="C2034" s="76" t="s">
        <v>6813</v>
      </c>
      <c r="D2034" s="76" t="s">
        <v>6814</v>
      </c>
      <c r="E2034" s="76" t="s">
        <v>2032</v>
      </c>
      <c r="F2034" s="76" t="s">
        <v>2033</v>
      </c>
    </row>
    <row r="2035" spans="1:6" ht="63.95" customHeight="1">
      <c r="A2035" s="76" t="s">
        <v>1875</v>
      </c>
      <c r="B2035" s="76" t="s">
        <v>6815</v>
      </c>
      <c r="C2035" s="76" t="s">
        <v>6816</v>
      </c>
      <c r="D2035" s="76" t="s">
        <v>6817</v>
      </c>
      <c r="E2035" s="76" t="s">
        <v>2032</v>
      </c>
      <c r="F2035" s="76" t="s">
        <v>2033</v>
      </c>
    </row>
    <row r="2036" spans="1:6" ht="63.95" customHeight="1">
      <c r="A2036" s="76" t="s">
        <v>1875</v>
      </c>
      <c r="B2036" s="76" t="s">
        <v>6818</v>
      </c>
      <c r="C2036" s="76" t="s">
        <v>228</v>
      </c>
      <c r="D2036" s="76" t="s">
        <v>229</v>
      </c>
      <c r="E2036" s="76" t="s">
        <v>2032</v>
      </c>
      <c r="F2036" s="76" t="s">
        <v>2033</v>
      </c>
    </row>
    <row r="2037" spans="1:6" ht="63.95" customHeight="1">
      <c r="A2037" s="76" t="s">
        <v>1875</v>
      </c>
      <c r="B2037" s="76" t="s">
        <v>6819</v>
      </c>
      <c r="C2037" s="76" t="s">
        <v>913</v>
      </c>
      <c r="D2037" s="76" t="s">
        <v>896</v>
      </c>
      <c r="E2037" s="76" t="s">
        <v>2032</v>
      </c>
      <c r="F2037" s="76" t="s">
        <v>2033</v>
      </c>
    </row>
    <row r="2038" spans="1:6" ht="63.95" customHeight="1">
      <c r="A2038" s="76" t="s">
        <v>1875</v>
      </c>
      <c r="B2038" s="76" t="s">
        <v>6820</v>
      </c>
      <c r="C2038" s="76" t="s">
        <v>6821</v>
      </c>
      <c r="D2038" s="76" t="s">
        <v>6822</v>
      </c>
      <c r="E2038" s="76" t="s">
        <v>2032</v>
      </c>
      <c r="F2038" s="76" t="s">
        <v>2033</v>
      </c>
    </row>
    <row r="2039" spans="1:6" ht="63.95" customHeight="1">
      <c r="A2039" s="76" t="s">
        <v>1875</v>
      </c>
      <c r="B2039" s="76" t="s">
        <v>6823</v>
      </c>
      <c r="C2039" s="76" t="s">
        <v>6824</v>
      </c>
      <c r="D2039" s="76" t="s">
        <v>6825</v>
      </c>
      <c r="E2039" s="76" t="s">
        <v>2032</v>
      </c>
      <c r="F2039" s="76" t="s">
        <v>2033</v>
      </c>
    </row>
    <row r="2040" spans="1:6" ht="63.95" customHeight="1">
      <c r="A2040" s="76" t="s">
        <v>1875</v>
      </c>
      <c r="B2040" s="76" t="s">
        <v>6826</v>
      </c>
      <c r="C2040" s="76" t="s">
        <v>229</v>
      </c>
      <c r="D2040" s="76" t="s">
        <v>231</v>
      </c>
      <c r="E2040" s="76" t="s">
        <v>2032</v>
      </c>
      <c r="F2040" s="76" t="s">
        <v>2033</v>
      </c>
    </row>
    <row r="2041" spans="1:6" ht="63.95" customHeight="1">
      <c r="A2041" s="76" t="s">
        <v>1875</v>
      </c>
      <c r="B2041" s="76" t="s">
        <v>6827</v>
      </c>
      <c r="C2041" s="76" t="s">
        <v>896</v>
      </c>
      <c r="D2041" s="76" t="s">
        <v>983</v>
      </c>
      <c r="E2041" s="76" t="s">
        <v>2032</v>
      </c>
      <c r="F2041" s="76" t="s">
        <v>2033</v>
      </c>
    </row>
    <row r="2042" spans="1:6" ht="63.95" customHeight="1">
      <c r="A2042" s="76" t="s">
        <v>1875</v>
      </c>
      <c r="B2042" s="76" t="s">
        <v>6828</v>
      </c>
      <c r="C2042" s="76" t="s">
        <v>6829</v>
      </c>
      <c r="D2042" s="76" t="s">
        <v>6830</v>
      </c>
      <c r="E2042" s="76" t="s">
        <v>2032</v>
      </c>
      <c r="F2042" s="76" t="s">
        <v>2033</v>
      </c>
    </row>
    <row r="2043" spans="1:6" ht="63.95" customHeight="1">
      <c r="A2043" s="76" t="s">
        <v>1875</v>
      </c>
      <c r="B2043" s="76" t="s">
        <v>6831</v>
      </c>
      <c r="C2043" s="76" t="s">
        <v>6832</v>
      </c>
      <c r="D2043" s="76" t="s">
        <v>6833</v>
      </c>
      <c r="E2043" s="76" t="s">
        <v>2032</v>
      </c>
      <c r="F2043" s="76" t="s">
        <v>2033</v>
      </c>
    </row>
    <row r="2044" spans="1:6" ht="63.95" customHeight="1">
      <c r="A2044" s="76" t="s">
        <v>1875</v>
      </c>
      <c r="B2044" s="76" t="s">
        <v>6834</v>
      </c>
      <c r="C2044" s="76" t="s">
        <v>231</v>
      </c>
      <c r="D2044" s="76" t="s">
        <v>233</v>
      </c>
      <c r="E2044" s="76" t="s">
        <v>2032</v>
      </c>
      <c r="F2044" s="76" t="s">
        <v>2033</v>
      </c>
    </row>
    <row r="2045" spans="1:6" ht="63.95" customHeight="1">
      <c r="A2045" s="76" t="s">
        <v>1875</v>
      </c>
      <c r="B2045" s="76" t="s">
        <v>6835</v>
      </c>
      <c r="C2045" s="76" t="s">
        <v>983</v>
      </c>
      <c r="D2045" s="76" t="s">
        <v>918</v>
      </c>
      <c r="E2045" s="76" t="s">
        <v>2032</v>
      </c>
      <c r="F2045" s="76" t="s">
        <v>2033</v>
      </c>
    </row>
    <row r="2046" spans="1:6" ht="63.95" customHeight="1">
      <c r="A2046" s="76" t="s">
        <v>1875</v>
      </c>
      <c r="B2046" s="76" t="s">
        <v>6836</v>
      </c>
      <c r="C2046" s="76" t="s">
        <v>6837</v>
      </c>
      <c r="D2046" s="76" t="s">
        <v>6838</v>
      </c>
      <c r="E2046" s="76" t="s">
        <v>2032</v>
      </c>
      <c r="F2046" s="76" t="s">
        <v>2033</v>
      </c>
    </row>
    <row r="2047" spans="1:6" ht="63.95" customHeight="1">
      <c r="A2047" s="76" t="s">
        <v>1875</v>
      </c>
      <c r="B2047" s="76" t="s">
        <v>6839</v>
      </c>
      <c r="C2047" s="76" t="s">
        <v>6840</v>
      </c>
      <c r="D2047" s="76" t="s">
        <v>6841</v>
      </c>
      <c r="E2047" s="76" t="s">
        <v>2032</v>
      </c>
      <c r="F2047" s="76" t="s">
        <v>2033</v>
      </c>
    </row>
    <row r="2048" spans="1:6" ht="63.95" customHeight="1">
      <c r="A2048" s="76" t="s">
        <v>1875</v>
      </c>
      <c r="B2048" s="76" t="s">
        <v>6842</v>
      </c>
      <c r="C2048" s="76" t="s">
        <v>233</v>
      </c>
      <c r="D2048" s="76" t="s">
        <v>234</v>
      </c>
      <c r="E2048" s="76" t="s">
        <v>2032</v>
      </c>
      <c r="F2048" s="76" t="s">
        <v>2033</v>
      </c>
    </row>
    <row r="2049" spans="1:6" ht="63.95" customHeight="1">
      <c r="A2049" s="76" t="s">
        <v>1875</v>
      </c>
      <c r="B2049" s="76" t="s">
        <v>6843</v>
      </c>
      <c r="C2049" s="76" t="s">
        <v>918</v>
      </c>
      <c r="D2049" s="76" t="s">
        <v>884</v>
      </c>
      <c r="E2049" s="76" t="s">
        <v>2032</v>
      </c>
      <c r="F2049" s="76" t="s">
        <v>2033</v>
      </c>
    </row>
    <row r="2050" spans="1:6" ht="63.95" customHeight="1">
      <c r="A2050" s="76" t="s">
        <v>1875</v>
      </c>
      <c r="B2050" s="76" t="s">
        <v>6844</v>
      </c>
      <c r="C2050" s="76" t="s">
        <v>6845</v>
      </c>
      <c r="D2050" s="76" t="s">
        <v>6846</v>
      </c>
      <c r="E2050" s="76" t="s">
        <v>2032</v>
      </c>
      <c r="F2050" s="76" t="s">
        <v>2033</v>
      </c>
    </row>
    <row r="2051" spans="1:6" ht="63.95" customHeight="1">
      <c r="A2051" s="76" t="s">
        <v>1875</v>
      </c>
      <c r="B2051" s="76" t="s">
        <v>6847</v>
      </c>
      <c r="C2051" s="76" t="s">
        <v>6848</v>
      </c>
      <c r="D2051" s="76" t="s">
        <v>6849</v>
      </c>
      <c r="E2051" s="76" t="s">
        <v>2032</v>
      </c>
      <c r="F2051" s="76" t="s">
        <v>2033</v>
      </c>
    </row>
    <row r="2052" spans="1:6" ht="63.95" customHeight="1">
      <c r="A2052" s="76" t="s">
        <v>1875</v>
      </c>
      <c r="B2052" s="76" t="s">
        <v>6850</v>
      </c>
      <c r="C2052" s="76" t="s">
        <v>884</v>
      </c>
      <c r="D2052" s="76" t="s">
        <v>894</v>
      </c>
      <c r="E2052" s="76" t="s">
        <v>2032</v>
      </c>
      <c r="F2052" s="76" t="s">
        <v>2033</v>
      </c>
    </row>
    <row r="2053" spans="1:6" ht="63.95" customHeight="1">
      <c r="A2053" s="76" t="s">
        <v>1875</v>
      </c>
      <c r="B2053" s="76" t="s">
        <v>6851</v>
      </c>
      <c r="C2053" s="76" t="s">
        <v>6852</v>
      </c>
      <c r="D2053" s="76" t="s">
        <v>6853</v>
      </c>
      <c r="E2053" s="76" t="s">
        <v>2032</v>
      </c>
      <c r="F2053" s="76" t="s">
        <v>2033</v>
      </c>
    </row>
    <row r="2054" spans="1:6" ht="63.95" customHeight="1">
      <c r="A2054" s="76" t="s">
        <v>1875</v>
      </c>
      <c r="B2054" s="76" t="s">
        <v>6854</v>
      </c>
      <c r="C2054" s="76" t="s">
        <v>6855</v>
      </c>
      <c r="D2054" s="76" t="s">
        <v>6856</v>
      </c>
      <c r="E2054" s="76" t="s">
        <v>2032</v>
      </c>
      <c r="F2054" s="76" t="s">
        <v>2033</v>
      </c>
    </row>
    <row r="2055" spans="1:6" ht="63.95" customHeight="1">
      <c r="A2055" s="76" t="s">
        <v>1875</v>
      </c>
      <c r="B2055" s="76" t="s">
        <v>6857</v>
      </c>
      <c r="C2055" s="76" t="s">
        <v>234</v>
      </c>
      <c r="D2055" s="76" t="s">
        <v>235</v>
      </c>
      <c r="E2055" s="76" t="s">
        <v>2032</v>
      </c>
      <c r="F2055" s="76" t="s">
        <v>2033</v>
      </c>
    </row>
    <row r="2056" spans="1:6" ht="63.95" customHeight="1">
      <c r="A2056" s="76" t="s">
        <v>1875</v>
      </c>
      <c r="B2056" s="76" t="s">
        <v>6858</v>
      </c>
      <c r="C2056" s="76" t="s">
        <v>894</v>
      </c>
      <c r="D2056" s="76" t="s">
        <v>966</v>
      </c>
      <c r="E2056" s="76" t="s">
        <v>2032</v>
      </c>
      <c r="F2056" s="76" t="s">
        <v>2033</v>
      </c>
    </row>
    <row r="2057" spans="1:6" ht="63.95" customHeight="1">
      <c r="A2057" s="76" t="s">
        <v>1875</v>
      </c>
      <c r="B2057" s="76" t="s">
        <v>6859</v>
      </c>
      <c r="C2057" s="76" t="s">
        <v>6860</v>
      </c>
      <c r="D2057" s="76" t="s">
        <v>6861</v>
      </c>
      <c r="E2057" s="76" t="s">
        <v>2032</v>
      </c>
      <c r="F2057" s="76" t="s">
        <v>2033</v>
      </c>
    </row>
    <row r="2058" spans="1:6" ht="63.95" customHeight="1">
      <c r="A2058" s="76" t="s">
        <v>1875</v>
      </c>
      <c r="B2058" s="76" t="s">
        <v>6862</v>
      </c>
      <c r="C2058" s="76" t="s">
        <v>6863</v>
      </c>
      <c r="D2058" s="76" t="s">
        <v>6864</v>
      </c>
      <c r="E2058" s="76" t="s">
        <v>2032</v>
      </c>
      <c r="F2058" s="76" t="s">
        <v>2033</v>
      </c>
    </row>
    <row r="2059" spans="1:6" ht="63.95" customHeight="1">
      <c r="A2059" s="76" t="s">
        <v>1875</v>
      </c>
      <c r="B2059" s="76" t="s">
        <v>6865</v>
      </c>
      <c r="C2059" s="76" t="s">
        <v>966</v>
      </c>
      <c r="D2059" s="76" t="s">
        <v>892</v>
      </c>
      <c r="E2059" s="76" t="s">
        <v>2032</v>
      </c>
      <c r="F2059" s="76" t="s">
        <v>2033</v>
      </c>
    </row>
    <row r="2060" spans="1:6" ht="63.95" customHeight="1">
      <c r="A2060" s="76" t="s">
        <v>1875</v>
      </c>
      <c r="B2060" s="76" t="s">
        <v>6866</v>
      </c>
      <c r="C2060" s="76" t="s">
        <v>6867</v>
      </c>
      <c r="D2060" s="76" t="s">
        <v>6868</v>
      </c>
      <c r="E2060" s="76" t="s">
        <v>2032</v>
      </c>
      <c r="F2060" s="76" t="s">
        <v>2033</v>
      </c>
    </row>
    <row r="2061" spans="1:6" ht="63.95" customHeight="1">
      <c r="A2061" s="76" t="s">
        <v>1875</v>
      </c>
      <c r="B2061" s="76" t="s">
        <v>6869</v>
      </c>
      <c r="C2061" s="76" t="s">
        <v>6870</v>
      </c>
      <c r="D2061" s="76" t="s">
        <v>6871</v>
      </c>
      <c r="E2061" s="76" t="s">
        <v>2032</v>
      </c>
      <c r="F2061" s="76" t="s">
        <v>2033</v>
      </c>
    </row>
    <row r="2062" spans="1:6" ht="63.95" customHeight="1">
      <c r="A2062" s="76" t="s">
        <v>1875</v>
      </c>
      <c r="B2062" s="76" t="s">
        <v>6872</v>
      </c>
      <c r="C2062" s="76" t="s">
        <v>235</v>
      </c>
      <c r="D2062" s="76" t="s">
        <v>236</v>
      </c>
      <c r="E2062" s="76" t="s">
        <v>2032</v>
      </c>
      <c r="F2062" s="76" t="s">
        <v>2033</v>
      </c>
    </row>
    <row r="2063" spans="1:6" ht="63.95" customHeight="1">
      <c r="A2063" s="76" t="s">
        <v>1875</v>
      </c>
      <c r="B2063" s="76" t="s">
        <v>6873</v>
      </c>
      <c r="C2063" s="76" t="s">
        <v>892</v>
      </c>
      <c r="D2063" s="76" t="s">
        <v>964</v>
      </c>
      <c r="E2063" s="76" t="s">
        <v>2032</v>
      </c>
      <c r="F2063" s="76" t="s">
        <v>2033</v>
      </c>
    </row>
    <row r="2064" spans="1:6" ht="63.95" customHeight="1">
      <c r="A2064" s="76" t="s">
        <v>1875</v>
      </c>
      <c r="B2064" s="76" t="s">
        <v>6874</v>
      </c>
      <c r="C2064" s="76" t="s">
        <v>6875</v>
      </c>
      <c r="D2064" s="76" t="s">
        <v>6876</v>
      </c>
      <c r="E2064" s="76" t="s">
        <v>2032</v>
      </c>
      <c r="F2064" s="76" t="s">
        <v>2033</v>
      </c>
    </row>
    <row r="2065" spans="1:6" ht="63.95" customHeight="1">
      <c r="A2065" s="76" t="s">
        <v>1875</v>
      </c>
      <c r="B2065" s="76" t="s">
        <v>6877</v>
      </c>
      <c r="C2065" s="76" t="s">
        <v>6878</v>
      </c>
      <c r="D2065" s="76" t="s">
        <v>6879</v>
      </c>
      <c r="E2065" s="76" t="s">
        <v>2032</v>
      </c>
      <c r="F2065" s="76" t="s">
        <v>2033</v>
      </c>
    </row>
    <row r="2066" spans="1:6" ht="63.95" customHeight="1">
      <c r="A2066" s="76" t="s">
        <v>1875</v>
      </c>
      <c r="B2066" s="76" t="s">
        <v>6880</v>
      </c>
      <c r="C2066" s="76" t="s">
        <v>236</v>
      </c>
      <c r="D2066" s="76" t="s">
        <v>238</v>
      </c>
      <c r="E2066" s="76" t="s">
        <v>2032</v>
      </c>
      <c r="F2066" s="76" t="s">
        <v>2033</v>
      </c>
    </row>
    <row r="2067" spans="1:6" ht="63.95" customHeight="1">
      <c r="A2067" s="76" t="s">
        <v>1875</v>
      </c>
      <c r="B2067" s="76" t="s">
        <v>6881</v>
      </c>
      <c r="C2067" s="76" t="s">
        <v>964</v>
      </c>
      <c r="D2067" s="76" t="s">
        <v>827</v>
      </c>
      <c r="E2067" s="76" t="s">
        <v>2032</v>
      </c>
      <c r="F2067" s="76" t="s">
        <v>2033</v>
      </c>
    </row>
    <row r="2068" spans="1:6" ht="63.95" customHeight="1">
      <c r="A2068" s="76" t="s">
        <v>1875</v>
      </c>
      <c r="B2068" s="76" t="s">
        <v>6882</v>
      </c>
      <c r="C2068" s="76" t="s">
        <v>6883</v>
      </c>
      <c r="D2068" s="76" t="s">
        <v>6884</v>
      </c>
      <c r="E2068" s="76" t="s">
        <v>2032</v>
      </c>
      <c r="F2068" s="76" t="s">
        <v>2033</v>
      </c>
    </row>
    <row r="2069" spans="1:6" ht="63.95" customHeight="1">
      <c r="A2069" s="76" t="s">
        <v>1875</v>
      </c>
      <c r="B2069" s="76" t="s">
        <v>6885</v>
      </c>
      <c r="C2069" s="76" t="s">
        <v>6886</v>
      </c>
      <c r="D2069" s="76" t="s">
        <v>6887</v>
      </c>
      <c r="E2069" s="76" t="s">
        <v>2032</v>
      </c>
      <c r="F2069" s="76" t="s">
        <v>2033</v>
      </c>
    </row>
    <row r="2070" spans="1:6" ht="63.95" customHeight="1">
      <c r="A2070" s="76" t="s">
        <v>1875</v>
      </c>
      <c r="B2070" s="76" t="s">
        <v>6888</v>
      </c>
      <c r="C2070" s="76" t="s">
        <v>827</v>
      </c>
      <c r="D2070" s="76" t="s">
        <v>832</v>
      </c>
      <c r="E2070" s="76" t="s">
        <v>2032</v>
      </c>
      <c r="F2070" s="76" t="s">
        <v>2033</v>
      </c>
    </row>
    <row r="2071" spans="1:6" ht="63.95" customHeight="1">
      <c r="A2071" s="76" t="s">
        <v>1875</v>
      </c>
      <c r="B2071" s="76" t="s">
        <v>6889</v>
      </c>
      <c r="C2071" s="76" t="s">
        <v>6890</v>
      </c>
      <c r="D2071" s="76" t="s">
        <v>6891</v>
      </c>
      <c r="E2071" s="76" t="s">
        <v>2032</v>
      </c>
      <c r="F2071" s="76" t="s">
        <v>2033</v>
      </c>
    </row>
    <row r="2072" spans="1:6" ht="63.95" customHeight="1">
      <c r="A2072" s="76" t="s">
        <v>1875</v>
      </c>
      <c r="B2072" s="76" t="s">
        <v>6892</v>
      </c>
      <c r="C2072" s="76" t="s">
        <v>6893</v>
      </c>
      <c r="D2072" s="76" t="s">
        <v>6894</v>
      </c>
      <c r="E2072" s="76" t="s">
        <v>2032</v>
      </c>
      <c r="F2072" s="76" t="s">
        <v>2033</v>
      </c>
    </row>
    <row r="2073" spans="1:6" ht="63.95" customHeight="1">
      <c r="A2073" s="76" t="s">
        <v>1875</v>
      </c>
      <c r="B2073" s="76" t="s">
        <v>6895</v>
      </c>
      <c r="C2073" s="76" t="s">
        <v>832</v>
      </c>
      <c r="D2073" s="76" t="s">
        <v>834</v>
      </c>
      <c r="E2073" s="76" t="s">
        <v>2032</v>
      </c>
      <c r="F2073" s="76" t="s">
        <v>2033</v>
      </c>
    </row>
    <row r="2074" spans="1:6" ht="63.95" customHeight="1">
      <c r="A2074" s="76" t="s">
        <v>1875</v>
      </c>
      <c r="B2074" s="76" t="s">
        <v>6896</v>
      </c>
      <c r="C2074" s="76" t="s">
        <v>6897</v>
      </c>
      <c r="D2074" s="76" t="s">
        <v>6898</v>
      </c>
      <c r="E2074" s="76" t="s">
        <v>2032</v>
      </c>
      <c r="F2074" s="76" t="s">
        <v>2033</v>
      </c>
    </row>
    <row r="2075" spans="1:6" ht="63.95" customHeight="1">
      <c r="A2075" s="76" t="s">
        <v>1875</v>
      </c>
      <c r="B2075" s="76" t="s">
        <v>6899</v>
      </c>
      <c r="C2075" s="76" t="s">
        <v>6900</v>
      </c>
      <c r="D2075" s="76" t="s">
        <v>6901</v>
      </c>
      <c r="E2075" s="76" t="s">
        <v>2032</v>
      </c>
      <c r="F2075" s="76" t="s">
        <v>2033</v>
      </c>
    </row>
    <row r="2076" spans="1:6" ht="63.95" customHeight="1">
      <c r="A2076" s="76" t="s">
        <v>1875</v>
      </c>
      <c r="B2076" s="76" t="s">
        <v>6902</v>
      </c>
      <c r="C2076" s="76" t="s">
        <v>834</v>
      </c>
      <c r="D2076" s="76" t="s">
        <v>842</v>
      </c>
      <c r="E2076" s="76" t="s">
        <v>2032</v>
      </c>
      <c r="F2076" s="76" t="s">
        <v>2033</v>
      </c>
    </row>
    <row r="2077" spans="1:6" ht="63.95" customHeight="1">
      <c r="A2077" s="76" t="s">
        <v>1875</v>
      </c>
      <c r="B2077" s="76" t="s">
        <v>6903</v>
      </c>
      <c r="C2077" s="76" t="s">
        <v>6904</v>
      </c>
      <c r="D2077" s="76" t="s">
        <v>6905</v>
      </c>
      <c r="E2077" s="76" t="s">
        <v>2032</v>
      </c>
      <c r="F2077" s="76" t="s">
        <v>2033</v>
      </c>
    </row>
    <row r="2078" spans="1:6" ht="63.95" customHeight="1">
      <c r="A2078" s="76" t="s">
        <v>1875</v>
      </c>
      <c r="B2078" s="76" t="s">
        <v>6906</v>
      </c>
      <c r="C2078" s="76" t="s">
        <v>6907</v>
      </c>
      <c r="D2078" s="76" t="s">
        <v>6908</v>
      </c>
      <c r="E2078" s="76" t="s">
        <v>2032</v>
      </c>
      <c r="F2078" s="76" t="s">
        <v>2033</v>
      </c>
    </row>
    <row r="2079" spans="1:6" ht="63.95" customHeight="1">
      <c r="A2079" s="76" t="s">
        <v>1875</v>
      </c>
      <c r="B2079" s="76" t="s">
        <v>6909</v>
      </c>
      <c r="C2079" s="76" t="s">
        <v>842</v>
      </c>
      <c r="D2079" s="76" t="s">
        <v>848</v>
      </c>
      <c r="E2079" s="76" t="s">
        <v>2032</v>
      </c>
      <c r="F2079" s="76" t="s">
        <v>2033</v>
      </c>
    </row>
    <row r="2080" spans="1:6" ht="63.95" customHeight="1">
      <c r="A2080" s="76" t="s">
        <v>1875</v>
      </c>
      <c r="B2080" s="76" t="s">
        <v>6910</v>
      </c>
      <c r="C2080" s="76" t="s">
        <v>6911</v>
      </c>
      <c r="D2080" s="76" t="s">
        <v>6912</v>
      </c>
      <c r="E2080" s="76" t="s">
        <v>2032</v>
      </c>
      <c r="F2080" s="76" t="s">
        <v>2033</v>
      </c>
    </row>
    <row r="2081" spans="1:6" ht="63.95" customHeight="1">
      <c r="A2081" s="76" t="s">
        <v>1875</v>
      </c>
      <c r="B2081" s="76" t="s">
        <v>6913</v>
      </c>
      <c r="C2081" s="76" t="s">
        <v>6914</v>
      </c>
      <c r="D2081" s="76" t="s">
        <v>6915</v>
      </c>
      <c r="E2081" s="76" t="s">
        <v>2032</v>
      </c>
      <c r="F2081" s="76" t="s">
        <v>2033</v>
      </c>
    </row>
    <row r="2082" spans="1:6" ht="63.95" customHeight="1">
      <c r="A2082" s="76" t="s">
        <v>1875</v>
      </c>
      <c r="B2082" s="76" t="s">
        <v>6916</v>
      </c>
      <c r="C2082" s="76" t="s">
        <v>848</v>
      </c>
      <c r="D2082" s="76" t="s">
        <v>850</v>
      </c>
      <c r="E2082" s="76" t="s">
        <v>2032</v>
      </c>
      <c r="F2082" s="76" t="s">
        <v>2033</v>
      </c>
    </row>
    <row r="2083" spans="1:6" ht="63.95" customHeight="1">
      <c r="A2083" s="76" t="s">
        <v>1875</v>
      </c>
      <c r="B2083" s="76" t="s">
        <v>6917</v>
      </c>
      <c r="C2083" s="76" t="s">
        <v>6918</v>
      </c>
      <c r="D2083" s="76" t="s">
        <v>6919</v>
      </c>
      <c r="E2083" s="76" t="s">
        <v>2032</v>
      </c>
      <c r="F2083" s="76" t="s">
        <v>2033</v>
      </c>
    </row>
    <row r="2084" spans="1:6" ht="63.95" customHeight="1">
      <c r="A2084" s="76" t="s">
        <v>1875</v>
      </c>
      <c r="B2084" s="76" t="s">
        <v>6920</v>
      </c>
      <c r="C2084" s="76" t="s">
        <v>6921</v>
      </c>
      <c r="D2084" s="76" t="s">
        <v>6922</v>
      </c>
      <c r="E2084" s="76" t="s">
        <v>2032</v>
      </c>
      <c r="F2084" s="76" t="s">
        <v>2033</v>
      </c>
    </row>
    <row r="2085" spans="1:6" ht="63.95" customHeight="1">
      <c r="A2085" s="76" t="s">
        <v>1875</v>
      </c>
      <c r="B2085" s="76" t="s">
        <v>6923</v>
      </c>
      <c r="C2085" s="76" t="s">
        <v>850</v>
      </c>
      <c r="D2085" s="76" t="s">
        <v>856</v>
      </c>
      <c r="E2085" s="76" t="s">
        <v>2032</v>
      </c>
      <c r="F2085" s="76" t="s">
        <v>2033</v>
      </c>
    </row>
    <row r="2086" spans="1:6" ht="63.95" customHeight="1">
      <c r="A2086" s="76" t="s">
        <v>1875</v>
      </c>
      <c r="B2086" s="76" t="s">
        <v>6924</v>
      </c>
      <c r="C2086" s="76" t="s">
        <v>6925</v>
      </c>
      <c r="D2086" s="76" t="s">
        <v>6926</v>
      </c>
      <c r="E2086" s="76" t="s">
        <v>2032</v>
      </c>
      <c r="F2086" s="76" t="s">
        <v>2033</v>
      </c>
    </row>
    <row r="2087" spans="1:6" ht="63.95" customHeight="1">
      <c r="A2087" s="76" t="s">
        <v>1875</v>
      </c>
      <c r="B2087" s="76" t="s">
        <v>6927</v>
      </c>
      <c r="C2087" s="76" t="s">
        <v>6928</v>
      </c>
      <c r="D2087" s="76" t="s">
        <v>6929</v>
      </c>
      <c r="E2087" s="76" t="s">
        <v>2032</v>
      </c>
      <c r="F2087" s="76" t="s">
        <v>2033</v>
      </c>
    </row>
    <row r="2088" spans="1:6" ht="63.95" customHeight="1">
      <c r="A2088" s="76" t="s">
        <v>1875</v>
      </c>
      <c r="B2088" s="76" t="s">
        <v>6930</v>
      </c>
      <c r="C2088" s="76" t="s">
        <v>856</v>
      </c>
      <c r="D2088" s="76" t="s">
        <v>858</v>
      </c>
      <c r="E2088" s="76" t="s">
        <v>2032</v>
      </c>
      <c r="F2088" s="76" t="s">
        <v>2033</v>
      </c>
    </row>
    <row r="2089" spans="1:6" ht="63.95" customHeight="1">
      <c r="A2089" s="76" t="s">
        <v>1875</v>
      </c>
      <c r="B2089" s="76" t="s">
        <v>6931</v>
      </c>
      <c r="C2089" s="76" t="s">
        <v>6932</v>
      </c>
      <c r="D2089" s="76" t="s">
        <v>6933</v>
      </c>
      <c r="E2089" s="76" t="s">
        <v>2032</v>
      </c>
      <c r="F2089" s="76" t="s">
        <v>2033</v>
      </c>
    </row>
    <row r="2090" spans="1:6" ht="63.95" customHeight="1">
      <c r="A2090" s="76" t="s">
        <v>1875</v>
      </c>
      <c r="B2090" s="76" t="s">
        <v>6934</v>
      </c>
      <c r="C2090" s="76" t="s">
        <v>6935</v>
      </c>
      <c r="D2090" s="76" t="s">
        <v>6936</v>
      </c>
      <c r="E2090" s="76" t="s">
        <v>2032</v>
      </c>
      <c r="F2090" s="76" t="s">
        <v>2033</v>
      </c>
    </row>
    <row r="2091" spans="1:6" ht="63.95" customHeight="1">
      <c r="A2091" s="76" t="s">
        <v>1875</v>
      </c>
      <c r="B2091" s="76" t="s">
        <v>6937</v>
      </c>
      <c r="C2091" s="76" t="s">
        <v>858</v>
      </c>
      <c r="D2091" s="76" t="s">
        <v>865</v>
      </c>
      <c r="E2091" s="76" t="s">
        <v>2032</v>
      </c>
      <c r="F2091" s="76" t="s">
        <v>2033</v>
      </c>
    </row>
    <row r="2092" spans="1:6" ht="63.95" customHeight="1">
      <c r="A2092" s="76" t="s">
        <v>1875</v>
      </c>
      <c r="B2092" s="76" t="s">
        <v>6938</v>
      </c>
      <c r="C2092" s="76" t="s">
        <v>6939</v>
      </c>
      <c r="D2092" s="76" t="s">
        <v>6940</v>
      </c>
      <c r="E2092" s="76" t="s">
        <v>2032</v>
      </c>
      <c r="F2092" s="76" t="s">
        <v>2033</v>
      </c>
    </row>
    <row r="2093" spans="1:6" ht="63.95" customHeight="1">
      <c r="A2093" s="76" t="s">
        <v>1875</v>
      </c>
      <c r="B2093" s="76" t="s">
        <v>6941</v>
      </c>
      <c r="C2093" s="76" t="s">
        <v>6942</v>
      </c>
      <c r="D2093" s="76" t="s">
        <v>6943</v>
      </c>
      <c r="E2093" s="76" t="s">
        <v>2032</v>
      </c>
      <c r="F2093" s="76" t="s">
        <v>2033</v>
      </c>
    </row>
    <row r="2094" spans="1:6" ht="63.95" customHeight="1">
      <c r="A2094" s="76" t="s">
        <v>1875</v>
      </c>
      <c r="B2094" s="76" t="s">
        <v>6944</v>
      </c>
      <c r="C2094" s="76" t="s">
        <v>865</v>
      </c>
      <c r="D2094" s="76" t="s">
        <v>867</v>
      </c>
      <c r="E2094" s="76" t="s">
        <v>2032</v>
      </c>
      <c r="F2094" s="76" t="s">
        <v>2033</v>
      </c>
    </row>
    <row r="2095" spans="1:6" ht="63.95" customHeight="1">
      <c r="A2095" s="76" t="s">
        <v>1875</v>
      </c>
      <c r="B2095" s="76" t="s">
        <v>6945</v>
      </c>
      <c r="C2095" s="76" t="s">
        <v>6946</v>
      </c>
      <c r="D2095" s="76" t="s">
        <v>6947</v>
      </c>
      <c r="E2095" s="76" t="s">
        <v>2032</v>
      </c>
      <c r="F2095" s="76" t="s">
        <v>2033</v>
      </c>
    </row>
    <row r="2096" spans="1:6" ht="63.95" customHeight="1">
      <c r="A2096" s="76" t="s">
        <v>1875</v>
      </c>
      <c r="B2096" s="76" t="s">
        <v>6948</v>
      </c>
      <c r="C2096" s="76" t="s">
        <v>6949</v>
      </c>
      <c r="D2096" s="76" t="s">
        <v>6950</v>
      </c>
      <c r="E2096" s="76" t="s">
        <v>2032</v>
      </c>
      <c r="F2096" s="76" t="s">
        <v>2033</v>
      </c>
    </row>
    <row r="2097" spans="1:6" ht="63.95" customHeight="1">
      <c r="A2097" s="76" t="s">
        <v>1875</v>
      </c>
      <c r="B2097" s="76" t="s">
        <v>6951</v>
      </c>
      <c r="C2097" s="76" t="s">
        <v>867</v>
      </c>
      <c r="D2097" s="76" t="s">
        <v>871</v>
      </c>
      <c r="E2097" s="76" t="s">
        <v>2032</v>
      </c>
      <c r="F2097" s="76" t="s">
        <v>2033</v>
      </c>
    </row>
    <row r="2098" spans="1:6" ht="63.95" customHeight="1">
      <c r="A2098" s="76" t="s">
        <v>1875</v>
      </c>
      <c r="B2098" s="76" t="s">
        <v>6952</v>
      </c>
      <c r="C2098" s="76" t="s">
        <v>6953</v>
      </c>
      <c r="D2098" s="76" t="s">
        <v>6954</v>
      </c>
      <c r="E2098" s="76" t="s">
        <v>2032</v>
      </c>
      <c r="F2098" s="76" t="s">
        <v>2033</v>
      </c>
    </row>
    <row r="2099" spans="1:6" ht="63.95" customHeight="1">
      <c r="A2099" s="76" t="s">
        <v>1875</v>
      </c>
      <c r="B2099" s="76" t="s">
        <v>6955</v>
      </c>
      <c r="C2099" s="76" t="s">
        <v>6956</v>
      </c>
      <c r="D2099" s="76" t="s">
        <v>6957</v>
      </c>
      <c r="E2099" s="76" t="s">
        <v>2032</v>
      </c>
      <c r="F2099" s="76" t="s">
        <v>2033</v>
      </c>
    </row>
    <row r="2100" spans="1:6" ht="63.95" customHeight="1">
      <c r="A2100" s="76" t="s">
        <v>1875</v>
      </c>
      <c r="B2100" s="76" t="s">
        <v>6958</v>
      </c>
      <c r="C2100" s="76" t="s">
        <v>871</v>
      </c>
      <c r="D2100" s="76" t="s">
        <v>873</v>
      </c>
      <c r="E2100" s="76" t="s">
        <v>2032</v>
      </c>
      <c r="F2100" s="76" t="s">
        <v>2033</v>
      </c>
    </row>
    <row r="2101" spans="1:6" ht="63.95" customHeight="1">
      <c r="A2101" s="76" t="s">
        <v>1875</v>
      </c>
      <c r="B2101" s="76" t="s">
        <v>6959</v>
      </c>
      <c r="C2101" s="76" t="s">
        <v>6960</v>
      </c>
      <c r="D2101" s="76" t="s">
        <v>6961</v>
      </c>
      <c r="E2101" s="76" t="s">
        <v>2032</v>
      </c>
      <c r="F2101" s="76" t="s">
        <v>2033</v>
      </c>
    </row>
    <row r="2102" spans="1:6" ht="63.95" customHeight="1">
      <c r="A2102" s="76" t="s">
        <v>1875</v>
      </c>
      <c r="B2102" s="76" t="s">
        <v>6962</v>
      </c>
      <c r="C2102" s="76" t="s">
        <v>6963</v>
      </c>
      <c r="D2102" s="76" t="s">
        <v>6964</v>
      </c>
      <c r="E2102" s="76" t="s">
        <v>2032</v>
      </c>
      <c r="F2102" s="76" t="s">
        <v>2033</v>
      </c>
    </row>
    <row r="2103" spans="1:6" ht="63.95" customHeight="1">
      <c r="A2103" s="76" t="s">
        <v>1875</v>
      </c>
      <c r="B2103" s="76" t="s">
        <v>6965</v>
      </c>
      <c r="C2103" s="76" t="s">
        <v>873</v>
      </c>
      <c r="D2103" s="76" t="s">
        <v>875</v>
      </c>
      <c r="E2103" s="76" t="s">
        <v>2032</v>
      </c>
      <c r="F2103" s="76" t="s">
        <v>2033</v>
      </c>
    </row>
    <row r="2104" spans="1:6" ht="63.95" customHeight="1">
      <c r="A2104" s="76" t="s">
        <v>1875</v>
      </c>
      <c r="B2104" s="76" t="s">
        <v>6966</v>
      </c>
      <c r="C2104" s="76" t="s">
        <v>6967</v>
      </c>
      <c r="D2104" s="76" t="s">
        <v>6968</v>
      </c>
      <c r="E2104" s="76" t="s">
        <v>2032</v>
      </c>
      <c r="F2104" s="76" t="s">
        <v>2033</v>
      </c>
    </row>
    <row r="2105" spans="1:6" ht="63.95" customHeight="1">
      <c r="A2105" s="76" t="s">
        <v>1875</v>
      </c>
      <c r="B2105" s="76" t="s">
        <v>6969</v>
      </c>
      <c r="C2105" s="76" t="s">
        <v>6970</v>
      </c>
      <c r="D2105" s="76" t="s">
        <v>6971</v>
      </c>
      <c r="E2105" s="76" t="s">
        <v>2032</v>
      </c>
      <c r="F2105" s="76" t="s">
        <v>2033</v>
      </c>
    </row>
    <row r="2106" spans="1:6" ht="63.95" customHeight="1">
      <c r="A2106" s="76" t="s">
        <v>1875</v>
      </c>
      <c r="B2106" s="76" t="s">
        <v>6972</v>
      </c>
      <c r="C2106" s="76" t="s">
        <v>875</v>
      </c>
      <c r="D2106" s="76" t="s">
        <v>901</v>
      </c>
      <c r="E2106" s="76" t="s">
        <v>2032</v>
      </c>
      <c r="F2106" s="76" t="s">
        <v>2033</v>
      </c>
    </row>
    <row r="2107" spans="1:6" ht="63.95" customHeight="1">
      <c r="A2107" s="76" t="s">
        <v>1875</v>
      </c>
      <c r="B2107" s="76" t="s">
        <v>6973</v>
      </c>
      <c r="C2107" s="76" t="s">
        <v>6974</v>
      </c>
      <c r="D2107" s="76" t="s">
        <v>6975</v>
      </c>
      <c r="E2107" s="76" t="s">
        <v>2032</v>
      </c>
      <c r="F2107" s="76" t="s">
        <v>2033</v>
      </c>
    </row>
    <row r="2108" spans="1:6" ht="63.95" customHeight="1">
      <c r="A2108" s="76" t="s">
        <v>1875</v>
      </c>
      <c r="B2108" s="76" t="s">
        <v>6976</v>
      </c>
      <c r="C2108" s="76" t="s">
        <v>6977</v>
      </c>
      <c r="D2108" s="76" t="s">
        <v>6978</v>
      </c>
      <c r="E2108" s="76" t="s">
        <v>2032</v>
      </c>
      <c r="F2108" s="76" t="s">
        <v>2033</v>
      </c>
    </row>
    <row r="2109" spans="1:6" ht="63.95" customHeight="1">
      <c r="A2109" s="76" t="s">
        <v>1875</v>
      </c>
      <c r="B2109" s="76" t="s">
        <v>6979</v>
      </c>
      <c r="C2109" s="76" t="s">
        <v>901</v>
      </c>
      <c r="D2109" s="76" t="s">
        <v>915</v>
      </c>
      <c r="E2109" s="76" t="s">
        <v>2032</v>
      </c>
      <c r="F2109" s="76" t="s">
        <v>2033</v>
      </c>
    </row>
    <row r="2110" spans="1:6" ht="63.95" customHeight="1">
      <c r="A2110" s="76" t="s">
        <v>1875</v>
      </c>
      <c r="B2110" s="76" t="s">
        <v>6980</v>
      </c>
      <c r="C2110" s="76" t="s">
        <v>6981</v>
      </c>
      <c r="D2110" s="76" t="s">
        <v>6982</v>
      </c>
      <c r="E2110" s="76" t="s">
        <v>2032</v>
      </c>
      <c r="F2110" s="76" t="s">
        <v>2033</v>
      </c>
    </row>
    <row r="2111" spans="1:6" ht="63.95" customHeight="1">
      <c r="A2111" s="76" t="s">
        <v>1875</v>
      </c>
      <c r="B2111" s="76" t="s">
        <v>6983</v>
      </c>
      <c r="C2111" s="76" t="s">
        <v>6984</v>
      </c>
      <c r="D2111" s="76" t="s">
        <v>6985</v>
      </c>
      <c r="E2111" s="76" t="s">
        <v>2032</v>
      </c>
      <c r="F2111" s="76" t="s">
        <v>2033</v>
      </c>
    </row>
    <row r="2112" spans="1:6" ht="63.95" customHeight="1">
      <c r="A2112" s="76" t="s">
        <v>1875</v>
      </c>
      <c r="B2112" s="76" t="s">
        <v>6986</v>
      </c>
      <c r="C2112" s="76" t="s">
        <v>915</v>
      </c>
      <c r="D2112" s="76" t="s">
        <v>928</v>
      </c>
      <c r="E2112" s="76" t="s">
        <v>2032</v>
      </c>
      <c r="F2112" s="76" t="s">
        <v>2033</v>
      </c>
    </row>
    <row r="2113" spans="1:6" ht="63.95" customHeight="1">
      <c r="A2113" s="76" t="s">
        <v>1875</v>
      </c>
      <c r="B2113" s="76" t="s">
        <v>6987</v>
      </c>
      <c r="C2113" s="76" t="s">
        <v>6988</v>
      </c>
      <c r="D2113" s="76" t="s">
        <v>6989</v>
      </c>
      <c r="E2113" s="76" t="s">
        <v>2032</v>
      </c>
      <c r="F2113" s="76" t="s">
        <v>2033</v>
      </c>
    </row>
    <row r="2114" spans="1:6" ht="63.95" customHeight="1">
      <c r="A2114" s="76" t="s">
        <v>1875</v>
      </c>
      <c r="B2114" s="76" t="s">
        <v>6990</v>
      </c>
      <c r="C2114" s="76" t="s">
        <v>6991</v>
      </c>
      <c r="D2114" s="76" t="s">
        <v>6992</v>
      </c>
      <c r="E2114" s="76" t="s">
        <v>2032</v>
      </c>
      <c r="F2114" s="76" t="s">
        <v>2033</v>
      </c>
    </row>
    <row r="2115" spans="1:6" ht="63.95" customHeight="1">
      <c r="A2115" s="76" t="s">
        <v>1875</v>
      </c>
      <c r="B2115" s="76" t="s">
        <v>6993</v>
      </c>
      <c r="C2115" s="76" t="s">
        <v>238</v>
      </c>
      <c r="D2115" s="76" t="s">
        <v>239</v>
      </c>
      <c r="E2115" s="76" t="s">
        <v>2032</v>
      </c>
      <c r="F2115" s="76" t="s">
        <v>2033</v>
      </c>
    </row>
    <row r="2116" spans="1:6" ht="63.95" customHeight="1">
      <c r="A2116" s="76" t="s">
        <v>1875</v>
      </c>
      <c r="B2116" s="76" t="s">
        <v>6994</v>
      </c>
      <c r="C2116" s="76" t="s">
        <v>928</v>
      </c>
      <c r="D2116" s="76" t="s">
        <v>836</v>
      </c>
      <c r="E2116" s="76" t="s">
        <v>2032</v>
      </c>
      <c r="F2116" s="76" t="s">
        <v>2033</v>
      </c>
    </row>
    <row r="2117" spans="1:6" ht="63.95" customHeight="1">
      <c r="A2117" s="76" t="s">
        <v>1875</v>
      </c>
      <c r="B2117" s="76" t="s">
        <v>6995</v>
      </c>
      <c r="C2117" s="76" t="s">
        <v>6996</v>
      </c>
      <c r="D2117" s="76" t="s">
        <v>6997</v>
      </c>
      <c r="E2117" s="76" t="s">
        <v>2032</v>
      </c>
      <c r="F2117" s="76" t="s">
        <v>2033</v>
      </c>
    </row>
    <row r="2118" spans="1:6" ht="63.95" customHeight="1">
      <c r="A2118" s="76" t="s">
        <v>1875</v>
      </c>
      <c r="B2118" s="76" t="s">
        <v>6998</v>
      </c>
      <c r="C2118" s="76" t="s">
        <v>6999</v>
      </c>
      <c r="D2118" s="76" t="s">
        <v>7000</v>
      </c>
      <c r="E2118" s="76" t="s">
        <v>2032</v>
      </c>
      <c r="F2118" s="76" t="s">
        <v>2033</v>
      </c>
    </row>
    <row r="2119" spans="1:6" ht="63.95" customHeight="1">
      <c r="A2119" s="76" t="s">
        <v>1875</v>
      </c>
      <c r="B2119" s="76" t="s">
        <v>7001</v>
      </c>
      <c r="C2119" s="76" t="s">
        <v>836</v>
      </c>
      <c r="D2119" s="76" t="s">
        <v>827</v>
      </c>
      <c r="E2119" s="76" t="s">
        <v>2032</v>
      </c>
      <c r="F2119" s="76" t="s">
        <v>2033</v>
      </c>
    </row>
    <row r="2120" spans="1:6" ht="63.95" customHeight="1">
      <c r="A2120" s="76" t="s">
        <v>1875</v>
      </c>
      <c r="B2120" s="76" t="s">
        <v>7002</v>
      </c>
      <c r="C2120" s="76" t="s">
        <v>7003</v>
      </c>
      <c r="D2120" s="76" t="s">
        <v>7004</v>
      </c>
      <c r="E2120" s="76" t="s">
        <v>2032</v>
      </c>
      <c r="F2120" s="76" t="s">
        <v>2033</v>
      </c>
    </row>
    <row r="2121" spans="1:6" ht="63.95" customHeight="1">
      <c r="A2121" s="76" t="s">
        <v>1875</v>
      </c>
      <c r="B2121" s="76" t="s">
        <v>7005</v>
      </c>
      <c r="C2121" s="76" t="s">
        <v>7006</v>
      </c>
      <c r="D2121" s="76" t="s">
        <v>7007</v>
      </c>
      <c r="E2121" s="76" t="s">
        <v>2032</v>
      </c>
      <c r="F2121" s="76" t="s">
        <v>2033</v>
      </c>
    </row>
    <row r="2122" spans="1:6" ht="63.95" customHeight="1">
      <c r="A2122" s="76" t="s">
        <v>1875</v>
      </c>
      <c r="B2122" s="76" t="s">
        <v>7008</v>
      </c>
      <c r="C2122" s="76" t="s">
        <v>827</v>
      </c>
      <c r="D2122" s="76" t="s">
        <v>838</v>
      </c>
      <c r="E2122" s="76" t="s">
        <v>2032</v>
      </c>
      <c r="F2122" s="76" t="s">
        <v>2033</v>
      </c>
    </row>
    <row r="2123" spans="1:6" ht="63.95" customHeight="1">
      <c r="A2123" s="76" t="s">
        <v>1875</v>
      </c>
      <c r="B2123" s="76" t="s">
        <v>7009</v>
      </c>
      <c r="C2123" s="76" t="s">
        <v>7010</v>
      </c>
      <c r="D2123" s="76" t="s">
        <v>7011</v>
      </c>
      <c r="E2123" s="76" t="s">
        <v>2032</v>
      </c>
      <c r="F2123" s="76" t="s">
        <v>2033</v>
      </c>
    </row>
    <row r="2124" spans="1:6" ht="63.95" customHeight="1">
      <c r="A2124" s="76" t="s">
        <v>1875</v>
      </c>
      <c r="B2124" s="76" t="s">
        <v>7012</v>
      </c>
      <c r="C2124" s="76" t="s">
        <v>7013</v>
      </c>
      <c r="D2124" s="76" t="s">
        <v>7014</v>
      </c>
      <c r="E2124" s="76" t="s">
        <v>2032</v>
      </c>
      <c r="F2124" s="76" t="s">
        <v>2033</v>
      </c>
    </row>
    <row r="2125" spans="1:6" ht="63.95" customHeight="1">
      <c r="A2125" s="76" t="s">
        <v>1875</v>
      </c>
      <c r="B2125" s="76" t="s">
        <v>7015</v>
      </c>
      <c r="C2125" s="76" t="s">
        <v>838</v>
      </c>
      <c r="D2125" s="76" t="s">
        <v>930</v>
      </c>
      <c r="E2125" s="76" t="s">
        <v>2032</v>
      </c>
      <c r="F2125" s="76" t="s">
        <v>2033</v>
      </c>
    </row>
    <row r="2126" spans="1:6" ht="63.95" customHeight="1">
      <c r="A2126" s="76" t="s">
        <v>1875</v>
      </c>
      <c r="B2126" s="76" t="s">
        <v>7016</v>
      </c>
      <c r="C2126" s="76" t="s">
        <v>7017</v>
      </c>
      <c r="D2126" s="76" t="s">
        <v>7018</v>
      </c>
      <c r="E2126" s="76" t="s">
        <v>2032</v>
      </c>
      <c r="F2126" s="76" t="s">
        <v>2033</v>
      </c>
    </row>
    <row r="2127" spans="1:6" ht="63.95" customHeight="1">
      <c r="A2127" s="76" t="s">
        <v>1875</v>
      </c>
      <c r="B2127" s="76" t="s">
        <v>7019</v>
      </c>
      <c r="C2127" s="76" t="s">
        <v>7020</v>
      </c>
      <c r="D2127" s="76" t="s">
        <v>7021</v>
      </c>
      <c r="E2127" s="76" t="s">
        <v>2032</v>
      </c>
      <c r="F2127" s="76" t="s">
        <v>2033</v>
      </c>
    </row>
    <row r="2128" spans="1:6" ht="63.95" customHeight="1">
      <c r="A2128" s="76" t="s">
        <v>1875</v>
      </c>
      <c r="B2128" s="76" t="s">
        <v>7022</v>
      </c>
      <c r="C2128" s="76" t="s">
        <v>239</v>
      </c>
      <c r="D2128" s="76" t="s">
        <v>240</v>
      </c>
      <c r="E2128" s="76" t="s">
        <v>2032</v>
      </c>
      <c r="F2128" s="76" t="s">
        <v>2033</v>
      </c>
    </row>
    <row r="2129" spans="1:6" ht="63.95" customHeight="1">
      <c r="A2129" s="76" t="s">
        <v>1875</v>
      </c>
      <c r="B2129" s="76" t="s">
        <v>7023</v>
      </c>
      <c r="C2129" s="76" t="s">
        <v>930</v>
      </c>
      <c r="D2129" s="76" t="s">
        <v>862</v>
      </c>
      <c r="E2129" s="76" t="s">
        <v>2032</v>
      </c>
      <c r="F2129" s="76" t="s">
        <v>2033</v>
      </c>
    </row>
    <row r="2130" spans="1:6" ht="63.95" customHeight="1">
      <c r="A2130" s="76" t="s">
        <v>1875</v>
      </c>
      <c r="B2130" s="76" t="s">
        <v>7024</v>
      </c>
      <c r="C2130" s="76" t="s">
        <v>7025</v>
      </c>
      <c r="D2130" s="76" t="s">
        <v>7026</v>
      </c>
      <c r="E2130" s="76" t="s">
        <v>2032</v>
      </c>
      <c r="F2130" s="76" t="s">
        <v>2033</v>
      </c>
    </row>
    <row r="2131" spans="1:6" ht="63.95" customHeight="1">
      <c r="A2131" s="76" t="s">
        <v>1875</v>
      </c>
      <c r="B2131" s="76" t="s">
        <v>7027</v>
      </c>
      <c r="C2131" s="76" t="s">
        <v>7028</v>
      </c>
      <c r="D2131" s="76" t="s">
        <v>7029</v>
      </c>
      <c r="E2131" s="76" t="s">
        <v>2032</v>
      </c>
      <c r="F2131" s="76" t="s">
        <v>2033</v>
      </c>
    </row>
    <row r="2132" spans="1:6" ht="63.95" customHeight="1">
      <c r="A2132" s="76" t="s">
        <v>1875</v>
      </c>
      <c r="B2132" s="76" t="s">
        <v>7030</v>
      </c>
      <c r="C2132" s="76" t="s">
        <v>862</v>
      </c>
      <c r="D2132" s="76" t="s">
        <v>865</v>
      </c>
      <c r="E2132" s="76" t="s">
        <v>2032</v>
      </c>
      <c r="F2132" s="76" t="s">
        <v>2033</v>
      </c>
    </row>
    <row r="2133" spans="1:6" ht="63.95" customHeight="1">
      <c r="A2133" s="76" t="s">
        <v>1875</v>
      </c>
      <c r="B2133" s="76" t="s">
        <v>7031</v>
      </c>
      <c r="C2133" s="76" t="s">
        <v>7032</v>
      </c>
      <c r="D2133" s="76" t="s">
        <v>7033</v>
      </c>
      <c r="E2133" s="76" t="s">
        <v>2032</v>
      </c>
      <c r="F2133" s="76" t="s">
        <v>2033</v>
      </c>
    </row>
    <row r="2134" spans="1:6" ht="63.95" customHeight="1">
      <c r="A2134" s="76" t="s">
        <v>1875</v>
      </c>
      <c r="B2134" s="76" t="s">
        <v>7034</v>
      </c>
      <c r="C2134" s="76" t="s">
        <v>7035</v>
      </c>
      <c r="D2134" s="76" t="s">
        <v>7036</v>
      </c>
      <c r="E2134" s="76" t="s">
        <v>2032</v>
      </c>
      <c r="F2134" s="76" t="s">
        <v>2033</v>
      </c>
    </row>
    <row r="2135" spans="1:6" ht="63.95" customHeight="1">
      <c r="A2135" s="76" t="s">
        <v>1875</v>
      </c>
      <c r="B2135" s="76" t="s">
        <v>7037</v>
      </c>
      <c r="C2135" s="76" t="s">
        <v>865</v>
      </c>
      <c r="D2135" s="76" t="s">
        <v>867</v>
      </c>
      <c r="E2135" s="76" t="s">
        <v>2032</v>
      </c>
      <c r="F2135" s="76" t="s">
        <v>2033</v>
      </c>
    </row>
    <row r="2136" spans="1:6" ht="63.95" customHeight="1">
      <c r="A2136" s="76" t="s">
        <v>1875</v>
      </c>
      <c r="B2136" s="76" t="s">
        <v>7038</v>
      </c>
      <c r="C2136" s="76" t="s">
        <v>7039</v>
      </c>
      <c r="D2136" s="76" t="s">
        <v>7040</v>
      </c>
      <c r="E2136" s="76" t="s">
        <v>2032</v>
      </c>
      <c r="F2136" s="76" t="s">
        <v>2033</v>
      </c>
    </row>
    <row r="2137" spans="1:6" ht="63.95" customHeight="1">
      <c r="A2137" s="76" t="s">
        <v>1875</v>
      </c>
      <c r="B2137" s="76" t="s">
        <v>7041</v>
      </c>
      <c r="C2137" s="76" t="s">
        <v>7042</v>
      </c>
      <c r="D2137" s="76" t="s">
        <v>7043</v>
      </c>
      <c r="E2137" s="76" t="s">
        <v>2032</v>
      </c>
      <c r="F2137" s="76" t="s">
        <v>2033</v>
      </c>
    </row>
    <row r="2138" spans="1:6" ht="63.95" customHeight="1">
      <c r="A2138" s="76" t="s">
        <v>1875</v>
      </c>
      <c r="B2138" s="76" t="s">
        <v>7044</v>
      </c>
      <c r="C2138" s="76" t="s">
        <v>867</v>
      </c>
      <c r="D2138" s="76" t="s">
        <v>879</v>
      </c>
      <c r="E2138" s="76" t="s">
        <v>2032</v>
      </c>
      <c r="F2138" s="76" t="s">
        <v>2033</v>
      </c>
    </row>
    <row r="2139" spans="1:6" ht="63.95" customHeight="1">
      <c r="A2139" s="76" t="s">
        <v>1875</v>
      </c>
      <c r="B2139" s="76" t="s">
        <v>7045</v>
      </c>
      <c r="C2139" s="76" t="s">
        <v>7046</v>
      </c>
      <c r="D2139" s="76" t="s">
        <v>7047</v>
      </c>
      <c r="E2139" s="76" t="s">
        <v>2032</v>
      </c>
      <c r="F2139" s="76" t="s">
        <v>2033</v>
      </c>
    </row>
    <row r="2140" spans="1:6" ht="63.95" customHeight="1">
      <c r="A2140" s="76" t="s">
        <v>1875</v>
      </c>
      <c r="B2140" s="76" t="s">
        <v>7048</v>
      </c>
      <c r="C2140" s="76" t="s">
        <v>7049</v>
      </c>
      <c r="D2140" s="76" t="s">
        <v>7050</v>
      </c>
      <c r="E2140" s="76" t="s">
        <v>2032</v>
      </c>
      <c r="F2140" s="76" t="s">
        <v>2033</v>
      </c>
    </row>
    <row r="2141" spans="1:6" ht="63.95" customHeight="1">
      <c r="A2141" s="76" t="s">
        <v>1875</v>
      </c>
      <c r="B2141" s="76" t="s">
        <v>7051</v>
      </c>
      <c r="C2141" s="76" t="s">
        <v>879</v>
      </c>
      <c r="D2141" s="76" t="s">
        <v>924</v>
      </c>
      <c r="E2141" s="76" t="s">
        <v>2032</v>
      </c>
      <c r="F2141" s="76" t="s">
        <v>2033</v>
      </c>
    </row>
    <row r="2142" spans="1:6" ht="63.95" customHeight="1">
      <c r="A2142" s="76" t="s">
        <v>1875</v>
      </c>
      <c r="B2142" s="76" t="s">
        <v>7052</v>
      </c>
      <c r="C2142" s="76" t="s">
        <v>7053</v>
      </c>
      <c r="D2142" s="76" t="s">
        <v>7054</v>
      </c>
      <c r="E2142" s="76" t="s">
        <v>2032</v>
      </c>
      <c r="F2142" s="76" t="s">
        <v>2033</v>
      </c>
    </row>
    <row r="2143" spans="1:6" ht="63.95" customHeight="1">
      <c r="A2143" s="76" t="s">
        <v>1875</v>
      </c>
      <c r="B2143" s="76" t="s">
        <v>7055</v>
      </c>
      <c r="C2143" s="76" t="s">
        <v>7056</v>
      </c>
      <c r="D2143" s="76" t="s">
        <v>7057</v>
      </c>
      <c r="E2143" s="76" t="s">
        <v>2032</v>
      </c>
      <c r="F2143" s="76" t="s">
        <v>2033</v>
      </c>
    </row>
    <row r="2144" spans="1:6" ht="63.95" customHeight="1">
      <c r="A2144" s="76" t="s">
        <v>1875</v>
      </c>
      <c r="B2144" s="76" t="s">
        <v>7058</v>
      </c>
      <c r="C2144" s="76" t="s">
        <v>924</v>
      </c>
      <c r="D2144" s="76" t="s">
        <v>928</v>
      </c>
      <c r="E2144" s="76" t="s">
        <v>2032</v>
      </c>
      <c r="F2144" s="76" t="s">
        <v>2033</v>
      </c>
    </row>
    <row r="2145" spans="1:6" ht="63.95" customHeight="1">
      <c r="A2145" s="76" t="s">
        <v>1875</v>
      </c>
      <c r="B2145" s="76" t="s">
        <v>7059</v>
      </c>
      <c r="C2145" s="76" t="s">
        <v>7060</v>
      </c>
      <c r="D2145" s="76" t="s">
        <v>7061</v>
      </c>
      <c r="E2145" s="76" t="s">
        <v>2032</v>
      </c>
      <c r="F2145" s="76" t="s">
        <v>2033</v>
      </c>
    </row>
    <row r="2146" spans="1:6" ht="63.95" customHeight="1">
      <c r="A2146" s="76" t="s">
        <v>1875</v>
      </c>
      <c r="B2146" s="76" t="s">
        <v>7062</v>
      </c>
      <c r="C2146" s="76" t="s">
        <v>7063</v>
      </c>
      <c r="D2146" s="76" t="s">
        <v>7064</v>
      </c>
      <c r="E2146" s="76" t="s">
        <v>2032</v>
      </c>
      <c r="F2146" s="76" t="s">
        <v>2033</v>
      </c>
    </row>
    <row r="2147" spans="1:6" ht="63.95" customHeight="1">
      <c r="A2147" s="76" t="s">
        <v>1875</v>
      </c>
      <c r="B2147" s="76" t="s">
        <v>7065</v>
      </c>
      <c r="C2147" s="76" t="s">
        <v>928</v>
      </c>
      <c r="D2147" s="76" t="s">
        <v>939</v>
      </c>
      <c r="E2147" s="76" t="s">
        <v>2032</v>
      </c>
      <c r="F2147" s="76" t="s">
        <v>2033</v>
      </c>
    </row>
    <row r="2148" spans="1:6" ht="63.95" customHeight="1">
      <c r="A2148" s="76" t="s">
        <v>1875</v>
      </c>
      <c r="B2148" s="76" t="s">
        <v>7066</v>
      </c>
      <c r="C2148" s="76" t="s">
        <v>7067</v>
      </c>
      <c r="D2148" s="76" t="s">
        <v>7068</v>
      </c>
      <c r="E2148" s="76" t="s">
        <v>2032</v>
      </c>
      <c r="F2148" s="76" t="s">
        <v>2033</v>
      </c>
    </row>
    <row r="2149" spans="1:6" ht="63.95" customHeight="1">
      <c r="A2149" s="76" t="s">
        <v>1875</v>
      </c>
      <c r="B2149" s="76" t="s">
        <v>7069</v>
      </c>
      <c r="C2149" s="76" t="s">
        <v>7070</v>
      </c>
      <c r="D2149" s="76" t="s">
        <v>7071</v>
      </c>
      <c r="E2149" s="76" t="s">
        <v>2032</v>
      </c>
      <c r="F2149" s="76" t="s">
        <v>2033</v>
      </c>
    </row>
    <row r="2150" spans="1:6" ht="63.95" customHeight="1">
      <c r="A2150" s="76" t="s">
        <v>1875</v>
      </c>
      <c r="B2150" s="76" t="s">
        <v>7072</v>
      </c>
      <c r="C2150" s="76" t="s">
        <v>939</v>
      </c>
      <c r="D2150" s="76" t="s">
        <v>971</v>
      </c>
      <c r="E2150" s="76" t="s">
        <v>2032</v>
      </c>
      <c r="F2150" s="76" t="s">
        <v>2033</v>
      </c>
    </row>
    <row r="2151" spans="1:6" ht="63.95" customHeight="1">
      <c r="A2151" s="76" t="s">
        <v>1875</v>
      </c>
      <c r="B2151" s="76" t="s">
        <v>7073</v>
      </c>
      <c r="C2151" s="76" t="s">
        <v>7074</v>
      </c>
      <c r="D2151" s="76" t="s">
        <v>7075</v>
      </c>
      <c r="E2151" s="76" t="s">
        <v>2032</v>
      </c>
      <c r="F2151" s="76" t="s">
        <v>2033</v>
      </c>
    </row>
    <row r="2152" spans="1:6" ht="63.95" customHeight="1">
      <c r="A2152" s="76" t="s">
        <v>1875</v>
      </c>
      <c r="B2152" s="76" t="s">
        <v>7076</v>
      </c>
      <c r="C2152" s="76" t="s">
        <v>7077</v>
      </c>
      <c r="D2152" s="76" t="s">
        <v>7078</v>
      </c>
      <c r="E2152" s="76" t="s">
        <v>2032</v>
      </c>
      <c r="F2152" s="76" t="s">
        <v>2033</v>
      </c>
    </row>
    <row r="2153" spans="1:6" ht="63.95" customHeight="1">
      <c r="A2153" s="76" t="s">
        <v>1875</v>
      </c>
      <c r="B2153" s="76" t="s">
        <v>7079</v>
      </c>
      <c r="C2153" s="76" t="s">
        <v>971</v>
      </c>
      <c r="D2153" s="76" t="s">
        <v>975</v>
      </c>
      <c r="E2153" s="76" t="s">
        <v>2032</v>
      </c>
      <c r="F2153" s="76" t="s">
        <v>2033</v>
      </c>
    </row>
    <row r="2154" spans="1:6" ht="63.95" customHeight="1">
      <c r="A2154" s="76" t="s">
        <v>1875</v>
      </c>
      <c r="B2154" s="76" t="s">
        <v>7080</v>
      </c>
      <c r="C2154" s="76" t="s">
        <v>7081</v>
      </c>
      <c r="D2154" s="76" t="s">
        <v>7082</v>
      </c>
      <c r="E2154" s="76" t="s">
        <v>2032</v>
      </c>
      <c r="F2154" s="76" t="s">
        <v>2033</v>
      </c>
    </row>
    <row r="2155" spans="1:6" ht="63.95" customHeight="1">
      <c r="A2155" s="76" t="s">
        <v>1875</v>
      </c>
      <c r="B2155" s="76" t="s">
        <v>7083</v>
      </c>
      <c r="C2155" s="76" t="s">
        <v>7084</v>
      </c>
      <c r="D2155" s="76" t="s">
        <v>7085</v>
      </c>
      <c r="E2155" s="76" t="s">
        <v>2032</v>
      </c>
      <c r="F2155" s="76" t="s">
        <v>2033</v>
      </c>
    </row>
    <row r="2156" spans="1:6" ht="63.95" customHeight="1">
      <c r="A2156" s="76" t="s">
        <v>1875</v>
      </c>
      <c r="B2156" s="76" t="s">
        <v>7086</v>
      </c>
      <c r="C2156" s="76" t="s">
        <v>975</v>
      </c>
      <c r="D2156" s="76" t="s">
        <v>983</v>
      </c>
      <c r="E2156" s="76" t="s">
        <v>2032</v>
      </c>
      <c r="F2156" s="76" t="s">
        <v>2033</v>
      </c>
    </row>
    <row r="2157" spans="1:6" ht="63.95" customHeight="1">
      <c r="A2157" s="76" t="s">
        <v>1875</v>
      </c>
      <c r="B2157" s="76" t="s">
        <v>7087</v>
      </c>
      <c r="C2157" s="76" t="s">
        <v>7088</v>
      </c>
      <c r="D2157" s="76" t="s">
        <v>7089</v>
      </c>
      <c r="E2157" s="76" t="s">
        <v>2032</v>
      </c>
      <c r="F2157" s="76" t="s">
        <v>2033</v>
      </c>
    </row>
    <row r="2158" spans="1:6" ht="63.95" customHeight="1">
      <c r="A2158" s="76" t="s">
        <v>1875</v>
      </c>
      <c r="B2158" s="76" t="s">
        <v>7090</v>
      </c>
      <c r="C2158" s="76" t="s">
        <v>7091</v>
      </c>
      <c r="D2158" s="76" t="s">
        <v>7092</v>
      </c>
      <c r="E2158" s="76" t="s">
        <v>2032</v>
      </c>
      <c r="F2158" s="76" t="s">
        <v>2033</v>
      </c>
    </row>
    <row r="2159" spans="1:6" ht="63.95" customHeight="1">
      <c r="A2159" s="76" t="s">
        <v>1875</v>
      </c>
      <c r="B2159" s="76" t="s">
        <v>7093</v>
      </c>
      <c r="C2159" s="76" t="s">
        <v>983</v>
      </c>
      <c r="D2159" s="76" t="s">
        <v>991</v>
      </c>
      <c r="E2159" s="76" t="s">
        <v>2032</v>
      </c>
      <c r="F2159" s="76" t="s">
        <v>2033</v>
      </c>
    </row>
    <row r="2160" spans="1:6" ht="63.95" customHeight="1">
      <c r="A2160" s="76" t="s">
        <v>1875</v>
      </c>
      <c r="B2160" s="76" t="s">
        <v>7094</v>
      </c>
      <c r="C2160" s="76" t="s">
        <v>7095</v>
      </c>
      <c r="D2160" s="76" t="s">
        <v>7096</v>
      </c>
      <c r="E2160" s="76" t="s">
        <v>2032</v>
      </c>
      <c r="F2160" s="76" t="s">
        <v>2033</v>
      </c>
    </row>
    <row r="2161" spans="1:6" ht="63.95" customHeight="1">
      <c r="A2161" s="76" t="s">
        <v>1875</v>
      </c>
      <c r="B2161" s="76" t="s">
        <v>7097</v>
      </c>
      <c r="C2161" s="76" t="s">
        <v>7098</v>
      </c>
      <c r="D2161" s="76" t="s">
        <v>7099</v>
      </c>
      <c r="E2161" s="76" t="s">
        <v>2032</v>
      </c>
      <c r="F2161" s="76" t="s">
        <v>2033</v>
      </c>
    </row>
    <row r="2162" spans="1:6" ht="63.95" customHeight="1">
      <c r="A2162" s="76" t="s">
        <v>1875</v>
      </c>
      <c r="B2162" s="76" t="s">
        <v>7100</v>
      </c>
      <c r="C2162" s="76" t="s">
        <v>240</v>
      </c>
      <c r="D2162" s="76"/>
      <c r="E2162" s="76" t="s">
        <v>2032</v>
      </c>
      <c r="F2162" s="76" t="s">
        <v>2033</v>
      </c>
    </row>
    <row r="2163" spans="1:6" ht="63.95" customHeight="1">
      <c r="A2163" s="76" t="s">
        <v>1875</v>
      </c>
      <c r="B2163" s="76" t="s">
        <v>7101</v>
      </c>
      <c r="C2163" s="76" t="s">
        <v>991</v>
      </c>
      <c r="D2163" s="76"/>
      <c r="E2163" s="76" t="s">
        <v>2032</v>
      </c>
      <c r="F2163" s="76" t="s">
        <v>2033</v>
      </c>
    </row>
    <row r="2164" spans="1:6" ht="63.95" customHeight="1">
      <c r="A2164" s="76" t="s">
        <v>1875</v>
      </c>
      <c r="B2164" s="76" t="s">
        <v>7102</v>
      </c>
      <c r="C2164" s="76" t="s">
        <v>7103</v>
      </c>
      <c r="D2164" s="76"/>
      <c r="E2164" s="76" t="s">
        <v>2032</v>
      </c>
      <c r="F2164" s="76" t="s">
        <v>2033</v>
      </c>
    </row>
    <row r="2165" spans="1:6" ht="63.95" customHeight="1">
      <c r="A2165" s="76" t="s">
        <v>1875</v>
      </c>
      <c r="B2165" s="76" t="s">
        <v>7104</v>
      </c>
      <c r="C2165" s="76" t="s">
        <v>7105</v>
      </c>
      <c r="D2165" s="76"/>
      <c r="E2165" s="76" t="s">
        <v>2032</v>
      </c>
      <c r="F2165" s="76" t="s">
        <v>2033</v>
      </c>
    </row>
    <row r="2166" spans="1:6" ht="63.95" customHeight="1">
      <c r="A2166" s="76" t="s">
        <v>1881</v>
      </c>
      <c r="B2166" s="76" t="s">
        <v>1967</v>
      </c>
      <c r="C2166" s="76" t="s">
        <v>1906</v>
      </c>
      <c r="D2166" s="76" t="s">
        <v>7106</v>
      </c>
      <c r="E2166" s="76" t="s">
        <v>7107</v>
      </c>
      <c r="F2166" s="76"/>
    </row>
    <row r="2167" spans="1:6" ht="63.95" customHeight="1">
      <c r="A2167" s="76" t="s">
        <v>1881</v>
      </c>
      <c r="B2167" s="76" t="s">
        <v>4763</v>
      </c>
      <c r="C2167" s="76" t="s">
        <v>7108</v>
      </c>
      <c r="D2167" s="76" t="s">
        <v>7109</v>
      </c>
      <c r="E2167" s="76" t="s">
        <v>7110</v>
      </c>
      <c r="F2167" s="76"/>
    </row>
    <row r="2168" spans="1:6" ht="63.95" customHeight="1">
      <c r="A2168" s="76" t="s">
        <v>1853</v>
      </c>
      <c r="B2168" s="76" t="s">
        <v>7111</v>
      </c>
      <c r="C2168" s="76" t="s">
        <v>7112</v>
      </c>
      <c r="D2168" s="76" t="s">
        <v>7113</v>
      </c>
      <c r="E2168" s="76" t="s">
        <v>7114</v>
      </c>
      <c r="F2168" s="76" t="s">
        <v>7115</v>
      </c>
    </row>
    <row r="2169" spans="1:6" ht="63.95" customHeight="1">
      <c r="A2169" s="76" t="s">
        <v>1853</v>
      </c>
      <c r="B2169" s="76" t="s">
        <v>7116</v>
      </c>
      <c r="C2169" s="76" t="s">
        <v>7117</v>
      </c>
      <c r="D2169" s="76" t="s">
        <v>7118</v>
      </c>
      <c r="E2169" s="76" t="s">
        <v>7119</v>
      </c>
      <c r="F2169" s="76" t="s">
        <v>7115</v>
      </c>
    </row>
    <row r="2170" spans="1:6" ht="63.95" customHeight="1">
      <c r="A2170" s="76" t="s">
        <v>1853</v>
      </c>
      <c r="B2170" s="76" t="s">
        <v>7120</v>
      </c>
      <c r="C2170" s="76" t="s">
        <v>7121</v>
      </c>
      <c r="D2170" s="76" t="s">
        <v>7122</v>
      </c>
      <c r="E2170" s="76" t="s">
        <v>7123</v>
      </c>
      <c r="F2170" s="76" t="s">
        <v>7115</v>
      </c>
    </row>
    <row r="2171" spans="1:6" ht="63.95" customHeight="1">
      <c r="A2171" s="76" t="s">
        <v>1853</v>
      </c>
      <c r="B2171" s="76" t="s">
        <v>7124</v>
      </c>
      <c r="C2171" s="76" t="s">
        <v>7112</v>
      </c>
      <c r="D2171" s="76" t="s">
        <v>7113</v>
      </c>
      <c r="E2171" s="76" t="s">
        <v>7114</v>
      </c>
      <c r="F2171" s="76" t="s">
        <v>7115</v>
      </c>
    </row>
    <row r="2172" spans="1:6" ht="63.95" customHeight="1">
      <c r="A2172" s="76" t="s">
        <v>1853</v>
      </c>
      <c r="B2172" s="76" t="s">
        <v>7125</v>
      </c>
      <c r="C2172" s="76" t="s">
        <v>7117</v>
      </c>
      <c r="D2172" s="76" t="s">
        <v>7118</v>
      </c>
      <c r="E2172" s="76" t="s">
        <v>7119</v>
      </c>
      <c r="F2172" s="76" t="s">
        <v>7115</v>
      </c>
    </row>
    <row r="2173" spans="1:6" ht="63.95" customHeight="1">
      <c r="A2173" s="76" t="s">
        <v>1853</v>
      </c>
      <c r="B2173" s="76" t="s">
        <v>7126</v>
      </c>
      <c r="C2173" s="76" t="s">
        <v>7121</v>
      </c>
      <c r="D2173" s="76" t="s">
        <v>7122</v>
      </c>
      <c r="E2173" s="76" t="s">
        <v>7123</v>
      </c>
      <c r="F2173" s="76" t="s">
        <v>7115</v>
      </c>
    </row>
    <row r="2174" spans="1:6" ht="63.95" customHeight="1">
      <c r="A2174" s="76" t="s">
        <v>1853</v>
      </c>
      <c r="B2174" s="76" t="s">
        <v>7127</v>
      </c>
      <c r="C2174" s="76" t="s">
        <v>7112</v>
      </c>
      <c r="D2174" s="76" t="s">
        <v>7113</v>
      </c>
      <c r="E2174" s="76" t="s">
        <v>7114</v>
      </c>
      <c r="F2174" s="76" t="s">
        <v>7115</v>
      </c>
    </row>
    <row r="2175" spans="1:6" ht="63.95" customHeight="1">
      <c r="A2175" s="76" t="s">
        <v>1853</v>
      </c>
      <c r="B2175" s="76" t="s">
        <v>7128</v>
      </c>
      <c r="C2175" s="76" t="s">
        <v>7117</v>
      </c>
      <c r="D2175" s="76" t="s">
        <v>7118</v>
      </c>
      <c r="E2175" s="76" t="s">
        <v>7119</v>
      </c>
      <c r="F2175" s="76" t="s">
        <v>7115</v>
      </c>
    </row>
    <row r="2176" spans="1:6" ht="63.95" customHeight="1">
      <c r="A2176" s="76" t="s">
        <v>1853</v>
      </c>
      <c r="B2176" s="76" t="s">
        <v>7129</v>
      </c>
      <c r="C2176" s="76" t="s">
        <v>7121</v>
      </c>
      <c r="D2176" s="76" t="s">
        <v>7122</v>
      </c>
      <c r="E2176" s="76" t="s">
        <v>7123</v>
      </c>
      <c r="F2176" s="76" t="s">
        <v>7115</v>
      </c>
    </row>
    <row r="2177" spans="1:6" ht="63.95" customHeight="1">
      <c r="A2177" s="76" t="s">
        <v>1853</v>
      </c>
      <c r="B2177" s="76" t="s">
        <v>7130</v>
      </c>
      <c r="C2177" s="76" t="s">
        <v>7112</v>
      </c>
      <c r="D2177" s="76" t="s">
        <v>7113</v>
      </c>
      <c r="E2177" s="76" t="s">
        <v>7114</v>
      </c>
      <c r="F2177" s="76" t="s">
        <v>7115</v>
      </c>
    </row>
    <row r="2178" spans="1:6" ht="63.95" customHeight="1">
      <c r="A2178" s="76" t="s">
        <v>1853</v>
      </c>
      <c r="B2178" s="76" t="s">
        <v>7131</v>
      </c>
      <c r="C2178" s="76" t="s">
        <v>7117</v>
      </c>
      <c r="D2178" s="76" t="s">
        <v>7118</v>
      </c>
      <c r="E2178" s="76" t="s">
        <v>7119</v>
      </c>
      <c r="F2178" s="76" t="s">
        <v>7115</v>
      </c>
    </row>
    <row r="2179" spans="1:6" ht="63.95" customHeight="1">
      <c r="A2179" s="76" t="s">
        <v>1853</v>
      </c>
      <c r="B2179" s="76" t="s">
        <v>7132</v>
      </c>
      <c r="C2179" s="76" t="s">
        <v>7121</v>
      </c>
      <c r="D2179" s="76" t="s">
        <v>7122</v>
      </c>
      <c r="E2179" s="76" t="s">
        <v>7123</v>
      </c>
      <c r="F2179" s="76" t="s">
        <v>7115</v>
      </c>
    </row>
    <row r="2180" spans="1:6" ht="63.95" customHeight="1">
      <c r="A2180" s="76" t="s">
        <v>1853</v>
      </c>
      <c r="B2180" s="76" t="s">
        <v>7133</v>
      </c>
      <c r="C2180" s="76" t="s">
        <v>7134</v>
      </c>
      <c r="D2180" s="76" t="s">
        <v>7113</v>
      </c>
      <c r="E2180" s="76" t="s">
        <v>7114</v>
      </c>
      <c r="F2180" s="76" t="s">
        <v>7115</v>
      </c>
    </row>
    <row r="2181" spans="1:6" ht="63.95" customHeight="1">
      <c r="A2181" s="76" t="s">
        <v>1853</v>
      </c>
      <c r="B2181" s="76" t="s">
        <v>7135</v>
      </c>
      <c r="C2181" s="76" t="s">
        <v>7117</v>
      </c>
      <c r="D2181" s="76" t="s">
        <v>7118</v>
      </c>
      <c r="E2181" s="76" t="s">
        <v>7119</v>
      </c>
      <c r="F2181" s="76" t="s">
        <v>7115</v>
      </c>
    </row>
    <row r="2182" spans="1:6" ht="63.95" customHeight="1">
      <c r="A2182" s="76" t="s">
        <v>1853</v>
      </c>
      <c r="B2182" s="76" t="s">
        <v>7136</v>
      </c>
      <c r="C2182" s="76" t="s">
        <v>7121</v>
      </c>
      <c r="D2182" s="76" t="s">
        <v>7122</v>
      </c>
      <c r="E2182" s="76" t="s">
        <v>7123</v>
      </c>
      <c r="F2182" s="76" t="s">
        <v>7115</v>
      </c>
    </row>
    <row r="2183" spans="1:6" ht="63.95" customHeight="1">
      <c r="A2183" s="76" t="s">
        <v>1853</v>
      </c>
      <c r="B2183" s="76" t="s">
        <v>7137</v>
      </c>
      <c r="C2183" s="76" t="s">
        <v>7134</v>
      </c>
      <c r="D2183" s="76" t="s">
        <v>7113</v>
      </c>
      <c r="E2183" s="76" t="s">
        <v>7114</v>
      </c>
      <c r="F2183" s="76" t="s">
        <v>7115</v>
      </c>
    </row>
    <row r="2184" spans="1:6" ht="63.95" customHeight="1">
      <c r="A2184" s="76" t="s">
        <v>1853</v>
      </c>
      <c r="B2184" s="76" t="s">
        <v>7138</v>
      </c>
      <c r="C2184" s="76" t="s">
        <v>7117</v>
      </c>
      <c r="D2184" s="76" t="s">
        <v>7118</v>
      </c>
      <c r="E2184" s="76" t="s">
        <v>7119</v>
      </c>
      <c r="F2184" s="76" t="s">
        <v>7115</v>
      </c>
    </row>
    <row r="2185" spans="1:6" ht="63.95" customHeight="1">
      <c r="A2185" s="76" t="s">
        <v>1853</v>
      </c>
      <c r="B2185" s="76" t="s">
        <v>7139</v>
      </c>
      <c r="C2185" s="76" t="s">
        <v>7121</v>
      </c>
      <c r="D2185" s="76" t="s">
        <v>7122</v>
      </c>
      <c r="E2185" s="76" t="s">
        <v>7123</v>
      </c>
      <c r="F2185" s="76" t="s">
        <v>7115</v>
      </c>
    </row>
    <row r="2186" spans="1:6" ht="63.95" customHeight="1">
      <c r="A2186" s="76" t="s">
        <v>1853</v>
      </c>
      <c r="B2186" s="76" t="s">
        <v>7140</v>
      </c>
      <c r="C2186" s="76" t="s">
        <v>7134</v>
      </c>
      <c r="D2186" s="76" t="s">
        <v>7113</v>
      </c>
      <c r="E2186" s="76" t="s">
        <v>7114</v>
      </c>
      <c r="F2186" s="76" t="s">
        <v>7115</v>
      </c>
    </row>
    <row r="2187" spans="1:6" ht="63.95" customHeight="1">
      <c r="A2187" s="76" t="s">
        <v>1853</v>
      </c>
      <c r="B2187" s="76" t="s">
        <v>7141</v>
      </c>
      <c r="C2187" s="76" t="s">
        <v>7117</v>
      </c>
      <c r="D2187" s="76" t="s">
        <v>7118</v>
      </c>
      <c r="E2187" s="76" t="s">
        <v>7119</v>
      </c>
      <c r="F2187" s="76" t="s">
        <v>7115</v>
      </c>
    </row>
    <row r="2188" spans="1:6" ht="63.95" customHeight="1">
      <c r="A2188" s="76" t="s">
        <v>1853</v>
      </c>
      <c r="B2188" s="76" t="s">
        <v>7142</v>
      </c>
      <c r="C2188" s="76" t="s">
        <v>7121</v>
      </c>
      <c r="D2188" s="76" t="s">
        <v>7122</v>
      </c>
      <c r="E2188" s="76" t="s">
        <v>7123</v>
      </c>
      <c r="F2188" s="76" t="s">
        <v>7115</v>
      </c>
    </row>
    <row r="2189" spans="1:6" ht="63.95" customHeight="1">
      <c r="A2189" s="76" t="s">
        <v>1853</v>
      </c>
      <c r="B2189" s="76" t="s">
        <v>7143</v>
      </c>
      <c r="C2189" s="76" t="s">
        <v>7134</v>
      </c>
      <c r="D2189" s="76" t="s">
        <v>7113</v>
      </c>
      <c r="E2189" s="76" t="s">
        <v>7114</v>
      </c>
      <c r="F2189" s="76" t="s">
        <v>7115</v>
      </c>
    </row>
    <row r="2190" spans="1:6" ht="63.95" customHeight="1">
      <c r="A2190" s="76" t="s">
        <v>1853</v>
      </c>
      <c r="B2190" s="76" t="s">
        <v>7144</v>
      </c>
      <c r="C2190" s="76" t="s">
        <v>7117</v>
      </c>
      <c r="D2190" s="76" t="s">
        <v>7118</v>
      </c>
      <c r="E2190" s="76" t="s">
        <v>7119</v>
      </c>
      <c r="F2190" s="76" t="s">
        <v>7115</v>
      </c>
    </row>
    <row r="2191" spans="1:6" ht="63.95" customHeight="1">
      <c r="A2191" s="76" t="s">
        <v>1853</v>
      </c>
      <c r="B2191" s="76" t="s">
        <v>7145</v>
      </c>
      <c r="C2191" s="76" t="s">
        <v>7121</v>
      </c>
      <c r="D2191" s="76" t="s">
        <v>7122</v>
      </c>
      <c r="E2191" s="76" t="s">
        <v>7123</v>
      </c>
      <c r="F2191" s="76" t="s">
        <v>7115</v>
      </c>
    </row>
    <row r="2192" spans="1:6" ht="63.95" customHeight="1">
      <c r="A2192" s="76" t="s">
        <v>1853</v>
      </c>
      <c r="B2192" s="76" t="s">
        <v>7146</v>
      </c>
      <c r="C2192" s="76" t="s">
        <v>7134</v>
      </c>
      <c r="D2192" s="76" t="s">
        <v>7113</v>
      </c>
      <c r="E2192" s="76" t="s">
        <v>7114</v>
      </c>
      <c r="F2192" s="76" t="s">
        <v>7115</v>
      </c>
    </row>
    <row r="2193" spans="1:6" ht="63.95" customHeight="1">
      <c r="A2193" s="76" t="s">
        <v>1853</v>
      </c>
      <c r="B2193" s="76" t="s">
        <v>7147</v>
      </c>
      <c r="C2193" s="76" t="s">
        <v>7117</v>
      </c>
      <c r="D2193" s="76" t="s">
        <v>7118</v>
      </c>
      <c r="E2193" s="76" t="s">
        <v>7119</v>
      </c>
      <c r="F2193" s="76" t="s">
        <v>7115</v>
      </c>
    </row>
    <row r="2194" spans="1:6" ht="63.95" customHeight="1">
      <c r="A2194" s="76" t="s">
        <v>1853</v>
      </c>
      <c r="B2194" s="76" t="s">
        <v>7148</v>
      </c>
      <c r="C2194" s="76" t="s">
        <v>7121</v>
      </c>
      <c r="D2194" s="76" t="s">
        <v>7122</v>
      </c>
      <c r="E2194" s="76" t="s">
        <v>7123</v>
      </c>
      <c r="F2194" s="76" t="s">
        <v>7115</v>
      </c>
    </row>
    <row r="2195" spans="1:6" ht="63.95" customHeight="1">
      <c r="A2195" s="76" t="s">
        <v>1853</v>
      </c>
      <c r="B2195" s="76" t="s">
        <v>7149</v>
      </c>
      <c r="C2195" s="76" t="s">
        <v>7112</v>
      </c>
      <c r="D2195" s="76" t="s">
        <v>7113</v>
      </c>
      <c r="E2195" s="76" t="s">
        <v>7114</v>
      </c>
      <c r="F2195" s="76" t="s">
        <v>7115</v>
      </c>
    </row>
    <row r="2196" spans="1:6" ht="63.95" customHeight="1">
      <c r="A2196" s="76" t="s">
        <v>1853</v>
      </c>
      <c r="B2196" s="76" t="s">
        <v>7150</v>
      </c>
      <c r="C2196" s="76" t="s">
        <v>7117</v>
      </c>
      <c r="D2196" s="76" t="s">
        <v>7118</v>
      </c>
      <c r="E2196" s="76" t="s">
        <v>7119</v>
      </c>
      <c r="F2196" s="76" t="s">
        <v>7115</v>
      </c>
    </row>
    <row r="2197" spans="1:6" ht="63.95" customHeight="1">
      <c r="A2197" s="76" t="s">
        <v>1853</v>
      </c>
      <c r="B2197" s="76" t="s">
        <v>7151</v>
      </c>
      <c r="C2197" s="76" t="s">
        <v>7121</v>
      </c>
      <c r="D2197" s="76" t="s">
        <v>7122</v>
      </c>
      <c r="E2197" s="76" t="s">
        <v>7123</v>
      </c>
      <c r="F2197" s="76" t="s">
        <v>7115</v>
      </c>
    </row>
    <row r="2198" spans="1:6" ht="63.95" customHeight="1">
      <c r="A2198" s="76" t="s">
        <v>1853</v>
      </c>
      <c r="B2198" s="76" t="s">
        <v>7152</v>
      </c>
      <c r="C2198" s="76" t="s">
        <v>7112</v>
      </c>
      <c r="D2198" s="76" t="s">
        <v>7113</v>
      </c>
      <c r="E2198" s="76" t="s">
        <v>7114</v>
      </c>
      <c r="F2198" s="76" t="s">
        <v>7115</v>
      </c>
    </row>
    <row r="2199" spans="1:6" ht="63.95" customHeight="1">
      <c r="A2199" s="76" t="s">
        <v>1853</v>
      </c>
      <c r="B2199" s="76" t="s">
        <v>7153</v>
      </c>
      <c r="C2199" s="76" t="s">
        <v>7117</v>
      </c>
      <c r="D2199" s="76" t="s">
        <v>7118</v>
      </c>
      <c r="E2199" s="76" t="s">
        <v>7119</v>
      </c>
      <c r="F2199" s="76" t="s">
        <v>7115</v>
      </c>
    </row>
    <row r="2200" spans="1:6" ht="63.95" customHeight="1">
      <c r="A2200" s="76" t="s">
        <v>1853</v>
      </c>
      <c r="B2200" s="76" t="s">
        <v>7154</v>
      </c>
      <c r="C2200" s="76" t="s">
        <v>7121</v>
      </c>
      <c r="D2200" s="76" t="s">
        <v>7122</v>
      </c>
      <c r="E2200" s="76" t="s">
        <v>7123</v>
      </c>
      <c r="F2200" s="76" t="s">
        <v>7115</v>
      </c>
    </row>
    <row r="2201" spans="1:6" ht="63.95" customHeight="1">
      <c r="A2201" s="76" t="s">
        <v>1853</v>
      </c>
      <c r="B2201" s="76" t="s">
        <v>7155</v>
      </c>
      <c r="C2201" s="76" t="s">
        <v>7112</v>
      </c>
      <c r="D2201" s="76" t="s">
        <v>7113</v>
      </c>
      <c r="E2201" s="76" t="s">
        <v>7114</v>
      </c>
      <c r="F2201" s="76" t="s">
        <v>7115</v>
      </c>
    </row>
    <row r="2202" spans="1:6" ht="63.95" customHeight="1">
      <c r="A2202" s="76" t="s">
        <v>1853</v>
      </c>
      <c r="B2202" s="76" t="s">
        <v>7156</v>
      </c>
      <c r="C2202" s="76" t="s">
        <v>7117</v>
      </c>
      <c r="D2202" s="76" t="s">
        <v>7118</v>
      </c>
      <c r="E2202" s="76" t="s">
        <v>7119</v>
      </c>
      <c r="F2202" s="76" t="s">
        <v>7115</v>
      </c>
    </row>
    <row r="2203" spans="1:6" ht="63.95" customHeight="1">
      <c r="A2203" s="76" t="s">
        <v>1853</v>
      </c>
      <c r="B2203" s="76" t="s">
        <v>7157</v>
      </c>
      <c r="C2203" s="76" t="s">
        <v>7121</v>
      </c>
      <c r="D2203" s="76" t="s">
        <v>7122</v>
      </c>
      <c r="E2203" s="76" t="s">
        <v>7123</v>
      </c>
      <c r="F2203" s="76" t="s">
        <v>7115</v>
      </c>
    </row>
    <row r="2204" spans="1:6" ht="63.95" customHeight="1">
      <c r="A2204" s="76" t="s">
        <v>1853</v>
      </c>
      <c r="B2204" s="76" t="s">
        <v>7158</v>
      </c>
      <c r="C2204" s="76" t="s">
        <v>7134</v>
      </c>
      <c r="D2204" s="76" t="s">
        <v>7113</v>
      </c>
      <c r="E2204" s="76" t="s">
        <v>7114</v>
      </c>
      <c r="F2204" s="76" t="s">
        <v>7115</v>
      </c>
    </row>
    <row r="2205" spans="1:6" ht="63.95" customHeight="1">
      <c r="A2205" s="76" t="s">
        <v>1853</v>
      </c>
      <c r="B2205" s="76" t="s">
        <v>7159</v>
      </c>
      <c r="C2205" s="76" t="s">
        <v>7117</v>
      </c>
      <c r="D2205" s="76" t="s">
        <v>7118</v>
      </c>
      <c r="E2205" s="76" t="s">
        <v>7119</v>
      </c>
      <c r="F2205" s="76" t="s">
        <v>7115</v>
      </c>
    </row>
    <row r="2206" spans="1:6" ht="63.95" customHeight="1">
      <c r="A2206" s="76" t="s">
        <v>1853</v>
      </c>
      <c r="B2206" s="76" t="s">
        <v>7160</v>
      </c>
      <c r="C2206" s="76" t="s">
        <v>7121</v>
      </c>
      <c r="D2206" s="76" t="s">
        <v>7122</v>
      </c>
      <c r="E2206" s="76" t="s">
        <v>7123</v>
      </c>
      <c r="F2206" s="76" t="s">
        <v>7115</v>
      </c>
    </row>
    <row r="2207" spans="1:6" ht="63.95" customHeight="1">
      <c r="A2207" s="76" t="s">
        <v>1853</v>
      </c>
      <c r="B2207" s="76" t="s">
        <v>7161</v>
      </c>
      <c r="C2207" s="76" t="s">
        <v>7134</v>
      </c>
      <c r="D2207" s="76" t="s">
        <v>7113</v>
      </c>
      <c r="E2207" s="76" t="s">
        <v>7114</v>
      </c>
      <c r="F2207" s="76" t="s">
        <v>7115</v>
      </c>
    </row>
    <row r="2208" spans="1:6" ht="63.95" customHeight="1">
      <c r="A2208" s="76" t="s">
        <v>1853</v>
      </c>
      <c r="B2208" s="76" t="s">
        <v>7162</v>
      </c>
      <c r="C2208" s="76" t="s">
        <v>7117</v>
      </c>
      <c r="D2208" s="76" t="s">
        <v>7118</v>
      </c>
      <c r="E2208" s="76" t="s">
        <v>7119</v>
      </c>
      <c r="F2208" s="76" t="s">
        <v>7115</v>
      </c>
    </row>
    <row r="2209" spans="1:6" ht="63.95" customHeight="1">
      <c r="A2209" s="76" t="s">
        <v>1853</v>
      </c>
      <c r="B2209" s="76" t="s">
        <v>7163</v>
      </c>
      <c r="C2209" s="76" t="s">
        <v>7121</v>
      </c>
      <c r="D2209" s="76" t="s">
        <v>7122</v>
      </c>
      <c r="E2209" s="76" t="s">
        <v>7123</v>
      </c>
      <c r="F2209" s="76" t="s">
        <v>7115</v>
      </c>
    </row>
    <row r="2210" spans="1:6" ht="63.95" customHeight="1">
      <c r="A2210" s="76" t="s">
        <v>1853</v>
      </c>
      <c r="B2210" s="76" t="s">
        <v>7164</v>
      </c>
      <c r="C2210" s="76" t="s">
        <v>7134</v>
      </c>
      <c r="D2210" s="76" t="s">
        <v>7113</v>
      </c>
      <c r="E2210" s="76" t="s">
        <v>7114</v>
      </c>
      <c r="F2210" s="76" t="s">
        <v>7115</v>
      </c>
    </row>
    <row r="2211" spans="1:6" ht="63.95" customHeight="1">
      <c r="A2211" s="76" t="s">
        <v>1853</v>
      </c>
      <c r="B2211" s="76" t="s">
        <v>7165</v>
      </c>
      <c r="C2211" s="76" t="s">
        <v>7117</v>
      </c>
      <c r="D2211" s="76" t="s">
        <v>7118</v>
      </c>
      <c r="E2211" s="76" t="s">
        <v>7119</v>
      </c>
      <c r="F2211" s="76" t="s">
        <v>7115</v>
      </c>
    </row>
    <row r="2212" spans="1:6" ht="63.95" customHeight="1">
      <c r="A2212" s="76" t="s">
        <v>1853</v>
      </c>
      <c r="B2212" s="76" t="s">
        <v>7166</v>
      </c>
      <c r="C2212" s="76" t="s">
        <v>7121</v>
      </c>
      <c r="D2212" s="76" t="s">
        <v>7122</v>
      </c>
      <c r="E2212" s="76" t="s">
        <v>7123</v>
      </c>
      <c r="F2212" s="76" t="s">
        <v>7115</v>
      </c>
    </row>
    <row r="2213" spans="1:6" ht="63.95" customHeight="1">
      <c r="A2213" s="76" t="s">
        <v>1853</v>
      </c>
      <c r="B2213" s="76" t="s">
        <v>7167</v>
      </c>
      <c r="C2213" s="76" t="s">
        <v>7134</v>
      </c>
      <c r="D2213" s="76" t="s">
        <v>7113</v>
      </c>
      <c r="E2213" s="76" t="s">
        <v>7114</v>
      </c>
      <c r="F2213" s="76" t="s">
        <v>7115</v>
      </c>
    </row>
    <row r="2214" spans="1:6" ht="63.95" customHeight="1">
      <c r="A2214" s="76" t="s">
        <v>1853</v>
      </c>
      <c r="B2214" s="76" t="s">
        <v>7168</v>
      </c>
      <c r="C2214" s="76" t="s">
        <v>7117</v>
      </c>
      <c r="D2214" s="76" t="s">
        <v>7118</v>
      </c>
      <c r="E2214" s="76" t="s">
        <v>7119</v>
      </c>
      <c r="F2214" s="76" t="s">
        <v>7115</v>
      </c>
    </row>
    <row r="2215" spans="1:6" ht="63.95" customHeight="1">
      <c r="A2215" s="76" t="s">
        <v>1853</v>
      </c>
      <c r="B2215" s="76" t="s">
        <v>7169</v>
      </c>
      <c r="C2215" s="76" t="s">
        <v>7121</v>
      </c>
      <c r="D2215" s="76" t="s">
        <v>7122</v>
      </c>
      <c r="E2215" s="76" t="s">
        <v>7123</v>
      </c>
      <c r="F2215" s="76" t="s">
        <v>7115</v>
      </c>
    </row>
    <row r="2216" spans="1:6" ht="63.95" customHeight="1">
      <c r="A2216" s="76" t="s">
        <v>1853</v>
      </c>
      <c r="B2216" s="76" t="s">
        <v>7170</v>
      </c>
      <c r="C2216" s="76" t="s">
        <v>7134</v>
      </c>
      <c r="D2216" s="76" t="s">
        <v>7113</v>
      </c>
      <c r="E2216" s="76" t="s">
        <v>7114</v>
      </c>
      <c r="F2216" s="76" t="s">
        <v>7115</v>
      </c>
    </row>
    <row r="2217" spans="1:6" ht="63.95" customHeight="1">
      <c r="A2217" s="76" t="s">
        <v>1853</v>
      </c>
      <c r="B2217" s="76" t="s">
        <v>7171</v>
      </c>
      <c r="C2217" s="76" t="s">
        <v>7117</v>
      </c>
      <c r="D2217" s="76" t="s">
        <v>7118</v>
      </c>
      <c r="E2217" s="76" t="s">
        <v>7119</v>
      </c>
      <c r="F2217" s="76" t="s">
        <v>7115</v>
      </c>
    </row>
    <row r="2218" spans="1:6" ht="63.95" customHeight="1">
      <c r="A2218" s="76" t="s">
        <v>1853</v>
      </c>
      <c r="B2218" s="76" t="s">
        <v>7172</v>
      </c>
      <c r="C2218" s="76" t="s">
        <v>7121</v>
      </c>
      <c r="D2218" s="76" t="s">
        <v>7122</v>
      </c>
      <c r="E2218" s="76" t="s">
        <v>7123</v>
      </c>
      <c r="F2218" s="76" t="s">
        <v>7115</v>
      </c>
    </row>
    <row r="2219" spans="1:6" ht="63.95" customHeight="1">
      <c r="A2219" s="76" t="s">
        <v>1853</v>
      </c>
      <c r="B2219" s="76" t="s">
        <v>7173</v>
      </c>
      <c r="C2219" s="76" t="s">
        <v>7134</v>
      </c>
      <c r="D2219" s="76" t="s">
        <v>7113</v>
      </c>
      <c r="E2219" s="76" t="s">
        <v>7114</v>
      </c>
      <c r="F2219" s="76" t="s">
        <v>7115</v>
      </c>
    </row>
    <row r="2220" spans="1:6" ht="63.95" customHeight="1">
      <c r="A2220" s="76" t="s">
        <v>1853</v>
      </c>
      <c r="B2220" s="76" t="s">
        <v>7174</v>
      </c>
      <c r="C2220" s="76" t="s">
        <v>7117</v>
      </c>
      <c r="D2220" s="76" t="s">
        <v>7118</v>
      </c>
      <c r="E2220" s="76" t="s">
        <v>7119</v>
      </c>
      <c r="F2220" s="76" t="s">
        <v>7115</v>
      </c>
    </row>
    <row r="2221" spans="1:6" ht="63.95" customHeight="1">
      <c r="A2221" s="76" t="s">
        <v>1853</v>
      </c>
      <c r="B2221" s="76" t="s">
        <v>7175</v>
      </c>
      <c r="C2221" s="76" t="s">
        <v>7121</v>
      </c>
      <c r="D2221" s="76" t="s">
        <v>7122</v>
      </c>
      <c r="E2221" s="76" t="s">
        <v>7123</v>
      </c>
      <c r="F2221" s="76" t="s">
        <v>7115</v>
      </c>
    </row>
    <row r="2222" spans="1:6" ht="63.95" customHeight="1">
      <c r="A2222" s="76" t="s">
        <v>1853</v>
      </c>
      <c r="B2222" s="76" t="s">
        <v>7176</v>
      </c>
      <c r="C2222" s="76" t="s">
        <v>7134</v>
      </c>
      <c r="D2222" s="76" t="s">
        <v>7113</v>
      </c>
      <c r="E2222" s="76" t="s">
        <v>7114</v>
      </c>
      <c r="F2222" s="76" t="s">
        <v>7115</v>
      </c>
    </row>
    <row r="2223" spans="1:6" ht="63.95" customHeight="1">
      <c r="A2223" s="76" t="s">
        <v>1853</v>
      </c>
      <c r="B2223" s="76" t="s">
        <v>7177</v>
      </c>
      <c r="C2223" s="76" t="s">
        <v>7117</v>
      </c>
      <c r="D2223" s="76" t="s">
        <v>7118</v>
      </c>
      <c r="E2223" s="76" t="s">
        <v>7119</v>
      </c>
      <c r="F2223" s="76" t="s">
        <v>7115</v>
      </c>
    </row>
    <row r="2224" spans="1:6" ht="63.95" customHeight="1">
      <c r="A2224" s="76" t="s">
        <v>1853</v>
      </c>
      <c r="B2224" s="76" t="s">
        <v>7178</v>
      </c>
      <c r="C2224" s="76" t="s">
        <v>7121</v>
      </c>
      <c r="D2224" s="76" t="s">
        <v>7122</v>
      </c>
      <c r="E2224" s="76" t="s">
        <v>7123</v>
      </c>
      <c r="F2224" s="76" t="s">
        <v>7115</v>
      </c>
    </row>
    <row r="2225" spans="1:6" ht="63.95" customHeight="1">
      <c r="A2225" s="76" t="s">
        <v>1853</v>
      </c>
      <c r="B2225" s="76" t="s">
        <v>7179</v>
      </c>
      <c r="C2225" s="76" t="s">
        <v>7134</v>
      </c>
      <c r="D2225" s="76" t="s">
        <v>7113</v>
      </c>
      <c r="E2225" s="76" t="s">
        <v>7114</v>
      </c>
      <c r="F2225" s="76" t="s">
        <v>7115</v>
      </c>
    </row>
    <row r="2226" spans="1:6" ht="63.95" customHeight="1">
      <c r="A2226" s="76" t="s">
        <v>1853</v>
      </c>
      <c r="B2226" s="76" t="s">
        <v>7180</v>
      </c>
      <c r="C2226" s="76" t="s">
        <v>7117</v>
      </c>
      <c r="D2226" s="76" t="s">
        <v>7118</v>
      </c>
      <c r="E2226" s="76" t="s">
        <v>7119</v>
      </c>
      <c r="F2226" s="76" t="s">
        <v>7115</v>
      </c>
    </row>
    <row r="2227" spans="1:6" ht="63.95" customHeight="1">
      <c r="A2227" s="76" t="s">
        <v>1853</v>
      </c>
      <c r="B2227" s="76" t="s">
        <v>7181</v>
      </c>
      <c r="C2227" s="76" t="s">
        <v>7121</v>
      </c>
      <c r="D2227" s="76" t="s">
        <v>7122</v>
      </c>
      <c r="E2227" s="76" t="s">
        <v>7123</v>
      </c>
      <c r="F2227" s="76" t="s">
        <v>7115</v>
      </c>
    </row>
    <row r="2228" spans="1:6" ht="63.95" customHeight="1">
      <c r="A2228" s="76" t="s">
        <v>1853</v>
      </c>
      <c r="B2228" s="76" t="s">
        <v>7182</v>
      </c>
      <c r="C2228" s="76" t="s">
        <v>7134</v>
      </c>
      <c r="D2228" s="76" t="s">
        <v>7113</v>
      </c>
      <c r="E2228" s="76" t="s">
        <v>7114</v>
      </c>
      <c r="F2228" s="76" t="s">
        <v>7115</v>
      </c>
    </row>
    <row r="2229" spans="1:6" ht="63.95" customHeight="1">
      <c r="A2229" s="76" t="s">
        <v>1853</v>
      </c>
      <c r="B2229" s="76" t="s">
        <v>7183</v>
      </c>
      <c r="C2229" s="76" t="s">
        <v>7117</v>
      </c>
      <c r="D2229" s="76" t="s">
        <v>7118</v>
      </c>
      <c r="E2229" s="76" t="s">
        <v>7119</v>
      </c>
      <c r="F2229" s="76" t="s">
        <v>7115</v>
      </c>
    </row>
    <row r="2230" spans="1:6" ht="63.95" customHeight="1">
      <c r="A2230" s="76" t="s">
        <v>1853</v>
      </c>
      <c r="B2230" s="76" t="s">
        <v>7184</v>
      </c>
      <c r="C2230" s="76" t="s">
        <v>7121</v>
      </c>
      <c r="D2230" s="76" t="s">
        <v>7122</v>
      </c>
      <c r="E2230" s="76" t="s">
        <v>7123</v>
      </c>
      <c r="F2230" s="76" t="s">
        <v>7115</v>
      </c>
    </row>
    <row r="2231" spans="1:6" ht="63.95" customHeight="1">
      <c r="A2231" s="76" t="s">
        <v>1853</v>
      </c>
      <c r="B2231" s="76" t="s">
        <v>7185</v>
      </c>
      <c r="C2231" s="76" t="s">
        <v>7134</v>
      </c>
      <c r="D2231" s="76" t="s">
        <v>7113</v>
      </c>
      <c r="E2231" s="76" t="s">
        <v>7114</v>
      </c>
      <c r="F2231" s="76" t="s">
        <v>7115</v>
      </c>
    </row>
    <row r="2232" spans="1:6" ht="63.95" customHeight="1">
      <c r="A2232" s="76" t="s">
        <v>1853</v>
      </c>
      <c r="B2232" s="76" t="s">
        <v>7186</v>
      </c>
      <c r="C2232" s="76" t="s">
        <v>7117</v>
      </c>
      <c r="D2232" s="76" t="s">
        <v>7118</v>
      </c>
      <c r="E2232" s="76" t="s">
        <v>7119</v>
      </c>
      <c r="F2232" s="76" t="s">
        <v>7115</v>
      </c>
    </row>
    <row r="2233" spans="1:6" ht="63.95" customHeight="1">
      <c r="A2233" s="76" t="s">
        <v>1853</v>
      </c>
      <c r="B2233" s="76" t="s">
        <v>7187</v>
      </c>
      <c r="C2233" s="76" t="s">
        <v>7121</v>
      </c>
      <c r="D2233" s="76" t="s">
        <v>7122</v>
      </c>
      <c r="E2233" s="76" t="s">
        <v>7123</v>
      </c>
      <c r="F2233" s="76" t="s">
        <v>7115</v>
      </c>
    </row>
    <row r="2234" spans="1:6" ht="63.95" customHeight="1">
      <c r="A2234" s="76" t="s">
        <v>1853</v>
      </c>
      <c r="B2234" s="76" t="s">
        <v>7188</v>
      </c>
      <c r="C2234" s="76" t="s">
        <v>7134</v>
      </c>
      <c r="D2234" s="76" t="s">
        <v>7113</v>
      </c>
      <c r="E2234" s="76" t="s">
        <v>7114</v>
      </c>
      <c r="F2234" s="76" t="s">
        <v>7115</v>
      </c>
    </row>
    <row r="2235" spans="1:6" ht="63.95" customHeight="1">
      <c r="A2235" s="76" t="s">
        <v>1853</v>
      </c>
      <c r="B2235" s="76" t="s">
        <v>7189</v>
      </c>
      <c r="C2235" s="76" t="s">
        <v>7117</v>
      </c>
      <c r="D2235" s="76" t="s">
        <v>7118</v>
      </c>
      <c r="E2235" s="76" t="s">
        <v>7119</v>
      </c>
      <c r="F2235" s="76" t="s">
        <v>7115</v>
      </c>
    </row>
    <row r="2236" spans="1:6" ht="63.95" customHeight="1">
      <c r="A2236" s="76" t="s">
        <v>1853</v>
      </c>
      <c r="B2236" s="76" t="s">
        <v>7190</v>
      </c>
      <c r="C2236" s="76" t="s">
        <v>7121</v>
      </c>
      <c r="D2236" s="76" t="s">
        <v>7122</v>
      </c>
      <c r="E2236" s="76" t="s">
        <v>7123</v>
      </c>
      <c r="F2236" s="76" t="s">
        <v>7115</v>
      </c>
    </row>
    <row r="2237" spans="1:6" ht="63.95" customHeight="1">
      <c r="A2237" s="76" t="s">
        <v>1853</v>
      </c>
      <c r="B2237" s="76" t="s">
        <v>7191</v>
      </c>
      <c r="C2237" s="76" t="s">
        <v>7192</v>
      </c>
      <c r="D2237" s="76" t="s">
        <v>7113</v>
      </c>
      <c r="E2237" s="76" t="s">
        <v>7114</v>
      </c>
      <c r="F2237" s="76" t="s">
        <v>7115</v>
      </c>
    </row>
    <row r="2238" spans="1:6" ht="63.95" customHeight="1">
      <c r="A2238" s="76" t="s">
        <v>1853</v>
      </c>
      <c r="B2238" s="76" t="s">
        <v>7193</v>
      </c>
      <c r="C2238" s="76" t="s">
        <v>7194</v>
      </c>
      <c r="D2238" s="76" t="s">
        <v>7122</v>
      </c>
      <c r="E2238" s="76" t="s">
        <v>7119</v>
      </c>
      <c r="F2238" s="76" t="s">
        <v>7115</v>
      </c>
    </row>
    <row r="2239" spans="1:6" ht="63.95" customHeight="1">
      <c r="A2239" s="76" t="s">
        <v>1853</v>
      </c>
      <c r="B2239" s="76" t="s">
        <v>7195</v>
      </c>
      <c r="C2239" s="76" t="s">
        <v>7121</v>
      </c>
      <c r="D2239" s="76" t="s">
        <v>7122</v>
      </c>
      <c r="E2239" s="76" t="s">
        <v>7123</v>
      </c>
      <c r="F2239" s="76" t="s">
        <v>7115</v>
      </c>
    </row>
    <row r="2240" spans="1:6" ht="63.95" customHeight="1">
      <c r="A2240" s="76" t="s">
        <v>1853</v>
      </c>
      <c r="B2240" s="76" t="s">
        <v>7196</v>
      </c>
      <c r="C2240" s="76" t="s">
        <v>7197</v>
      </c>
      <c r="D2240" s="76" t="s">
        <v>7113</v>
      </c>
      <c r="E2240" s="76" t="s">
        <v>7114</v>
      </c>
      <c r="F2240" s="76" t="s">
        <v>7115</v>
      </c>
    </row>
    <row r="2241" spans="1:6" ht="63.95" customHeight="1">
      <c r="A2241" s="76" t="s">
        <v>1853</v>
      </c>
      <c r="B2241" s="76" t="s">
        <v>7198</v>
      </c>
      <c r="C2241" s="76" t="s">
        <v>7199</v>
      </c>
      <c r="D2241" s="76" t="s">
        <v>7200</v>
      </c>
      <c r="E2241" s="76" t="s">
        <v>7119</v>
      </c>
      <c r="F2241" s="76" t="s">
        <v>7115</v>
      </c>
    </row>
    <row r="2242" spans="1:6" ht="63.95" customHeight="1">
      <c r="A2242" s="76" t="s">
        <v>1853</v>
      </c>
      <c r="B2242" s="76" t="s">
        <v>7201</v>
      </c>
      <c r="C2242" s="76" t="s">
        <v>7121</v>
      </c>
      <c r="D2242" s="76" t="s">
        <v>7122</v>
      </c>
      <c r="E2242" s="76" t="s">
        <v>7123</v>
      </c>
      <c r="F2242" s="76" t="s">
        <v>7115</v>
      </c>
    </row>
    <row r="2243" spans="1:6" ht="63.95" customHeight="1">
      <c r="A2243" s="76" t="s">
        <v>1853</v>
      </c>
      <c r="B2243" s="76" t="s">
        <v>7202</v>
      </c>
      <c r="C2243" s="76" t="s">
        <v>7192</v>
      </c>
      <c r="D2243" s="76" t="s">
        <v>7113</v>
      </c>
      <c r="E2243" s="76" t="s">
        <v>7114</v>
      </c>
      <c r="F2243" s="76" t="s">
        <v>7115</v>
      </c>
    </row>
    <row r="2244" spans="1:6" ht="63.95" customHeight="1">
      <c r="A2244" s="76" t="s">
        <v>1853</v>
      </c>
      <c r="B2244" s="76" t="s">
        <v>7203</v>
      </c>
      <c r="C2244" s="76" t="s">
        <v>7194</v>
      </c>
      <c r="D2244" s="76" t="s">
        <v>7122</v>
      </c>
      <c r="E2244" s="76" t="s">
        <v>7119</v>
      </c>
      <c r="F2244" s="76" t="s">
        <v>7115</v>
      </c>
    </row>
    <row r="2245" spans="1:6" ht="63.95" customHeight="1">
      <c r="A2245" s="76" t="s">
        <v>1853</v>
      </c>
      <c r="B2245" s="76" t="s">
        <v>7204</v>
      </c>
      <c r="C2245" s="76" t="s">
        <v>7121</v>
      </c>
      <c r="D2245" s="76" t="s">
        <v>7122</v>
      </c>
      <c r="E2245" s="76" t="s">
        <v>7123</v>
      </c>
      <c r="F2245" s="76" t="s">
        <v>7115</v>
      </c>
    </row>
    <row r="2246" spans="1:6" ht="63.95" customHeight="1">
      <c r="A2246" s="76" t="s">
        <v>1853</v>
      </c>
      <c r="B2246" s="76" t="s">
        <v>7205</v>
      </c>
      <c r="C2246" s="76" t="s">
        <v>7192</v>
      </c>
      <c r="D2246" s="76" t="s">
        <v>7113</v>
      </c>
      <c r="E2246" s="76" t="s">
        <v>7114</v>
      </c>
      <c r="F2246" s="76" t="s">
        <v>7115</v>
      </c>
    </row>
    <row r="2247" spans="1:6" ht="63.95" customHeight="1">
      <c r="A2247" s="76" t="s">
        <v>1853</v>
      </c>
      <c r="B2247" s="76" t="s">
        <v>7206</v>
      </c>
      <c r="C2247" s="76" t="s">
        <v>7194</v>
      </c>
      <c r="D2247" s="76" t="s">
        <v>7122</v>
      </c>
      <c r="E2247" s="76" t="s">
        <v>7119</v>
      </c>
      <c r="F2247" s="76" t="s">
        <v>7115</v>
      </c>
    </row>
    <row r="2248" spans="1:6" ht="63.95" customHeight="1">
      <c r="A2248" s="76" t="s">
        <v>1853</v>
      </c>
      <c r="B2248" s="76" t="s">
        <v>7207</v>
      </c>
      <c r="C2248" s="76" t="s">
        <v>7121</v>
      </c>
      <c r="D2248" s="76" t="s">
        <v>7122</v>
      </c>
      <c r="E2248" s="76" t="s">
        <v>7123</v>
      </c>
      <c r="F2248" s="76" t="s">
        <v>7115</v>
      </c>
    </row>
    <row r="2249" spans="1:6" ht="63.95" customHeight="1">
      <c r="A2249" s="76" t="s">
        <v>1853</v>
      </c>
      <c r="B2249" s="76" t="s">
        <v>7208</v>
      </c>
      <c r="C2249" s="76" t="s">
        <v>7192</v>
      </c>
      <c r="D2249" s="76" t="s">
        <v>7113</v>
      </c>
      <c r="E2249" s="76" t="s">
        <v>7114</v>
      </c>
      <c r="F2249" s="76" t="s">
        <v>7115</v>
      </c>
    </row>
    <row r="2250" spans="1:6" ht="63.95" customHeight="1">
      <c r="A2250" s="76" t="s">
        <v>1853</v>
      </c>
      <c r="B2250" s="76" t="s">
        <v>7209</v>
      </c>
      <c r="C2250" s="76" t="s">
        <v>7194</v>
      </c>
      <c r="D2250" s="76" t="s">
        <v>7122</v>
      </c>
      <c r="E2250" s="76" t="s">
        <v>7119</v>
      </c>
      <c r="F2250" s="76" t="s">
        <v>7115</v>
      </c>
    </row>
    <row r="2251" spans="1:6" ht="63.95" customHeight="1">
      <c r="A2251" s="76" t="s">
        <v>1853</v>
      </c>
      <c r="B2251" s="76" t="s">
        <v>7210</v>
      </c>
      <c r="C2251" s="76" t="s">
        <v>7121</v>
      </c>
      <c r="D2251" s="76" t="s">
        <v>7122</v>
      </c>
      <c r="E2251" s="76" t="s">
        <v>7123</v>
      </c>
      <c r="F2251" s="76" t="s">
        <v>7115</v>
      </c>
    </row>
    <row r="2252" spans="1:6" ht="63.95" customHeight="1">
      <c r="A2252" s="76" t="s">
        <v>1853</v>
      </c>
      <c r="B2252" s="76" t="s">
        <v>7211</v>
      </c>
      <c r="C2252" s="76" t="s">
        <v>7192</v>
      </c>
      <c r="D2252" s="76" t="s">
        <v>7113</v>
      </c>
      <c r="E2252" s="76" t="s">
        <v>7114</v>
      </c>
      <c r="F2252" s="76" t="s">
        <v>7115</v>
      </c>
    </row>
    <row r="2253" spans="1:6" ht="63.95" customHeight="1">
      <c r="A2253" s="76" t="s">
        <v>1853</v>
      </c>
      <c r="B2253" s="76" t="s">
        <v>7212</v>
      </c>
      <c r="C2253" s="76" t="s">
        <v>7194</v>
      </c>
      <c r="D2253" s="76" t="s">
        <v>7122</v>
      </c>
      <c r="E2253" s="76" t="s">
        <v>7119</v>
      </c>
      <c r="F2253" s="76" t="s">
        <v>7115</v>
      </c>
    </row>
    <row r="2254" spans="1:6" ht="63.95" customHeight="1">
      <c r="A2254" s="76" t="s">
        <v>1853</v>
      </c>
      <c r="B2254" s="76" t="s">
        <v>7213</v>
      </c>
      <c r="C2254" s="76" t="s">
        <v>7121</v>
      </c>
      <c r="D2254" s="76" t="s">
        <v>7122</v>
      </c>
      <c r="E2254" s="76" t="s">
        <v>7123</v>
      </c>
      <c r="F2254" s="76" t="s">
        <v>7115</v>
      </c>
    </row>
    <row r="2255" spans="1:6" ht="63.95" customHeight="1">
      <c r="A2255" s="76" t="s">
        <v>1853</v>
      </c>
      <c r="B2255" s="76" t="s">
        <v>7214</v>
      </c>
      <c r="C2255" s="76" t="s">
        <v>7192</v>
      </c>
      <c r="D2255" s="76" t="s">
        <v>7113</v>
      </c>
      <c r="E2255" s="76" t="s">
        <v>7114</v>
      </c>
      <c r="F2255" s="76" t="s">
        <v>7115</v>
      </c>
    </row>
    <row r="2256" spans="1:6" ht="63.95" customHeight="1">
      <c r="A2256" s="76" t="s">
        <v>1853</v>
      </c>
      <c r="B2256" s="76" t="s">
        <v>7215</v>
      </c>
      <c r="C2256" s="76" t="s">
        <v>7194</v>
      </c>
      <c r="D2256" s="76" t="s">
        <v>7122</v>
      </c>
      <c r="E2256" s="76" t="s">
        <v>7119</v>
      </c>
      <c r="F2256" s="76" t="s">
        <v>7115</v>
      </c>
    </row>
    <row r="2257" spans="1:6" ht="63.95" customHeight="1">
      <c r="A2257" s="76" t="s">
        <v>1853</v>
      </c>
      <c r="B2257" s="76" t="s">
        <v>7216</v>
      </c>
      <c r="C2257" s="76" t="s">
        <v>7121</v>
      </c>
      <c r="D2257" s="76" t="s">
        <v>7122</v>
      </c>
      <c r="E2257" s="76" t="s">
        <v>7123</v>
      </c>
      <c r="F2257" s="76" t="s">
        <v>7115</v>
      </c>
    </row>
    <row r="2258" spans="1:6" ht="63.95" customHeight="1">
      <c r="A2258" s="76" t="s">
        <v>1853</v>
      </c>
      <c r="B2258" s="76" t="s">
        <v>7217</v>
      </c>
      <c r="C2258" s="76" t="s">
        <v>7218</v>
      </c>
      <c r="D2258" s="76" t="s">
        <v>7113</v>
      </c>
      <c r="E2258" s="76" t="s">
        <v>7114</v>
      </c>
      <c r="F2258" s="76" t="s">
        <v>7115</v>
      </c>
    </row>
    <row r="2259" spans="1:6" ht="63.95" customHeight="1">
      <c r="A2259" s="76" t="s">
        <v>1853</v>
      </c>
      <c r="B2259" s="76" t="s">
        <v>7219</v>
      </c>
      <c r="C2259" s="76" t="s">
        <v>7194</v>
      </c>
      <c r="D2259" s="76" t="s">
        <v>7122</v>
      </c>
      <c r="E2259" s="76" t="s">
        <v>7119</v>
      </c>
      <c r="F2259" s="76" t="s">
        <v>7115</v>
      </c>
    </row>
    <row r="2260" spans="1:6" ht="63.95" customHeight="1">
      <c r="A2260" s="76" t="s">
        <v>1853</v>
      </c>
      <c r="B2260" s="76" t="s">
        <v>7220</v>
      </c>
      <c r="C2260" s="76" t="s">
        <v>7121</v>
      </c>
      <c r="D2260" s="76" t="s">
        <v>7122</v>
      </c>
      <c r="E2260" s="76" t="s">
        <v>7123</v>
      </c>
      <c r="F2260" s="76" t="s">
        <v>7115</v>
      </c>
    </row>
    <row r="2261" spans="1:6" ht="63.95" customHeight="1">
      <c r="A2261" s="76" t="s">
        <v>1853</v>
      </c>
      <c r="B2261" s="76" t="s">
        <v>7221</v>
      </c>
      <c r="C2261" s="76" t="s">
        <v>7192</v>
      </c>
      <c r="D2261" s="76" t="s">
        <v>7113</v>
      </c>
      <c r="E2261" s="76" t="s">
        <v>7114</v>
      </c>
      <c r="F2261" s="76" t="s">
        <v>7115</v>
      </c>
    </row>
    <row r="2262" spans="1:6" ht="63.95" customHeight="1">
      <c r="A2262" s="76" t="s">
        <v>1853</v>
      </c>
      <c r="B2262" s="76" t="s">
        <v>7222</v>
      </c>
      <c r="C2262" s="76" t="s">
        <v>7194</v>
      </c>
      <c r="D2262" s="76" t="s">
        <v>7122</v>
      </c>
      <c r="E2262" s="76" t="s">
        <v>7119</v>
      </c>
      <c r="F2262" s="76" t="s">
        <v>7115</v>
      </c>
    </row>
    <row r="2263" spans="1:6" ht="63.95" customHeight="1">
      <c r="A2263" s="76" t="s">
        <v>1853</v>
      </c>
      <c r="B2263" s="76" t="s">
        <v>7223</v>
      </c>
      <c r="C2263" s="76" t="s">
        <v>7121</v>
      </c>
      <c r="D2263" s="76" t="s">
        <v>7122</v>
      </c>
      <c r="E2263" s="76" t="s">
        <v>7123</v>
      </c>
      <c r="F2263" s="76" t="s">
        <v>7115</v>
      </c>
    </row>
    <row r="2264" spans="1:6" ht="63.95" customHeight="1">
      <c r="A2264" s="76" t="s">
        <v>1853</v>
      </c>
      <c r="B2264" s="76" t="s">
        <v>7224</v>
      </c>
      <c r="C2264" s="76" t="s">
        <v>7192</v>
      </c>
      <c r="D2264" s="76" t="s">
        <v>7113</v>
      </c>
      <c r="E2264" s="76" t="s">
        <v>7114</v>
      </c>
      <c r="F2264" s="76" t="s">
        <v>7115</v>
      </c>
    </row>
    <row r="2265" spans="1:6" ht="63.95" customHeight="1">
      <c r="A2265" s="76" t="s">
        <v>1853</v>
      </c>
      <c r="B2265" s="76" t="s">
        <v>7225</v>
      </c>
      <c r="C2265" s="76" t="s">
        <v>7194</v>
      </c>
      <c r="D2265" s="76" t="s">
        <v>7122</v>
      </c>
      <c r="E2265" s="76" t="s">
        <v>7119</v>
      </c>
      <c r="F2265" s="76" t="s">
        <v>7115</v>
      </c>
    </row>
    <row r="2266" spans="1:6" ht="63.95" customHeight="1">
      <c r="A2266" s="76" t="s">
        <v>1853</v>
      </c>
      <c r="B2266" s="76" t="s">
        <v>7226</v>
      </c>
      <c r="C2266" s="76" t="s">
        <v>7121</v>
      </c>
      <c r="D2266" s="76" t="s">
        <v>7122</v>
      </c>
      <c r="E2266" s="76" t="s">
        <v>7123</v>
      </c>
      <c r="F2266" s="76" t="s">
        <v>7115</v>
      </c>
    </row>
    <row r="2267" spans="1:6" ht="63.95" customHeight="1">
      <c r="A2267" s="76" t="s">
        <v>1853</v>
      </c>
      <c r="B2267" s="76" t="s">
        <v>7227</v>
      </c>
      <c r="C2267" s="76" t="s">
        <v>7192</v>
      </c>
      <c r="D2267" s="76" t="s">
        <v>7113</v>
      </c>
      <c r="E2267" s="76" t="s">
        <v>7114</v>
      </c>
      <c r="F2267" s="76" t="s">
        <v>7115</v>
      </c>
    </row>
    <row r="2268" spans="1:6" ht="63.95" customHeight="1">
      <c r="A2268" s="76" t="s">
        <v>1853</v>
      </c>
      <c r="B2268" s="76" t="s">
        <v>7228</v>
      </c>
      <c r="C2268" s="76" t="s">
        <v>7194</v>
      </c>
      <c r="D2268" s="76" t="s">
        <v>7122</v>
      </c>
      <c r="E2268" s="76" t="s">
        <v>7119</v>
      </c>
      <c r="F2268" s="76" t="s">
        <v>7115</v>
      </c>
    </row>
    <row r="2269" spans="1:6" ht="63.95" customHeight="1">
      <c r="A2269" s="76" t="s">
        <v>1853</v>
      </c>
      <c r="B2269" s="76" t="s">
        <v>7229</v>
      </c>
      <c r="C2269" s="76" t="s">
        <v>7121</v>
      </c>
      <c r="D2269" s="76" t="s">
        <v>7122</v>
      </c>
      <c r="E2269" s="76" t="s">
        <v>7123</v>
      </c>
      <c r="F2269" s="76" t="s">
        <v>7115</v>
      </c>
    </row>
    <row r="2270" spans="1:6" ht="63.95" customHeight="1">
      <c r="A2270" s="76" t="s">
        <v>1853</v>
      </c>
      <c r="B2270" s="76" t="s">
        <v>7230</v>
      </c>
      <c r="C2270" s="76" t="s">
        <v>7192</v>
      </c>
      <c r="D2270" s="76" t="s">
        <v>7113</v>
      </c>
      <c r="E2270" s="76" t="s">
        <v>7114</v>
      </c>
      <c r="F2270" s="76" t="s">
        <v>7115</v>
      </c>
    </row>
    <row r="2271" spans="1:6" ht="63.95" customHeight="1">
      <c r="A2271" s="76" t="s">
        <v>1853</v>
      </c>
      <c r="B2271" s="76" t="s">
        <v>7231</v>
      </c>
      <c r="C2271" s="76" t="s">
        <v>7194</v>
      </c>
      <c r="D2271" s="76" t="s">
        <v>7122</v>
      </c>
      <c r="E2271" s="76" t="s">
        <v>7119</v>
      </c>
      <c r="F2271" s="76" t="s">
        <v>7115</v>
      </c>
    </row>
    <row r="2272" spans="1:6" ht="63.95" customHeight="1">
      <c r="A2272" s="76" t="s">
        <v>1853</v>
      </c>
      <c r="B2272" s="76" t="s">
        <v>7232</v>
      </c>
      <c r="C2272" s="76" t="s">
        <v>7121</v>
      </c>
      <c r="D2272" s="76" t="s">
        <v>7122</v>
      </c>
      <c r="E2272" s="76" t="s">
        <v>7123</v>
      </c>
      <c r="F2272" s="76" t="s">
        <v>7115</v>
      </c>
    </row>
    <row r="2273" spans="1:6" ht="63.95" customHeight="1">
      <c r="A2273" s="76" t="s">
        <v>1853</v>
      </c>
      <c r="B2273" s="76" t="s">
        <v>7233</v>
      </c>
      <c r="C2273" s="76" t="s">
        <v>7192</v>
      </c>
      <c r="D2273" s="76" t="s">
        <v>7113</v>
      </c>
      <c r="E2273" s="76" t="s">
        <v>7114</v>
      </c>
      <c r="F2273" s="76" t="s">
        <v>7115</v>
      </c>
    </row>
    <row r="2274" spans="1:6" ht="63.95" customHeight="1">
      <c r="A2274" s="76" t="s">
        <v>1853</v>
      </c>
      <c r="B2274" s="76" t="s">
        <v>7234</v>
      </c>
      <c r="C2274" s="76" t="s">
        <v>7194</v>
      </c>
      <c r="D2274" s="76" t="s">
        <v>7122</v>
      </c>
      <c r="E2274" s="76" t="s">
        <v>7119</v>
      </c>
      <c r="F2274" s="76" t="s">
        <v>7115</v>
      </c>
    </row>
    <row r="2275" spans="1:6" ht="63.95" customHeight="1">
      <c r="A2275" s="76" t="s">
        <v>1853</v>
      </c>
      <c r="B2275" s="76" t="s">
        <v>7235</v>
      </c>
      <c r="C2275" s="76" t="s">
        <v>7121</v>
      </c>
      <c r="D2275" s="76" t="s">
        <v>7122</v>
      </c>
      <c r="E2275" s="76" t="s">
        <v>7123</v>
      </c>
      <c r="F2275" s="76" t="s">
        <v>7115</v>
      </c>
    </row>
    <row r="2276" spans="1:6" ht="63.95" customHeight="1">
      <c r="A2276" s="76" t="s">
        <v>1853</v>
      </c>
      <c r="B2276" s="76" t="s">
        <v>7236</v>
      </c>
      <c r="C2276" s="76" t="s">
        <v>7192</v>
      </c>
      <c r="D2276" s="76" t="s">
        <v>7113</v>
      </c>
      <c r="E2276" s="76" t="s">
        <v>7114</v>
      </c>
      <c r="F2276" s="76" t="s">
        <v>7115</v>
      </c>
    </row>
    <row r="2277" spans="1:6" ht="63.95" customHeight="1">
      <c r="A2277" s="76" t="s">
        <v>1853</v>
      </c>
      <c r="B2277" s="76" t="s">
        <v>7237</v>
      </c>
      <c r="C2277" s="76" t="s">
        <v>7238</v>
      </c>
      <c r="D2277" s="76" t="s">
        <v>7239</v>
      </c>
      <c r="E2277" s="76" t="s">
        <v>7119</v>
      </c>
      <c r="F2277" s="76" t="s">
        <v>7115</v>
      </c>
    </row>
    <row r="2278" spans="1:6" ht="63.95" customHeight="1">
      <c r="A2278" s="76" t="s">
        <v>1853</v>
      </c>
      <c r="B2278" s="76" t="s">
        <v>7240</v>
      </c>
      <c r="C2278" s="76" t="s">
        <v>7121</v>
      </c>
      <c r="D2278" s="76" t="s">
        <v>7122</v>
      </c>
      <c r="E2278" s="76" t="s">
        <v>7123</v>
      </c>
      <c r="F2278" s="76" t="s">
        <v>7115</v>
      </c>
    </row>
    <row r="2279" spans="1:6" ht="63.95" customHeight="1">
      <c r="A2279" s="76" t="s">
        <v>1853</v>
      </c>
      <c r="B2279" s="76" t="s">
        <v>7241</v>
      </c>
      <c r="C2279" s="76" t="s">
        <v>7134</v>
      </c>
      <c r="D2279" s="76" t="s">
        <v>7113</v>
      </c>
      <c r="E2279" s="76" t="s">
        <v>7114</v>
      </c>
      <c r="F2279" s="76" t="s">
        <v>7115</v>
      </c>
    </row>
    <row r="2280" spans="1:6" ht="63.95" customHeight="1">
      <c r="A2280" s="76" t="s">
        <v>1853</v>
      </c>
      <c r="B2280" s="76" t="s">
        <v>7242</v>
      </c>
      <c r="C2280" s="76" t="s">
        <v>7117</v>
      </c>
      <c r="D2280" s="76" t="s">
        <v>7118</v>
      </c>
      <c r="E2280" s="76" t="s">
        <v>7119</v>
      </c>
      <c r="F2280" s="76" t="s">
        <v>7115</v>
      </c>
    </row>
    <row r="2281" spans="1:6" ht="63.95" customHeight="1">
      <c r="A2281" s="76" t="s">
        <v>1853</v>
      </c>
      <c r="B2281" s="76" t="s">
        <v>7243</v>
      </c>
      <c r="C2281" s="76" t="s">
        <v>7121</v>
      </c>
      <c r="D2281" s="76" t="s">
        <v>7122</v>
      </c>
      <c r="E2281" s="76" t="s">
        <v>7123</v>
      </c>
      <c r="F2281" s="76" t="s">
        <v>7115</v>
      </c>
    </row>
    <row r="2282" spans="1:6" ht="63.95" customHeight="1">
      <c r="A2282" s="76" t="s">
        <v>1853</v>
      </c>
      <c r="B2282" s="76" t="s">
        <v>7244</v>
      </c>
      <c r="C2282" s="76" t="s">
        <v>7192</v>
      </c>
      <c r="D2282" s="76" t="s">
        <v>7113</v>
      </c>
      <c r="E2282" s="76" t="s">
        <v>7114</v>
      </c>
      <c r="F2282" s="76" t="s">
        <v>7115</v>
      </c>
    </row>
    <row r="2283" spans="1:6" ht="63.95" customHeight="1">
      <c r="A2283" s="76" t="s">
        <v>1853</v>
      </c>
      <c r="B2283" s="76" t="s">
        <v>7245</v>
      </c>
      <c r="C2283" s="76" t="s">
        <v>7238</v>
      </c>
      <c r="D2283" s="76" t="s">
        <v>7239</v>
      </c>
      <c r="E2283" s="76" t="s">
        <v>7119</v>
      </c>
      <c r="F2283" s="76" t="s">
        <v>7115</v>
      </c>
    </row>
    <row r="2284" spans="1:6" ht="63.95" customHeight="1">
      <c r="A2284" s="76" t="s">
        <v>1853</v>
      </c>
      <c r="B2284" s="76" t="s">
        <v>7246</v>
      </c>
      <c r="C2284" s="76" t="s">
        <v>7121</v>
      </c>
      <c r="D2284" s="76" t="s">
        <v>7122</v>
      </c>
      <c r="E2284" s="76" t="s">
        <v>7123</v>
      </c>
      <c r="F2284" s="76" t="s">
        <v>7115</v>
      </c>
    </row>
    <row r="2285" spans="1:6" ht="63.95" customHeight="1">
      <c r="A2285" s="76" t="s">
        <v>1853</v>
      </c>
      <c r="B2285" s="76" t="s">
        <v>7247</v>
      </c>
      <c r="C2285" s="76" t="s">
        <v>7134</v>
      </c>
      <c r="D2285" s="76" t="s">
        <v>7113</v>
      </c>
      <c r="E2285" s="76" t="s">
        <v>7114</v>
      </c>
      <c r="F2285" s="76" t="s">
        <v>7115</v>
      </c>
    </row>
    <row r="2286" spans="1:6" ht="63.95" customHeight="1">
      <c r="A2286" s="76" t="s">
        <v>1853</v>
      </c>
      <c r="B2286" s="76" t="s">
        <v>7248</v>
      </c>
      <c r="C2286" s="76" t="s">
        <v>7117</v>
      </c>
      <c r="D2286" s="76" t="s">
        <v>7118</v>
      </c>
      <c r="E2286" s="76" t="s">
        <v>7119</v>
      </c>
      <c r="F2286" s="76" t="s">
        <v>7115</v>
      </c>
    </row>
    <row r="2287" spans="1:6" ht="63.95" customHeight="1">
      <c r="A2287" s="76" t="s">
        <v>1853</v>
      </c>
      <c r="B2287" s="76" t="s">
        <v>7249</v>
      </c>
      <c r="C2287" s="76" t="s">
        <v>7121</v>
      </c>
      <c r="D2287" s="76" t="s">
        <v>7122</v>
      </c>
      <c r="E2287" s="76" t="s">
        <v>7123</v>
      </c>
      <c r="F2287" s="76" t="s">
        <v>7115</v>
      </c>
    </row>
    <row r="2288" spans="1:6" ht="63.95" customHeight="1">
      <c r="A2288" s="76" t="s">
        <v>1853</v>
      </c>
      <c r="B2288" s="76" t="s">
        <v>7250</v>
      </c>
      <c r="C2288" s="76" t="s">
        <v>7192</v>
      </c>
      <c r="D2288" s="76" t="s">
        <v>7113</v>
      </c>
      <c r="E2288" s="76" t="s">
        <v>7114</v>
      </c>
      <c r="F2288" s="76" t="s">
        <v>7115</v>
      </c>
    </row>
    <row r="2289" spans="1:6" ht="63.95" customHeight="1">
      <c r="A2289" s="76" t="s">
        <v>1853</v>
      </c>
      <c r="B2289" s="76" t="s">
        <v>7251</v>
      </c>
      <c r="C2289" s="76" t="s">
        <v>7194</v>
      </c>
      <c r="D2289" s="76" t="s">
        <v>7122</v>
      </c>
      <c r="E2289" s="76" t="s">
        <v>7119</v>
      </c>
      <c r="F2289" s="76" t="s">
        <v>7115</v>
      </c>
    </row>
    <row r="2290" spans="1:6" ht="63.95" customHeight="1">
      <c r="A2290" s="76" t="s">
        <v>1853</v>
      </c>
      <c r="B2290" s="76" t="s">
        <v>7252</v>
      </c>
      <c r="C2290" s="76" t="s">
        <v>7121</v>
      </c>
      <c r="D2290" s="76" t="s">
        <v>7122</v>
      </c>
      <c r="E2290" s="76" t="s">
        <v>7123</v>
      </c>
      <c r="F2290" s="76" t="s">
        <v>7115</v>
      </c>
    </row>
    <row r="2291" spans="1:6" ht="63.95" customHeight="1">
      <c r="A2291" s="76" t="s">
        <v>1853</v>
      </c>
      <c r="B2291" s="76" t="s">
        <v>7253</v>
      </c>
      <c r="C2291" s="76" t="s">
        <v>7192</v>
      </c>
      <c r="D2291" s="76" t="s">
        <v>7113</v>
      </c>
      <c r="E2291" s="76" t="s">
        <v>7114</v>
      </c>
      <c r="F2291" s="76" t="s">
        <v>7115</v>
      </c>
    </row>
    <row r="2292" spans="1:6" ht="63.95" customHeight="1">
      <c r="A2292" s="76" t="s">
        <v>1853</v>
      </c>
      <c r="B2292" s="76" t="s">
        <v>7254</v>
      </c>
      <c r="C2292" s="76" t="s">
        <v>7194</v>
      </c>
      <c r="D2292" s="76" t="s">
        <v>7122</v>
      </c>
      <c r="E2292" s="76" t="s">
        <v>7119</v>
      </c>
      <c r="F2292" s="76" t="s">
        <v>7115</v>
      </c>
    </row>
    <row r="2293" spans="1:6" ht="63.95" customHeight="1">
      <c r="A2293" s="76" t="s">
        <v>1853</v>
      </c>
      <c r="B2293" s="76" t="s">
        <v>7255</v>
      </c>
      <c r="C2293" s="76" t="s">
        <v>7121</v>
      </c>
      <c r="D2293" s="76" t="s">
        <v>7122</v>
      </c>
      <c r="E2293" s="76" t="s">
        <v>7123</v>
      </c>
      <c r="F2293" s="76" t="s">
        <v>7115</v>
      </c>
    </row>
    <row r="2294" spans="1:6" ht="63.95" customHeight="1">
      <c r="A2294" s="76" t="s">
        <v>1853</v>
      </c>
      <c r="B2294" s="76" t="s">
        <v>7256</v>
      </c>
      <c r="C2294" s="76" t="s">
        <v>7192</v>
      </c>
      <c r="D2294" s="76" t="s">
        <v>7113</v>
      </c>
      <c r="E2294" s="76" t="s">
        <v>7114</v>
      </c>
      <c r="F2294" s="76" t="s">
        <v>7115</v>
      </c>
    </row>
    <row r="2295" spans="1:6" ht="63.95" customHeight="1">
      <c r="A2295" s="76" t="s">
        <v>1853</v>
      </c>
      <c r="B2295" s="76" t="s">
        <v>7257</v>
      </c>
      <c r="C2295" s="76" t="s">
        <v>7194</v>
      </c>
      <c r="D2295" s="76" t="s">
        <v>7122</v>
      </c>
      <c r="E2295" s="76" t="s">
        <v>7119</v>
      </c>
      <c r="F2295" s="76" t="s">
        <v>7115</v>
      </c>
    </row>
    <row r="2296" spans="1:6" ht="63.95" customHeight="1">
      <c r="A2296" s="76" t="s">
        <v>1853</v>
      </c>
      <c r="B2296" s="76" t="s">
        <v>7258</v>
      </c>
      <c r="C2296" s="76" t="s">
        <v>7121</v>
      </c>
      <c r="D2296" s="76" t="s">
        <v>7122</v>
      </c>
      <c r="E2296" s="76" t="s">
        <v>7123</v>
      </c>
      <c r="F2296" s="76" t="s">
        <v>7115</v>
      </c>
    </row>
    <row r="2297" spans="1:6" ht="63.95" customHeight="1">
      <c r="A2297" s="76" t="s">
        <v>1853</v>
      </c>
      <c r="B2297" s="76" t="s">
        <v>7259</v>
      </c>
      <c r="C2297" s="76" t="s">
        <v>7192</v>
      </c>
      <c r="D2297" s="76" t="s">
        <v>7113</v>
      </c>
      <c r="E2297" s="76" t="s">
        <v>7114</v>
      </c>
      <c r="F2297" s="76" t="s">
        <v>7115</v>
      </c>
    </row>
    <row r="2298" spans="1:6" ht="63.95" customHeight="1">
      <c r="A2298" s="76" t="s">
        <v>1853</v>
      </c>
      <c r="B2298" s="76" t="s">
        <v>7260</v>
      </c>
      <c r="C2298" s="76" t="s">
        <v>7194</v>
      </c>
      <c r="D2298" s="76" t="s">
        <v>7122</v>
      </c>
      <c r="E2298" s="76" t="s">
        <v>7119</v>
      </c>
      <c r="F2298" s="76" t="s">
        <v>7115</v>
      </c>
    </row>
    <row r="2299" spans="1:6" ht="63.95" customHeight="1">
      <c r="A2299" s="76" t="s">
        <v>1853</v>
      </c>
      <c r="B2299" s="76" t="s">
        <v>7261</v>
      </c>
      <c r="C2299" s="76" t="s">
        <v>7121</v>
      </c>
      <c r="D2299" s="76" t="s">
        <v>7122</v>
      </c>
      <c r="E2299" s="76" t="s">
        <v>7123</v>
      </c>
      <c r="F2299" s="76" t="s">
        <v>7115</v>
      </c>
    </row>
    <row r="2300" spans="1:6" ht="63.95" customHeight="1">
      <c r="A2300" s="76" t="s">
        <v>1853</v>
      </c>
      <c r="B2300" s="76" t="s">
        <v>7262</v>
      </c>
      <c r="C2300" s="76" t="s">
        <v>7192</v>
      </c>
      <c r="D2300" s="76" t="s">
        <v>7113</v>
      </c>
      <c r="E2300" s="76" t="s">
        <v>7114</v>
      </c>
      <c r="F2300" s="76" t="s">
        <v>7115</v>
      </c>
    </row>
    <row r="2301" spans="1:6" ht="63.95" customHeight="1">
      <c r="A2301" s="76" t="s">
        <v>1853</v>
      </c>
      <c r="B2301" s="76" t="s">
        <v>7263</v>
      </c>
      <c r="C2301" s="76" t="s">
        <v>7194</v>
      </c>
      <c r="D2301" s="76" t="s">
        <v>7122</v>
      </c>
      <c r="E2301" s="76" t="s">
        <v>7119</v>
      </c>
      <c r="F2301" s="76" t="s">
        <v>7115</v>
      </c>
    </row>
    <row r="2302" spans="1:6" ht="63.95" customHeight="1">
      <c r="A2302" s="76" t="s">
        <v>1853</v>
      </c>
      <c r="B2302" s="76" t="s">
        <v>7264</v>
      </c>
      <c r="C2302" s="76" t="s">
        <v>7121</v>
      </c>
      <c r="D2302" s="76" t="s">
        <v>7122</v>
      </c>
      <c r="E2302" s="76" t="s">
        <v>7123</v>
      </c>
      <c r="F2302" s="76" t="s">
        <v>7115</v>
      </c>
    </row>
    <row r="2303" spans="1:6" ht="63.95" customHeight="1">
      <c r="A2303" s="76" t="s">
        <v>1853</v>
      </c>
      <c r="B2303" s="76" t="s">
        <v>7265</v>
      </c>
      <c r="C2303" s="76" t="s">
        <v>7192</v>
      </c>
      <c r="D2303" s="76" t="s">
        <v>7113</v>
      </c>
      <c r="E2303" s="76" t="s">
        <v>7114</v>
      </c>
      <c r="F2303" s="76" t="s">
        <v>7115</v>
      </c>
    </row>
    <row r="2304" spans="1:6" ht="63.95" customHeight="1">
      <c r="A2304" s="76" t="s">
        <v>1853</v>
      </c>
      <c r="B2304" s="76" t="s">
        <v>7266</v>
      </c>
      <c r="C2304" s="76" t="s">
        <v>7194</v>
      </c>
      <c r="D2304" s="76" t="s">
        <v>7122</v>
      </c>
      <c r="E2304" s="76" t="s">
        <v>7119</v>
      </c>
      <c r="F2304" s="76" t="s">
        <v>7115</v>
      </c>
    </row>
    <row r="2305" spans="1:6" ht="63.95" customHeight="1">
      <c r="A2305" s="76" t="s">
        <v>1853</v>
      </c>
      <c r="B2305" s="76" t="s">
        <v>7267</v>
      </c>
      <c r="C2305" s="76" t="s">
        <v>7121</v>
      </c>
      <c r="D2305" s="76" t="s">
        <v>7122</v>
      </c>
      <c r="E2305" s="76" t="s">
        <v>7123</v>
      </c>
      <c r="F2305" s="76" t="s">
        <v>7115</v>
      </c>
    </row>
    <row r="2306" spans="1:6" ht="63.95" customHeight="1">
      <c r="A2306" s="76" t="s">
        <v>1853</v>
      </c>
      <c r="B2306" s="76" t="s">
        <v>7268</v>
      </c>
      <c r="C2306" s="76" t="s">
        <v>7134</v>
      </c>
      <c r="D2306" s="76" t="s">
        <v>7113</v>
      </c>
      <c r="E2306" s="76" t="s">
        <v>7114</v>
      </c>
      <c r="F2306" s="76" t="s">
        <v>7115</v>
      </c>
    </row>
    <row r="2307" spans="1:6" ht="63.95" customHeight="1">
      <c r="A2307" s="76" t="s">
        <v>1853</v>
      </c>
      <c r="B2307" s="76" t="s">
        <v>7269</v>
      </c>
      <c r="C2307" s="76" t="s">
        <v>7117</v>
      </c>
      <c r="D2307" s="76" t="s">
        <v>7118</v>
      </c>
      <c r="E2307" s="76" t="s">
        <v>7119</v>
      </c>
      <c r="F2307" s="76" t="s">
        <v>7115</v>
      </c>
    </row>
    <row r="2308" spans="1:6" ht="63.95" customHeight="1">
      <c r="A2308" s="76" t="s">
        <v>1853</v>
      </c>
      <c r="B2308" s="76" t="s">
        <v>7270</v>
      </c>
      <c r="C2308" s="76" t="s">
        <v>7121</v>
      </c>
      <c r="D2308" s="76" t="s">
        <v>7122</v>
      </c>
      <c r="E2308" s="76" t="s">
        <v>7123</v>
      </c>
      <c r="F2308" s="76" t="s">
        <v>7115</v>
      </c>
    </row>
    <row r="2309" spans="1:6" ht="63.95" customHeight="1">
      <c r="A2309" s="76" t="s">
        <v>1853</v>
      </c>
      <c r="B2309" s="76" t="s">
        <v>7271</v>
      </c>
      <c r="C2309" s="76" t="s">
        <v>7134</v>
      </c>
      <c r="D2309" s="76" t="s">
        <v>7113</v>
      </c>
      <c r="E2309" s="76" t="s">
        <v>7114</v>
      </c>
      <c r="F2309" s="76" t="s">
        <v>7115</v>
      </c>
    </row>
    <row r="2310" spans="1:6" ht="63.95" customHeight="1">
      <c r="A2310" s="76" t="s">
        <v>1853</v>
      </c>
      <c r="B2310" s="76" t="s">
        <v>7272</v>
      </c>
      <c r="C2310" s="76" t="s">
        <v>7117</v>
      </c>
      <c r="D2310" s="76" t="s">
        <v>7118</v>
      </c>
      <c r="E2310" s="76" t="s">
        <v>7119</v>
      </c>
      <c r="F2310" s="76" t="s">
        <v>7115</v>
      </c>
    </row>
    <row r="2311" spans="1:6" ht="63.95" customHeight="1">
      <c r="A2311" s="76" t="s">
        <v>1853</v>
      </c>
      <c r="B2311" s="76" t="s">
        <v>7273</v>
      </c>
      <c r="C2311" s="76" t="s">
        <v>7121</v>
      </c>
      <c r="D2311" s="76" t="s">
        <v>7122</v>
      </c>
      <c r="E2311" s="76" t="s">
        <v>7123</v>
      </c>
      <c r="F2311" s="76" t="s">
        <v>7115</v>
      </c>
    </row>
    <row r="2312" spans="1:6" ht="63.95" customHeight="1">
      <c r="A2312" s="76" t="s">
        <v>1853</v>
      </c>
      <c r="B2312" s="76" t="s">
        <v>7274</v>
      </c>
      <c r="C2312" s="76" t="s">
        <v>7192</v>
      </c>
      <c r="D2312" s="76" t="s">
        <v>7113</v>
      </c>
      <c r="E2312" s="76" t="s">
        <v>7114</v>
      </c>
      <c r="F2312" s="76" t="s">
        <v>7115</v>
      </c>
    </row>
    <row r="2313" spans="1:6" ht="63.95" customHeight="1">
      <c r="A2313" s="76" t="s">
        <v>1853</v>
      </c>
      <c r="B2313" s="76" t="s">
        <v>7275</v>
      </c>
      <c r="C2313" s="76" t="s">
        <v>7194</v>
      </c>
      <c r="D2313" s="76" t="s">
        <v>7122</v>
      </c>
      <c r="E2313" s="76" t="s">
        <v>7119</v>
      </c>
      <c r="F2313" s="76" t="s">
        <v>7115</v>
      </c>
    </row>
    <row r="2314" spans="1:6" ht="63.95" customHeight="1">
      <c r="A2314" s="76" t="s">
        <v>1853</v>
      </c>
      <c r="B2314" s="76" t="s">
        <v>7276</v>
      </c>
      <c r="C2314" s="76" t="s">
        <v>7121</v>
      </c>
      <c r="D2314" s="76" t="s">
        <v>7122</v>
      </c>
      <c r="E2314" s="76" t="s">
        <v>7123</v>
      </c>
      <c r="F2314" s="76" t="s">
        <v>7115</v>
      </c>
    </row>
    <row r="2315" spans="1:6" ht="63.95" customHeight="1">
      <c r="A2315" s="76" t="s">
        <v>1853</v>
      </c>
      <c r="B2315" s="76" t="s">
        <v>7277</v>
      </c>
      <c r="C2315" s="76" t="s">
        <v>7134</v>
      </c>
      <c r="D2315" s="76" t="s">
        <v>7113</v>
      </c>
      <c r="E2315" s="76" t="s">
        <v>7114</v>
      </c>
      <c r="F2315" s="76" t="s">
        <v>7115</v>
      </c>
    </row>
    <row r="2316" spans="1:6" ht="63.95" customHeight="1">
      <c r="A2316" s="76" t="s">
        <v>1853</v>
      </c>
      <c r="B2316" s="76" t="s">
        <v>7278</v>
      </c>
      <c r="C2316" s="76" t="s">
        <v>7117</v>
      </c>
      <c r="D2316" s="76" t="s">
        <v>7118</v>
      </c>
      <c r="E2316" s="76" t="s">
        <v>7119</v>
      </c>
      <c r="F2316" s="76" t="s">
        <v>7115</v>
      </c>
    </row>
    <row r="2317" spans="1:6" ht="63.95" customHeight="1">
      <c r="A2317" s="76" t="s">
        <v>1853</v>
      </c>
      <c r="B2317" s="76" t="s">
        <v>7279</v>
      </c>
      <c r="C2317" s="76" t="s">
        <v>7121</v>
      </c>
      <c r="D2317" s="76" t="s">
        <v>7122</v>
      </c>
      <c r="E2317" s="76" t="s">
        <v>7123</v>
      </c>
      <c r="F2317" s="76" t="s">
        <v>7115</v>
      </c>
    </row>
    <row r="2318" spans="1:6" ht="63.95" customHeight="1">
      <c r="A2318" s="76" t="s">
        <v>1853</v>
      </c>
      <c r="B2318" s="76" t="s">
        <v>7280</v>
      </c>
      <c r="C2318" s="76" t="s">
        <v>7197</v>
      </c>
      <c r="D2318" s="76" t="s">
        <v>7113</v>
      </c>
      <c r="E2318" s="76" t="s">
        <v>7114</v>
      </c>
      <c r="F2318" s="76" t="s">
        <v>7115</v>
      </c>
    </row>
    <row r="2319" spans="1:6" ht="63.95" customHeight="1">
      <c r="A2319" s="76" t="s">
        <v>1853</v>
      </c>
      <c r="B2319" s="76" t="s">
        <v>7281</v>
      </c>
      <c r="C2319" s="76" t="s">
        <v>7199</v>
      </c>
      <c r="D2319" s="76" t="s">
        <v>7200</v>
      </c>
      <c r="E2319" s="76" t="s">
        <v>7119</v>
      </c>
      <c r="F2319" s="76" t="s">
        <v>7115</v>
      </c>
    </row>
    <row r="2320" spans="1:6" ht="63.95" customHeight="1">
      <c r="A2320" s="76" t="s">
        <v>1853</v>
      </c>
      <c r="B2320" s="76" t="s">
        <v>7282</v>
      </c>
      <c r="C2320" s="76" t="s">
        <v>7121</v>
      </c>
      <c r="D2320" s="76" t="s">
        <v>7122</v>
      </c>
      <c r="E2320" s="76" t="s">
        <v>7123</v>
      </c>
      <c r="F2320" s="76" t="s">
        <v>7115</v>
      </c>
    </row>
    <row r="2321" spans="1:6" ht="63.95" customHeight="1">
      <c r="A2321" s="76" t="s">
        <v>1853</v>
      </c>
      <c r="B2321" s="76" t="s">
        <v>7283</v>
      </c>
      <c r="C2321" s="76" t="s">
        <v>7192</v>
      </c>
      <c r="D2321" s="76" t="s">
        <v>7113</v>
      </c>
      <c r="E2321" s="76" t="s">
        <v>7114</v>
      </c>
      <c r="F2321" s="76" t="s">
        <v>7115</v>
      </c>
    </row>
    <row r="2322" spans="1:6" ht="63.95" customHeight="1">
      <c r="A2322" s="76" t="s">
        <v>1853</v>
      </c>
      <c r="B2322" s="76" t="s">
        <v>7284</v>
      </c>
      <c r="C2322" s="76" t="s">
        <v>7194</v>
      </c>
      <c r="D2322" s="76" t="s">
        <v>7122</v>
      </c>
      <c r="E2322" s="76" t="s">
        <v>7119</v>
      </c>
      <c r="F2322" s="76" t="s">
        <v>7115</v>
      </c>
    </row>
    <row r="2323" spans="1:6" ht="63.95" customHeight="1">
      <c r="A2323" s="76" t="s">
        <v>1853</v>
      </c>
      <c r="B2323" s="76" t="s">
        <v>7285</v>
      </c>
      <c r="C2323" s="76" t="s">
        <v>7121</v>
      </c>
      <c r="D2323" s="76" t="s">
        <v>7122</v>
      </c>
      <c r="E2323" s="76" t="s">
        <v>7123</v>
      </c>
      <c r="F2323" s="76" t="s">
        <v>7115</v>
      </c>
    </row>
    <row r="2324" spans="1:6" ht="63.95" customHeight="1">
      <c r="A2324" s="76" t="s">
        <v>1853</v>
      </c>
      <c r="B2324" s="76" t="s">
        <v>7286</v>
      </c>
      <c r="C2324" s="76" t="s">
        <v>7192</v>
      </c>
      <c r="D2324" s="76" t="s">
        <v>7113</v>
      </c>
      <c r="E2324" s="76" t="s">
        <v>7114</v>
      </c>
      <c r="F2324" s="76" t="s">
        <v>7115</v>
      </c>
    </row>
    <row r="2325" spans="1:6" ht="63.95" customHeight="1">
      <c r="A2325" s="76" t="s">
        <v>1853</v>
      </c>
      <c r="B2325" s="76" t="s">
        <v>7287</v>
      </c>
      <c r="C2325" s="76" t="s">
        <v>7194</v>
      </c>
      <c r="D2325" s="76" t="s">
        <v>7122</v>
      </c>
      <c r="E2325" s="76" t="s">
        <v>7119</v>
      </c>
      <c r="F2325" s="76" t="s">
        <v>7115</v>
      </c>
    </row>
    <row r="2326" spans="1:6" ht="63.95" customHeight="1">
      <c r="A2326" s="76" t="s">
        <v>1853</v>
      </c>
      <c r="B2326" s="76" t="s">
        <v>7288</v>
      </c>
      <c r="C2326" s="76" t="s">
        <v>7121</v>
      </c>
      <c r="D2326" s="76" t="s">
        <v>7122</v>
      </c>
      <c r="E2326" s="76" t="s">
        <v>7123</v>
      </c>
      <c r="F2326" s="76" t="s">
        <v>7115</v>
      </c>
    </row>
    <row r="2327" spans="1:6" ht="63.95" customHeight="1">
      <c r="A2327" s="76" t="s">
        <v>1853</v>
      </c>
      <c r="B2327" s="76" t="s">
        <v>7289</v>
      </c>
      <c r="C2327" s="76" t="s">
        <v>7134</v>
      </c>
      <c r="D2327" s="76" t="s">
        <v>7113</v>
      </c>
      <c r="E2327" s="76" t="s">
        <v>7114</v>
      </c>
      <c r="F2327" s="76" t="s">
        <v>7115</v>
      </c>
    </row>
    <row r="2328" spans="1:6" ht="63.95" customHeight="1">
      <c r="A2328" s="76" t="s">
        <v>1853</v>
      </c>
      <c r="B2328" s="76" t="s">
        <v>7290</v>
      </c>
      <c r="C2328" s="76" t="s">
        <v>7117</v>
      </c>
      <c r="D2328" s="76" t="s">
        <v>7118</v>
      </c>
      <c r="E2328" s="76" t="s">
        <v>7119</v>
      </c>
      <c r="F2328" s="76" t="s">
        <v>7115</v>
      </c>
    </row>
    <row r="2329" spans="1:6" ht="63.95" customHeight="1">
      <c r="A2329" s="76" t="s">
        <v>1853</v>
      </c>
      <c r="B2329" s="76" t="s">
        <v>7291</v>
      </c>
      <c r="C2329" s="76" t="s">
        <v>7121</v>
      </c>
      <c r="D2329" s="76" t="s">
        <v>7122</v>
      </c>
      <c r="E2329" s="76" t="s">
        <v>7123</v>
      </c>
      <c r="F2329" s="76" t="s">
        <v>7115</v>
      </c>
    </row>
    <row r="2330" spans="1:6" ht="63.95" customHeight="1">
      <c r="A2330" s="76" t="s">
        <v>1853</v>
      </c>
      <c r="B2330" s="76" t="s">
        <v>7292</v>
      </c>
      <c r="C2330" s="76" t="s">
        <v>7192</v>
      </c>
      <c r="D2330" s="76" t="s">
        <v>7113</v>
      </c>
      <c r="E2330" s="76" t="s">
        <v>7114</v>
      </c>
      <c r="F2330" s="76" t="s">
        <v>7115</v>
      </c>
    </row>
    <row r="2331" spans="1:6" ht="63.95" customHeight="1">
      <c r="A2331" s="76" t="s">
        <v>1853</v>
      </c>
      <c r="B2331" s="76" t="s">
        <v>7293</v>
      </c>
      <c r="C2331" s="76" t="s">
        <v>7194</v>
      </c>
      <c r="D2331" s="76" t="s">
        <v>7122</v>
      </c>
      <c r="E2331" s="76" t="s">
        <v>7119</v>
      </c>
      <c r="F2331" s="76" t="s">
        <v>7115</v>
      </c>
    </row>
    <row r="2332" spans="1:6" ht="63.95" customHeight="1">
      <c r="A2332" s="76" t="s">
        <v>1853</v>
      </c>
      <c r="B2332" s="76" t="s">
        <v>7294</v>
      </c>
      <c r="C2332" s="76" t="s">
        <v>7121</v>
      </c>
      <c r="D2332" s="76" t="s">
        <v>7122</v>
      </c>
      <c r="E2332" s="76" t="s">
        <v>7123</v>
      </c>
      <c r="F2332" s="76" t="s">
        <v>7115</v>
      </c>
    </row>
    <row r="2333" spans="1:6" ht="63.95" customHeight="1">
      <c r="A2333" s="76" t="s">
        <v>1853</v>
      </c>
      <c r="B2333" s="76" t="s">
        <v>7295</v>
      </c>
      <c r="C2333" s="76" t="s">
        <v>7192</v>
      </c>
      <c r="D2333" s="76" t="s">
        <v>7113</v>
      </c>
      <c r="E2333" s="76" t="s">
        <v>7114</v>
      </c>
      <c r="F2333" s="76" t="s">
        <v>7115</v>
      </c>
    </row>
    <row r="2334" spans="1:6" ht="63.95" customHeight="1">
      <c r="A2334" s="76" t="s">
        <v>1853</v>
      </c>
      <c r="B2334" s="76" t="s">
        <v>7296</v>
      </c>
      <c r="C2334" s="76" t="s">
        <v>7194</v>
      </c>
      <c r="D2334" s="76" t="s">
        <v>7122</v>
      </c>
      <c r="E2334" s="76" t="s">
        <v>7119</v>
      </c>
      <c r="F2334" s="76" t="s">
        <v>7115</v>
      </c>
    </row>
    <row r="2335" spans="1:6" ht="63.95" customHeight="1">
      <c r="A2335" s="76" t="s">
        <v>1853</v>
      </c>
      <c r="B2335" s="76" t="s">
        <v>7297</v>
      </c>
      <c r="C2335" s="76" t="s">
        <v>7121</v>
      </c>
      <c r="D2335" s="76" t="s">
        <v>7122</v>
      </c>
      <c r="E2335" s="76" t="s">
        <v>7123</v>
      </c>
      <c r="F2335" s="76" t="s">
        <v>7115</v>
      </c>
    </row>
    <row r="2336" spans="1:6" ht="63.95" customHeight="1">
      <c r="A2336" s="76" t="s">
        <v>1853</v>
      </c>
      <c r="B2336" s="76" t="s">
        <v>7298</v>
      </c>
      <c r="C2336" s="76" t="s">
        <v>7192</v>
      </c>
      <c r="D2336" s="76" t="s">
        <v>7113</v>
      </c>
      <c r="E2336" s="76" t="s">
        <v>7114</v>
      </c>
      <c r="F2336" s="76" t="s">
        <v>7115</v>
      </c>
    </row>
    <row r="2337" spans="1:6" ht="63.95" customHeight="1">
      <c r="A2337" s="76" t="s">
        <v>1853</v>
      </c>
      <c r="B2337" s="76" t="s">
        <v>7299</v>
      </c>
      <c r="C2337" s="76" t="s">
        <v>7194</v>
      </c>
      <c r="D2337" s="76" t="s">
        <v>7122</v>
      </c>
      <c r="E2337" s="76" t="s">
        <v>7119</v>
      </c>
      <c r="F2337" s="76" t="s">
        <v>7115</v>
      </c>
    </row>
    <row r="2338" spans="1:6" ht="63.95" customHeight="1">
      <c r="A2338" s="76" t="s">
        <v>1853</v>
      </c>
      <c r="B2338" s="76" t="s">
        <v>7300</v>
      </c>
      <c r="C2338" s="76" t="s">
        <v>7121</v>
      </c>
      <c r="D2338" s="76" t="s">
        <v>7122</v>
      </c>
      <c r="E2338" s="76" t="s">
        <v>7123</v>
      </c>
      <c r="F2338" s="76" t="s">
        <v>7115</v>
      </c>
    </row>
    <row r="2339" spans="1:6" ht="63.95" customHeight="1">
      <c r="A2339" s="76" t="s">
        <v>1853</v>
      </c>
      <c r="B2339" s="76" t="s">
        <v>7301</v>
      </c>
      <c r="C2339" s="76" t="s">
        <v>7192</v>
      </c>
      <c r="D2339" s="76" t="s">
        <v>7113</v>
      </c>
      <c r="E2339" s="76" t="s">
        <v>7114</v>
      </c>
      <c r="F2339" s="76" t="s">
        <v>7115</v>
      </c>
    </row>
    <row r="2340" spans="1:6" ht="63.95" customHeight="1">
      <c r="A2340" s="76" t="s">
        <v>1853</v>
      </c>
      <c r="B2340" s="76" t="s">
        <v>7302</v>
      </c>
      <c r="C2340" s="76" t="s">
        <v>7194</v>
      </c>
      <c r="D2340" s="76" t="s">
        <v>7122</v>
      </c>
      <c r="E2340" s="76" t="s">
        <v>7119</v>
      </c>
      <c r="F2340" s="76" t="s">
        <v>7115</v>
      </c>
    </row>
    <row r="2341" spans="1:6" ht="63.95" customHeight="1">
      <c r="A2341" s="76" t="s">
        <v>1853</v>
      </c>
      <c r="B2341" s="76" t="s">
        <v>7303</v>
      </c>
      <c r="C2341" s="76" t="s">
        <v>7121</v>
      </c>
      <c r="D2341" s="76" t="s">
        <v>7122</v>
      </c>
      <c r="E2341" s="76" t="s">
        <v>7123</v>
      </c>
      <c r="F2341" s="76" t="s">
        <v>7115</v>
      </c>
    </row>
    <row r="2342" spans="1:6" ht="63.95" customHeight="1">
      <c r="A2342" s="76" t="s">
        <v>1853</v>
      </c>
      <c r="B2342" s="76" t="s">
        <v>7304</v>
      </c>
      <c r="C2342" s="76" t="s">
        <v>7192</v>
      </c>
      <c r="D2342" s="76" t="s">
        <v>7113</v>
      </c>
      <c r="E2342" s="76" t="s">
        <v>7114</v>
      </c>
      <c r="F2342" s="76" t="s">
        <v>7115</v>
      </c>
    </row>
    <row r="2343" spans="1:6" ht="63.95" customHeight="1">
      <c r="A2343" s="76" t="s">
        <v>1853</v>
      </c>
      <c r="B2343" s="76" t="s">
        <v>7305</v>
      </c>
      <c r="C2343" s="76" t="s">
        <v>7238</v>
      </c>
      <c r="D2343" s="76" t="s">
        <v>7239</v>
      </c>
      <c r="E2343" s="76" t="s">
        <v>7119</v>
      </c>
      <c r="F2343" s="76" t="s">
        <v>7115</v>
      </c>
    </row>
    <row r="2344" spans="1:6" ht="63.95" customHeight="1">
      <c r="A2344" s="76" t="s">
        <v>1853</v>
      </c>
      <c r="B2344" s="76" t="s">
        <v>7306</v>
      </c>
      <c r="C2344" s="76" t="s">
        <v>7121</v>
      </c>
      <c r="D2344" s="76" t="s">
        <v>7122</v>
      </c>
      <c r="E2344" s="76" t="s">
        <v>7123</v>
      </c>
      <c r="F2344" s="76" t="s">
        <v>7115</v>
      </c>
    </row>
    <row r="2345" spans="1:6" ht="63.95" customHeight="1">
      <c r="A2345" s="76" t="s">
        <v>1853</v>
      </c>
      <c r="B2345" s="76" t="s">
        <v>7307</v>
      </c>
      <c r="C2345" s="76" t="s">
        <v>7192</v>
      </c>
      <c r="D2345" s="76" t="s">
        <v>7113</v>
      </c>
      <c r="E2345" s="76" t="s">
        <v>7114</v>
      </c>
      <c r="F2345" s="76" t="s">
        <v>7115</v>
      </c>
    </row>
    <row r="2346" spans="1:6" ht="63.95" customHeight="1">
      <c r="A2346" s="76" t="s">
        <v>1853</v>
      </c>
      <c r="B2346" s="76" t="s">
        <v>7308</v>
      </c>
      <c r="C2346" s="76" t="s">
        <v>7194</v>
      </c>
      <c r="D2346" s="76" t="s">
        <v>7122</v>
      </c>
      <c r="E2346" s="76" t="s">
        <v>7119</v>
      </c>
      <c r="F2346" s="76" t="s">
        <v>7115</v>
      </c>
    </row>
    <row r="2347" spans="1:6" ht="63.95" customHeight="1">
      <c r="A2347" s="76" t="s">
        <v>1853</v>
      </c>
      <c r="B2347" s="76" t="s">
        <v>7309</v>
      </c>
      <c r="C2347" s="76" t="s">
        <v>7121</v>
      </c>
      <c r="D2347" s="76" t="s">
        <v>7122</v>
      </c>
      <c r="E2347" s="76" t="s">
        <v>7123</v>
      </c>
      <c r="F2347" s="76" t="s">
        <v>7115</v>
      </c>
    </row>
    <row r="2348" spans="1:6" ht="63.95" customHeight="1">
      <c r="A2348" s="76" t="s">
        <v>1853</v>
      </c>
      <c r="B2348" s="76" t="s">
        <v>7310</v>
      </c>
      <c r="C2348" s="76" t="s">
        <v>7192</v>
      </c>
      <c r="D2348" s="76" t="s">
        <v>7113</v>
      </c>
      <c r="E2348" s="76" t="s">
        <v>7114</v>
      </c>
      <c r="F2348" s="76" t="s">
        <v>7115</v>
      </c>
    </row>
    <row r="2349" spans="1:6" ht="63.95" customHeight="1">
      <c r="A2349" s="76" t="s">
        <v>1853</v>
      </c>
      <c r="B2349" s="76" t="s">
        <v>7311</v>
      </c>
      <c r="C2349" s="76" t="s">
        <v>7194</v>
      </c>
      <c r="D2349" s="76" t="s">
        <v>7122</v>
      </c>
      <c r="E2349" s="76" t="s">
        <v>7119</v>
      </c>
      <c r="F2349" s="76" t="s">
        <v>7115</v>
      </c>
    </row>
    <row r="2350" spans="1:6" ht="63.95" customHeight="1">
      <c r="A2350" s="76" t="s">
        <v>1853</v>
      </c>
      <c r="B2350" s="76" t="s">
        <v>7312</v>
      </c>
      <c r="C2350" s="76" t="s">
        <v>7121</v>
      </c>
      <c r="D2350" s="76" t="s">
        <v>7122</v>
      </c>
      <c r="E2350" s="76" t="s">
        <v>7123</v>
      </c>
      <c r="F2350" s="76" t="s">
        <v>7115</v>
      </c>
    </row>
    <row r="2351" spans="1:6" ht="63.95" customHeight="1">
      <c r="A2351" s="76" t="s">
        <v>1853</v>
      </c>
      <c r="B2351" s="76" t="s">
        <v>7313</v>
      </c>
      <c r="C2351" s="76" t="s">
        <v>7192</v>
      </c>
      <c r="D2351" s="76" t="s">
        <v>7113</v>
      </c>
      <c r="E2351" s="76" t="s">
        <v>7114</v>
      </c>
      <c r="F2351" s="76" t="s">
        <v>7115</v>
      </c>
    </row>
    <row r="2352" spans="1:6" ht="63.95" customHeight="1">
      <c r="A2352" s="76" t="s">
        <v>1853</v>
      </c>
      <c r="B2352" s="76" t="s">
        <v>7314</v>
      </c>
      <c r="C2352" s="76" t="s">
        <v>7194</v>
      </c>
      <c r="D2352" s="76" t="s">
        <v>7122</v>
      </c>
      <c r="E2352" s="76" t="s">
        <v>7119</v>
      </c>
      <c r="F2352" s="76" t="s">
        <v>7115</v>
      </c>
    </row>
    <row r="2353" spans="1:6" ht="63.95" customHeight="1">
      <c r="A2353" s="76" t="s">
        <v>1853</v>
      </c>
      <c r="B2353" s="76" t="s">
        <v>7315</v>
      </c>
      <c r="C2353" s="76" t="s">
        <v>7121</v>
      </c>
      <c r="D2353" s="76" t="s">
        <v>7122</v>
      </c>
      <c r="E2353" s="76" t="s">
        <v>7123</v>
      </c>
      <c r="F2353" s="76" t="s">
        <v>7115</v>
      </c>
    </row>
    <row r="2354" spans="1:6" ht="63.95" customHeight="1">
      <c r="A2354" s="76" t="s">
        <v>1853</v>
      </c>
      <c r="B2354" s="76" t="s">
        <v>7316</v>
      </c>
      <c r="C2354" s="76" t="s">
        <v>7192</v>
      </c>
      <c r="D2354" s="76" t="s">
        <v>7113</v>
      </c>
      <c r="E2354" s="76" t="s">
        <v>7114</v>
      </c>
      <c r="F2354" s="76" t="s">
        <v>7115</v>
      </c>
    </row>
    <row r="2355" spans="1:6" ht="63.95" customHeight="1">
      <c r="A2355" s="76" t="s">
        <v>1853</v>
      </c>
      <c r="B2355" s="76" t="s">
        <v>7317</v>
      </c>
      <c r="C2355" s="76" t="s">
        <v>7194</v>
      </c>
      <c r="D2355" s="76" t="s">
        <v>7122</v>
      </c>
      <c r="E2355" s="76" t="s">
        <v>7119</v>
      </c>
      <c r="F2355" s="76" t="s">
        <v>7115</v>
      </c>
    </row>
    <row r="2356" spans="1:6" ht="63.95" customHeight="1">
      <c r="A2356" s="76" t="s">
        <v>1853</v>
      </c>
      <c r="B2356" s="76" t="s">
        <v>7318</v>
      </c>
      <c r="C2356" s="76" t="s">
        <v>7121</v>
      </c>
      <c r="D2356" s="76" t="s">
        <v>7122</v>
      </c>
      <c r="E2356" s="76" t="s">
        <v>7123</v>
      </c>
      <c r="F2356" s="76" t="s">
        <v>7115</v>
      </c>
    </row>
    <row r="2357" spans="1:6" ht="63.95" customHeight="1">
      <c r="A2357" s="76" t="s">
        <v>1853</v>
      </c>
      <c r="B2357" s="76" t="s">
        <v>7319</v>
      </c>
      <c r="C2357" s="76" t="s">
        <v>7192</v>
      </c>
      <c r="D2357" s="76" t="s">
        <v>7113</v>
      </c>
      <c r="E2357" s="76" t="s">
        <v>7114</v>
      </c>
      <c r="F2357" s="76" t="s">
        <v>7115</v>
      </c>
    </row>
    <row r="2358" spans="1:6" ht="63.95" customHeight="1">
      <c r="A2358" s="76" t="s">
        <v>1853</v>
      </c>
      <c r="B2358" s="76" t="s">
        <v>7320</v>
      </c>
      <c r="C2358" s="76" t="s">
        <v>7194</v>
      </c>
      <c r="D2358" s="76" t="s">
        <v>7122</v>
      </c>
      <c r="E2358" s="76" t="s">
        <v>7119</v>
      </c>
      <c r="F2358" s="76" t="s">
        <v>7115</v>
      </c>
    </row>
    <row r="2359" spans="1:6" ht="63.95" customHeight="1">
      <c r="A2359" s="76" t="s">
        <v>1853</v>
      </c>
      <c r="B2359" s="76" t="s">
        <v>7321</v>
      </c>
      <c r="C2359" s="76" t="s">
        <v>7121</v>
      </c>
      <c r="D2359" s="76" t="s">
        <v>7122</v>
      </c>
      <c r="E2359" s="76" t="s">
        <v>7123</v>
      </c>
      <c r="F2359" s="76" t="s">
        <v>7115</v>
      </c>
    </row>
    <row r="2360" spans="1:6" ht="63.95" customHeight="1">
      <c r="A2360" s="76" t="s">
        <v>1853</v>
      </c>
      <c r="B2360" s="76" t="s">
        <v>7322</v>
      </c>
      <c r="C2360" s="76" t="s">
        <v>7192</v>
      </c>
      <c r="D2360" s="76" t="s">
        <v>7113</v>
      </c>
      <c r="E2360" s="76" t="s">
        <v>7114</v>
      </c>
      <c r="F2360" s="76" t="s">
        <v>7115</v>
      </c>
    </row>
    <row r="2361" spans="1:6" ht="63.95" customHeight="1">
      <c r="A2361" s="76" t="s">
        <v>1853</v>
      </c>
      <c r="B2361" s="76" t="s">
        <v>7323</v>
      </c>
      <c r="C2361" s="76" t="s">
        <v>7194</v>
      </c>
      <c r="D2361" s="76" t="s">
        <v>7122</v>
      </c>
      <c r="E2361" s="76" t="s">
        <v>7119</v>
      </c>
      <c r="F2361" s="76" t="s">
        <v>7115</v>
      </c>
    </row>
    <row r="2362" spans="1:6" ht="63.95" customHeight="1">
      <c r="A2362" s="76" t="s">
        <v>1853</v>
      </c>
      <c r="B2362" s="76" t="s">
        <v>7324</v>
      </c>
      <c r="C2362" s="76" t="s">
        <v>7121</v>
      </c>
      <c r="D2362" s="76" t="s">
        <v>7122</v>
      </c>
      <c r="E2362" s="76" t="s">
        <v>7123</v>
      </c>
      <c r="F2362" s="76" t="s">
        <v>7115</v>
      </c>
    </row>
    <row r="2363" spans="1:6" ht="63.95" customHeight="1">
      <c r="A2363" s="76" t="s">
        <v>1853</v>
      </c>
      <c r="B2363" s="76" t="s">
        <v>7325</v>
      </c>
      <c r="C2363" s="76" t="s">
        <v>7192</v>
      </c>
      <c r="D2363" s="76" t="s">
        <v>7113</v>
      </c>
      <c r="E2363" s="76" t="s">
        <v>7114</v>
      </c>
      <c r="F2363" s="76" t="s">
        <v>7115</v>
      </c>
    </row>
    <row r="2364" spans="1:6" ht="63.95" customHeight="1">
      <c r="A2364" s="76" t="s">
        <v>1853</v>
      </c>
      <c r="B2364" s="76" t="s">
        <v>7326</v>
      </c>
      <c r="C2364" s="76" t="s">
        <v>7194</v>
      </c>
      <c r="D2364" s="76" t="s">
        <v>7122</v>
      </c>
      <c r="E2364" s="76" t="s">
        <v>7119</v>
      </c>
      <c r="F2364" s="76" t="s">
        <v>7115</v>
      </c>
    </row>
    <row r="2365" spans="1:6" ht="63.95" customHeight="1">
      <c r="A2365" s="76" t="s">
        <v>1853</v>
      </c>
      <c r="B2365" s="76" t="s">
        <v>7327</v>
      </c>
      <c r="C2365" s="76" t="s">
        <v>7121</v>
      </c>
      <c r="D2365" s="76" t="s">
        <v>7122</v>
      </c>
      <c r="E2365" s="76" t="s">
        <v>7123</v>
      </c>
      <c r="F2365" s="76" t="s">
        <v>7115</v>
      </c>
    </row>
    <row r="2366" spans="1:6" ht="63.95" customHeight="1">
      <c r="A2366" s="76" t="s">
        <v>1853</v>
      </c>
      <c r="B2366" s="76" t="s">
        <v>7328</v>
      </c>
      <c r="C2366" s="76" t="s">
        <v>7192</v>
      </c>
      <c r="D2366" s="76" t="s">
        <v>7113</v>
      </c>
      <c r="E2366" s="76" t="s">
        <v>7114</v>
      </c>
      <c r="F2366" s="76" t="s">
        <v>7115</v>
      </c>
    </row>
    <row r="2367" spans="1:6" ht="63.95" customHeight="1">
      <c r="A2367" s="76" t="s">
        <v>1853</v>
      </c>
      <c r="B2367" s="76" t="s">
        <v>7329</v>
      </c>
      <c r="C2367" s="76" t="s">
        <v>7194</v>
      </c>
      <c r="D2367" s="76" t="s">
        <v>7122</v>
      </c>
      <c r="E2367" s="76" t="s">
        <v>7119</v>
      </c>
      <c r="F2367" s="76" t="s">
        <v>7115</v>
      </c>
    </row>
    <row r="2368" spans="1:6" ht="63.95" customHeight="1">
      <c r="A2368" s="76" t="s">
        <v>1853</v>
      </c>
      <c r="B2368" s="76" t="s">
        <v>7330</v>
      </c>
      <c r="C2368" s="76" t="s">
        <v>7121</v>
      </c>
      <c r="D2368" s="76" t="s">
        <v>7122</v>
      </c>
      <c r="E2368" s="76" t="s">
        <v>7123</v>
      </c>
      <c r="F2368" s="76" t="s">
        <v>7115</v>
      </c>
    </row>
    <row r="2369" spans="1:6" ht="63.95" customHeight="1">
      <c r="A2369" s="76" t="s">
        <v>1853</v>
      </c>
      <c r="B2369" s="76" t="s">
        <v>7331</v>
      </c>
      <c r="C2369" s="76" t="s">
        <v>7192</v>
      </c>
      <c r="D2369" s="76" t="s">
        <v>7113</v>
      </c>
      <c r="E2369" s="76" t="s">
        <v>7114</v>
      </c>
      <c r="F2369" s="76" t="s">
        <v>7115</v>
      </c>
    </row>
    <row r="2370" spans="1:6" ht="63.95" customHeight="1">
      <c r="A2370" s="76" t="s">
        <v>1853</v>
      </c>
      <c r="B2370" s="76" t="s">
        <v>7332</v>
      </c>
      <c r="C2370" s="76" t="s">
        <v>7194</v>
      </c>
      <c r="D2370" s="76" t="s">
        <v>7122</v>
      </c>
      <c r="E2370" s="76" t="s">
        <v>7119</v>
      </c>
      <c r="F2370" s="76" t="s">
        <v>7115</v>
      </c>
    </row>
    <row r="2371" spans="1:6" ht="63.95" customHeight="1">
      <c r="A2371" s="76" t="s">
        <v>1853</v>
      </c>
      <c r="B2371" s="76" t="s">
        <v>7333</v>
      </c>
      <c r="C2371" s="76" t="s">
        <v>7121</v>
      </c>
      <c r="D2371" s="76" t="s">
        <v>7122</v>
      </c>
      <c r="E2371" s="76" t="s">
        <v>7123</v>
      </c>
      <c r="F2371" s="76" t="s">
        <v>7115</v>
      </c>
    </row>
    <row r="2372" spans="1:6" ht="63.95" customHeight="1">
      <c r="A2372" s="76" t="s">
        <v>1853</v>
      </c>
      <c r="B2372" s="76" t="s">
        <v>7334</v>
      </c>
      <c r="C2372" s="76" t="s">
        <v>7192</v>
      </c>
      <c r="D2372" s="76" t="s">
        <v>7113</v>
      </c>
      <c r="E2372" s="76" t="s">
        <v>7114</v>
      </c>
      <c r="F2372" s="76" t="s">
        <v>7115</v>
      </c>
    </row>
    <row r="2373" spans="1:6" ht="63.95" customHeight="1">
      <c r="A2373" s="76" t="s">
        <v>1853</v>
      </c>
      <c r="B2373" s="76" t="s">
        <v>7335</v>
      </c>
      <c r="C2373" s="76" t="s">
        <v>7194</v>
      </c>
      <c r="D2373" s="76" t="s">
        <v>7122</v>
      </c>
      <c r="E2373" s="76" t="s">
        <v>7119</v>
      </c>
      <c r="F2373" s="76" t="s">
        <v>7115</v>
      </c>
    </row>
    <row r="2374" spans="1:6" ht="63.95" customHeight="1">
      <c r="A2374" s="76" t="s">
        <v>1853</v>
      </c>
      <c r="B2374" s="76" t="s">
        <v>7336</v>
      </c>
      <c r="C2374" s="76" t="s">
        <v>7121</v>
      </c>
      <c r="D2374" s="76" t="s">
        <v>7122</v>
      </c>
      <c r="E2374" s="76" t="s">
        <v>7123</v>
      </c>
      <c r="F2374" s="76" t="s">
        <v>7115</v>
      </c>
    </row>
    <row r="2375" spans="1:6" ht="63.95" customHeight="1">
      <c r="A2375" s="76" t="s">
        <v>1853</v>
      </c>
      <c r="B2375" s="76" t="s">
        <v>7337</v>
      </c>
      <c r="C2375" s="76" t="s">
        <v>7192</v>
      </c>
      <c r="D2375" s="76" t="s">
        <v>7113</v>
      </c>
      <c r="E2375" s="76" t="s">
        <v>7114</v>
      </c>
      <c r="F2375" s="76" t="s">
        <v>7115</v>
      </c>
    </row>
    <row r="2376" spans="1:6" ht="63.95" customHeight="1">
      <c r="A2376" s="76" t="s">
        <v>1853</v>
      </c>
      <c r="B2376" s="76" t="s">
        <v>7338</v>
      </c>
      <c r="C2376" s="76" t="s">
        <v>7194</v>
      </c>
      <c r="D2376" s="76" t="s">
        <v>7122</v>
      </c>
      <c r="E2376" s="76" t="s">
        <v>7119</v>
      </c>
      <c r="F2376" s="76" t="s">
        <v>7115</v>
      </c>
    </row>
    <row r="2377" spans="1:6" ht="63.95" customHeight="1">
      <c r="A2377" s="76" t="s">
        <v>1853</v>
      </c>
      <c r="B2377" s="76" t="s">
        <v>7339</v>
      </c>
      <c r="C2377" s="76" t="s">
        <v>7121</v>
      </c>
      <c r="D2377" s="76" t="s">
        <v>7122</v>
      </c>
      <c r="E2377" s="76" t="s">
        <v>7123</v>
      </c>
      <c r="F2377" s="76" t="s">
        <v>7115</v>
      </c>
    </row>
    <row r="2378" spans="1:6" ht="63.95" customHeight="1">
      <c r="A2378" s="76" t="s">
        <v>1853</v>
      </c>
      <c r="B2378" s="76" t="s">
        <v>7340</v>
      </c>
      <c r="C2378" s="76" t="s">
        <v>7192</v>
      </c>
      <c r="D2378" s="76" t="s">
        <v>7113</v>
      </c>
      <c r="E2378" s="76" t="s">
        <v>7114</v>
      </c>
      <c r="F2378" s="76" t="s">
        <v>7115</v>
      </c>
    </row>
    <row r="2379" spans="1:6" ht="63.95" customHeight="1">
      <c r="A2379" s="76" t="s">
        <v>1853</v>
      </c>
      <c r="B2379" s="76" t="s">
        <v>7341</v>
      </c>
      <c r="C2379" s="76" t="s">
        <v>7194</v>
      </c>
      <c r="D2379" s="76" t="s">
        <v>7122</v>
      </c>
      <c r="E2379" s="76" t="s">
        <v>7119</v>
      </c>
      <c r="F2379" s="76" t="s">
        <v>7115</v>
      </c>
    </row>
    <row r="2380" spans="1:6" ht="63.95" customHeight="1">
      <c r="A2380" s="76" t="s">
        <v>1853</v>
      </c>
      <c r="B2380" s="76" t="s">
        <v>7342</v>
      </c>
      <c r="C2380" s="76" t="s">
        <v>7121</v>
      </c>
      <c r="D2380" s="76" t="s">
        <v>7122</v>
      </c>
      <c r="E2380" s="76" t="s">
        <v>7123</v>
      </c>
      <c r="F2380" s="76" t="s">
        <v>7115</v>
      </c>
    </row>
    <row r="2381" spans="1:6" ht="63.95" customHeight="1">
      <c r="A2381" s="76" t="s">
        <v>1853</v>
      </c>
      <c r="B2381" s="76" t="s">
        <v>7343</v>
      </c>
      <c r="C2381" s="76" t="s">
        <v>7192</v>
      </c>
      <c r="D2381" s="76" t="s">
        <v>7113</v>
      </c>
      <c r="E2381" s="76" t="s">
        <v>7114</v>
      </c>
      <c r="F2381" s="76" t="s">
        <v>7115</v>
      </c>
    </row>
    <row r="2382" spans="1:6" ht="63.95" customHeight="1">
      <c r="A2382" s="76" t="s">
        <v>1853</v>
      </c>
      <c r="B2382" s="76" t="s">
        <v>7344</v>
      </c>
      <c r="C2382" s="76" t="s">
        <v>7194</v>
      </c>
      <c r="D2382" s="76" t="s">
        <v>7122</v>
      </c>
      <c r="E2382" s="76" t="s">
        <v>7119</v>
      </c>
      <c r="F2382" s="76" t="s">
        <v>7115</v>
      </c>
    </row>
    <row r="2383" spans="1:6" ht="63.95" customHeight="1">
      <c r="A2383" s="76" t="s">
        <v>1853</v>
      </c>
      <c r="B2383" s="76" t="s">
        <v>7345</v>
      </c>
      <c r="C2383" s="76" t="s">
        <v>7121</v>
      </c>
      <c r="D2383" s="76" t="s">
        <v>7122</v>
      </c>
      <c r="E2383" s="76" t="s">
        <v>7123</v>
      </c>
      <c r="F2383" s="76" t="s">
        <v>7115</v>
      </c>
    </row>
    <row r="2384" spans="1:6" ht="63.95" customHeight="1">
      <c r="A2384" s="76" t="s">
        <v>1853</v>
      </c>
      <c r="B2384" s="76" t="s">
        <v>7346</v>
      </c>
      <c r="C2384" s="76" t="s">
        <v>7192</v>
      </c>
      <c r="D2384" s="76" t="s">
        <v>7113</v>
      </c>
      <c r="E2384" s="76" t="s">
        <v>7114</v>
      </c>
      <c r="F2384" s="76" t="s">
        <v>7115</v>
      </c>
    </row>
    <row r="2385" spans="1:6" ht="63.95" customHeight="1">
      <c r="A2385" s="76" t="s">
        <v>1853</v>
      </c>
      <c r="B2385" s="76" t="s">
        <v>7347</v>
      </c>
      <c r="C2385" s="76" t="s">
        <v>7194</v>
      </c>
      <c r="D2385" s="76" t="s">
        <v>7122</v>
      </c>
      <c r="E2385" s="76" t="s">
        <v>7119</v>
      </c>
      <c r="F2385" s="76" t="s">
        <v>7115</v>
      </c>
    </row>
    <row r="2386" spans="1:6" ht="63.95" customHeight="1">
      <c r="A2386" s="76" t="s">
        <v>1853</v>
      </c>
      <c r="B2386" s="76" t="s">
        <v>7348</v>
      </c>
      <c r="C2386" s="76" t="s">
        <v>7121</v>
      </c>
      <c r="D2386" s="76" t="s">
        <v>7122</v>
      </c>
      <c r="E2386" s="76" t="s">
        <v>7123</v>
      </c>
      <c r="F2386" s="76" t="s">
        <v>7115</v>
      </c>
    </row>
    <row r="2387" spans="1:6" ht="63.95" customHeight="1">
      <c r="A2387" s="76" t="s">
        <v>1853</v>
      </c>
      <c r="B2387" s="76" t="s">
        <v>7349</v>
      </c>
      <c r="C2387" s="76" t="s">
        <v>7192</v>
      </c>
      <c r="D2387" s="76" t="s">
        <v>7113</v>
      </c>
      <c r="E2387" s="76" t="s">
        <v>7114</v>
      </c>
      <c r="F2387" s="76" t="s">
        <v>7115</v>
      </c>
    </row>
    <row r="2388" spans="1:6" ht="63.95" customHeight="1">
      <c r="A2388" s="76" t="s">
        <v>1853</v>
      </c>
      <c r="B2388" s="76" t="s">
        <v>7350</v>
      </c>
      <c r="C2388" s="76" t="s">
        <v>7194</v>
      </c>
      <c r="D2388" s="76" t="s">
        <v>7122</v>
      </c>
      <c r="E2388" s="76" t="s">
        <v>7119</v>
      </c>
      <c r="F2388" s="76" t="s">
        <v>7115</v>
      </c>
    </row>
    <row r="2389" spans="1:6" ht="63.95" customHeight="1">
      <c r="A2389" s="76" t="s">
        <v>1853</v>
      </c>
      <c r="B2389" s="76" t="s">
        <v>7351</v>
      </c>
      <c r="C2389" s="76" t="s">
        <v>7121</v>
      </c>
      <c r="D2389" s="76" t="s">
        <v>7122</v>
      </c>
      <c r="E2389" s="76" t="s">
        <v>7123</v>
      </c>
      <c r="F2389" s="76" t="s">
        <v>7115</v>
      </c>
    </row>
    <row r="2390" spans="1:6" ht="63.95" customHeight="1">
      <c r="A2390" s="76" t="s">
        <v>1853</v>
      </c>
      <c r="B2390" s="76" t="s">
        <v>7352</v>
      </c>
      <c r="C2390" s="76" t="s">
        <v>7134</v>
      </c>
      <c r="D2390" s="76" t="s">
        <v>7113</v>
      </c>
      <c r="E2390" s="76" t="s">
        <v>7114</v>
      </c>
      <c r="F2390" s="76" t="s">
        <v>7115</v>
      </c>
    </row>
    <row r="2391" spans="1:6" ht="63.95" customHeight="1">
      <c r="A2391" s="76" t="s">
        <v>1853</v>
      </c>
      <c r="B2391" s="76" t="s">
        <v>7353</v>
      </c>
      <c r="C2391" s="76" t="s">
        <v>7117</v>
      </c>
      <c r="D2391" s="76" t="s">
        <v>7118</v>
      </c>
      <c r="E2391" s="76" t="s">
        <v>7119</v>
      </c>
      <c r="F2391" s="76" t="s">
        <v>7115</v>
      </c>
    </row>
    <row r="2392" spans="1:6" ht="63.95" customHeight="1">
      <c r="A2392" s="76" t="s">
        <v>1853</v>
      </c>
      <c r="B2392" s="76" t="s">
        <v>7354</v>
      </c>
      <c r="C2392" s="76" t="s">
        <v>7121</v>
      </c>
      <c r="D2392" s="76" t="s">
        <v>7122</v>
      </c>
      <c r="E2392" s="76" t="s">
        <v>7123</v>
      </c>
      <c r="F2392" s="76" t="s">
        <v>7115</v>
      </c>
    </row>
    <row r="2393" spans="1:6" ht="63.95" customHeight="1">
      <c r="A2393" s="76" t="s">
        <v>1853</v>
      </c>
      <c r="B2393" s="76" t="s">
        <v>7355</v>
      </c>
      <c r="C2393" s="76" t="s">
        <v>7134</v>
      </c>
      <c r="D2393" s="76" t="s">
        <v>7113</v>
      </c>
      <c r="E2393" s="76" t="s">
        <v>7114</v>
      </c>
      <c r="F2393" s="76" t="s">
        <v>7115</v>
      </c>
    </row>
    <row r="2394" spans="1:6" ht="63.95" customHeight="1">
      <c r="A2394" s="76" t="s">
        <v>1853</v>
      </c>
      <c r="B2394" s="76" t="s">
        <v>7356</v>
      </c>
      <c r="C2394" s="76" t="s">
        <v>7117</v>
      </c>
      <c r="D2394" s="76" t="s">
        <v>7118</v>
      </c>
      <c r="E2394" s="76" t="s">
        <v>7119</v>
      </c>
      <c r="F2394" s="76" t="s">
        <v>7115</v>
      </c>
    </row>
    <row r="2395" spans="1:6" ht="63.95" customHeight="1">
      <c r="A2395" s="76" t="s">
        <v>1853</v>
      </c>
      <c r="B2395" s="76" t="s">
        <v>7357</v>
      </c>
      <c r="C2395" s="76" t="s">
        <v>7121</v>
      </c>
      <c r="D2395" s="76" t="s">
        <v>7122</v>
      </c>
      <c r="E2395" s="76" t="s">
        <v>7123</v>
      </c>
      <c r="F2395" s="76" t="s">
        <v>7115</v>
      </c>
    </row>
    <row r="2396" spans="1:6" ht="63.95" customHeight="1">
      <c r="A2396" s="76" t="s">
        <v>1853</v>
      </c>
      <c r="B2396" s="76" t="s">
        <v>7358</v>
      </c>
      <c r="C2396" s="76" t="s">
        <v>7134</v>
      </c>
      <c r="D2396" s="76" t="s">
        <v>7113</v>
      </c>
      <c r="E2396" s="76" t="s">
        <v>7114</v>
      </c>
      <c r="F2396" s="76" t="s">
        <v>7115</v>
      </c>
    </row>
    <row r="2397" spans="1:6" ht="63.95" customHeight="1">
      <c r="A2397" s="76" t="s">
        <v>1853</v>
      </c>
      <c r="B2397" s="76" t="s">
        <v>7359</v>
      </c>
      <c r="C2397" s="76" t="s">
        <v>7117</v>
      </c>
      <c r="D2397" s="76" t="s">
        <v>7118</v>
      </c>
      <c r="E2397" s="76" t="s">
        <v>7119</v>
      </c>
      <c r="F2397" s="76" t="s">
        <v>7115</v>
      </c>
    </row>
    <row r="2398" spans="1:6" ht="63.95" customHeight="1">
      <c r="A2398" s="76" t="s">
        <v>1853</v>
      </c>
      <c r="B2398" s="76" t="s">
        <v>7360</v>
      </c>
      <c r="C2398" s="76" t="s">
        <v>7121</v>
      </c>
      <c r="D2398" s="76" t="s">
        <v>7122</v>
      </c>
      <c r="E2398" s="76" t="s">
        <v>7123</v>
      </c>
      <c r="F2398" s="76" t="s">
        <v>7115</v>
      </c>
    </row>
    <row r="2399" spans="1:6" ht="63.95" customHeight="1">
      <c r="A2399" s="76" t="s">
        <v>1853</v>
      </c>
      <c r="B2399" s="76" t="s">
        <v>7361</v>
      </c>
      <c r="C2399" s="76" t="s">
        <v>7134</v>
      </c>
      <c r="D2399" s="76" t="s">
        <v>7113</v>
      </c>
      <c r="E2399" s="76" t="s">
        <v>7114</v>
      </c>
      <c r="F2399" s="76" t="s">
        <v>7115</v>
      </c>
    </row>
    <row r="2400" spans="1:6" ht="63.95" customHeight="1">
      <c r="A2400" s="76" t="s">
        <v>1853</v>
      </c>
      <c r="B2400" s="76" t="s">
        <v>7362</v>
      </c>
      <c r="C2400" s="76" t="s">
        <v>7117</v>
      </c>
      <c r="D2400" s="76" t="s">
        <v>7118</v>
      </c>
      <c r="E2400" s="76" t="s">
        <v>7119</v>
      </c>
      <c r="F2400" s="76" t="s">
        <v>7115</v>
      </c>
    </row>
    <row r="2401" spans="1:6" ht="63.95" customHeight="1">
      <c r="A2401" s="76" t="s">
        <v>1853</v>
      </c>
      <c r="B2401" s="76" t="s">
        <v>7363</v>
      </c>
      <c r="C2401" s="76" t="s">
        <v>7121</v>
      </c>
      <c r="D2401" s="76" t="s">
        <v>7122</v>
      </c>
      <c r="E2401" s="76" t="s">
        <v>7123</v>
      </c>
      <c r="F2401" s="76" t="s">
        <v>7115</v>
      </c>
    </row>
    <row r="2402" spans="1:6" ht="63.95" customHeight="1">
      <c r="A2402" s="76" t="s">
        <v>1853</v>
      </c>
      <c r="B2402" s="76" t="s">
        <v>7364</v>
      </c>
      <c r="C2402" s="76" t="s">
        <v>7192</v>
      </c>
      <c r="D2402" s="76" t="s">
        <v>7113</v>
      </c>
      <c r="E2402" s="76" t="s">
        <v>7114</v>
      </c>
      <c r="F2402" s="76" t="s">
        <v>7115</v>
      </c>
    </row>
    <row r="2403" spans="1:6" ht="63.95" customHeight="1">
      <c r="A2403" s="76" t="s">
        <v>1853</v>
      </c>
      <c r="B2403" s="76" t="s">
        <v>7365</v>
      </c>
      <c r="C2403" s="76" t="s">
        <v>7194</v>
      </c>
      <c r="D2403" s="76" t="s">
        <v>7122</v>
      </c>
      <c r="E2403" s="76" t="s">
        <v>7119</v>
      </c>
      <c r="F2403" s="76" t="s">
        <v>7115</v>
      </c>
    </row>
    <row r="2404" spans="1:6" ht="63.95" customHeight="1">
      <c r="A2404" s="76" t="s">
        <v>1853</v>
      </c>
      <c r="B2404" s="76" t="s">
        <v>7366</v>
      </c>
      <c r="C2404" s="76" t="s">
        <v>7121</v>
      </c>
      <c r="D2404" s="76" t="s">
        <v>7122</v>
      </c>
      <c r="E2404" s="76" t="s">
        <v>7123</v>
      </c>
      <c r="F2404" s="76" t="s">
        <v>7115</v>
      </c>
    </row>
    <row r="2405" spans="1:6" ht="63.95" customHeight="1">
      <c r="A2405" s="76" t="s">
        <v>1853</v>
      </c>
      <c r="B2405" s="76" t="s">
        <v>7367</v>
      </c>
      <c r="C2405" s="76" t="s">
        <v>7192</v>
      </c>
      <c r="D2405" s="76" t="s">
        <v>7113</v>
      </c>
      <c r="E2405" s="76" t="s">
        <v>7114</v>
      </c>
      <c r="F2405" s="76" t="s">
        <v>7115</v>
      </c>
    </row>
    <row r="2406" spans="1:6" ht="63.95" customHeight="1">
      <c r="A2406" s="76" t="s">
        <v>1853</v>
      </c>
      <c r="B2406" s="76" t="s">
        <v>7368</v>
      </c>
      <c r="C2406" s="76" t="s">
        <v>7194</v>
      </c>
      <c r="D2406" s="76" t="s">
        <v>7122</v>
      </c>
      <c r="E2406" s="76" t="s">
        <v>7119</v>
      </c>
      <c r="F2406" s="76" t="s">
        <v>7115</v>
      </c>
    </row>
    <row r="2407" spans="1:6" ht="63.95" customHeight="1">
      <c r="A2407" s="76" t="s">
        <v>1853</v>
      </c>
      <c r="B2407" s="76" t="s">
        <v>7369</v>
      </c>
      <c r="C2407" s="76" t="s">
        <v>7121</v>
      </c>
      <c r="D2407" s="76" t="s">
        <v>7122</v>
      </c>
      <c r="E2407" s="76" t="s">
        <v>7123</v>
      </c>
      <c r="F2407" s="76" t="s">
        <v>7115</v>
      </c>
    </row>
    <row r="2408" spans="1:6" ht="63.95" customHeight="1">
      <c r="A2408" s="76" t="s">
        <v>1853</v>
      </c>
      <c r="B2408" s="76" t="s">
        <v>7370</v>
      </c>
      <c r="C2408" s="76" t="s">
        <v>7134</v>
      </c>
      <c r="D2408" s="76" t="s">
        <v>7113</v>
      </c>
      <c r="E2408" s="76" t="s">
        <v>7114</v>
      </c>
      <c r="F2408" s="76" t="s">
        <v>7115</v>
      </c>
    </row>
    <row r="2409" spans="1:6" ht="63.95" customHeight="1">
      <c r="A2409" s="76" t="s">
        <v>1853</v>
      </c>
      <c r="B2409" s="76" t="s">
        <v>7371</v>
      </c>
      <c r="C2409" s="76" t="s">
        <v>7117</v>
      </c>
      <c r="D2409" s="76" t="s">
        <v>7118</v>
      </c>
      <c r="E2409" s="76" t="s">
        <v>7119</v>
      </c>
      <c r="F2409" s="76" t="s">
        <v>7115</v>
      </c>
    </row>
    <row r="2410" spans="1:6" ht="63.95" customHeight="1">
      <c r="A2410" s="76" t="s">
        <v>1853</v>
      </c>
      <c r="B2410" s="76" t="s">
        <v>7372</v>
      </c>
      <c r="C2410" s="76" t="s">
        <v>7121</v>
      </c>
      <c r="D2410" s="76" t="s">
        <v>7122</v>
      </c>
      <c r="E2410" s="76" t="s">
        <v>7123</v>
      </c>
      <c r="F2410" s="76" t="s">
        <v>7115</v>
      </c>
    </row>
    <row r="2411" spans="1:6" ht="63.95" customHeight="1">
      <c r="A2411" s="76" t="s">
        <v>1853</v>
      </c>
      <c r="B2411" s="76" t="s">
        <v>7373</v>
      </c>
      <c r="C2411" s="76" t="s">
        <v>7134</v>
      </c>
      <c r="D2411" s="76" t="s">
        <v>7113</v>
      </c>
      <c r="E2411" s="76" t="s">
        <v>7114</v>
      </c>
      <c r="F2411" s="76" t="s">
        <v>7115</v>
      </c>
    </row>
    <row r="2412" spans="1:6" ht="63.95" customHeight="1">
      <c r="A2412" s="76" t="s">
        <v>1853</v>
      </c>
      <c r="B2412" s="76" t="s">
        <v>7374</v>
      </c>
      <c r="C2412" s="76" t="s">
        <v>7117</v>
      </c>
      <c r="D2412" s="76" t="s">
        <v>7118</v>
      </c>
      <c r="E2412" s="76" t="s">
        <v>7119</v>
      </c>
      <c r="F2412" s="76" t="s">
        <v>7115</v>
      </c>
    </row>
    <row r="2413" spans="1:6" ht="63.95" customHeight="1">
      <c r="A2413" s="76" t="s">
        <v>1853</v>
      </c>
      <c r="B2413" s="76" t="s">
        <v>7375</v>
      </c>
      <c r="C2413" s="76" t="s">
        <v>7121</v>
      </c>
      <c r="D2413" s="76" t="s">
        <v>7122</v>
      </c>
      <c r="E2413" s="76" t="s">
        <v>7123</v>
      </c>
      <c r="F2413" s="76" t="s">
        <v>7115</v>
      </c>
    </row>
    <row r="2414" spans="1:6" ht="63.95" customHeight="1">
      <c r="A2414" s="76" t="s">
        <v>1853</v>
      </c>
      <c r="B2414" s="76" t="s">
        <v>7376</v>
      </c>
      <c r="C2414" s="76" t="s">
        <v>7192</v>
      </c>
      <c r="D2414" s="76" t="s">
        <v>7113</v>
      </c>
      <c r="E2414" s="76" t="s">
        <v>7114</v>
      </c>
      <c r="F2414" s="76" t="s">
        <v>7115</v>
      </c>
    </row>
    <row r="2415" spans="1:6" ht="63.95" customHeight="1">
      <c r="A2415" s="76" t="s">
        <v>1853</v>
      </c>
      <c r="B2415" s="76" t="s">
        <v>7377</v>
      </c>
      <c r="C2415" s="76" t="s">
        <v>7194</v>
      </c>
      <c r="D2415" s="76" t="s">
        <v>7122</v>
      </c>
      <c r="E2415" s="76" t="s">
        <v>7119</v>
      </c>
      <c r="F2415" s="76" t="s">
        <v>7115</v>
      </c>
    </row>
    <row r="2416" spans="1:6" ht="63.95" customHeight="1">
      <c r="A2416" s="76" t="s">
        <v>1853</v>
      </c>
      <c r="B2416" s="76" t="s">
        <v>7378</v>
      </c>
      <c r="C2416" s="76" t="s">
        <v>7121</v>
      </c>
      <c r="D2416" s="76" t="s">
        <v>7122</v>
      </c>
      <c r="E2416" s="76" t="s">
        <v>7123</v>
      </c>
      <c r="F2416" s="76" t="s">
        <v>7115</v>
      </c>
    </row>
    <row r="2417" spans="1:6" ht="63.95" customHeight="1">
      <c r="A2417" s="76" t="s">
        <v>1853</v>
      </c>
      <c r="B2417" s="76" t="s">
        <v>7379</v>
      </c>
      <c r="C2417" s="76" t="s">
        <v>7192</v>
      </c>
      <c r="D2417" s="76" t="s">
        <v>7113</v>
      </c>
      <c r="E2417" s="76" t="s">
        <v>7114</v>
      </c>
      <c r="F2417" s="76" t="s">
        <v>7115</v>
      </c>
    </row>
    <row r="2418" spans="1:6" ht="63.95" customHeight="1">
      <c r="A2418" s="76" t="s">
        <v>1853</v>
      </c>
      <c r="B2418" s="76" t="s">
        <v>7380</v>
      </c>
      <c r="C2418" s="76" t="s">
        <v>7194</v>
      </c>
      <c r="D2418" s="76" t="s">
        <v>7122</v>
      </c>
      <c r="E2418" s="76" t="s">
        <v>7119</v>
      </c>
      <c r="F2418" s="76" t="s">
        <v>7115</v>
      </c>
    </row>
    <row r="2419" spans="1:6" ht="63.95" customHeight="1">
      <c r="A2419" s="76" t="s">
        <v>1853</v>
      </c>
      <c r="B2419" s="76" t="s">
        <v>7381</v>
      </c>
      <c r="C2419" s="76" t="s">
        <v>7121</v>
      </c>
      <c r="D2419" s="76" t="s">
        <v>7122</v>
      </c>
      <c r="E2419" s="76" t="s">
        <v>7123</v>
      </c>
      <c r="F2419" s="76" t="s">
        <v>7115</v>
      </c>
    </row>
    <row r="2420" spans="1:6" ht="63.95" customHeight="1">
      <c r="A2420" s="76" t="s">
        <v>1853</v>
      </c>
      <c r="B2420" s="76" t="s">
        <v>7382</v>
      </c>
      <c r="C2420" s="76" t="s">
        <v>7192</v>
      </c>
      <c r="D2420" s="76" t="s">
        <v>7113</v>
      </c>
      <c r="E2420" s="76" t="s">
        <v>7114</v>
      </c>
      <c r="F2420" s="76" t="s">
        <v>7115</v>
      </c>
    </row>
    <row r="2421" spans="1:6" ht="63.95" customHeight="1">
      <c r="A2421" s="76" t="s">
        <v>1853</v>
      </c>
      <c r="B2421" s="76" t="s">
        <v>7383</v>
      </c>
      <c r="C2421" s="76" t="s">
        <v>7194</v>
      </c>
      <c r="D2421" s="76" t="s">
        <v>7122</v>
      </c>
      <c r="E2421" s="76" t="s">
        <v>7119</v>
      </c>
      <c r="F2421" s="76" t="s">
        <v>7115</v>
      </c>
    </row>
    <row r="2422" spans="1:6" ht="63.95" customHeight="1">
      <c r="A2422" s="76" t="s">
        <v>1853</v>
      </c>
      <c r="B2422" s="76" t="s">
        <v>7384</v>
      </c>
      <c r="C2422" s="76" t="s">
        <v>7121</v>
      </c>
      <c r="D2422" s="76" t="s">
        <v>7122</v>
      </c>
      <c r="E2422" s="76" t="s">
        <v>7123</v>
      </c>
      <c r="F2422" s="76" t="s">
        <v>7115</v>
      </c>
    </row>
    <row r="2423" spans="1:6" ht="63.95" customHeight="1">
      <c r="A2423" s="76" t="s">
        <v>1853</v>
      </c>
      <c r="B2423" s="76" t="s">
        <v>7385</v>
      </c>
      <c r="C2423" s="76" t="s">
        <v>7192</v>
      </c>
      <c r="D2423" s="76" t="s">
        <v>7113</v>
      </c>
      <c r="E2423" s="76" t="s">
        <v>7114</v>
      </c>
      <c r="F2423" s="76" t="s">
        <v>7115</v>
      </c>
    </row>
    <row r="2424" spans="1:6" ht="63.95" customHeight="1">
      <c r="A2424" s="76" t="s">
        <v>1853</v>
      </c>
      <c r="B2424" s="76" t="s">
        <v>7386</v>
      </c>
      <c r="C2424" s="76" t="s">
        <v>7194</v>
      </c>
      <c r="D2424" s="76" t="s">
        <v>7122</v>
      </c>
      <c r="E2424" s="76" t="s">
        <v>7119</v>
      </c>
      <c r="F2424" s="76" t="s">
        <v>7115</v>
      </c>
    </row>
    <row r="2425" spans="1:6" ht="63.95" customHeight="1">
      <c r="A2425" s="76" t="s">
        <v>1853</v>
      </c>
      <c r="B2425" s="76" t="s">
        <v>7387</v>
      </c>
      <c r="C2425" s="76" t="s">
        <v>7121</v>
      </c>
      <c r="D2425" s="76" t="s">
        <v>7122</v>
      </c>
      <c r="E2425" s="76" t="s">
        <v>7123</v>
      </c>
      <c r="F2425" s="76" t="s">
        <v>7115</v>
      </c>
    </row>
    <row r="2426" spans="1:6" ht="63.95" customHeight="1">
      <c r="A2426" s="76" t="s">
        <v>1853</v>
      </c>
      <c r="B2426" s="76" t="s">
        <v>7388</v>
      </c>
      <c r="C2426" s="76" t="s">
        <v>7192</v>
      </c>
      <c r="D2426" s="76" t="s">
        <v>7113</v>
      </c>
      <c r="E2426" s="76" t="s">
        <v>7114</v>
      </c>
      <c r="F2426" s="76" t="s">
        <v>7115</v>
      </c>
    </row>
    <row r="2427" spans="1:6" ht="63.95" customHeight="1">
      <c r="A2427" s="76" t="s">
        <v>1853</v>
      </c>
      <c r="B2427" s="76" t="s">
        <v>7389</v>
      </c>
      <c r="C2427" s="76" t="s">
        <v>7194</v>
      </c>
      <c r="D2427" s="76" t="s">
        <v>7122</v>
      </c>
      <c r="E2427" s="76" t="s">
        <v>7119</v>
      </c>
      <c r="F2427" s="76" t="s">
        <v>7115</v>
      </c>
    </row>
    <row r="2428" spans="1:6" ht="63.95" customHeight="1">
      <c r="A2428" s="76" t="s">
        <v>1853</v>
      </c>
      <c r="B2428" s="76" t="s">
        <v>7390</v>
      </c>
      <c r="C2428" s="76" t="s">
        <v>7121</v>
      </c>
      <c r="D2428" s="76" t="s">
        <v>7122</v>
      </c>
      <c r="E2428" s="76" t="s">
        <v>7123</v>
      </c>
      <c r="F2428" s="76" t="s">
        <v>7115</v>
      </c>
    </row>
    <row r="2429" spans="1:6" ht="63.95" customHeight="1">
      <c r="A2429" s="76" t="s">
        <v>1853</v>
      </c>
      <c r="B2429" s="76" t="s">
        <v>7391</v>
      </c>
      <c r="C2429" s="76" t="s">
        <v>7192</v>
      </c>
      <c r="D2429" s="76" t="s">
        <v>7113</v>
      </c>
      <c r="E2429" s="76" t="s">
        <v>7114</v>
      </c>
      <c r="F2429" s="76" t="s">
        <v>7115</v>
      </c>
    </row>
    <row r="2430" spans="1:6" ht="63.95" customHeight="1">
      <c r="A2430" s="76" t="s">
        <v>1853</v>
      </c>
      <c r="B2430" s="76" t="s">
        <v>7392</v>
      </c>
      <c r="C2430" s="76" t="s">
        <v>7194</v>
      </c>
      <c r="D2430" s="76" t="s">
        <v>7122</v>
      </c>
      <c r="E2430" s="76" t="s">
        <v>7119</v>
      </c>
      <c r="F2430" s="76" t="s">
        <v>7115</v>
      </c>
    </row>
    <row r="2431" spans="1:6" ht="63.95" customHeight="1">
      <c r="A2431" s="76" t="s">
        <v>1853</v>
      </c>
      <c r="B2431" s="76" t="s">
        <v>7393</v>
      </c>
      <c r="C2431" s="76" t="s">
        <v>7121</v>
      </c>
      <c r="D2431" s="76" t="s">
        <v>7122</v>
      </c>
      <c r="E2431" s="76" t="s">
        <v>7123</v>
      </c>
      <c r="F2431" s="76" t="s">
        <v>7115</v>
      </c>
    </row>
    <row r="2432" spans="1:6" ht="63.95" customHeight="1">
      <c r="A2432" s="76" t="s">
        <v>1853</v>
      </c>
      <c r="B2432" s="76" t="s">
        <v>7394</v>
      </c>
      <c r="C2432" s="76" t="s">
        <v>7192</v>
      </c>
      <c r="D2432" s="76" t="s">
        <v>7113</v>
      </c>
      <c r="E2432" s="76" t="s">
        <v>7114</v>
      </c>
      <c r="F2432" s="76" t="s">
        <v>7115</v>
      </c>
    </row>
    <row r="2433" spans="1:6" ht="63.95" customHeight="1">
      <c r="A2433" s="76" t="s">
        <v>1853</v>
      </c>
      <c r="B2433" s="76" t="s">
        <v>7395</v>
      </c>
      <c r="C2433" s="76" t="s">
        <v>7194</v>
      </c>
      <c r="D2433" s="76" t="s">
        <v>7122</v>
      </c>
      <c r="E2433" s="76" t="s">
        <v>7119</v>
      </c>
      <c r="F2433" s="76" t="s">
        <v>7115</v>
      </c>
    </row>
    <row r="2434" spans="1:6" ht="63.95" customHeight="1">
      <c r="A2434" s="76" t="s">
        <v>1853</v>
      </c>
      <c r="B2434" s="76" t="s">
        <v>7396</v>
      </c>
      <c r="C2434" s="76" t="s">
        <v>7121</v>
      </c>
      <c r="D2434" s="76" t="s">
        <v>7122</v>
      </c>
      <c r="E2434" s="76" t="s">
        <v>7123</v>
      </c>
      <c r="F2434" s="76" t="s">
        <v>7115</v>
      </c>
    </row>
    <row r="2435" spans="1:6" ht="63.95" customHeight="1">
      <c r="A2435" s="76" t="s">
        <v>1853</v>
      </c>
      <c r="B2435" s="76" t="s">
        <v>7397</v>
      </c>
      <c r="C2435" s="76" t="s">
        <v>7192</v>
      </c>
      <c r="D2435" s="76" t="s">
        <v>7113</v>
      </c>
      <c r="E2435" s="76" t="s">
        <v>7114</v>
      </c>
      <c r="F2435" s="76" t="s">
        <v>7115</v>
      </c>
    </row>
    <row r="2436" spans="1:6" ht="63.95" customHeight="1">
      <c r="A2436" s="76" t="s">
        <v>1853</v>
      </c>
      <c r="B2436" s="76" t="s">
        <v>7398</v>
      </c>
      <c r="C2436" s="76" t="s">
        <v>7194</v>
      </c>
      <c r="D2436" s="76" t="s">
        <v>7122</v>
      </c>
      <c r="E2436" s="76" t="s">
        <v>7119</v>
      </c>
      <c r="F2436" s="76" t="s">
        <v>7115</v>
      </c>
    </row>
    <row r="2437" spans="1:6" ht="63.95" customHeight="1">
      <c r="A2437" s="76" t="s">
        <v>1853</v>
      </c>
      <c r="B2437" s="76" t="s">
        <v>7399</v>
      </c>
      <c r="C2437" s="76" t="s">
        <v>7121</v>
      </c>
      <c r="D2437" s="76" t="s">
        <v>7122</v>
      </c>
      <c r="E2437" s="76" t="s">
        <v>7123</v>
      </c>
      <c r="F2437" s="76" t="s">
        <v>7115</v>
      </c>
    </row>
    <row r="2438" spans="1:6" ht="63.95" customHeight="1">
      <c r="A2438" s="76" t="s">
        <v>1853</v>
      </c>
      <c r="B2438" s="76" t="s">
        <v>7400</v>
      </c>
      <c r="C2438" s="76" t="s">
        <v>7192</v>
      </c>
      <c r="D2438" s="76" t="s">
        <v>7113</v>
      </c>
      <c r="E2438" s="76" t="s">
        <v>7114</v>
      </c>
      <c r="F2438" s="76" t="s">
        <v>7115</v>
      </c>
    </row>
    <row r="2439" spans="1:6" ht="63.95" customHeight="1">
      <c r="A2439" s="76" t="s">
        <v>1853</v>
      </c>
      <c r="B2439" s="76" t="s">
        <v>7401</v>
      </c>
      <c r="C2439" s="76" t="s">
        <v>7194</v>
      </c>
      <c r="D2439" s="76" t="s">
        <v>7122</v>
      </c>
      <c r="E2439" s="76" t="s">
        <v>7119</v>
      </c>
      <c r="F2439" s="76" t="s">
        <v>7115</v>
      </c>
    </row>
    <row r="2440" spans="1:6" ht="63.95" customHeight="1">
      <c r="A2440" s="76" t="s">
        <v>1853</v>
      </c>
      <c r="B2440" s="76" t="s">
        <v>7402</v>
      </c>
      <c r="C2440" s="76" t="s">
        <v>7121</v>
      </c>
      <c r="D2440" s="76" t="s">
        <v>7122</v>
      </c>
      <c r="E2440" s="76" t="s">
        <v>7123</v>
      </c>
      <c r="F2440" s="76" t="s">
        <v>7115</v>
      </c>
    </row>
    <row r="2441" spans="1:6" ht="63.95" customHeight="1">
      <c r="A2441" s="76" t="s">
        <v>1853</v>
      </c>
      <c r="B2441" s="76" t="s">
        <v>7403</v>
      </c>
      <c r="C2441" s="76" t="s">
        <v>7192</v>
      </c>
      <c r="D2441" s="76" t="s">
        <v>7113</v>
      </c>
      <c r="E2441" s="76" t="s">
        <v>7114</v>
      </c>
      <c r="F2441" s="76" t="s">
        <v>7115</v>
      </c>
    </row>
    <row r="2442" spans="1:6" ht="63.95" customHeight="1">
      <c r="A2442" s="76" t="s">
        <v>1853</v>
      </c>
      <c r="B2442" s="76" t="s">
        <v>7404</v>
      </c>
      <c r="C2442" s="76" t="s">
        <v>7194</v>
      </c>
      <c r="D2442" s="76" t="s">
        <v>7122</v>
      </c>
      <c r="E2442" s="76" t="s">
        <v>7119</v>
      </c>
      <c r="F2442" s="76" t="s">
        <v>7115</v>
      </c>
    </row>
    <row r="2443" spans="1:6" ht="63.95" customHeight="1">
      <c r="A2443" s="76" t="s">
        <v>1853</v>
      </c>
      <c r="B2443" s="76" t="s">
        <v>7405</v>
      </c>
      <c r="C2443" s="76" t="s">
        <v>7121</v>
      </c>
      <c r="D2443" s="76" t="s">
        <v>7122</v>
      </c>
      <c r="E2443" s="76" t="s">
        <v>7123</v>
      </c>
      <c r="F2443" s="76" t="s">
        <v>7115</v>
      </c>
    </row>
    <row r="2444" spans="1:6" ht="63.95" customHeight="1">
      <c r="A2444" s="76" t="s">
        <v>1853</v>
      </c>
      <c r="B2444" s="76" t="s">
        <v>7406</v>
      </c>
      <c r="C2444" s="76" t="s">
        <v>7192</v>
      </c>
      <c r="D2444" s="76" t="s">
        <v>7113</v>
      </c>
      <c r="E2444" s="76" t="s">
        <v>7114</v>
      </c>
      <c r="F2444" s="76" t="s">
        <v>7115</v>
      </c>
    </row>
    <row r="2445" spans="1:6" ht="63.95" customHeight="1">
      <c r="A2445" s="76" t="s">
        <v>1853</v>
      </c>
      <c r="B2445" s="76" t="s">
        <v>7407</v>
      </c>
      <c r="C2445" s="76" t="s">
        <v>7194</v>
      </c>
      <c r="D2445" s="76" t="s">
        <v>7122</v>
      </c>
      <c r="E2445" s="76" t="s">
        <v>7119</v>
      </c>
      <c r="F2445" s="76" t="s">
        <v>7115</v>
      </c>
    </row>
    <row r="2446" spans="1:6" ht="63.95" customHeight="1">
      <c r="A2446" s="76" t="s">
        <v>1853</v>
      </c>
      <c r="B2446" s="76" t="s">
        <v>7408</v>
      </c>
      <c r="C2446" s="76" t="s">
        <v>7121</v>
      </c>
      <c r="D2446" s="76" t="s">
        <v>7122</v>
      </c>
      <c r="E2446" s="76" t="s">
        <v>7123</v>
      </c>
      <c r="F2446" s="76" t="s">
        <v>7115</v>
      </c>
    </row>
    <row r="2447" spans="1:6" ht="63.95" customHeight="1">
      <c r="A2447" s="76" t="s">
        <v>1853</v>
      </c>
      <c r="B2447" s="76" t="s">
        <v>7409</v>
      </c>
      <c r="C2447" s="76" t="s">
        <v>7192</v>
      </c>
      <c r="D2447" s="76" t="s">
        <v>7113</v>
      </c>
      <c r="E2447" s="76" t="s">
        <v>7114</v>
      </c>
      <c r="F2447" s="76" t="s">
        <v>7115</v>
      </c>
    </row>
    <row r="2448" spans="1:6" ht="63.95" customHeight="1">
      <c r="A2448" s="76" t="s">
        <v>1853</v>
      </c>
      <c r="B2448" s="76" t="s">
        <v>7410</v>
      </c>
      <c r="C2448" s="76" t="s">
        <v>7194</v>
      </c>
      <c r="D2448" s="76" t="s">
        <v>7122</v>
      </c>
      <c r="E2448" s="76" t="s">
        <v>7119</v>
      </c>
      <c r="F2448" s="76" t="s">
        <v>7115</v>
      </c>
    </row>
    <row r="2449" spans="1:6" ht="63.95" customHeight="1">
      <c r="A2449" s="76" t="s">
        <v>1853</v>
      </c>
      <c r="B2449" s="76" t="s">
        <v>7411</v>
      </c>
      <c r="C2449" s="76" t="s">
        <v>7121</v>
      </c>
      <c r="D2449" s="76" t="s">
        <v>7122</v>
      </c>
      <c r="E2449" s="76" t="s">
        <v>7123</v>
      </c>
      <c r="F2449" s="76" t="s">
        <v>7115</v>
      </c>
    </row>
    <row r="2450" spans="1:6" ht="63.95" customHeight="1">
      <c r="A2450" s="76" t="s">
        <v>1853</v>
      </c>
      <c r="B2450" s="76" t="s">
        <v>7412</v>
      </c>
      <c r="C2450" s="76" t="s">
        <v>7192</v>
      </c>
      <c r="D2450" s="76" t="s">
        <v>7113</v>
      </c>
      <c r="E2450" s="76" t="s">
        <v>7114</v>
      </c>
      <c r="F2450" s="76" t="s">
        <v>7115</v>
      </c>
    </row>
    <row r="2451" spans="1:6" ht="63.95" customHeight="1">
      <c r="A2451" s="76" t="s">
        <v>1853</v>
      </c>
      <c r="B2451" s="76" t="s">
        <v>7413</v>
      </c>
      <c r="C2451" s="76" t="s">
        <v>7194</v>
      </c>
      <c r="D2451" s="76" t="s">
        <v>7122</v>
      </c>
      <c r="E2451" s="76" t="s">
        <v>7119</v>
      </c>
      <c r="F2451" s="76" t="s">
        <v>7115</v>
      </c>
    </row>
    <row r="2452" spans="1:6" ht="63.95" customHeight="1">
      <c r="A2452" s="76" t="s">
        <v>1853</v>
      </c>
      <c r="B2452" s="76" t="s">
        <v>7414</v>
      </c>
      <c r="C2452" s="76" t="s">
        <v>7121</v>
      </c>
      <c r="D2452" s="76" t="s">
        <v>7122</v>
      </c>
      <c r="E2452" s="76" t="s">
        <v>7123</v>
      </c>
      <c r="F2452" s="76" t="s">
        <v>7115</v>
      </c>
    </row>
    <row r="2453" spans="1:6" ht="63.95" customHeight="1">
      <c r="A2453" s="76" t="s">
        <v>1853</v>
      </c>
      <c r="B2453" s="76" t="s">
        <v>7415</v>
      </c>
      <c r="C2453" s="76" t="s">
        <v>7192</v>
      </c>
      <c r="D2453" s="76" t="s">
        <v>7113</v>
      </c>
      <c r="E2453" s="76" t="s">
        <v>7114</v>
      </c>
      <c r="F2453" s="76" t="s">
        <v>7115</v>
      </c>
    </row>
    <row r="2454" spans="1:6" ht="63.95" customHeight="1">
      <c r="A2454" s="76" t="s">
        <v>1853</v>
      </c>
      <c r="B2454" s="76" t="s">
        <v>7416</v>
      </c>
      <c r="C2454" s="76" t="s">
        <v>7194</v>
      </c>
      <c r="D2454" s="76" t="s">
        <v>7122</v>
      </c>
      <c r="E2454" s="76" t="s">
        <v>7119</v>
      </c>
      <c r="F2454" s="76" t="s">
        <v>7115</v>
      </c>
    </row>
    <row r="2455" spans="1:6" ht="63.95" customHeight="1">
      <c r="A2455" s="76" t="s">
        <v>1853</v>
      </c>
      <c r="B2455" s="76" t="s">
        <v>7417</v>
      </c>
      <c r="C2455" s="76" t="s">
        <v>7121</v>
      </c>
      <c r="D2455" s="76" t="s">
        <v>7122</v>
      </c>
      <c r="E2455" s="76" t="s">
        <v>7123</v>
      </c>
      <c r="F2455" s="76" t="s">
        <v>7115</v>
      </c>
    </row>
    <row r="2456" spans="1:6" ht="63.95" customHeight="1">
      <c r="A2456" s="76" t="s">
        <v>1853</v>
      </c>
      <c r="B2456" s="76" t="s">
        <v>7418</v>
      </c>
      <c r="C2456" s="76" t="s">
        <v>7192</v>
      </c>
      <c r="D2456" s="76" t="s">
        <v>7113</v>
      </c>
      <c r="E2456" s="76" t="s">
        <v>7114</v>
      </c>
      <c r="F2456" s="76" t="s">
        <v>7115</v>
      </c>
    </row>
    <row r="2457" spans="1:6" ht="63.95" customHeight="1">
      <c r="A2457" s="76" t="s">
        <v>1853</v>
      </c>
      <c r="B2457" s="76" t="s">
        <v>7419</v>
      </c>
      <c r="C2457" s="76" t="s">
        <v>7194</v>
      </c>
      <c r="D2457" s="76" t="s">
        <v>7122</v>
      </c>
      <c r="E2457" s="76" t="s">
        <v>7119</v>
      </c>
      <c r="F2457" s="76" t="s">
        <v>7115</v>
      </c>
    </row>
    <row r="2458" spans="1:6" ht="63.95" customHeight="1">
      <c r="A2458" s="76" t="s">
        <v>1853</v>
      </c>
      <c r="B2458" s="76" t="s">
        <v>7420</v>
      </c>
      <c r="C2458" s="76" t="s">
        <v>7121</v>
      </c>
      <c r="D2458" s="76" t="s">
        <v>7122</v>
      </c>
      <c r="E2458" s="76" t="s">
        <v>7123</v>
      </c>
      <c r="F2458" s="76" t="s">
        <v>7115</v>
      </c>
    </row>
    <row r="2459" spans="1:6" ht="63.95" customHeight="1">
      <c r="A2459" s="76" t="s">
        <v>1853</v>
      </c>
      <c r="B2459" s="76" t="s">
        <v>7421</v>
      </c>
      <c r="C2459" s="76" t="s">
        <v>7192</v>
      </c>
      <c r="D2459" s="76" t="s">
        <v>7113</v>
      </c>
      <c r="E2459" s="76" t="s">
        <v>7114</v>
      </c>
      <c r="F2459" s="76" t="s">
        <v>7115</v>
      </c>
    </row>
    <row r="2460" spans="1:6" ht="63.95" customHeight="1">
      <c r="A2460" s="76" t="s">
        <v>1853</v>
      </c>
      <c r="B2460" s="76" t="s">
        <v>7422</v>
      </c>
      <c r="C2460" s="76" t="s">
        <v>7194</v>
      </c>
      <c r="D2460" s="76" t="s">
        <v>7122</v>
      </c>
      <c r="E2460" s="76" t="s">
        <v>7119</v>
      </c>
      <c r="F2460" s="76" t="s">
        <v>7115</v>
      </c>
    </row>
    <row r="2461" spans="1:6" ht="63.95" customHeight="1">
      <c r="A2461" s="76" t="s">
        <v>1853</v>
      </c>
      <c r="B2461" s="76" t="s">
        <v>7423</v>
      </c>
      <c r="C2461" s="76" t="s">
        <v>7121</v>
      </c>
      <c r="D2461" s="76" t="s">
        <v>7122</v>
      </c>
      <c r="E2461" s="76" t="s">
        <v>7123</v>
      </c>
      <c r="F2461" s="76" t="s">
        <v>7115</v>
      </c>
    </row>
    <row r="2462" spans="1:6" ht="63.95" customHeight="1">
      <c r="A2462" s="76" t="s">
        <v>1853</v>
      </c>
      <c r="B2462" s="76" t="s">
        <v>7424</v>
      </c>
      <c r="C2462" s="76" t="s">
        <v>7192</v>
      </c>
      <c r="D2462" s="76" t="s">
        <v>7113</v>
      </c>
      <c r="E2462" s="76" t="s">
        <v>7114</v>
      </c>
      <c r="F2462" s="76" t="s">
        <v>7115</v>
      </c>
    </row>
    <row r="2463" spans="1:6" ht="63.95" customHeight="1">
      <c r="A2463" s="76" t="s">
        <v>1853</v>
      </c>
      <c r="B2463" s="76" t="s">
        <v>7425</v>
      </c>
      <c r="C2463" s="76" t="s">
        <v>7194</v>
      </c>
      <c r="D2463" s="76" t="s">
        <v>7122</v>
      </c>
      <c r="E2463" s="76" t="s">
        <v>7119</v>
      </c>
      <c r="F2463" s="76" t="s">
        <v>7115</v>
      </c>
    </row>
    <row r="2464" spans="1:6" ht="63.95" customHeight="1">
      <c r="A2464" s="76" t="s">
        <v>1853</v>
      </c>
      <c r="B2464" s="76" t="s">
        <v>7426</v>
      </c>
      <c r="C2464" s="76" t="s">
        <v>7121</v>
      </c>
      <c r="D2464" s="76" t="s">
        <v>7122</v>
      </c>
      <c r="E2464" s="76" t="s">
        <v>7123</v>
      </c>
      <c r="F2464" s="76" t="s">
        <v>7115</v>
      </c>
    </row>
    <row r="2465" spans="1:6" ht="63.95" customHeight="1">
      <c r="A2465" s="76" t="s">
        <v>1853</v>
      </c>
      <c r="B2465" s="76" t="s">
        <v>7427</v>
      </c>
      <c r="C2465" s="76" t="s">
        <v>7192</v>
      </c>
      <c r="D2465" s="76" t="s">
        <v>7113</v>
      </c>
      <c r="E2465" s="76" t="s">
        <v>7114</v>
      </c>
      <c r="F2465" s="76" t="s">
        <v>7115</v>
      </c>
    </row>
    <row r="2466" spans="1:6" ht="63.95" customHeight="1">
      <c r="A2466" s="76" t="s">
        <v>1853</v>
      </c>
      <c r="B2466" s="76" t="s">
        <v>7428</v>
      </c>
      <c r="C2466" s="76" t="s">
        <v>7194</v>
      </c>
      <c r="D2466" s="76" t="s">
        <v>7122</v>
      </c>
      <c r="E2466" s="76" t="s">
        <v>7119</v>
      </c>
      <c r="F2466" s="76" t="s">
        <v>7115</v>
      </c>
    </row>
    <row r="2467" spans="1:6" ht="63.95" customHeight="1">
      <c r="A2467" s="76" t="s">
        <v>1853</v>
      </c>
      <c r="B2467" s="76" t="s">
        <v>7429</v>
      </c>
      <c r="C2467" s="76" t="s">
        <v>7121</v>
      </c>
      <c r="D2467" s="76" t="s">
        <v>7122</v>
      </c>
      <c r="E2467" s="76" t="s">
        <v>7123</v>
      </c>
      <c r="F2467" s="76" t="s">
        <v>7115</v>
      </c>
    </row>
    <row r="2468" spans="1:6" ht="63.95" customHeight="1">
      <c r="A2468" s="76" t="s">
        <v>1853</v>
      </c>
      <c r="B2468" s="76" t="s">
        <v>7430</v>
      </c>
      <c r="C2468" s="76" t="s">
        <v>7192</v>
      </c>
      <c r="D2468" s="76" t="s">
        <v>7113</v>
      </c>
      <c r="E2468" s="76" t="s">
        <v>7114</v>
      </c>
      <c r="F2468" s="76" t="s">
        <v>7115</v>
      </c>
    </row>
    <row r="2469" spans="1:6" ht="63.95" customHeight="1">
      <c r="A2469" s="76" t="s">
        <v>1853</v>
      </c>
      <c r="B2469" s="76" t="s">
        <v>7431</v>
      </c>
      <c r="C2469" s="76" t="s">
        <v>7194</v>
      </c>
      <c r="D2469" s="76" t="s">
        <v>7122</v>
      </c>
      <c r="E2469" s="76" t="s">
        <v>7119</v>
      </c>
      <c r="F2469" s="76" t="s">
        <v>7115</v>
      </c>
    </row>
    <row r="2470" spans="1:6" ht="63.95" customHeight="1">
      <c r="A2470" s="76" t="s">
        <v>1853</v>
      </c>
      <c r="B2470" s="76" t="s">
        <v>7432</v>
      </c>
      <c r="C2470" s="76" t="s">
        <v>7121</v>
      </c>
      <c r="D2470" s="76" t="s">
        <v>7122</v>
      </c>
      <c r="E2470" s="76" t="s">
        <v>7123</v>
      </c>
      <c r="F2470" s="76" t="s">
        <v>7115</v>
      </c>
    </row>
    <row r="2471" spans="1:6" ht="63.95" customHeight="1">
      <c r="A2471" s="76" t="s">
        <v>1853</v>
      </c>
      <c r="B2471" s="76" t="s">
        <v>7433</v>
      </c>
      <c r="C2471" s="76" t="s">
        <v>7192</v>
      </c>
      <c r="D2471" s="76" t="s">
        <v>7113</v>
      </c>
      <c r="E2471" s="76" t="s">
        <v>7114</v>
      </c>
      <c r="F2471" s="76" t="s">
        <v>7115</v>
      </c>
    </row>
    <row r="2472" spans="1:6" ht="63.95" customHeight="1">
      <c r="A2472" s="76" t="s">
        <v>1853</v>
      </c>
      <c r="B2472" s="76" t="s">
        <v>7434</v>
      </c>
      <c r="C2472" s="76" t="s">
        <v>7194</v>
      </c>
      <c r="D2472" s="76" t="s">
        <v>7122</v>
      </c>
      <c r="E2472" s="76" t="s">
        <v>7119</v>
      </c>
      <c r="F2472" s="76" t="s">
        <v>7115</v>
      </c>
    </row>
    <row r="2473" spans="1:6" ht="63.95" customHeight="1">
      <c r="A2473" s="76" t="s">
        <v>1853</v>
      </c>
      <c r="B2473" s="76" t="s">
        <v>7435</v>
      </c>
      <c r="C2473" s="76" t="s">
        <v>7121</v>
      </c>
      <c r="D2473" s="76" t="s">
        <v>7122</v>
      </c>
      <c r="E2473" s="76" t="s">
        <v>7123</v>
      </c>
      <c r="F2473" s="76" t="s">
        <v>7115</v>
      </c>
    </row>
    <row r="2474" spans="1:6" ht="63.95" customHeight="1">
      <c r="A2474" s="76" t="s">
        <v>1853</v>
      </c>
      <c r="B2474" s="76" t="s">
        <v>7436</v>
      </c>
      <c r="C2474" s="76" t="s">
        <v>7192</v>
      </c>
      <c r="D2474" s="76" t="s">
        <v>7113</v>
      </c>
      <c r="E2474" s="76" t="s">
        <v>7114</v>
      </c>
      <c r="F2474" s="76" t="s">
        <v>7115</v>
      </c>
    </row>
    <row r="2475" spans="1:6" ht="63.95" customHeight="1">
      <c r="A2475" s="76" t="s">
        <v>1853</v>
      </c>
      <c r="B2475" s="76" t="s">
        <v>7437</v>
      </c>
      <c r="C2475" s="76" t="s">
        <v>7194</v>
      </c>
      <c r="D2475" s="76" t="s">
        <v>7122</v>
      </c>
      <c r="E2475" s="76" t="s">
        <v>7119</v>
      </c>
      <c r="F2475" s="76" t="s">
        <v>7115</v>
      </c>
    </row>
    <row r="2476" spans="1:6" ht="63.95" customHeight="1">
      <c r="A2476" s="76" t="s">
        <v>1853</v>
      </c>
      <c r="B2476" s="76" t="s">
        <v>7438</v>
      </c>
      <c r="C2476" s="76" t="s">
        <v>7121</v>
      </c>
      <c r="D2476" s="76" t="s">
        <v>7122</v>
      </c>
      <c r="E2476" s="76" t="s">
        <v>7123</v>
      </c>
      <c r="F2476" s="76" t="s">
        <v>7115</v>
      </c>
    </row>
    <row r="2477" spans="1:6" ht="63.95" customHeight="1">
      <c r="A2477" s="76" t="s">
        <v>1853</v>
      </c>
      <c r="B2477" s="76" t="s">
        <v>7439</v>
      </c>
      <c r="C2477" s="76" t="s">
        <v>7192</v>
      </c>
      <c r="D2477" s="76" t="s">
        <v>7113</v>
      </c>
      <c r="E2477" s="76" t="s">
        <v>7114</v>
      </c>
      <c r="F2477" s="76" t="s">
        <v>7115</v>
      </c>
    </row>
    <row r="2478" spans="1:6" ht="63.95" customHeight="1">
      <c r="A2478" s="76" t="s">
        <v>1853</v>
      </c>
      <c r="B2478" s="76" t="s">
        <v>7440</v>
      </c>
      <c r="C2478" s="76" t="s">
        <v>7194</v>
      </c>
      <c r="D2478" s="76" t="s">
        <v>7122</v>
      </c>
      <c r="E2478" s="76" t="s">
        <v>7119</v>
      </c>
      <c r="F2478" s="76" t="s">
        <v>7115</v>
      </c>
    </row>
    <row r="2479" spans="1:6" ht="63.95" customHeight="1">
      <c r="A2479" s="76" t="s">
        <v>1853</v>
      </c>
      <c r="B2479" s="76" t="s">
        <v>7441</v>
      </c>
      <c r="C2479" s="76" t="s">
        <v>7121</v>
      </c>
      <c r="D2479" s="76" t="s">
        <v>7122</v>
      </c>
      <c r="E2479" s="76" t="s">
        <v>7123</v>
      </c>
      <c r="F2479" s="76" t="s">
        <v>7115</v>
      </c>
    </row>
    <row r="2480" spans="1:6" ht="63.95" customHeight="1">
      <c r="A2480" s="76" t="s">
        <v>1853</v>
      </c>
      <c r="B2480" s="76" t="s">
        <v>7442</v>
      </c>
      <c r="C2480" s="76" t="s">
        <v>7192</v>
      </c>
      <c r="D2480" s="76" t="s">
        <v>7113</v>
      </c>
      <c r="E2480" s="76" t="s">
        <v>7114</v>
      </c>
      <c r="F2480" s="76" t="s">
        <v>7115</v>
      </c>
    </row>
    <row r="2481" spans="1:6" ht="63.95" customHeight="1">
      <c r="A2481" s="76" t="s">
        <v>1853</v>
      </c>
      <c r="B2481" s="76" t="s">
        <v>7443</v>
      </c>
      <c r="C2481" s="76" t="s">
        <v>7194</v>
      </c>
      <c r="D2481" s="76" t="s">
        <v>7122</v>
      </c>
      <c r="E2481" s="76" t="s">
        <v>7119</v>
      </c>
      <c r="F2481" s="76" t="s">
        <v>7115</v>
      </c>
    </row>
    <row r="2482" spans="1:6" ht="63.95" customHeight="1">
      <c r="A2482" s="76" t="s">
        <v>1853</v>
      </c>
      <c r="B2482" s="76" t="s">
        <v>7444</v>
      </c>
      <c r="C2482" s="76" t="s">
        <v>7121</v>
      </c>
      <c r="D2482" s="76" t="s">
        <v>7122</v>
      </c>
      <c r="E2482" s="76" t="s">
        <v>7123</v>
      </c>
      <c r="F2482" s="76" t="s">
        <v>7115</v>
      </c>
    </row>
    <row r="2483" spans="1:6" ht="63.95" customHeight="1">
      <c r="A2483" s="76" t="s">
        <v>1853</v>
      </c>
      <c r="B2483" s="76" t="s">
        <v>7445</v>
      </c>
      <c r="C2483" s="76" t="s">
        <v>7192</v>
      </c>
      <c r="D2483" s="76" t="s">
        <v>7113</v>
      </c>
      <c r="E2483" s="76" t="s">
        <v>7114</v>
      </c>
      <c r="F2483" s="76" t="s">
        <v>7115</v>
      </c>
    </row>
    <row r="2484" spans="1:6" ht="63.95" customHeight="1">
      <c r="A2484" s="76" t="s">
        <v>1853</v>
      </c>
      <c r="B2484" s="76" t="s">
        <v>7446</v>
      </c>
      <c r="C2484" s="76" t="s">
        <v>7194</v>
      </c>
      <c r="D2484" s="76" t="s">
        <v>7122</v>
      </c>
      <c r="E2484" s="76" t="s">
        <v>7119</v>
      </c>
      <c r="F2484" s="76" t="s">
        <v>7115</v>
      </c>
    </row>
    <row r="2485" spans="1:6" ht="63.95" customHeight="1">
      <c r="A2485" s="76" t="s">
        <v>1853</v>
      </c>
      <c r="B2485" s="76" t="s">
        <v>7447</v>
      </c>
      <c r="C2485" s="76" t="s">
        <v>7121</v>
      </c>
      <c r="D2485" s="76" t="s">
        <v>7122</v>
      </c>
      <c r="E2485" s="76" t="s">
        <v>7123</v>
      </c>
      <c r="F2485" s="76" t="s">
        <v>7115</v>
      </c>
    </row>
    <row r="2486" spans="1:6" ht="63.95" customHeight="1">
      <c r="A2486" s="76" t="s">
        <v>1853</v>
      </c>
      <c r="B2486" s="76" t="s">
        <v>7448</v>
      </c>
      <c r="C2486" s="76" t="s">
        <v>7192</v>
      </c>
      <c r="D2486" s="76" t="s">
        <v>7113</v>
      </c>
      <c r="E2486" s="76" t="s">
        <v>7114</v>
      </c>
      <c r="F2486" s="76" t="s">
        <v>7115</v>
      </c>
    </row>
    <row r="2487" spans="1:6" ht="63.95" customHeight="1">
      <c r="A2487" s="76" t="s">
        <v>1853</v>
      </c>
      <c r="B2487" s="76" t="s">
        <v>7449</v>
      </c>
      <c r="C2487" s="76" t="s">
        <v>7194</v>
      </c>
      <c r="D2487" s="76" t="s">
        <v>7122</v>
      </c>
      <c r="E2487" s="76" t="s">
        <v>7119</v>
      </c>
      <c r="F2487" s="76" t="s">
        <v>7115</v>
      </c>
    </row>
    <row r="2488" spans="1:6" ht="63.95" customHeight="1">
      <c r="A2488" s="76" t="s">
        <v>1853</v>
      </c>
      <c r="B2488" s="76" t="s">
        <v>7450</v>
      </c>
      <c r="C2488" s="76" t="s">
        <v>7121</v>
      </c>
      <c r="D2488" s="76" t="s">
        <v>7122</v>
      </c>
      <c r="E2488" s="76" t="s">
        <v>7123</v>
      </c>
      <c r="F2488" s="76" t="s">
        <v>7115</v>
      </c>
    </row>
    <row r="2489" spans="1:6" ht="63.95" customHeight="1">
      <c r="A2489" s="76" t="s">
        <v>1853</v>
      </c>
      <c r="B2489" s="76" t="s">
        <v>7451</v>
      </c>
      <c r="C2489" s="76" t="s">
        <v>7192</v>
      </c>
      <c r="D2489" s="76" t="s">
        <v>7113</v>
      </c>
      <c r="E2489" s="76" t="s">
        <v>7114</v>
      </c>
      <c r="F2489" s="76" t="s">
        <v>7115</v>
      </c>
    </row>
    <row r="2490" spans="1:6" ht="63.95" customHeight="1">
      <c r="A2490" s="76" t="s">
        <v>1853</v>
      </c>
      <c r="B2490" s="76" t="s">
        <v>7452</v>
      </c>
      <c r="C2490" s="76" t="s">
        <v>7194</v>
      </c>
      <c r="D2490" s="76" t="s">
        <v>7122</v>
      </c>
      <c r="E2490" s="76" t="s">
        <v>7119</v>
      </c>
      <c r="F2490" s="76" t="s">
        <v>7115</v>
      </c>
    </row>
    <row r="2491" spans="1:6" ht="63.95" customHeight="1">
      <c r="A2491" s="76" t="s">
        <v>1853</v>
      </c>
      <c r="B2491" s="76" t="s">
        <v>7453</v>
      </c>
      <c r="C2491" s="76" t="s">
        <v>7121</v>
      </c>
      <c r="D2491" s="76" t="s">
        <v>7122</v>
      </c>
      <c r="E2491" s="76" t="s">
        <v>7123</v>
      </c>
      <c r="F2491" s="76" t="s">
        <v>7115</v>
      </c>
    </row>
    <row r="2492" spans="1:6" ht="63.95" customHeight="1">
      <c r="A2492" s="76" t="s">
        <v>1853</v>
      </c>
      <c r="B2492" s="76" t="s">
        <v>7454</v>
      </c>
      <c r="C2492" s="76" t="s">
        <v>7192</v>
      </c>
      <c r="D2492" s="76" t="s">
        <v>7113</v>
      </c>
      <c r="E2492" s="76" t="s">
        <v>7114</v>
      </c>
      <c r="F2492" s="76" t="s">
        <v>7115</v>
      </c>
    </row>
    <row r="2493" spans="1:6" ht="63.95" customHeight="1">
      <c r="A2493" s="76" t="s">
        <v>1853</v>
      </c>
      <c r="B2493" s="76" t="s">
        <v>7455</v>
      </c>
      <c r="C2493" s="76" t="s">
        <v>7194</v>
      </c>
      <c r="D2493" s="76" t="s">
        <v>7122</v>
      </c>
      <c r="E2493" s="76" t="s">
        <v>7119</v>
      </c>
      <c r="F2493" s="76" t="s">
        <v>7115</v>
      </c>
    </row>
    <row r="2494" spans="1:6" ht="63.95" customHeight="1">
      <c r="A2494" s="76" t="s">
        <v>1853</v>
      </c>
      <c r="B2494" s="76" t="s">
        <v>7456</v>
      </c>
      <c r="C2494" s="76" t="s">
        <v>7121</v>
      </c>
      <c r="D2494" s="76" t="s">
        <v>7122</v>
      </c>
      <c r="E2494" s="76" t="s">
        <v>7123</v>
      </c>
      <c r="F2494" s="76" t="s">
        <v>7115</v>
      </c>
    </row>
    <row r="2495" spans="1:6" ht="63.95" customHeight="1">
      <c r="A2495" s="76" t="s">
        <v>1853</v>
      </c>
      <c r="B2495" s="76" t="s">
        <v>7457</v>
      </c>
      <c r="C2495" s="76" t="s">
        <v>7192</v>
      </c>
      <c r="D2495" s="76" t="s">
        <v>7113</v>
      </c>
      <c r="E2495" s="76" t="s">
        <v>7114</v>
      </c>
      <c r="F2495" s="76" t="s">
        <v>7115</v>
      </c>
    </row>
    <row r="2496" spans="1:6" ht="63.95" customHeight="1">
      <c r="A2496" s="76" t="s">
        <v>1853</v>
      </c>
      <c r="B2496" s="76" t="s">
        <v>7458</v>
      </c>
      <c r="C2496" s="76" t="s">
        <v>7194</v>
      </c>
      <c r="D2496" s="76" t="s">
        <v>7122</v>
      </c>
      <c r="E2496" s="76" t="s">
        <v>7119</v>
      </c>
      <c r="F2496" s="76" t="s">
        <v>7115</v>
      </c>
    </row>
    <row r="2497" spans="1:6" ht="63.95" customHeight="1">
      <c r="A2497" s="76" t="s">
        <v>1853</v>
      </c>
      <c r="B2497" s="76" t="s">
        <v>7459</v>
      </c>
      <c r="C2497" s="76" t="s">
        <v>7121</v>
      </c>
      <c r="D2497" s="76" t="s">
        <v>7122</v>
      </c>
      <c r="E2497" s="76" t="s">
        <v>7123</v>
      </c>
      <c r="F2497" s="76" t="s">
        <v>7115</v>
      </c>
    </row>
    <row r="2498" spans="1:6" ht="63.95" customHeight="1">
      <c r="A2498" s="76" t="s">
        <v>1853</v>
      </c>
      <c r="B2498" s="76" t="s">
        <v>7460</v>
      </c>
      <c r="C2498" s="76" t="s">
        <v>7192</v>
      </c>
      <c r="D2498" s="76" t="s">
        <v>7113</v>
      </c>
      <c r="E2498" s="76" t="s">
        <v>7114</v>
      </c>
      <c r="F2498" s="76" t="s">
        <v>7115</v>
      </c>
    </row>
    <row r="2499" spans="1:6" ht="63.95" customHeight="1">
      <c r="A2499" s="76" t="s">
        <v>1853</v>
      </c>
      <c r="B2499" s="76" t="s">
        <v>7461</v>
      </c>
      <c r="C2499" s="76" t="s">
        <v>7194</v>
      </c>
      <c r="D2499" s="76" t="s">
        <v>7122</v>
      </c>
      <c r="E2499" s="76" t="s">
        <v>7119</v>
      </c>
      <c r="F2499" s="76" t="s">
        <v>7115</v>
      </c>
    </row>
    <row r="2500" spans="1:6" ht="63.95" customHeight="1">
      <c r="A2500" s="76" t="s">
        <v>1853</v>
      </c>
      <c r="B2500" s="76" t="s">
        <v>7462</v>
      </c>
      <c r="C2500" s="76" t="s">
        <v>7121</v>
      </c>
      <c r="D2500" s="76" t="s">
        <v>7122</v>
      </c>
      <c r="E2500" s="76" t="s">
        <v>7123</v>
      </c>
      <c r="F2500" s="76" t="s">
        <v>7115</v>
      </c>
    </row>
    <row r="2501" spans="1:6" ht="63.95" customHeight="1">
      <c r="A2501" s="76" t="s">
        <v>1853</v>
      </c>
      <c r="B2501" s="76" t="s">
        <v>7463</v>
      </c>
      <c r="C2501" s="76" t="s">
        <v>7192</v>
      </c>
      <c r="D2501" s="76" t="s">
        <v>7113</v>
      </c>
      <c r="E2501" s="76" t="s">
        <v>7114</v>
      </c>
      <c r="F2501" s="76" t="s">
        <v>7115</v>
      </c>
    </row>
    <row r="2502" spans="1:6" ht="63.95" customHeight="1">
      <c r="A2502" s="76" t="s">
        <v>1853</v>
      </c>
      <c r="B2502" s="76" t="s">
        <v>7464</v>
      </c>
      <c r="C2502" s="76" t="s">
        <v>7194</v>
      </c>
      <c r="D2502" s="76" t="s">
        <v>7122</v>
      </c>
      <c r="E2502" s="76" t="s">
        <v>7119</v>
      </c>
      <c r="F2502" s="76" t="s">
        <v>7115</v>
      </c>
    </row>
    <row r="2503" spans="1:6" ht="63.95" customHeight="1">
      <c r="A2503" s="76" t="s">
        <v>1853</v>
      </c>
      <c r="B2503" s="76" t="s">
        <v>7465</v>
      </c>
      <c r="C2503" s="76" t="s">
        <v>7121</v>
      </c>
      <c r="D2503" s="76" t="s">
        <v>7122</v>
      </c>
      <c r="E2503" s="76" t="s">
        <v>7123</v>
      </c>
      <c r="F2503" s="76" t="s">
        <v>7115</v>
      </c>
    </row>
    <row r="2504" spans="1:6" ht="63.95" customHeight="1">
      <c r="A2504" s="76" t="s">
        <v>1853</v>
      </c>
      <c r="B2504" s="76" t="s">
        <v>7466</v>
      </c>
      <c r="C2504" s="76" t="s">
        <v>7192</v>
      </c>
      <c r="D2504" s="76" t="s">
        <v>7113</v>
      </c>
      <c r="E2504" s="76" t="s">
        <v>7114</v>
      </c>
      <c r="F2504" s="76" t="s">
        <v>7115</v>
      </c>
    </row>
    <row r="2505" spans="1:6" ht="63.95" customHeight="1">
      <c r="A2505" s="76" t="s">
        <v>1853</v>
      </c>
      <c r="B2505" s="76" t="s">
        <v>7467</v>
      </c>
      <c r="C2505" s="76" t="s">
        <v>7194</v>
      </c>
      <c r="D2505" s="76" t="s">
        <v>7122</v>
      </c>
      <c r="E2505" s="76" t="s">
        <v>7119</v>
      </c>
      <c r="F2505" s="76" t="s">
        <v>7115</v>
      </c>
    </row>
    <row r="2506" spans="1:6" ht="63.95" customHeight="1">
      <c r="A2506" s="76" t="s">
        <v>1853</v>
      </c>
      <c r="B2506" s="76" t="s">
        <v>7468</v>
      </c>
      <c r="C2506" s="76" t="s">
        <v>7121</v>
      </c>
      <c r="D2506" s="76" t="s">
        <v>7122</v>
      </c>
      <c r="E2506" s="76" t="s">
        <v>7123</v>
      </c>
      <c r="F2506" s="76" t="s">
        <v>7115</v>
      </c>
    </row>
    <row r="2507" spans="1:6" ht="63.95" customHeight="1">
      <c r="A2507" s="76" t="s">
        <v>1853</v>
      </c>
      <c r="B2507" s="76" t="s">
        <v>7469</v>
      </c>
      <c r="C2507" s="76" t="s">
        <v>7192</v>
      </c>
      <c r="D2507" s="76" t="s">
        <v>7113</v>
      </c>
      <c r="E2507" s="76" t="s">
        <v>7114</v>
      </c>
      <c r="F2507" s="76" t="s">
        <v>7115</v>
      </c>
    </row>
    <row r="2508" spans="1:6" ht="63.95" customHeight="1">
      <c r="A2508" s="76" t="s">
        <v>1853</v>
      </c>
      <c r="B2508" s="76" t="s">
        <v>7470</v>
      </c>
      <c r="C2508" s="76" t="s">
        <v>7194</v>
      </c>
      <c r="D2508" s="76" t="s">
        <v>7122</v>
      </c>
      <c r="E2508" s="76" t="s">
        <v>7119</v>
      </c>
      <c r="F2508" s="76" t="s">
        <v>7115</v>
      </c>
    </row>
    <row r="2509" spans="1:6" ht="63.95" customHeight="1">
      <c r="A2509" s="76" t="s">
        <v>1853</v>
      </c>
      <c r="B2509" s="76" t="s">
        <v>7471</v>
      </c>
      <c r="C2509" s="76" t="s">
        <v>7121</v>
      </c>
      <c r="D2509" s="76" t="s">
        <v>7122</v>
      </c>
      <c r="E2509" s="76" t="s">
        <v>7123</v>
      </c>
      <c r="F2509" s="76" t="s">
        <v>7115</v>
      </c>
    </row>
    <row r="2510" spans="1:6" ht="63.95" customHeight="1">
      <c r="A2510" s="76" t="s">
        <v>1853</v>
      </c>
      <c r="B2510" s="76" t="s">
        <v>7472</v>
      </c>
      <c r="C2510" s="76" t="s">
        <v>7192</v>
      </c>
      <c r="D2510" s="76" t="s">
        <v>7113</v>
      </c>
      <c r="E2510" s="76" t="s">
        <v>7114</v>
      </c>
      <c r="F2510" s="76" t="s">
        <v>7115</v>
      </c>
    </row>
    <row r="2511" spans="1:6" ht="63.95" customHeight="1">
      <c r="A2511" s="76" t="s">
        <v>1853</v>
      </c>
      <c r="B2511" s="76" t="s">
        <v>7473</v>
      </c>
      <c r="C2511" s="76" t="s">
        <v>7194</v>
      </c>
      <c r="D2511" s="76" t="s">
        <v>7122</v>
      </c>
      <c r="E2511" s="76" t="s">
        <v>7119</v>
      </c>
      <c r="F2511" s="76" t="s">
        <v>7115</v>
      </c>
    </row>
    <row r="2512" spans="1:6" ht="63.95" customHeight="1">
      <c r="A2512" s="76" t="s">
        <v>1853</v>
      </c>
      <c r="B2512" s="76" t="s">
        <v>7474</v>
      </c>
      <c r="C2512" s="76" t="s">
        <v>7121</v>
      </c>
      <c r="D2512" s="76" t="s">
        <v>7122</v>
      </c>
      <c r="E2512" s="76" t="s">
        <v>7123</v>
      </c>
      <c r="F2512" s="76" t="s">
        <v>7115</v>
      </c>
    </row>
    <row r="2513" spans="1:6" ht="63.95" customHeight="1">
      <c r="A2513" s="76" t="s">
        <v>1853</v>
      </c>
      <c r="B2513" s="76" t="s">
        <v>7475</v>
      </c>
      <c r="C2513" s="76" t="s">
        <v>7192</v>
      </c>
      <c r="D2513" s="76" t="s">
        <v>7113</v>
      </c>
      <c r="E2513" s="76" t="s">
        <v>7114</v>
      </c>
      <c r="F2513" s="76" t="s">
        <v>7115</v>
      </c>
    </row>
    <row r="2514" spans="1:6" ht="63.95" customHeight="1">
      <c r="A2514" s="76" t="s">
        <v>1853</v>
      </c>
      <c r="B2514" s="76" t="s">
        <v>7476</v>
      </c>
      <c r="C2514" s="76" t="s">
        <v>7194</v>
      </c>
      <c r="D2514" s="76" t="s">
        <v>7122</v>
      </c>
      <c r="E2514" s="76" t="s">
        <v>7119</v>
      </c>
      <c r="F2514" s="76" t="s">
        <v>7115</v>
      </c>
    </row>
    <row r="2515" spans="1:6" ht="63.95" customHeight="1">
      <c r="A2515" s="76" t="s">
        <v>1853</v>
      </c>
      <c r="B2515" s="76" t="s">
        <v>7477</v>
      </c>
      <c r="C2515" s="76" t="s">
        <v>7121</v>
      </c>
      <c r="D2515" s="76" t="s">
        <v>7122</v>
      </c>
      <c r="E2515" s="76" t="s">
        <v>7123</v>
      </c>
      <c r="F2515" s="76" t="s">
        <v>7115</v>
      </c>
    </row>
    <row r="2516" spans="1:6" ht="63.95" customHeight="1">
      <c r="A2516" s="76" t="s">
        <v>1853</v>
      </c>
      <c r="B2516" s="76" t="s">
        <v>7478</v>
      </c>
      <c r="C2516" s="76" t="s">
        <v>7192</v>
      </c>
      <c r="D2516" s="76" t="s">
        <v>7113</v>
      </c>
      <c r="E2516" s="76" t="s">
        <v>7114</v>
      </c>
      <c r="F2516" s="76" t="s">
        <v>7115</v>
      </c>
    </row>
    <row r="2517" spans="1:6" ht="63.95" customHeight="1">
      <c r="A2517" s="76" t="s">
        <v>1853</v>
      </c>
      <c r="B2517" s="76" t="s">
        <v>7479</v>
      </c>
      <c r="C2517" s="76" t="s">
        <v>7194</v>
      </c>
      <c r="D2517" s="76" t="s">
        <v>7122</v>
      </c>
      <c r="E2517" s="76" t="s">
        <v>7119</v>
      </c>
      <c r="F2517" s="76" t="s">
        <v>7115</v>
      </c>
    </row>
    <row r="2518" spans="1:6" ht="63.95" customHeight="1">
      <c r="A2518" s="76" t="s">
        <v>1853</v>
      </c>
      <c r="B2518" s="76" t="s">
        <v>7480</v>
      </c>
      <c r="C2518" s="76" t="s">
        <v>7121</v>
      </c>
      <c r="D2518" s="76" t="s">
        <v>7122</v>
      </c>
      <c r="E2518" s="76" t="s">
        <v>7123</v>
      </c>
      <c r="F2518" s="76" t="s">
        <v>7115</v>
      </c>
    </row>
    <row r="2519" spans="1:6" ht="63.95" customHeight="1">
      <c r="A2519" s="76" t="s">
        <v>1853</v>
      </c>
      <c r="B2519" s="76" t="s">
        <v>7481</v>
      </c>
      <c r="C2519" s="76" t="s">
        <v>7192</v>
      </c>
      <c r="D2519" s="76" t="s">
        <v>7113</v>
      </c>
      <c r="E2519" s="76" t="s">
        <v>7114</v>
      </c>
      <c r="F2519" s="76" t="s">
        <v>7115</v>
      </c>
    </row>
    <row r="2520" spans="1:6" ht="63.95" customHeight="1">
      <c r="A2520" s="76" t="s">
        <v>1853</v>
      </c>
      <c r="B2520" s="76" t="s">
        <v>7482</v>
      </c>
      <c r="C2520" s="76" t="s">
        <v>7194</v>
      </c>
      <c r="D2520" s="76" t="s">
        <v>7122</v>
      </c>
      <c r="E2520" s="76" t="s">
        <v>7119</v>
      </c>
      <c r="F2520" s="76" t="s">
        <v>7115</v>
      </c>
    </row>
    <row r="2521" spans="1:6" ht="63.95" customHeight="1">
      <c r="A2521" s="76" t="s">
        <v>1853</v>
      </c>
      <c r="B2521" s="76" t="s">
        <v>7483</v>
      </c>
      <c r="C2521" s="76" t="s">
        <v>7121</v>
      </c>
      <c r="D2521" s="76" t="s">
        <v>7122</v>
      </c>
      <c r="E2521" s="76" t="s">
        <v>7123</v>
      </c>
      <c r="F2521" s="76" t="s">
        <v>7115</v>
      </c>
    </row>
    <row r="2522" spans="1:6" ht="63.95" customHeight="1">
      <c r="A2522" s="76" t="s">
        <v>1853</v>
      </c>
      <c r="B2522" s="76" t="s">
        <v>7484</v>
      </c>
      <c r="C2522" s="76" t="s">
        <v>7192</v>
      </c>
      <c r="D2522" s="76" t="s">
        <v>7113</v>
      </c>
      <c r="E2522" s="76" t="s">
        <v>7114</v>
      </c>
      <c r="F2522" s="76" t="s">
        <v>7115</v>
      </c>
    </row>
    <row r="2523" spans="1:6" ht="63.95" customHeight="1">
      <c r="A2523" s="76" t="s">
        <v>1853</v>
      </c>
      <c r="B2523" s="76" t="s">
        <v>7485</v>
      </c>
      <c r="C2523" s="76" t="s">
        <v>7194</v>
      </c>
      <c r="D2523" s="76" t="s">
        <v>7122</v>
      </c>
      <c r="E2523" s="76" t="s">
        <v>7119</v>
      </c>
      <c r="F2523" s="76" t="s">
        <v>7115</v>
      </c>
    </row>
    <row r="2524" spans="1:6" ht="63.95" customHeight="1">
      <c r="A2524" s="76" t="s">
        <v>1853</v>
      </c>
      <c r="B2524" s="76" t="s">
        <v>7486</v>
      </c>
      <c r="C2524" s="76" t="s">
        <v>7121</v>
      </c>
      <c r="D2524" s="76" t="s">
        <v>7122</v>
      </c>
      <c r="E2524" s="76" t="s">
        <v>7123</v>
      </c>
      <c r="F2524" s="76" t="s">
        <v>7115</v>
      </c>
    </row>
    <row r="2525" spans="1:6" ht="63.95" customHeight="1">
      <c r="A2525" s="76" t="s">
        <v>1853</v>
      </c>
      <c r="B2525" s="76" t="s">
        <v>7487</v>
      </c>
      <c r="C2525" s="76" t="s">
        <v>7192</v>
      </c>
      <c r="D2525" s="76" t="s">
        <v>7113</v>
      </c>
      <c r="E2525" s="76" t="s">
        <v>7114</v>
      </c>
      <c r="F2525" s="76" t="s">
        <v>7115</v>
      </c>
    </row>
    <row r="2526" spans="1:6" ht="63.95" customHeight="1">
      <c r="A2526" s="76" t="s">
        <v>1853</v>
      </c>
      <c r="B2526" s="76" t="s">
        <v>7488</v>
      </c>
      <c r="C2526" s="76" t="s">
        <v>7194</v>
      </c>
      <c r="D2526" s="76" t="s">
        <v>7122</v>
      </c>
      <c r="E2526" s="76" t="s">
        <v>7119</v>
      </c>
      <c r="F2526" s="76" t="s">
        <v>7115</v>
      </c>
    </row>
    <row r="2527" spans="1:6" ht="63.95" customHeight="1">
      <c r="A2527" s="76" t="s">
        <v>1853</v>
      </c>
      <c r="B2527" s="76" t="s">
        <v>7489</v>
      </c>
      <c r="C2527" s="76" t="s">
        <v>7121</v>
      </c>
      <c r="D2527" s="76" t="s">
        <v>7122</v>
      </c>
      <c r="E2527" s="76" t="s">
        <v>7123</v>
      </c>
      <c r="F2527" s="76" t="s">
        <v>7115</v>
      </c>
    </row>
    <row r="2528" spans="1:6" ht="63.95" customHeight="1">
      <c r="A2528" s="76" t="s">
        <v>1853</v>
      </c>
      <c r="B2528" s="76" t="s">
        <v>7490</v>
      </c>
      <c r="C2528" s="76" t="s">
        <v>7192</v>
      </c>
      <c r="D2528" s="76" t="s">
        <v>7113</v>
      </c>
      <c r="E2528" s="76" t="s">
        <v>7114</v>
      </c>
      <c r="F2528" s="76" t="s">
        <v>7115</v>
      </c>
    </row>
    <row r="2529" spans="1:6" ht="63.95" customHeight="1">
      <c r="A2529" s="76" t="s">
        <v>1853</v>
      </c>
      <c r="B2529" s="76" t="s">
        <v>7491</v>
      </c>
      <c r="C2529" s="76" t="s">
        <v>7194</v>
      </c>
      <c r="D2529" s="76" t="s">
        <v>7122</v>
      </c>
      <c r="E2529" s="76" t="s">
        <v>7119</v>
      </c>
      <c r="F2529" s="76" t="s">
        <v>7115</v>
      </c>
    </row>
    <row r="2530" spans="1:6" ht="63.95" customHeight="1">
      <c r="A2530" s="76" t="s">
        <v>1853</v>
      </c>
      <c r="B2530" s="76" t="s">
        <v>7492</v>
      </c>
      <c r="C2530" s="76" t="s">
        <v>7121</v>
      </c>
      <c r="D2530" s="76" t="s">
        <v>7122</v>
      </c>
      <c r="E2530" s="76" t="s">
        <v>7123</v>
      </c>
      <c r="F2530" s="76" t="s">
        <v>7115</v>
      </c>
    </row>
    <row r="2531" spans="1:6" ht="63.95" customHeight="1">
      <c r="A2531" s="76" t="s">
        <v>1853</v>
      </c>
      <c r="B2531" s="76" t="s">
        <v>7493</v>
      </c>
      <c r="C2531" s="76" t="s">
        <v>7192</v>
      </c>
      <c r="D2531" s="76" t="s">
        <v>7113</v>
      </c>
      <c r="E2531" s="76" t="s">
        <v>7114</v>
      </c>
      <c r="F2531" s="76" t="s">
        <v>7115</v>
      </c>
    </row>
    <row r="2532" spans="1:6" ht="63.95" customHeight="1">
      <c r="A2532" s="76" t="s">
        <v>1853</v>
      </c>
      <c r="B2532" s="76" t="s">
        <v>7494</v>
      </c>
      <c r="C2532" s="76" t="s">
        <v>7194</v>
      </c>
      <c r="D2532" s="76" t="s">
        <v>7122</v>
      </c>
      <c r="E2532" s="76" t="s">
        <v>7119</v>
      </c>
      <c r="F2532" s="76" t="s">
        <v>7115</v>
      </c>
    </row>
    <row r="2533" spans="1:6" ht="63.95" customHeight="1">
      <c r="A2533" s="76" t="s">
        <v>1853</v>
      </c>
      <c r="B2533" s="76" t="s">
        <v>7495</v>
      </c>
      <c r="C2533" s="76" t="s">
        <v>7121</v>
      </c>
      <c r="D2533" s="76" t="s">
        <v>7122</v>
      </c>
      <c r="E2533" s="76" t="s">
        <v>7123</v>
      </c>
      <c r="F2533" s="76" t="s">
        <v>7115</v>
      </c>
    </row>
    <row r="2534" spans="1:6" ht="63.95" customHeight="1">
      <c r="A2534" s="76" t="s">
        <v>1853</v>
      </c>
      <c r="B2534" s="76" t="s">
        <v>7496</v>
      </c>
      <c r="C2534" s="76" t="s">
        <v>7192</v>
      </c>
      <c r="D2534" s="76" t="s">
        <v>7113</v>
      </c>
      <c r="E2534" s="76" t="s">
        <v>7114</v>
      </c>
      <c r="F2534" s="76" t="s">
        <v>7115</v>
      </c>
    </row>
    <row r="2535" spans="1:6" ht="63.95" customHeight="1">
      <c r="A2535" s="76" t="s">
        <v>1853</v>
      </c>
      <c r="B2535" s="76" t="s">
        <v>7497</v>
      </c>
      <c r="C2535" s="76" t="s">
        <v>7194</v>
      </c>
      <c r="D2535" s="76" t="s">
        <v>7122</v>
      </c>
      <c r="E2535" s="76" t="s">
        <v>7119</v>
      </c>
      <c r="F2535" s="76" t="s">
        <v>7115</v>
      </c>
    </row>
    <row r="2536" spans="1:6" ht="63.95" customHeight="1">
      <c r="A2536" s="76" t="s">
        <v>1853</v>
      </c>
      <c r="B2536" s="76" t="s">
        <v>7498</v>
      </c>
      <c r="C2536" s="76" t="s">
        <v>7121</v>
      </c>
      <c r="D2536" s="76" t="s">
        <v>7122</v>
      </c>
      <c r="E2536" s="76" t="s">
        <v>7123</v>
      </c>
      <c r="F2536" s="76" t="s">
        <v>7115</v>
      </c>
    </row>
    <row r="2537" spans="1:6" ht="63.95" customHeight="1">
      <c r="A2537" s="76" t="s">
        <v>1853</v>
      </c>
      <c r="B2537" s="76" t="s">
        <v>7499</v>
      </c>
      <c r="C2537" s="76" t="s">
        <v>7192</v>
      </c>
      <c r="D2537" s="76" t="s">
        <v>7113</v>
      </c>
      <c r="E2537" s="76" t="s">
        <v>7114</v>
      </c>
      <c r="F2537" s="76" t="s">
        <v>7115</v>
      </c>
    </row>
    <row r="2538" spans="1:6" ht="63.95" customHeight="1">
      <c r="A2538" s="76" t="s">
        <v>1853</v>
      </c>
      <c r="B2538" s="76" t="s">
        <v>7500</v>
      </c>
      <c r="C2538" s="76" t="s">
        <v>7194</v>
      </c>
      <c r="D2538" s="76" t="s">
        <v>7122</v>
      </c>
      <c r="E2538" s="76" t="s">
        <v>7119</v>
      </c>
      <c r="F2538" s="76" t="s">
        <v>7115</v>
      </c>
    </row>
    <row r="2539" spans="1:6" ht="63.95" customHeight="1">
      <c r="A2539" s="76" t="s">
        <v>1853</v>
      </c>
      <c r="B2539" s="76" t="s">
        <v>7501</v>
      </c>
      <c r="C2539" s="76" t="s">
        <v>7121</v>
      </c>
      <c r="D2539" s="76" t="s">
        <v>7122</v>
      </c>
      <c r="E2539" s="76" t="s">
        <v>7123</v>
      </c>
      <c r="F2539" s="76" t="s">
        <v>7115</v>
      </c>
    </row>
    <row r="2540" spans="1:6" ht="63.95" customHeight="1">
      <c r="A2540" s="76" t="s">
        <v>1853</v>
      </c>
      <c r="B2540" s="76" t="s">
        <v>7502</v>
      </c>
      <c r="C2540" s="76" t="s">
        <v>7192</v>
      </c>
      <c r="D2540" s="76" t="s">
        <v>7113</v>
      </c>
      <c r="E2540" s="76" t="s">
        <v>7114</v>
      </c>
      <c r="F2540" s="76" t="s">
        <v>7115</v>
      </c>
    </row>
    <row r="2541" spans="1:6" ht="63.95" customHeight="1">
      <c r="A2541" s="76" t="s">
        <v>1853</v>
      </c>
      <c r="B2541" s="76" t="s">
        <v>7503</v>
      </c>
      <c r="C2541" s="76" t="s">
        <v>7194</v>
      </c>
      <c r="D2541" s="76" t="s">
        <v>7122</v>
      </c>
      <c r="E2541" s="76" t="s">
        <v>7119</v>
      </c>
      <c r="F2541" s="76" t="s">
        <v>7115</v>
      </c>
    </row>
    <row r="2542" spans="1:6" ht="63.95" customHeight="1">
      <c r="A2542" s="76" t="s">
        <v>1853</v>
      </c>
      <c r="B2542" s="76" t="s">
        <v>7504</v>
      </c>
      <c r="C2542" s="76" t="s">
        <v>7121</v>
      </c>
      <c r="D2542" s="76" t="s">
        <v>7122</v>
      </c>
      <c r="E2542" s="76" t="s">
        <v>7123</v>
      </c>
      <c r="F2542" s="76" t="s">
        <v>7115</v>
      </c>
    </row>
    <row r="2543" spans="1:6" ht="63.95" customHeight="1">
      <c r="A2543" s="76" t="s">
        <v>1853</v>
      </c>
      <c r="B2543" s="76" t="s">
        <v>7505</v>
      </c>
      <c r="C2543" s="76" t="s">
        <v>7192</v>
      </c>
      <c r="D2543" s="76" t="s">
        <v>7113</v>
      </c>
      <c r="E2543" s="76" t="s">
        <v>7114</v>
      </c>
      <c r="F2543" s="76" t="s">
        <v>7115</v>
      </c>
    </row>
    <row r="2544" spans="1:6" ht="63.95" customHeight="1">
      <c r="A2544" s="76" t="s">
        <v>1853</v>
      </c>
      <c r="B2544" s="76" t="s">
        <v>7506</v>
      </c>
      <c r="C2544" s="76" t="s">
        <v>7194</v>
      </c>
      <c r="D2544" s="76" t="s">
        <v>7122</v>
      </c>
      <c r="E2544" s="76" t="s">
        <v>7119</v>
      </c>
      <c r="F2544" s="76" t="s">
        <v>7115</v>
      </c>
    </row>
    <row r="2545" spans="1:6" ht="63.95" customHeight="1">
      <c r="A2545" s="76" t="s">
        <v>1853</v>
      </c>
      <c r="B2545" s="76" t="s">
        <v>7507</v>
      </c>
      <c r="C2545" s="76" t="s">
        <v>7121</v>
      </c>
      <c r="D2545" s="76" t="s">
        <v>7122</v>
      </c>
      <c r="E2545" s="76" t="s">
        <v>7123</v>
      </c>
      <c r="F2545" s="76" t="s">
        <v>7115</v>
      </c>
    </row>
    <row r="2546" spans="1:6" ht="63.95" customHeight="1">
      <c r="A2546" s="76" t="s">
        <v>1853</v>
      </c>
      <c r="B2546" s="76" t="s">
        <v>7508</v>
      </c>
      <c r="C2546" s="76" t="s">
        <v>7192</v>
      </c>
      <c r="D2546" s="76" t="s">
        <v>7113</v>
      </c>
      <c r="E2546" s="76" t="s">
        <v>7114</v>
      </c>
      <c r="F2546" s="76" t="s">
        <v>7115</v>
      </c>
    </row>
    <row r="2547" spans="1:6" ht="63.95" customHeight="1">
      <c r="A2547" s="76" t="s">
        <v>1853</v>
      </c>
      <c r="B2547" s="76" t="s">
        <v>7509</v>
      </c>
      <c r="C2547" s="76" t="s">
        <v>7194</v>
      </c>
      <c r="D2547" s="76" t="s">
        <v>7122</v>
      </c>
      <c r="E2547" s="76" t="s">
        <v>7119</v>
      </c>
      <c r="F2547" s="76" t="s">
        <v>7115</v>
      </c>
    </row>
    <row r="2548" spans="1:6" ht="63.95" customHeight="1">
      <c r="A2548" s="76" t="s">
        <v>1853</v>
      </c>
      <c r="B2548" s="76" t="s">
        <v>7510</v>
      </c>
      <c r="C2548" s="76" t="s">
        <v>7121</v>
      </c>
      <c r="D2548" s="76" t="s">
        <v>7122</v>
      </c>
      <c r="E2548" s="76" t="s">
        <v>7123</v>
      </c>
      <c r="F2548" s="76" t="s">
        <v>7115</v>
      </c>
    </row>
    <row r="2549" spans="1:6" ht="63.95" customHeight="1">
      <c r="A2549" s="76" t="s">
        <v>1853</v>
      </c>
      <c r="B2549" s="76" t="s">
        <v>7511</v>
      </c>
      <c r="C2549" s="76" t="s">
        <v>7192</v>
      </c>
      <c r="D2549" s="76" t="s">
        <v>7113</v>
      </c>
      <c r="E2549" s="76" t="s">
        <v>7114</v>
      </c>
      <c r="F2549" s="76" t="s">
        <v>7115</v>
      </c>
    </row>
    <row r="2550" spans="1:6" ht="63.95" customHeight="1">
      <c r="A2550" s="76" t="s">
        <v>1853</v>
      </c>
      <c r="B2550" s="76" t="s">
        <v>7512</v>
      </c>
      <c r="C2550" s="76" t="s">
        <v>7194</v>
      </c>
      <c r="D2550" s="76" t="s">
        <v>7122</v>
      </c>
      <c r="E2550" s="76" t="s">
        <v>7119</v>
      </c>
      <c r="F2550" s="76" t="s">
        <v>7115</v>
      </c>
    </row>
    <row r="2551" spans="1:6" ht="63.95" customHeight="1">
      <c r="A2551" s="76" t="s">
        <v>1853</v>
      </c>
      <c r="B2551" s="76" t="s">
        <v>7513</v>
      </c>
      <c r="C2551" s="76" t="s">
        <v>7121</v>
      </c>
      <c r="D2551" s="76" t="s">
        <v>7122</v>
      </c>
      <c r="E2551" s="76" t="s">
        <v>7123</v>
      </c>
      <c r="F2551" s="76" t="s">
        <v>7115</v>
      </c>
    </row>
    <row r="2552" spans="1:6" ht="63.95" customHeight="1">
      <c r="A2552" s="76" t="s">
        <v>1853</v>
      </c>
      <c r="B2552" s="76" t="s">
        <v>7514</v>
      </c>
      <c r="C2552" s="76" t="s">
        <v>7192</v>
      </c>
      <c r="D2552" s="76" t="s">
        <v>7113</v>
      </c>
      <c r="E2552" s="76" t="s">
        <v>7114</v>
      </c>
      <c r="F2552" s="76" t="s">
        <v>7115</v>
      </c>
    </row>
    <row r="2553" spans="1:6" ht="63.95" customHeight="1">
      <c r="A2553" s="76" t="s">
        <v>1853</v>
      </c>
      <c r="B2553" s="76" t="s">
        <v>7515</v>
      </c>
      <c r="C2553" s="76" t="s">
        <v>7194</v>
      </c>
      <c r="D2553" s="76" t="s">
        <v>7122</v>
      </c>
      <c r="E2553" s="76" t="s">
        <v>7119</v>
      </c>
      <c r="F2553" s="76" t="s">
        <v>7115</v>
      </c>
    </row>
    <row r="2554" spans="1:6" ht="63.95" customHeight="1">
      <c r="A2554" s="76" t="s">
        <v>1853</v>
      </c>
      <c r="B2554" s="76" t="s">
        <v>7516</v>
      </c>
      <c r="C2554" s="76" t="s">
        <v>7121</v>
      </c>
      <c r="D2554" s="76" t="s">
        <v>7122</v>
      </c>
      <c r="E2554" s="76" t="s">
        <v>7123</v>
      </c>
      <c r="F2554" s="76" t="s">
        <v>7115</v>
      </c>
    </row>
    <row r="2555" spans="1:6" ht="63.95" customHeight="1">
      <c r="A2555" s="76" t="s">
        <v>1853</v>
      </c>
      <c r="B2555" s="76" t="s">
        <v>7517</v>
      </c>
      <c r="C2555" s="76" t="s">
        <v>7192</v>
      </c>
      <c r="D2555" s="76" t="s">
        <v>7113</v>
      </c>
      <c r="E2555" s="76" t="s">
        <v>7114</v>
      </c>
      <c r="F2555" s="76" t="s">
        <v>7115</v>
      </c>
    </row>
    <row r="2556" spans="1:6" ht="63.95" customHeight="1">
      <c r="A2556" s="76" t="s">
        <v>1853</v>
      </c>
      <c r="B2556" s="76" t="s">
        <v>7518</v>
      </c>
      <c r="C2556" s="76" t="s">
        <v>7194</v>
      </c>
      <c r="D2556" s="76" t="s">
        <v>7122</v>
      </c>
      <c r="E2556" s="76" t="s">
        <v>7119</v>
      </c>
      <c r="F2556" s="76" t="s">
        <v>7115</v>
      </c>
    </row>
    <row r="2557" spans="1:6" ht="63.95" customHeight="1">
      <c r="A2557" s="76" t="s">
        <v>1853</v>
      </c>
      <c r="B2557" s="76" t="s">
        <v>7519</v>
      </c>
      <c r="C2557" s="76" t="s">
        <v>7121</v>
      </c>
      <c r="D2557" s="76" t="s">
        <v>7122</v>
      </c>
      <c r="E2557" s="76" t="s">
        <v>7123</v>
      </c>
      <c r="F2557" s="76" t="s">
        <v>7115</v>
      </c>
    </row>
    <row r="2558" spans="1:6" ht="63.95" customHeight="1">
      <c r="A2558" s="76" t="s">
        <v>1853</v>
      </c>
      <c r="B2558" s="76" t="s">
        <v>7520</v>
      </c>
      <c r="C2558" s="76" t="s">
        <v>7192</v>
      </c>
      <c r="D2558" s="76" t="s">
        <v>7113</v>
      </c>
      <c r="E2558" s="76" t="s">
        <v>7114</v>
      </c>
      <c r="F2558" s="76" t="s">
        <v>7115</v>
      </c>
    </row>
    <row r="2559" spans="1:6" ht="63.95" customHeight="1">
      <c r="A2559" s="76" t="s">
        <v>1853</v>
      </c>
      <c r="B2559" s="76" t="s">
        <v>7521</v>
      </c>
      <c r="C2559" s="76" t="s">
        <v>7194</v>
      </c>
      <c r="D2559" s="76" t="s">
        <v>7122</v>
      </c>
      <c r="E2559" s="76" t="s">
        <v>7119</v>
      </c>
      <c r="F2559" s="76" t="s">
        <v>7115</v>
      </c>
    </row>
    <row r="2560" spans="1:6" ht="63.95" customHeight="1">
      <c r="A2560" s="76" t="s">
        <v>1853</v>
      </c>
      <c r="B2560" s="76" t="s">
        <v>7522</v>
      </c>
      <c r="C2560" s="76" t="s">
        <v>7121</v>
      </c>
      <c r="D2560" s="76" t="s">
        <v>7122</v>
      </c>
      <c r="E2560" s="76" t="s">
        <v>7123</v>
      </c>
      <c r="F2560" s="76" t="s">
        <v>7115</v>
      </c>
    </row>
    <row r="2561" spans="1:6" ht="63.95" customHeight="1">
      <c r="A2561" s="76" t="s">
        <v>1853</v>
      </c>
      <c r="B2561" s="76" t="s">
        <v>7523</v>
      </c>
      <c r="C2561" s="76" t="s">
        <v>7192</v>
      </c>
      <c r="D2561" s="76" t="s">
        <v>7113</v>
      </c>
      <c r="E2561" s="76" t="s">
        <v>7114</v>
      </c>
      <c r="F2561" s="76" t="s">
        <v>7115</v>
      </c>
    </row>
    <row r="2562" spans="1:6" ht="63.95" customHeight="1">
      <c r="A2562" s="76" t="s">
        <v>1853</v>
      </c>
      <c r="B2562" s="76" t="s">
        <v>7524</v>
      </c>
      <c r="C2562" s="76" t="s">
        <v>7194</v>
      </c>
      <c r="D2562" s="76" t="s">
        <v>7122</v>
      </c>
      <c r="E2562" s="76" t="s">
        <v>7119</v>
      </c>
      <c r="F2562" s="76" t="s">
        <v>7115</v>
      </c>
    </row>
    <row r="2563" spans="1:6" ht="63.95" customHeight="1">
      <c r="A2563" s="76" t="s">
        <v>1853</v>
      </c>
      <c r="B2563" s="76" t="s">
        <v>7525</v>
      </c>
      <c r="C2563" s="76" t="s">
        <v>7121</v>
      </c>
      <c r="D2563" s="76" t="s">
        <v>7122</v>
      </c>
      <c r="E2563" s="76" t="s">
        <v>7123</v>
      </c>
      <c r="F2563" s="76" t="s">
        <v>7115</v>
      </c>
    </row>
    <row r="2564" spans="1:6" ht="63.95" customHeight="1">
      <c r="A2564" s="76" t="s">
        <v>1853</v>
      </c>
      <c r="B2564" s="76" t="s">
        <v>7526</v>
      </c>
      <c r="C2564" s="76" t="s">
        <v>7192</v>
      </c>
      <c r="D2564" s="76" t="s">
        <v>7113</v>
      </c>
      <c r="E2564" s="76" t="s">
        <v>7114</v>
      </c>
      <c r="F2564" s="76" t="s">
        <v>7115</v>
      </c>
    </row>
    <row r="2565" spans="1:6" ht="63.95" customHeight="1">
      <c r="A2565" s="76" t="s">
        <v>1853</v>
      </c>
      <c r="B2565" s="76" t="s">
        <v>7527</v>
      </c>
      <c r="C2565" s="76" t="s">
        <v>7194</v>
      </c>
      <c r="D2565" s="76" t="s">
        <v>7122</v>
      </c>
      <c r="E2565" s="76" t="s">
        <v>7119</v>
      </c>
      <c r="F2565" s="76" t="s">
        <v>7115</v>
      </c>
    </row>
    <row r="2566" spans="1:6" ht="63.95" customHeight="1">
      <c r="A2566" s="76" t="s">
        <v>1853</v>
      </c>
      <c r="B2566" s="76" t="s">
        <v>7528</v>
      </c>
      <c r="C2566" s="76" t="s">
        <v>7121</v>
      </c>
      <c r="D2566" s="76" t="s">
        <v>7122</v>
      </c>
      <c r="E2566" s="76" t="s">
        <v>7123</v>
      </c>
      <c r="F2566" s="76" t="s">
        <v>7115</v>
      </c>
    </row>
    <row r="2567" spans="1:6" ht="63.95" customHeight="1">
      <c r="A2567" s="76" t="s">
        <v>1853</v>
      </c>
      <c r="B2567" s="76" t="s">
        <v>7529</v>
      </c>
      <c r="C2567" s="76" t="s">
        <v>7192</v>
      </c>
      <c r="D2567" s="76" t="s">
        <v>7113</v>
      </c>
      <c r="E2567" s="76" t="s">
        <v>7114</v>
      </c>
      <c r="F2567" s="76" t="s">
        <v>7115</v>
      </c>
    </row>
    <row r="2568" spans="1:6" ht="63.95" customHeight="1">
      <c r="A2568" s="76" t="s">
        <v>1853</v>
      </c>
      <c r="B2568" s="76" t="s">
        <v>7530</v>
      </c>
      <c r="C2568" s="76" t="s">
        <v>7238</v>
      </c>
      <c r="D2568" s="76" t="s">
        <v>7239</v>
      </c>
      <c r="E2568" s="76" t="s">
        <v>7119</v>
      </c>
      <c r="F2568" s="76" t="s">
        <v>7115</v>
      </c>
    </row>
    <row r="2569" spans="1:6" ht="63.95" customHeight="1">
      <c r="A2569" s="76" t="s">
        <v>1853</v>
      </c>
      <c r="B2569" s="76" t="s">
        <v>7531</v>
      </c>
      <c r="C2569" s="76" t="s">
        <v>7121</v>
      </c>
      <c r="D2569" s="76" t="s">
        <v>7122</v>
      </c>
      <c r="E2569" s="76" t="s">
        <v>7123</v>
      </c>
      <c r="F2569" s="76" t="s">
        <v>7115</v>
      </c>
    </row>
    <row r="2570" spans="1:6" ht="63.95" customHeight="1">
      <c r="A2570" s="76" t="s">
        <v>1853</v>
      </c>
      <c r="B2570" s="76" t="s">
        <v>7532</v>
      </c>
      <c r="C2570" s="76" t="s">
        <v>7192</v>
      </c>
      <c r="D2570" s="76" t="s">
        <v>7113</v>
      </c>
      <c r="E2570" s="76" t="s">
        <v>7114</v>
      </c>
      <c r="F2570" s="76" t="s">
        <v>7115</v>
      </c>
    </row>
    <row r="2571" spans="1:6" ht="63.95" customHeight="1">
      <c r="A2571" s="76" t="s">
        <v>1853</v>
      </c>
      <c r="B2571" s="76" t="s">
        <v>7533</v>
      </c>
      <c r="C2571" s="76" t="s">
        <v>7194</v>
      </c>
      <c r="D2571" s="76" t="s">
        <v>7122</v>
      </c>
      <c r="E2571" s="76" t="s">
        <v>7119</v>
      </c>
      <c r="F2571" s="76" t="s">
        <v>7115</v>
      </c>
    </row>
    <row r="2572" spans="1:6" ht="63.95" customHeight="1">
      <c r="A2572" s="76" t="s">
        <v>1853</v>
      </c>
      <c r="B2572" s="76" t="s">
        <v>7534</v>
      </c>
      <c r="C2572" s="76" t="s">
        <v>7121</v>
      </c>
      <c r="D2572" s="76" t="s">
        <v>7122</v>
      </c>
      <c r="E2572" s="76" t="s">
        <v>7123</v>
      </c>
      <c r="F2572" s="76" t="s">
        <v>7115</v>
      </c>
    </row>
    <row r="2573" spans="1:6" ht="63.95" customHeight="1">
      <c r="A2573" s="76" t="s">
        <v>1853</v>
      </c>
      <c r="B2573" s="76" t="s">
        <v>7535</v>
      </c>
      <c r="C2573" s="76" t="s">
        <v>7192</v>
      </c>
      <c r="D2573" s="76" t="s">
        <v>7113</v>
      </c>
      <c r="E2573" s="76" t="s">
        <v>7114</v>
      </c>
      <c r="F2573" s="76" t="s">
        <v>7115</v>
      </c>
    </row>
    <row r="2574" spans="1:6" ht="63.95" customHeight="1">
      <c r="A2574" s="76" t="s">
        <v>1853</v>
      </c>
      <c r="B2574" s="76" t="s">
        <v>7536</v>
      </c>
      <c r="C2574" s="76" t="s">
        <v>7194</v>
      </c>
      <c r="D2574" s="76" t="s">
        <v>7122</v>
      </c>
      <c r="E2574" s="76" t="s">
        <v>7119</v>
      </c>
      <c r="F2574" s="76" t="s">
        <v>7115</v>
      </c>
    </row>
    <row r="2575" spans="1:6" ht="63.95" customHeight="1">
      <c r="A2575" s="76" t="s">
        <v>1853</v>
      </c>
      <c r="B2575" s="76" t="s">
        <v>7537</v>
      </c>
      <c r="C2575" s="76" t="s">
        <v>7121</v>
      </c>
      <c r="D2575" s="76" t="s">
        <v>7122</v>
      </c>
      <c r="E2575" s="76" t="s">
        <v>7123</v>
      </c>
      <c r="F2575" s="76" t="s">
        <v>7115</v>
      </c>
    </row>
    <row r="2576" spans="1:6" ht="63.95" customHeight="1">
      <c r="A2576" s="76" t="s">
        <v>1853</v>
      </c>
      <c r="B2576" s="76" t="s">
        <v>7538</v>
      </c>
      <c r="C2576" s="76" t="s">
        <v>7192</v>
      </c>
      <c r="D2576" s="76" t="s">
        <v>7113</v>
      </c>
      <c r="E2576" s="76" t="s">
        <v>7114</v>
      </c>
      <c r="F2576" s="76" t="s">
        <v>7115</v>
      </c>
    </row>
    <row r="2577" spans="1:6" ht="63.95" customHeight="1">
      <c r="A2577" s="76" t="s">
        <v>1853</v>
      </c>
      <c r="B2577" s="76" t="s">
        <v>7539</v>
      </c>
      <c r="C2577" s="76" t="s">
        <v>7194</v>
      </c>
      <c r="D2577" s="76" t="s">
        <v>7122</v>
      </c>
      <c r="E2577" s="76" t="s">
        <v>7119</v>
      </c>
      <c r="F2577" s="76" t="s">
        <v>7115</v>
      </c>
    </row>
    <row r="2578" spans="1:6" ht="63.95" customHeight="1">
      <c r="A2578" s="76" t="s">
        <v>1853</v>
      </c>
      <c r="B2578" s="76" t="s">
        <v>7540</v>
      </c>
      <c r="C2578" s="76" t="s">
        <v>7121</v>
      </c>
      <c r="D2578" s="76" t="s">
        <v>7122</v>
      </c>
      <c r="E2578" s="76" t="s">
        <v>7123</v>
      </c>
      <c r="F2578" s="76" t="s">
        <v>7115</v>
      </c>
    </row>
    <row r="2579" spans="1:6" ht="63.95" customHeight="1">
      <c r="A2579" s="76" t="s">
        <v>1853</v>
      </c>
      <c r="B2579" s="76" t="s">
        <v>7541</v>
      </c>
      <c r="C2579" s="76" t="s">
        <v>7192</v>
      </c>
      <c r="D2579" s="76" t="s">
        <v>7113</v>
      </c>
      <c r="E2579" s="76" t="s">
        <v>7114</v>
      </c>
      <c r="F2579" s="76" t="s">
        <v>7115</v>
      </c>
    </row>
    <row r="2580" spans="1:6" ht="63.95" customHeight="1">
      <c r="A2580" s="76" t="s">
        <v>1853</v>
      </c>
      <c r="B2580" s="76" t="s">
        <v>7542</v>
      </c>
      <c r="C2580" s="76" t="s">
        <v>7194</v>
      </c>
      <c r="D2580" s="76" t="s">
        <v>7122</v>
      </c>
      <c r="E2580" s="76" t="s">
        <v>7119</v>
      </c>
      <c r="F2580" s="76" t="s">
        <v>7115</v>
      </c>
    </row>
    <row r="2581" spans="1:6" ht="63.95" customHeight="1">
      <c r="A2581" s="76" t="s">
        <v>1853</v>
      </c>
      <c r="B2581" s="76" t="s">
        <v>7543</v>
      </c>
      <c r="C2581" s="76" t="s">
        <v>7121</v>
      </c>
      <c r="D2581" s="76" t="s">
        <v>7122</v>
      </c>
      <c r="E2581" s="76" t="s">
        <v>7123</v>
      </c>
      <c r="F2581" s="76" t="s">
        <v>7115</v>
      </c>
    </row>
    <row r="2582" spans="1:6" ht="63.95" customHeight="1">
      <c r="A2582" s="76" t="s">
        <v>1853</v>
      </c>
      <c r="B2582" s="76" t="s">
        <v>7544</v>
      </c>
      <c r="C2582" s="76" t="s">
        <v>7192</v>
      </c>
      <c r="D2582" s="76" t="s">
        <v>7113</v>
      </c>
      <c r="E2582" s="76" t="s">
        <v>7114</v>
      </c>
      <c r="F2582" s="76" t="s">
        <v>7115</v>
      </c>
    </row>
    <row r="2583" spans="1:6" ht="63.95" customHeight="1">
      <c r="A2583" s="76" t="s">
        <v>1853</v>
      </c>
      <c r="B2583" s="76" t="s">
        <v>7545</v>
      </c>
      <c r="C2583" s="76" t="s">
        <v>7194</v>
      </c>
      <c r="D2583" s="76" t="s">
        <v>7122</v>
      </c>
      <c r="E2583" s="76" t="s">
        <v>7119</v>
      </c>
      <c r="F2583" s="76" t="s">
        <v>7115</v>
      </c>
    </row>
    <row r="2584" spans="1:6" ht="63.95" customHeight="1">
      <c r="A2584" s="76" t="s">
        <v>1853</v>
      </c>
      <c r="B2584" s="76" t="s">
        <v>7546</v>
      </c>
      <c r="C2584" s="76" t="s">
        <v>7121</v>
      </c>
      <c r="D2584" s="76" t="s">
        <v>7122</v>
      </c>
      <c r="E2584" s="76" t="s">
        <v>7123</v>
      </c>
      <c r="F2584" s="76" t="s">
        <v>7115</v>
      </c>
    </row>
    <row r="2585" spans="1:6" ht="63.95" customHeight="1">
      <c r="A2585" s="76" t="s">
        <v>1853</v>
      </c>
      <c r="B2585" s="76" t="s">
        <v>7547</v>
      </c>
      <c r="C2585" s="76" t="s">
        <v>7192</v>
      </c>
      <c r="D2585" s="76" t="s">
        <v>7113</v>
      </c>
      <c r="E2585" s="76" t="s">
        <v>7114</v>
      </c>
      <c r="F2585" s="76" t="s">
        <v>7115</v>
      </c>
    </row>
    <row r="2586" spans="1:6" ht="63.95" customHeight="1">
      <c r="A2586" s="76" t="s">
        <v>1853</v>
      </c>
      <c r="B2586" s="76" t="s">
        <v>7548</v>
      </c>
      <c r="C2586" s="76" t="s">
        <v>7194</v>
      </c>
      <c r="D2586" s="76" t="s">
        <v>7122</v>
      </c>
      <c r="E2586" s="76" t="s">
        <v>7119</v>
      </c>
      <c r="F2586" s="76" t="s">
        <v>7115</v>
      </c>
    </row>
    <row r="2587" spans="1:6" ht="63.95" customHeight="1">
      <c r="A2587" s="76" t="s">
        <v>1853</v>
      </c>
      <c r="B2587" s="76" t="s">
        <v>7549</v>
      </c>
      <c r="C2587" s="76" t="s">
        <v>7121</v>
      </c>
      <c r="D2587" s="76" t="s">
        <v>7122</v>
      </c>
      <c r="E2587" s="76" t="s">
        <v>7123</v>
      </c>
      <c r="F2587" s="76" t="s">
        <v>7115</v>
      </c>
    </row>
    <row r="2588" spans="1:6" ht="63.95" customHeight="1">
      <c r="A2588" s="76" t="s">
        <v>1853</v>
      </c>
      <c r="B2588" s="76" t="s">
        <v>7550</v>
      </c>
      <c r="C2588" s="76" t="s">
        <v>7192</v>
      </c>
      <c r="D2588" s="76" t="s">
        <v>7113</v>
      </c>
      <c r="E2588" s="76" t="s">
        <v>7114</v>
      </c>
      <c r="F2588" s="76" t="s">
        <v>7115</v>
      </c>
    </row>
    <row r="2589" spans="1:6" ht="63.95" customHeight="1">
      <c r="A2589" s="76" t="s">
        <v>1853</v>
      </c>
      <c r="B2589" s="76" t="s">
        <v>7551</v>
      </c>
      <c r="C2589" s="76" t="s">
        <v>7194</v>
      </c>
      <c r="D2589" s="76" t="s">
        <v>7122</v>
      </c>
      <c r="E2589" s="76" t="s">
        <v>7119</v>
      </c>
      <c r="F2589" s="76" t="s">
        <v>7115</v>
      </c>
    </row>
    <row r="2590" spans="1:6" ht="63.95" customHeight="1">
      <c r="A2590" s="76" t="s">
        <v>1853</v>
      </c>
      <c r="B2590" s="76" t="s">
        <v>7552</v>
      </c>
      <c r="C2590" s="76" t="s">
        <v>7121</v>
      </c>
      <c r="D2590" s="76" t="s">
        <v>7122</v>
      </c>
      <c r="E2590" s="76" t="s">
        <v>7123</v>
      </c>
      <c r="F2590" s="76" t="s">
        <v>7115</v>
      </c>
    </row>
    <row r="2591" spans="1:6" ht="63.95" customHeight="1">
      <c r="A2591" s="76" t="s">
        <v>1853</v>
      </c>
      <c r="B2591" s="76" t="s">
        <v>7553</v>
      </c>
      <c r="C2591" s="76" t="s">
        <v>7192</v>
      </c>
      <c r="D2591" s="76" t="s">
        <v>7113</v>
      </c>
      <c r="E2591" s="76" t="s">
        <v>7114</v>
      </c>
      <c r="F2591" s="76" t="s">
        <v>7115</v>
      </c>
    </row>
    <row r="2592" spans="1:6" ht="63.95" customHeight="1">
      <c r="A2592" s="76" t="s">
        <v>1853</v>
      </c>
      <c r="B2592" s="76" t="s">
        <v>7554</v>
      </c>
      <c r="C2592" s="76" t="s">
        <v>7194</v>
      </c>
      <c r="D2592" s="76" t="s">
        <v>7122</v>
      </c>
      <c r="E2592" s="76" t="s">
        <v>7119</v>
      </c>
      <c r="F2592" s="76" t="s">
        <v>7115</v>
      </c>
    </row>
    <row r="2593" spans="1:6" ht="63.95" customHeight="1">
      <c r="A2593" s="76" t="s">
        <v>1853</v>
      </c>
      <c r="B2593" s="76" t="s">
        <v>7555</v>
      </c>
      <c r="C2593" s="76" t="s">
        <v>7121</v>
      </c>
      <c r="D2593" s="76" t="s">
        <v>7122</v>
      </c>
      <c r="E2593" s="76" t="s">
        <v>7123</v>
      </c>
      <c r="F2593" s="76" t="s">
        <v>7115</v>
      </c>
    </row>
    <row r="2594" spans="1:6" ht="63.95" customHeight="1">
      <c r="A2594" s="76" t="s">
        <v>1853</v>
      </c>
      <c r="B2594" s="76" t="s">
        <v>7556</v>
      </c>
      <c r="C2594" s="76" t="s">
        <v>7192</v>
      </c>
      <c r="D2594" s="76" t="s">
        <v>7113</v>
      </c>
      <c r="E2594" s="76" t="s">
        <v>7114</v>
      </c>
      <c r="F2594" s="76" t="s">
        <v>7115</v>
      </c>
    </row>
    <row r="2595" spans="1:6" ht="63.95" customHeight="1">
      <c r="A2595" s="76" t="s">
        <v>1853</v>
      </c>
      <c r="B2595" s="76" t="s">
        <v>7557</v>
      </c>
      <c r="C2595" s="76" t="s">
        <v>7194</v>
      </c>
      <c r="D2595" s="76" t="s">
        <v>7122</v>
      </c>
      <c r="E2595" s="76" t="s">
        <v>7119</v>
      </c>
      <c r="F2595" s="76" t="s">
        <v>7115</v>
      </c>
    </row>
    <row r="2596" spans="1:6" ht="63.95" customHeight="1">
      <c r="A2596" s="76" t="s">
        <v>1853</v>
      </c>
      <c r="B2596" s="76" t="s">
        <v>7558</v>
      </c>
      <c r="C2596" s="76" t="s">
        <v>7121</v>
      </c>
      <c r="D2596" s="76" t="s">
        <v>7122</v>
      </c>
      <c r="E2596" s="76" t="s">
        <v>7123</v>
      </c>
      <c r="F2596" s="76" t="s">
        <v>7115</v>
      </c>
    </row>
    <row r="2597" spans="1:6" ht="63.95" customHeight="1">
      <c r="A2597" s="76" t="s">
        <v>1853</v>
      </c>
      <c r="B2597" s="76" t="s">
        <v>7559</v>
      </c>
      <c r="C2597" s="76" t="s">
        <v>7192</v>
      </c>
      <c r="D2597" s="76" t="s">
        <v>7113</v>
      </c>
      <c r="E2597" s="76" t="s">
        <v>7114</v>
      </c>
      <c r="F2597" s="76" t="s">
        <v>7115</v>
      </c>
    </row>
    <row r="2598" spans="1:6" ht="63.95" customHeight="1">
      <c r="A2598" s="76" t="s">
        <v>1853</v>
      </c>
      <c r="B2598" s="76" t="s">
        <v>7560</v>
      </c>
      <c r="C2598" s="76" t="s">
        <v>7194</v>
      </c>
      <c r="D2598" s="76" t="s">
        <v>7122</v>
      </c>
      <c r="E2598" s="76" t="s">
        <v>7119</v>
      </c>
      <c r="F2598" s="76" t="s">
        <v>7115</v>
      </c>
    </row>
    <row r="2599" spans="1:6" ht="63.95" customHeight="1">
      <c r="A2599" s="76" t="s">
        <v>1853</v>
      </c>
      <c r="B2599" s="76" t="s">
        <v>7561</v>
      </c>
      <c r="C2599" s="76" t="s">
        <v>7121</v>
      </c>
      <c r="D2599" s="76" t="s">
        <v>7122</v>
      </c>
      <c r="E2599" s="76" t="s">
        <v>7123</v>
      </c>
      <c r="F2599" s="76" t="s">
        <v>7115</v>
      </c>
    </row>
    <row r="2600" spans="1:6" ht="63.95" customHeight="1">
      <c r="A2600" s="76" t="s">
        <v>1853</v>
      </c>
      <c r="B2600" s="76" t="s">
        <v>7562</v>
      </c>
      <c r="C2600" s="76" t="s">
        <v>7192</v>
      </c>
      <c r="D2600" s="76" t="s">
        <v>7113</v>
      </c>
      <c r="E2600" s="76" t="s">
        <v>7114</v>
      </c>
      <c r="F2600" s="76" t="s">
        <v>7115</v>
      </c>
    </row>
    <row r="2601" spans="1:6" ht="63.95" customHeight="1">
      <c r="A2601" s="76" t="s">
        <v>1853</v>
      </c>
      <c r="B2601" s="76" t="s">
        <v>7563</v>
      </c>
      <c r="C2601" s="76" t="s">
        <v>7194</v>
      </c>
      <c r="D2601" s="76" t="s">
        <v>7122</v>
      </c>
      <c r="E2601" s="76" t="s">
        <v>7119</v>
      </c>
      <c r="F2601" s="76" t="s">
        <v>7115</v>
      </c>
    </row>
    <row r="2602" spans="1:6" ht="63.95" customHeight="1">
      <c r="A2602" s="76" t="s">
        <v>1853</v>
      </c>
      <c r="B2602" s="76" t="s">
        <v>7564</v>
      </c>
      <c r="C2602" s="76" t="s">
        <v>7121</v>
      </c>
      <c r="D2602" s="76" t="s">
        <v>7122</v>
      </c>
      <c r="E2602" s="76" t="s">
        <v>7123</v>
      </c>
      <c r="F2602" s="76" t="s">
        <v>7115</v>
      </c>
    </row>
    <row r="2603" spans="1:6" ht="63.95" customHeight="1">
      <c r="A2603" s="76" t="s">
        <v>1853</v>
      </c>
      <c r="B2603" s="76" t="s">
        <v>7565</v>
      </c>
      <c r="C2603" s="76" t="s">
        <v>7192</v>
      </c>
      <c r="D2603" s="76" t="s">
        <v>7113</v>
      </c>
      <c r="E2603" s="76" t="s">
        <v>7114</v>
      </c>
      <c r="F2603" s="76" t="s">
        <v>7115</v>
      </c>
    </row>
    <row r="2604" spans="1:6" ht="63.95" customHeight="1">
      <c r="A2604" s="76" t="s">
        <v>1853</v>
      </c>
      <c r="B2604" s="76" t="s">
        <v>7566</v>
      </c>
      <c r="C2604" s="76" t="s">
        <v>7194</v>
      </c>
      <c r="D2604" s="76" t="s">
        <v>7122</v>
      </c>
      <c r="E2604" s="76" t="s">
        <v>7119</v>
      </c>
      <c r="F2604" s="76" t="s">
        <v>7115</v>
      </c>
    </row>
    <row r="2605" spans="1:6" ht="63.95" customHeight="1">
      <c r="A2605" s="76" t="s">
        <v>1853</v>
      </c>
      <c r="B2605" s="76" t="s">
        <v>7567</v>
      </c>
      <c r="C2605" s="76" t="s">
        <v>7121</v>
      </c>
      <c r="D2605" s="76" t="s">
        <v>7122</v>
      </c>
      <c r="E2605" s="76" t="s">
        <v>7123</v>
      </c>
      <c r="F2605" s="76" t="s">
        <v>7115</v>
      </c>
    </row>
    <row r="2606" spans="1:6" ht="63.95" customHeight="1">
      <c r="A2606" s="76" t="s">
        <v>1853</v>
      </c>
      <c r="B2606" s="76" t="s">
        <v>7568</v>
      </c>
      <c r="C2606" s="76" t="s">
        <v>7192</v>
      </c>
      <c r="D2606" s="76" t="s">
        <v>7113</v>
      </c>
      <c r="E2606" s="76" t="s">
        <v>7114</v>
      </c>
      <c r="F2606" s="76" t="s">
        <v>7115</v>
      </c>
    </row>
    <row r="2607" spans="1:6" ht="63.95" customHeight="1">
      <c r="A2607" s="76" t="s">
        <v>1853</v>
      </c>
      <c r="B2607" s="76" t="s">
        <v>7569</v>
      </c>
      <c r="C2607" s="76" t="s">
        <v>7194</v>
      </c>
      <c r="D2607" s="76" t="s">
        <v>7122</v>
      </c>
      <c r="E2607" s="76" t="s">
        <v>7119</v>
      </c>
      <c r="F2607" s="76" t="s">
        <v>7115</v>
      </c>
    </row>
    <row r="2608" spans="1:6" ht="63.95" customHeight="1">
      <c r="A2608" s="76" t="s">
        <v>1853</v>
      </c>
      <c r="B2608" s="76" t="s">
        <v>7570</v>
      </c>
      <c r="C2608" s="76" t="s">
        <v>7121</v>
      </c>
      <c r="D2608" s="76" t="s">
        <v>7122</v>
      </c>
      <c r="E2608" s="76" t="s">
        <v>7123</v>
      </c>
      <c r="F2608" s="76" t="s">
        <v>7115</v>
      </c>
    </row>
    <row r="2609" spans="1:6" ht="63.95" customHeight="1">
      <c r="A2609" s="76" t="s">
        <v>1853</v>
      </c>
      <c r="B2609" s="76" t="s">
        <v>7571</v>
      </c>
      <c r="C2609" s="76" t="s">
        <v>7192</v>
      </c>
      <c r="D2609" s="76" t="s">
        <v>7113</v>
      </c>
      <c r="E2609" s="76" t="s">
        <v>7114</v>
      </c>
      <c r="F2609" s="76" t="s">
        <v>7115</v>
      </c>
    </row>
    <row r="2610" spans="1:6" ht="63.95" customHeight="1">
      <c r="A2610" s="76" t="s">
        <v>1853</v>
      </c>
      <c r="B2610" s="76" t="s">
        <v>7572</v>
      </c>
      <c r="C2610" s="76" t="s">
        <v>7194</v>
      </c>
      <c r="D2610" s="76" t="s">
        <v>7122</v>
      </c>
      <c r="E2610" s="76" t="s">
        <v>7119</v>
      </c>
      <c r="F2610" s="76" t="s">
        <v>7115</v>
      </c>
    </row>
    <row r="2611" spans="1:6" ht="63.95" customHeight="1">
      <c r="A2611" s="76" t="s">
        <v>1853</v>
      </c>
      <c r="B2611" s="76" t="s">
        <v>7573</v>
      </c>
      <c r="C2611" s="76" t="s">
        <v>7121</v>
      </c>
      <c r="D2611" s="76" t="s">
        <v>7122</v>
      </c>
      <c r="E2611" s="76" t="s">
        <v>7123</v>
      </c>
      <c r="F2611" s="76" t="s">
        <v>7115</v>
      </c>
    </row>
    <row r="2612" spans="1:6" ht="63.95" customHeight="1">
      <c r="A2612" s="76" t="s">
        <v>1853</v>
      </c>
      <c r="B2612" s="76" t="s">
        <v>7574</v>
      </c>
      <c r="C2612" s="76" t="s">
        <v>7192</v>
      </c>
      <c r="D2612" s="76" t="s">
        <v>7113</v>
      </c>
      <c r="E2612" s="76" t="s">
        <v>7114</v>
      </c>
      <c r="F2612" s="76" t="s">
        <v>7115</v>
      </c>
    </row>
    <row r="2613" spans="1:6" ht="63.95" customHeight="1">
      <c r="A2613" s="76" t="s">
        <v>1853</v>
      </c>
      <c r="B2613" s="76" t="s">
        <v>7575</v>
      </c>
      <c r="C2613" s="76" t="s">
        <v>7194</v>
      </c>
      <c r="D2613" s="76" t="s">
        <v>7122</v>
      </c>
      <c r="E2613" s="76" t="s">
        <v>7119</v>
      </c>
      <c r="F2613" s="76" t="s">
        <v>7115</v>
      </c>
    </row>
    <row r="2614" spans="1:6" ht="63.95" customHeight="1">
      <c r="A2614" s="76" t="s">
        <v>1853</v>
      </c>
      <c r="B2614" s="76" t="s">
        <v>7576</v>
      </c>
      <c r="C2614" s="76" t="s">
        <v>7121</v>
      </c>
      <c r="D2614" s="76" t="s">
        <v>7122</v>
      </c>
      <c r="E2614" s="76" t="s">
        <v>7123</v>
      </c>
      <c r="F2614" s="76" t="s">
        <v>7115</v>
      </c>
    </row>
    <row r="2615" spans="1:6" ht="63.95" customHeight="1">
      <c r="A2615" s="76" t="s">
        <v>1853</v>
      </c>
      <c r="B2615" s="76" t="s">
        <v>7577</v>
      </c>
      <c r="C2615" s="76" t="s">
        <v>7192</v>
      </c>
      <c r="D2615" s="76" t="s">
        <v>7113</v>
      </c>
      <c r="E2615" s="76" t="s">
        <v>7114</v>
      </c>
      <c r="F2615" s="76" t="s">
        <v>7115</v>
      </c>
    </row>
    <row r="2616" spans="1:6" ht="63.95" customHeight="1">
      <c r="A2616" s="76" t="s">
        <v>1853</v>
      </c>
      <c r="B2616" s="76" t="s">
        <v>7578</v>
      </c>
      <c r="C2616" s="76" t="s">
        <v>7194</v>
      </c>
      <c r="D2616" s="76" t="s">
        <v>7122</v>
      </c>
      <c r="E2616" s="76" t="s">
        <v>7119</v>
      </c>
      <c r="F2616" s="76" t="s">
        <v>7115</v>
      </c>
    </row>
    <row r="2617" spans="1:6" ht="63.95" customHeight="1">
      <c r="A2617" s="76" t="s">
        <v>1853</v>
      </c>
      <c r="B2617" s="76" t="s">
        <v>7579</v>
      </c>
      <c r="C2617" s="76" t="s">
        <v>7121</v>
      </c>
      <c r="D2617" s="76" t="s">
        <v>7122</v>
      </c>
      <c r="E2617" s="76" t="s">
        <v>7123</v>
      </c>
      <c r="F2617" s="76" t="s">
        <v>7115</v>
      </c>
    </row>
    <row r="2618" spans="1:6" ht="63.95" customHeight="1">
      <c r="A2618" s="76" t="s">
        <v>1853</v>
      </c>
      <c r="B2618" s="76" t="s">
        <v>7580</v>
      </c>
      <c r="C2618" s="76" t="s">
        <v>7192</v>
      </c>
      <c r="D2618" s="76" t="s">
        <v>7113</v>
      </c>
      <c r="E2618" s="76" t="s">
        <v>7114</v>
      </c>
      <c r="F2618" s="76" t="s">
        <v>7115</v>
      </c>
    </row>
    <row r="2619" spans="1:6" ht="63.95" customHeight="1">
      <c r="A2619" s="76" t="s">
        <v>1853</v>
      </c>
      <c r="B2619" s="76" t="s">
        <v>7581</v>
      </c>
      <c r="C2619" s="76" t="s">
        <v>7194</v>
      </c>
      <c r="D2619" s="76" t="s">
        <v>7122</v>
      </c>
      <c r="E2619" s="76" t="s">
        <v>7119</v>
      </c>
      <c r="F2619" s="76" t="s">
        <v>7115</v>
      </c>
    </row>
    <row r="2620" spans="1:6" ht="63.95" customHeight="1">
      <c r="A2620" s="76" t="s">
        <v>1853</v>
      </c>
      <c r="B2620" s="76" t="s">
        <v>7582</v>
      </c>
      <c r="C2620" s="76" t="s">
        <v>7121</v>
      </c>
      <c r="D2620" s="76" t="s">
        <v>7122</v>
      </c>
      <c r="E2620" s="76" t="s">
        <v>7123</v>
      </c>
      <c r="F2620" s="76" t="s">
        <v>7115</v>
      </c>
    </row>
    <row r="2621" spans="1:6" ht="63.95" customHeight="1">
      <c r="A2621" s="76" t="s">
        <v>1853</v>
      </c>
      <c r="B2621" s="76" t="s">
        <v>7583</v>
      </c>
      <c r="C2621" s="76" t="s">
        <v>7192</v>
      </c>
      <c r="D2621" s="76" t="s">
        <v>7113</v>
      </c>
      <c r="E2621" s="76" t="s">
        <v>7114</v>
      </c>
      <c r="F2621" s="76" t="s">
        <v>7115</v>
      </c>
    </row>
    <row r="2622" spans="1:6" ht="63.95" customHeight="1">
      <c r="A2622" s="76" t="s">
        <v>1853</v>
      </c>
      <c r="B2622" s="76" t="s">
        <v>7584</v>
      </c>
      <c r="C2622" s="76" t="s">
        <v>7194</v>
      </c>
      <c r="D2622" s="76" t="s">
        <v>7122</v>
      </c>
      <c r="E2622" s="76" t="s">
        <v>7119</v>
      </c>
      <c r="F2622" s="76" t="s">
        <v>7115</v>
      </c>
    </row>
    <row r="2623" spans="1:6" ht="63.95" customHeight="1">
      <c r="A2623" s="76" t="s">
        <v>1853</v>
      </c>
      <c r="B2623" s="76" t="s">
        <v>7585</v>
      </c>
      <c r="C2623" s="76" t="s">
        <v>7121</v>
      </c>
      <c r="D2623" s="76" t="s">
        <v>7122</v>
      </c>
      <c r="E2623" s="76" t="s">
        <v>7123</v>
      </c>
      <c r="F2623" s="76" t="s">
        <v>7115</v>
      </c>
    </row>
    <row r="2624" spans="1:6" ht="63.95" customHeight="1">
      <c r="A2624" s="76" t="s">
        <v>1853</v>
      </c>
      <c r="B2624" s="76" t="s">
        <v>7586</v>
      </c>
      <c r="C2624" s="76" t="s">
        <v>7192</v>
      </c>
      <c r="D2624" s="76" t="s">
        <v>7113</v>
      </c>
      <c r="E2624" s="76" t="s">
        <v>7114</v>
      </c>
      <c r="F2624" s="76" t="s">
        <v>7115</v>
      </c>
    </row>
    <row r="2625" spans="1:6" ht="63.95" customHeight="1">
      <c r="A2625" s="76" t="s">
        <v>1853</v>
      </c>
      <c r="B2625" s="76" t="s">
        <v>7587</v>
      </c>
      <c r="C2625" s="76" t="s">
        <v>7194</v>
      </c>
      <c r="D2625" s="76" t="s">
        <v>7122</v>
      </c>
      <c r="E2625" s="76" t="s">
        <v>7119</v>
      </c>
      <c r="F2625" s="76" t="s">
        <v>7115</v>
      </c>
    </row>
    <row r="2626" spans="1:6" ht="63.95" customHeight="1">
      <c r="A2626" s="76" t="s">
        <v>1853</v>
      </c>
      <c r="B2626" s="76" t="s">
        <v>7588</v>
      </c>
      <c r="C2626" s="76" t="s">
        <v>7121</v>
      </c>
      <c r="D2626" s="76" t="s">
        <v>7122</v>
      </c>
      <c r="E2626" s="76" t="s">
        <v>7123</v>
      </c>
      <c r="F2626" s="76" t="s">
        <v>7115</v>
      </c>
    </row>
    <row r="2627" spans="1:6" ht="63.95" customHeight="1">
      <c r="A2627" s="76" t="s">
        <v>1853</v>
      </c>
      <c r="B2627" s="76" t="s">
        <v>7589</v>
      </c>
      <c r="C2627" s="76" t="s">
        <v>7192</v>
      </c>
      <c r="D2627" s="76" t="s">
        <v>7113</v>
      </c>
      <c r="E2627" s="76" t="s">
        <v>7114</v>
      </c>
      <c r="F2627" s="76" t="s">
        <v>7115</v>
      </c>
    </row>
    <row r="2628" spans="1:6" ht="63.95" customHeight="1">
      <c r="A2628" s="76" t="s">
        <v>1853</v>
      </c>
      <c r="B2628" s="76" t="s">
        <v>7590</v>
      </c>
      <c r="C2628" s="76" t="s">
        <v>7194</v>
      </c>
      <c r="D2628" s="76" t="s">
        <v>7122</v>
      </c>
      <c r="E2628" s="76" t="s">
        <v>7119</v>
      </c>
      <c r="F2628" s="76" t="s">
        <v>7115</v>
      </c>
    </row>
    <row r="2629" spans="1:6" ht="63.95" customHeight="1">
      <c r="A2629" s="76" t="s">
        <v>1853</v>
      </c>
      <c r="B2629" s="76" t="s">
        <v>7591</v>
      </c>
      <c r="C2629" s="76" t="s">
        <v>7121</v>
      </c>
      <c r="D2629" s="76" t="s">
        <v>7122</v>
      </c>
      <c r="E2629" s="76" t="s">
        <v>7123</v>
      </c>
      <c r="F2629" s="76" t="s">
        <v>7115</v>
      </c>
    </row>
    <row r="2630" spans="1:6" ht="63.95" customHeight="1">
      <c r="A2630" s="76" t="s">
        <v>1853</v>
      </c>
      <c r="B2630" s="76" t="s">
        <v>7592</v>
      </c>
      <c r="C2630" s="76" t="s">
        <v>7192</v>
      </c>
      <c r="D2630" s="76" t="s">
        <v>7113</v>
      </c>
      <c r="E2630" s="76" t="s">
        <v>7114</v>
      </c>
      <c r="F2630" s="76" t="s">
        <v>7115</v>
      </c>
    </row>
    <row r="2631" spans="1:6" ht="63.95" customHeight="1">
      <c r="A2631" s="76" t="s">
        <v>1853</v>
      </c>
      <c r="B2631" s="76" t="s">
        <v>7593</v>
      </c>
      <c r="C2631" s="76" t="s">
        <v>7194</v>
      </c>
      <c r="D2631" s="76" t="s">
        <v>7122</v>
      </c>
      <c r="E2631" s="76" t="s">
        <v>7119</v>
      </c>
      <c r="F2631" s="76" t="s">
        <v>7115</v>
      </c>
    </row>
    <row r="2632" spans="1:6" ht="63.95" customHeight="1">
      <c r="A2632" s="76" t="s">
        <v>1853</v>
      </c>
      <c r="B2632" s="76" t="s">
        <v>7594</v>
      </c>
      <c r="C2632" s="76" t="s">
        <v>7121</v>
      </c>
      <c r="D2632" s="76" t="s">
        <v>7122</v>
      </c>
      <c r="E2632" s="76" t="s">
        <v>7123</v>
      </c>
      <c r="F2632" s="76" t="s">
        <v>7115</v>
      </c>
    </row>
    <row r="2633" spans="1:6" ht="63.95" customHeight="1">
      <c r="A2633" s="76" t="s">
        <v>1853</v>
      </c>
      <c r="B2633" s="76" t="s">
        <v>7595</v>
      </c>
      <c r="C2633" s="76" t="s">
        <v>7192</v>
      </c>
      <c r="D2633" s="76" t="s">
        <v>7113</v>
      </c>
      <c r="E2633" s="76" t="s">
        <v>7114</v>
      </c>
      <c r="F2633" s="76" t="s">
        <v>7115</v>
      </c>
    </row>
    <row r="2634" spans="1:6" ht="63.95" customHeight="1">
      <c r="A2634" s="76" t="s">
        <v>1853</v>
      </c>
      <c r="B2634" s="76" t="s">
        <v>7596</v>
      </c>
      <c r="C2634" s="76" t="s">
        <v>7194</v>
      </c>
      <c r="D2634" s="76" t="s">
        <v>7122</v>
      </c>
      <c r="E2634" s="76" t="s">
        <v>7119</v>
      </c>
      <c r="F2634" s="76" t="s">
        <v>7115</v>
      </c>
    </row>
    <row r="2635" spans="1:6" ht="63.95" customHeight="1">
      <c r="A2635" s="76" t="s">
        <v>1853</v>
      </c>
      <c r="B2635" s="76" t="s">
        <v>7597</v>
      </c>
      <c r="C2635" s="76" t="s">
        <v>7121</v>
      </c>
      <c r="D2635" s="76" t="s">
        <v>7122</v>
      </c>
      <c r="E2635" s="76" t="s">
        <v>7123</v>
      </c>
      <c r="F2635" s="76" t="s">
        <v>7115</v>
      </c>
    </row>
    <row r="2636" spans="1:6" ht="63.95" customHeight="1">
      <c r="A2636" s="76" t="s">
        <v>1853</v>
      </c>
      <c r="B2636" s="76" t="s">
        <v>7598</v>
      </c>
      <c r="C2636" s="76" t="s">
        <v>7192</v>
      </c>
      <c r="D2636" s="76" t="s">
        <v>7113</v>
      </c>
      <c r="E2636" s="76" t="s">
        <v>7114</v>
      </c>
      <c r="F2636" s="76" t="s">
        <v>7115</v>
      </c>
    </row>
    <row r="2637" spans="1:6" ht="63.95" customHeight="1">
      <c r="A2637" s="76" t="s">
        <v>1853</v>
      </c>
      <c r="B2637" s="76" t="s">
        <v>7599</v>
      </c>
      <c r="C2637" s="76" t="s">
        <v>7194</v>
      </c>
      <c r="D2637" s="76" t="s">
        <v>7122</v>
      </c>
      <c r="E2637" s="76" t="s">
        <v>7119</v>
      </c>
      <c r="F2637" s="76" t="s">
        <v>7115</v>
      </c>
    </row>
    <row r="2638" spans="1:6" ht="63.95" customHeight="1">
      <c r="A2638" s="76" t="s">
        <v>1853</v>
      </c>
      <c r="B2638" s="76" t="s">
        <v>7600</v>
      </c>
      <c r="C2638" s="76" t="s">
        <v>7121</v>
      </c>
      <c r="D2638" s="76" t="s">
        <v>7122</v>
      </c>
      <c r="E2638" s="76" t="s">
        <v>7123</v>
      </c>
      <c r="F2638" s="76" t="s">
        <v>7115</v>
      </c>
    </row>
    <row r="2639" spans="1:6" ht="63.95" customHeight="1">
      <c r="A2639" s="76" t="s">
        <v>1853</v>
      </c>
      <c r="B2639" s="76" t="s">
        <v>7601</v>
      </c>
      <c r="C2639" s="76" t="s">
        <v>7192</v>
      </c>
      <c r="D2639" s="76" t="s">
        <v>7113</v>
      </c>
      <c r="E2639" s="76" t="s">
        <v>7114</v>
      </c>
      <c r="F2639" s="76" t="s">
        <v>7115</v>
      </c>
    </row>
    <row r="2640" spans="1:6" ht="63.95" customHeight="1">
      <c r="A2640" s="76" t="s">
        <v>1853</v>
      </c>
      <c r="B2640" s="76" t="s">
        <v>7602</v>
      </c>
      <c r="C2640" s="76" t="s">
        <v>7194</v>
      </c>
      <c r="D2640" s="76" t="s">
        <v>7122</v>
      </c>
      <c r="E2640" s="76" t="s">
        <v>7119</v>
      </c>
      <c r="F2640" s="76" t="s">
        <v>7115</v>
      </c>
    </row>
    <row r="2641" spans="1:6" ht="63.95" customHeight="1">
      <c r="A2641" s="76" t="s">
        <v>1853</v>
      </c>
      <c r="B2641" s="76" t="s">
        <v>7603</v>
      </c>
      <c r="C2641" s="76" t="s">
        <v>7121</v>
      </c>
      <c r="D2641" s="76" t="s">
        <v>7122</v>
      </c>
      <c r="E2641" s="76" t="s">
        <v>7123</v>
      </c>
      <c r="F2641" s="76" t="s">
        <v>7115</v>
      </c>
    </row>
    <row r="2642" spans="1:6" ht="63.95" customHeight="1">
      <c r="A2642" s="76" t="s">
        <v>1853</v>
      </c>
      <c r="B2642" s="76" t="s">
        <v>7604</v>
      </c>
      <c r="C2642" s="76" t="s">
        <v>7192</v>
      </c>
      <c r="D2642" s="76" t="s">
        <v>7113</v>
      </c>
      <c r="E2642" s="76" t="s">
        <v>7114</v>
      </c>
      <c r="F2642" s="76" t="s">
        <v>7115</v>
      </c>
    </row>
    <row r="2643" spans="1:6" ht="63.95" customHeight="1">
      <c r="A2643" s="76" t="s">
        <v>1853</v>
      </c>
      <c r="B2643" s="76" t="s">
        <v>7605</v>
      </c>
      <c r="C2643" s="76" t="s">
        <v>7194</v>
      </c>
      <c r="D2643" s="76" t="s">
        <v>7122</v>
      </c>
      <c r="E2643" s="76" t="s">
        <v>7119</v>
      </c>
      <c r="F2643" s="76" t="s">
        <v>7115</v>
      </c>
    </row>
    <row r="2644" spans="1:6" ht="63.95" customHeight="1">
      <c r="A2644" s="76" t="s">
        <v>1853</v>
      </c>
      <c r="B2644" s="76" t="s">
        <v>7606</v>
      </c>
      <c r="C2644" s="76" t="s">
        <v>7121</v>
      </c>
      <c r="D2644" s="76" t="s">
        <v>7122</v>
      </c>
      <c r="E2644" s="76" t="s">
        <v>7123</v>
      </c>
      <c r="F2644" s="76" t="s">
        <v>7115</v>
      </c>
    </row>
    <row r="2645" spans="1:6" ht="63.95" customHeight="1">
      <c r="A2645" s="76" t="s">
        <v>1853</v>
      </c>
      <c r="B2645" s="76" t="s">
        <v>7607</v>
      </c>
      <c r="C2645" s="76" t="s">
        <v>7192</v>
      </c>
      <c r="D2645" s="76" t="s">
        <v>7113</v>
      </c>
      <c r="E2645" s="76" t="s">
        <v>7114</v>
      </c>
      <c r="F2645" s="76" t="s">
        <v>7115</v>
      </c>
    </row>
    <row r="2646" spans="1:6" ht="63.95" customHeight="1">
      <c r="A2646" s="76" t="s">
        <v>1853</v>
      </c>
      <c r="B2646" s="76" t="s">
        <v>7608</v>
      </c>
      <c r="C2646" s="76" t="s">
        <v>7194</v>
      </c>
      <c r="D2646" s="76" t="s">
        <v>7122</v>
      </c>
      <c r="E2646" s="76" t="s">
        <v>7119</v>
      </c>
      <c r="F2646" s="76" t="s">
        <v>7115</v>
      </c>
    </row>
    <row r="2647" spans="1:6" ht="63.95" customHeight="1">
      <c r="A2647" s="76" t="s">
        <v>1853</v>
      </c>
      <c r="B2647" s="76" t="s">
        <v>7609</v>
      </c>
      <c r="C2647" s="76" t="s">
        <v>7121</v>
      </c>
      <c r="D2647" s="76" t="s">
        <v>7122</v>
      </c>
      <c r="E2647" s="76" t="s">
        <v>7123</v>
      </c>
      <c r="F2647" s="76" t="s">
        <v>7115</v>
      </c>
    </row>
    <row r="2648" spans="1:6" ht="63.95" customHeight="1">
      <c r="A2648" s="76" t="s">
        <v>1853</v>
      </c>
      <c r="B2648" s="76" t="s">
        <v>7610</v>
      </c>
      <c r="C2648" s="76" t="s">
        <v>7192</v>
      </c>
      <c r="D2648" s="76" t="s">
        <v>7113</v>
      </c>
      <c r="E2648" s="76" t="s">
        <v>7114</v>
      </c>
      <c r="F2648" s="76" t="s">
        <v>7115</v>
      </c>
    </row>
    <row r="2649" spans="1:6" ht="63.95" customHeight="1">
      <c r="A2649" s="76" t="s">
        <v>1853</v>
      </c>
      <c r="B2649" s="76" t="s">
        <v>7611</v>
      </c>
      <c r="C2649" s="76" t="s">
        <v>7194</v>
      </c>
      <c r="D2649" s="76" t="s">
        <v>7122</v>
      </c>
      <c r="E2649" s="76" t="s">
        <v>7119</v>
      </c>
      <c r="F2649" s="76" t="s">
        <v>7115</v>
      </c>
    </row>
    <row r="2650" spans="1:6" ht="63.95" customHeight="1">
      <c r="A2650" s="76" t="s">
        <v>1853</v>
      </c>
      <c r="B2650" s="76" t="s">
        <v>7612</v>
      </c>
      <c r="C2650" s="76" t="s">
        <v>7121</v>
      </c>
      <c r="D2650" s="76" t="s">
        <v>7122</v>
      </c>
      <c r="E2650" s="76" t="s">
        <v>7123</v>
      </c>
      <c r="F2650" s="76" t="s">
        <v>7115</v>
      </c>
    </row>
    <row r="2651" spans="1:6" ht="63.95" customHeight="1">
      <c r="A2651" s="76" t="s">
        <v>1853</v>
      </c>
      <c r="B2651" s="76" t="s">
        <v>7613</v>
      </c>
      <c r="C2651" s="76" t="s">
        <v>7192</v>
      </c>
      <c r="D2651" s="76" t="s">
        <v>7113</v>
      </c>
      <c r="E2651" s="76" t="s">
        <v>7114</v>
      </c>
      <c r="F2651" s="76" t="s">
        <v>7115</v>
      </c>
    </row>
    <row r="2652" spans="1:6" ht="63.95" customHeight="1">
      <c r="A2652" s="76" t="s">
        <v>1853</v>
      </c>
      <c r="B2652" s="76" t="s">
        <v>7614</v>
      </c>
      <c r="C2652" s="76" t="s">
        <v>7194</v>
      </c>
      <c r="D2652" s="76" t="s">
        <v>7122</v>
      </c>
      <c r="E2652" s="76" t="s">
        <v>7119</v>
      </c>
      <c r="F2652" s="76" t="s">
        <v>7115</v>
      </c>
    </row>
    <row r="2653" spans="1:6" ht="63.95" customHeight="1">
      <c r="A2653" s="76" t="s">
        <v>1853</v>
      </c>
      <c r="B2653" s="76" t="s">
        <v>7615</v>
      </c>
      <c r="C2653" s="76" t="s">
        <v>7121</v>
      </c>
      <c r="D2653" s="76" t="s">
        <v>7122</v>
      </c>
      <c r="E2653" s="76" t="s">
        <v>7123</v>
      </c>
      <c r="F2653" s="76" t="s">
        <v>7115</v>
      </c>
    </row>
    <row r="2654" spans="1:6" ht="63.95" customHeight="1">
      <c r="A2654" s="76" t="s">
        <v>1853</v>
      </c>
      <c r="B2654" s="76" t="s">
        <v>7616</v>
      </c>
      <c r="C2654" s="76" t="s">
        <v>7192</v>
      </c>
      <c r="D2654" s="76" t="s">
        <v>7113</v>
      </c>
      <c r="E2654" s="76" t="s">
        <v>7114</v>
      </c>
      <c r="F2654" s="76" t="s">
        <v>7115</v>
      </c>
    </row>
    <row r="2655" spans="1:6" ht="63.95" customHeight="1">
      <c r="A2655" s="76" t="s">
        <v>1853</v>
      </c>
      <c r="B2655" s="76" t="s">
        <v>7617</v>
      </c>
      <c r="C2655" s="76" t="s">
        <v>7194</v>
      </c>
      <c r="D2655" s="76" t="s">
        <v>7122</v>
      </c>
      <c r="E2655" s="76" t="s">
        <v>7119</v>
      </c>
      <c r="F2655" s="76" t="s">
        <v>7115</v>
      </c>
    </row>
    <row r="2656" spans="1:6" ht="63.95" customHeight="1">
      <c r="A2656" s="76" t="s">
        <v>1853</v>
      </c>
      <c r="B2656" s="76" t="s">
        <v>7618</v>
      </c>
      <c r="C2656" s="76" t="s">
        <v>7121</v>
      </c>
      <c r="D2656" s="76" t="s">
        <v>7122</v>
      </c>
      <c r="E2656" s="76" t="s">
        <v>7123</v>
      </c>
      <c r="F2656" s="76" t="s">
        <v>7115</v>
      </c>
    </row>
    <row r="2657" spans="1:6" ht="63.95" customHeight="1">
      <c r="A2657" s="76" t="s">
        <v>1853</v>
      </c>
      <c r="B2657" s="76" t="s">
        <v>7619</v>
      </c>
      <c r="C2657" s="76" t="s">
        <v>7192</v>
      </c>
      <c r="D2657" s="76" t="s">
        <v>7113</v>
      </c>
      <c r="E2657" s="76" t="s">
        <v>7114</v>
      </c>
      <c r="F2657" s="76" t="s">
        <v>7115</v>
      </c>
    </row>
    <row r="2658" spans="1:6" ht="63.95" customHeight="1">
      <c r="A2658" s="76" t="s">
        <v>1853</v>
      </c>
      <c r="B2658" s="76" t="s">
        <v>7620</v>
      </c>
      <c r="C2658" s="76" t="s">
        <v>7194</v>
      </c>
      <c r="D2658" s="76" t="s">
        <v>7122</v>
      </c>
      <c r="E2658" s="76" t="s">
        <v>7119</v>
      </c>
      <c r="F2658" s="76" t="s">
        <v>7115</v>
      </c>
    </row>
    <row r="2659" spans="1:6" ht="63.95" customHeight="1">
      <c r="A2659" s="76" t="s">
        <v>1853</v>
      </c>
      <c r="B2659" s="76" t="s">
        <v>7621</v>
      </c>
      <c r="C2659" s="76" t="s">
        <v>7121</v>
      </c>
      <c r="D2659" s="76" t="s">
        <v>7122</v>
      </c>
      <c r="E2659" s="76" t="s">
        <v>7123</v>
      </c>
      <c r="F2659" s="76" t="s">
        <v>7115</v>
      </c>
    </row>
    <row r="2660" spans="1:6" ht="63.95" customHeight="1">
      <c r="A2660" s="76" t="s">
        <v>1853</v>
      </c>
      <c r="B2660" s="76" t="s">
        <v>7622</v>
      </c>
      <c r="C2660" s="76" t="s">
        <v>7134</v>
      </c>
      <c r="D2660" s="76" t="s">
        <v>7113</v>
      </c>
      <c r="E2660" s="76" t="s">
        <v>7114</v>
      </c>
      <c r="F2660" s="76" t="s">
        <v>7115</v>
      </c>
    </row>
    <row r="2661" spans="1:6" ht="63.95" customHeight="1">
      <c r="A2661" s="76" t="s">
        <v>1853</v>
      </c>
      <c r="B2661" s="76" t="s">
        <v>7623</v>
      </c>
      <c r="C2661" s="76" t="s">
        <v>7117</v>
      </c>
      <c r="D2661" s="76" t="s">
        <v>7118</v>
      </c>
      <c r="E2661" s="76" t="s">
        <v>7119</v>
      </c>
      <c r="F2661" s="76" t="s">
        <v>7115</v>
      </c>
    </row>
    <row r="2662" spans="1:6" ht="63.95" customHeight="1">
      <c r="A2662" s="76" t="s">
        <v>1853</v>
      </c>
      <c r="B2662" s="76" t="s">
        <v>7624</v>
      </c>
      <c r="C2662" s="76" t="s">
        <v>7121</v>
      </c>
      <c r="D2662" s="76" t="s">
        <v>7122</v>
      </c>
      <c r="E2662" s="76" t="s">
        <v>7123</v>
      </c>
      <c r="F2662" s="76" t="s">
        <v>7115</v>
      </c>
    </row>
    <row r="2663" spans="1:6" ht="63.95" customHeight="1">
      <c r="A2663" s="76" t="s">
        <v>1853</v>
      </c>
      <c r="B2663" s="76" t="s">
        <v>7625</v>
      </c>
      <c r="C2663" s="76" t="s">
        <v>7192</v>
      </c>
      <c r="D2663" s="76" t="s">
        <v>7113</v>
      </c>
      <c r="E2663" s="76" t="s">
        <v>7114</v>
      </c>
      <c r="F2663" s="76" t="s">
        <v>7115</v>
      </c>
    </row>
    <row r="2664" spans="1:6" ht="63.95" customHeight="1">
      <c r="A2664" s="76" t="s">
        <v>1853</v>
      </c>
      <c r="B2664" s="76" t="s">
        <v>7626</v>
      </c>
      <c r="C2664" s="76" t="s">
        <v>7194</v>
      </c>
      <c r="D2664" s="76" t="s">
        <v>7122</v>
      </c>
      <c r="E2664" s="76" t="s">
        <v>7119</v>
      </c>
      <c r="F2664" s="76" t="s">
        <v>7115</v>
      </c>
    </row>
    <row r="2665" spans="1:6" ht="63.95" customHeight="1">
      <c r="A2665" s="76" t="s">
        <v>1853</v>
      </c>
      <c r="B2665" s="76" t="s">
        <v>7627</v>
      </c>
      <c r="C2665" s="76" t="s">
        <v>7121</v>
      </c>
      <c r="D2665" s="76" t="s">
        <v>7122</v>
      </c>
      <c r="E2665" s="76" t="s">
        <v>7123</v>
      </c>
      <c r="F2665" s="76" t="s">
        <v>7115</v>
      </c>
    </row>
    <row r="2666" spans="1:6" ht="63.95" customHeight="1">
      <c r="A2666" s="76" t="s">
        <v>1853</v>
      </c>
      <c r="B2666" s="76" t="s">
        <v>7628</v>
      </c>
      <c r="C2666" s="76" t="s">
        <v>7134</v>
      </c>
      <c r="D2666" s="76" t="s">
        <v>7113</v>
      </c>
      <c r="E2666" s="76" t="s">
        <v>7114</v>
      </c>
      <c r="F2666" s="76" t="s">
        <v>7115</v>
      </c>
    </row>
    <row r="2667" spans="1:6" ht="63.95" customHeight="1">
      <c r="A2667" s="76" t="s">
        <v>1853</v>
      </c>
      <c r="B2667" s="76" t="s">
        <v>7629</v>
      </c>
      <c r="C2667" s="76" t="s">
        <v>7117</v>
      </c>
      <c r="D2667" s="76" t="s">
        <v>7118</v>
      </c>
      <c r="E2667" s="76" t="s">
        <v>7119</v>
      </c>
      <c r="F2667" s="76" t="s">
        <v>7115</v>
      </c>
    </row>
    <row r="2668" spans="1:6" ht="63.95" customHeight="1">
      <c r="A2668" s="76" t="s">
        <v>1853</v>
      </c>
      <c r="B2668" s="76" t="s">
        <v>7630</v>
      </c>
      <c r="C2668" s="76" t="s">
        <v>7121</v>
      </c>
      <c r="D2668" s="76" t="s">
        <v>7122</v>
      </c>
      <c r="E2668" s="76" t="s">
        <v>7123</v>
      </c>
      <c r="F2668" s="76" t="s">
        <v>7115</v>
      </c>
    </row>
    <row r="2669" spans="1:6" ht="63.95" customHeight="1">
      <c r="A2669" s="76" t="s">
        <v>1853</v>
      </c>
      <c r="B2669" s="76" t="s">
        <v>7631</v>
      </c>
      <c r="C2669" s="76" t="s">
        <v>7192</v>
      </c>
      <c r="D2669" s="76" t="s">
        <v>7113</v>
      </c>
      <c r="E2669" s="76" t="s">
        <v>7114</v>
      </c>
      <c r="F2669" s="76" t="s">
        <v>7115</v>
      </c>
    </row>
    <row r="2670" spans="1:6" ht="63.95" customHeight="1">
      <c r="A2670" s="76" t="s">
        <v>1853</v>
      </c>
      <c r="B2670" s="76" t="s">
        <v>7632</v>
      </c>
      <c r="C2670" s="76" t="s">
        <v>7117</v>
      </c>
      <c r="D2670" s="76" t="s">
        <v>7118</v>
      </c>
      <c r="E2670" s="76" t="s">
        <v>7119</v>
      </c>
      <c r="F2670" s="76" t="s">
        <v>7115</v>
      </c>
    </row>
    <row r="2671" spans="1:6" ht="63.95" customHeight="1">
      <c r="A2671" s="76" t="s">
        <v>1853</v>
      </c>
      <c r="B2671" s="76" t="s">
        <v>7633</v>
      </c>
      <c r="C2671" s="76" t="s">
        <v>7121</v>
      </c>
      <c r="D2671" s="76" t="s">
        <v>7122</v>
      </c>
      <c r="E2671" s="76" t="s">
        <v>7123</v>
      </c>
      <c r="F2671" s="76" t="s">
        <v>7115</v>
      </c>
    </row>
    <row r="2672" spans="1:6" ht="63.95" customHeight="1">
      <c r="A2672" s="76" t="s">
        <v>1853</v>
      </c>
      <c r="B2672" s="76" t="s">
        <v>7634</v>
      </c>
      <c r="C2672" s="76" t="s">
        <v>7192</v>
      </c>
      <c r="D2672" s="76" t="s">
        <v>7113</v>
      </c>
      <c r="E2672" s="76" t="s">
        <v>7114</v>
      </c>
      <c r="F2672" s="76" t="s">
        <v>7115</v>
      </c>
    </row>
    <row r="2673" spans="1:6" ht="63.95" customHeight="1">
      <c r="A2673" s="76" t="s">
        <v>1853</v>
      </c>
      <c r="B2673" s="76" t="s">
        <v>7635</v>
      </c>
      <c r="C2673" s="76" t="s">
        <v>7117</v>
      </c>
      <c r="D2673" s="76" t="s">
        <v>7118</v>
      </c>
      <c r="E2673" s="76" t="s">
        <v>7119</v>
      </c>
      <c r="F2673" s="76" t="s">
        <v>7115</v>
      </c>
    </row>
    <row r="2674" spans="1:6" ht="63.95" customHeight="1">
      <c r="A2674" s="76" t="s">
        <v>1853</v>
      </c>
      <c r="B2674" s="76" t="s">
        <v>7636</v>
      </c>
      <c r="C2674" s="76" t="s">
        <v>7121</v>
      </c>
      <c r="D2674" s="76" t="s">
        <v>7122</v>
      </c>
      <c r="E2674" s="76" t="s">
        <v>7123</v>
      </c>
      <c r="F2674" s="76" t="s">
        <v>7115</v>
      </c>
    </row>
    <row r="2675" spans="1:6" ht="63.95" customHeight="1">
      <c r="A2675" s="76" t="s">
        <v>1853</v>
      </c>
      <c r="B2675" s="76" t="s">
        <v>7637</v>
      </c>
      <c r="C2675" s="76" t="s">
        <v>7192</v>
      </c>
      <c r="D2675" s="76" t="s">
        <v>7113</v>
      </c>
      <c r="E2675" s="76" t="s">
        <v>7114</v>
      </c>
      <c r="F2675" s="76" t="s">
        <v>7115</v>
      </c>
    </row>
    <row r="2676" spans="1:6" ht="63.95" customHeight="1">
      <c r="A2676" s="76" t="s">
        <v>1853</v>
      </c>
      <c r="B2676" s="76" t="s">
        <v>7638</v>
      </c>
      <c r="C2676" s="76" t="s">
        <v>7117</v>
      </c>
      <c r="D2676" s="76" t="s">
        <v>7118</v>
      </c>
      <c r="E2676" s="76" t="s">
        <v>7119</v>
      </c>
      <c r="F2676" s="76" t="s">
        <v>7115</v>
      </c>
    </row>
    <row r="2677" spans="1:6" ht="63.95" customHeight="1">
      <c r="A2677" s="76" t="s">
        <v>1853</v>
      </c>
      <c r="B2677" s="76" t="s">
        <v>7639</v>
      </c>
      <c r="C2677" s="76" t="s">
        <v>7121</v>
      </c>
      <c r="D2677" s="76" t="s">
        <v>7122</v>
      </c>
      <c r="E2677" s="76" t="s">
        <v>7123</v>
      </c>
      <c r="F2677" s="76" t="s">
        <v>7115</v>
      </c>
    </row>
    <row r="2678" spans="1:6" ht="63.95" customHeight="1">
      <c r="A2678" s="76" t="s">
        <v>1853</v>
      </c>
      <c r="B2678" s="76" t="s">
        <v>7640</v>
      </c>
      <c r="C2678" s="76" t="s">
        <v>7192</v>
      </c>
      <c r="D2678" s="76" t="s">
        <v>7113</v>
      </c>
      <c r="E2678" s="76" t="s">
        <v>7114</v>
      </c>
      <c r="F2678" s="76" t="s">
        <v>7115</v>
      </c>
    </row>
    <row r="2679" spans="1:6" ht="63.95" customHeight="1">
      <c r="A2679" s="76" t="s">
        <v>1853</v>
      </c>
      <c r="B2679" s="76" t="s">
        <v>7641</v>
      </c>
      <c r="C2679" s="76" t="s">
        <v>7117</v>
      </c>
      <c r="D2679" s="76" t="s">
        <v>7118</v>
      </c>
      <c r="E2679" s="76" t="s">
        <v>7119</v>
      </c>
      <c r="F2679" s="76" t="s">
        <v>7115</v>
      </c>
    </row>
    <row r="2680" spans="1:6" ht="63.95" customHeight="1">
      <c r="A2680" s="76" t="s">
        <v>1853</v>
      </c>
      <c r="B2680" s="76" t="s">
        <v>7642</v>
      </c>
      <c r="C2680" s="76" t="s">
        <v>7121</v>
      </c>
      <c r="D2680" s="76" t="s">
        <v>7122</v>
      </c>
      <c r="E2680" s="76" t="s">
        <v>7123</v>
      </c>
      <c r="F2680" s="76" t="s">
        <v>7115</v>
      </c>
    </row>
    <row r="2681" spans="1:6" ht="63.95" customHeight="1">
      <c r="A2681" s="76" t="s">
        <v>1853</v>
      </c>
      <c r="B2681" s="76" t="s">
        <v>7643</v>
      </c>
      <c r="C2681" s="76" t="s">
        <v>7192</v>
      </c>
      <c r="D2681" s="76" t="s">
        <v>7113</v>
      </c>
      <c r="E2681" s="76" t="s">
        <v>7114</v>
      </c>
      <c r="F2681" s="76" t="s">
        <v>7115</v>
      </c>
    </row>
    <row r="2682" spans="1:6" ht="63.95" customHeight="1">
      <c r="A2682" s="76" t="s">
        <v>1853</v>
      </c>
      <c r="B2682" s="76" t="s">
        <v>7644</v>
      </c>
      <c r="C2682" s="76" t="s">
        <v>7117</v>
      </c>
      <c r="D2682" s="76" t="s">
        <v>7118</v>
      </c>
      <c r="E2682" s="76" t="s">
        <v>7119</v>
      </c>
      <c r="F2682" s="76" t="s">
        <v>7115</v>
      </c>
    </row>
    <row r="2683" spans="1:6" ht="63.95" customHeight="1">
      <c r="A2683" s="76" t="s">
        <v>1853</v>
      </c>
      <c r="B2683" s="76" t="s">
        <v>7645</v>
      </c>
      <c r="C2683" s="76" t="s">
        <v>7121</v>
      </c>
      <c r="D2683" s="76" t="s">
        <v>7122</v>
      </c>
      <c r="E2683" s="76" t="s">
        <v>7123</v>
      </c>
      <c r="F2683" s="76" t="s">
        <v>7115</v>
      </c>
    </row>
    <row r="2684" spans="1:6" ht="63.95" customHeight="1">
      <c r="A2684" s="76" t="s">
        <v>1853</v>
      </c>
      <c r="B2684" s="76" t="s">
        <v>7646</v>
      </c>
      <c r="C2684" s="76" t="s">
        <v>7192</v>
      </c>
      <c r="D2684" s="76" t="s">
        <v>7113</v>
      </c>
      <c r="E2684" s="76" t="s">
        <v>7114</v>
      </c>
      <c r="F2684" s="76" t="s">
        <v>7115</v>
      </c>
    </row>
    <row r="2685" spans="1:6" ht="63.95" customHeight="1">
      <c r="A2685" s="76" t="s">
        <v>1853</v>
      </c>
      <c r="B2685" s="76" t="s">
        <v>7647</v>
      </c>
      <c r="C2685" s="76" t="s">
        <v>7194</v>
      </c>
      <c r="D2685" s="76" t="s">
        <v>7122</v>
      </c>
      <c r="E2685" s="76" t="s">
        <v>7119</v>
      </c>
      <c r="F2685" s="76" t="s">
        <v>7115</v>
      </c>
    </row>
    <row r="2686" spans="1:6" ht="63.95" customHeight="1">
      <c r="A2686" s="76" t="s">
        <v>1853</v>
      </c>
      <c r="B2686" s="76" t="s">
        <v>7648</v>
      </c>
      <c r="C2686" s="76" t="s">
        <v>7121</v>
      </c>
      <c r="D2686" s="76" t="s">
        <v>7122</v>
      </c>
      <c r="E2686" s="76" t="s">
        <v>7123</v>
      </c>
      <c r="F2686" s="76" t="s">
        <v>7115</v>
      </c>
    </row>
    <row r="2687" spans="1:6" ht="63.95" customHeight="1">
      <c r="A2687" s="76" t="s">
        <v>1853</v>
      </c>
      <c r="B2687" s="76" t="s">
        <v>7649</v>
      </c>
      <c r="C2687" s="76" t="s">
        <v>7192</v>
      </c>
      <c r="D2687" s="76" t="s">
        <v>7113</v>
      </c>
      <c r="E2687" s="76" t="s">
        <v>7114</v>
      </c>
      <c r="F2687" s="76" t="s">
        <v>7115</v>
      </c>
    </row>
    <row r="2688" spans="1:6" ht="63.95" customHeight="1">
      <c r="A2688" s="76" t="s">
        <v>1853</v>
      </c>
      <c r="B2688" s="76" t="s">
        <v>7650</v>
      </c>
      <c r="C2688" s="76" t="s">
        <v>7238</v>
      </c>
      <c r="D2688" s="76" t="s">
        <v>7239</v>
      </c>
      <c r="E2688" s="76" t="s">
        <v>7119</v>
      </c>
      <c r="F2688" s="76" t="s">
        <v>7115</v>
      </c>
    </row>
    <row r="2689" spans="1:6" ht="63.95" customHeight="1">
      <c r="A2689" s="76" t="s">
        <v>1853</v>
      </c>
      <c r="B2689" s="76" t="s">
        <v>7651</v>
      </c>
      <c r="C2689" s="76" t="s">
        <v>7121</v>
      </c>
      <c r="D2689" s="76" t="s">
        <v>7122</v>
      </c>
      <c r="E2689" s="76" t="s">
        <v>7123</v>
      </c>
      <c r="F2689" s="76" t="s">
        <v>7115</v>
      </c>
    </row>
    <row r="2690" spans="1:6" ht="63.95" customHeight="1">
      <c r="A2690" s="76" t="s">
        <v>1853</v>
      </c>
      <c r="B2690" s="76" t="s">
        <v>7652</v>
      </c>
      <c r="C2690" s="76" t="s">
        <v>7197</v>
      </c>
      <c r="D2690" s="76" t="s">
        <v>7113</v>
      </c>
      <c r="E2690" s="76" t="s">
        <v>7114</v>
      </c>
      <c r="F2690" s="76" t="s">
        <v>7115</v>
      </c>
    </row>
    <row r="2691" spans="1:6" ht="63.95" customHeight="1">
      <c r="A2691" s="76" t="s">
        <v>1853</v>
      </c>
      <c r="B2691" s="76" t="s">
        <v>7653</v>
      </c>
      <c r="C2691" s="76" t="s">
        <v>7199</v>
      </c>
      <c r="D2691" s="76" t="s">
        <v>7200</v>
      </c>
      <c r="E2691" s="76" t="s">
        <v>7119</v>
      </c>
      <c r="F2691" s="76" t="s">
        <v>7115</v>
      </c>
    </row>
    <row r="2692" spans="1:6" ht="63.95" customHeight="1">
      <c r="A2692" s="76" t="s">
        <v>1853</v>
      </c>
      <c r="B2692" s="76" t="s">
        <v>7654</v>
      </c>
      <c r="C2692" s="76" t="s">
        <v>7121</v>
      </c>
      <c r="D2692" s="76" t="s">
        <v>7122</v>
      </c>
      <c r="E2692" s="76" t="s">
        <v>7123</v>
      </c>
      <c r="F2692" s="76" t="s">
        <v>7115</v>
      </c>
    </row>
    <row r="2693" spans="1:6" ht="63.95" customHeight="1">
      <c r="A2693" s="76" t="s">
        <v>1853</v>
      </c>
      <c r="B2693" s="76" t="s">
        <v>7655</v>
      </c>
      <c r="C2693" s="76" t="s">
        <v>7192</v>
      </c>
      <c r="D2693" s="76" t="s">
        <v>7113</v>
      </c>
      <c r="E2693" s="76" t="s">
        <v>7114</v>
      </c>
      <c r="F2693" s="76" t="s">
        <v>7115</v>
      </c>
    </row>
    <row r="2694" spans="1:6" ht="63.95" customHeight="1">
      <c r="A2694" s="76" t="s">
        <v>1853</v>
      </c>
      <c r="B2694" s="76" t="s">
        <v>7656</v>
      </c>
      <c r="C2694" s="76" t="s">
        <v>7194</v>
      </c>
      <c r="D2694" s="76" t="s">
        <v>7122</v>
      </c>
      <c r="E2694" s="76" t="s">
        <v>7119</v>
      </c>
      <c r="F2694" s="76" t="s">
        <v>7115</v>
      </c>
    </row>
    <row r="2695" spans="1:6" ht="63.95" customHeight="1">
      <c r="A2695" s="76" t="s">
        <v>1853</v>
      </c>
      <c r="B2695" s="76" t="s">
        <v>7657</v>
      </c>
      <c r="C2695" s="76" t="s">
        <v>7121</v>
      </c>
      <c r="D2695" s="76" t="s">
        <v>7122</v>
      </c>
      <c r="E2695" s="76" t="s">
        <v>7123</v>
      </c>
      <c r="F2695" s="76" t="s">
        <v>7115</v>
      </c>
    </row>
    <row r="2696" spans="1:6" ht="63.95" customHeight="1">
      <c r="A2696" s="76" t="s">
        <v>1853</v>
      </c>
      <c r="B2696" s="76" t="s">
        <v>7658</v>
      </c>
      <c r="C2696" s="76" t="s">
        <v>7192</v>
      </c>
      <c r="D2696" s="76" t="s">
        <v>7113</v>
      </c>
      <c r="E2696" s="76" t="s">
        <v>7114</v>
      </c>
      <c r="F2696" s="76" t="s">
        <v>7115</v>
      </c>
    </row>
    <row r="2697" spans="1:6" ht="63.95" customHeight="1">
      <c r="A2697" s="76" t="s">
        <v>1853</v>
      </c>
      <c r="B2697" s="76" t="s">
        <v>7659</v>
      </c>
      <c r="C2697" s="76" t="s">
        <v>7192</v>
      </c>
      <c r="D2697" s="76" t="s">
        <v>7122</v>
      </c>
      <c r="E2697" s="76" t="s">
        <v>7119</v>
      </c>
      <c r="F2697" s="76" t="s">
        <v>7115</v>
      </c>
    </row>
    <row r="2698" spans="1:6" ht="63.95" customHeight="1">
      <c r="A2698" s="76" t="s">
        <v>1853</v>
      </c>
      <c r="B2698" s="76" t="s">
        <v>7660</v>
      </c>
      <c r="C2698" s="76" t="s">
        <v>7192</v>
      </c>
      <c r="D2698" s="76" t="s">
        <v>7122</v>
      </c>
      <c r="E2698" s="76" t="s">
        <v>7123</v>
      </c>
      <c r="F2698" s="76" t="s">
        <v>7115</v>
      </c>
    </row>
    <row r="2699" spans="1:6" ht="63.95" customHeight="1">
      <c r="A2699" s="76" t="s">
        <v>1853</v>
      </c>
      <c r="B2699" s="76" t="s">
        <v>7661</v>
      </c>
      <c r="C2699" s="76" t="s">
        <v>7192</v>
      </c>
      <c r="D2699" s="76" t="s">
        <v>7113</v>
      </c>
      <c r="E2699" s="76" t="s">
        <v>7114</v>
      </c>
      <c r="F2699" s="76" t="s">
        <v>7115</v>
      </c>
    </row>
    <row r="2700" spans="1:6" ht="63.95" customHeight="1">
      <c r="A2700" s="76" t="s">
        <v>1853</v>
      </c>
      <c r="B2700" s="76" t="s">
        <v>7662</v>
      </c>
      <c r="C2700" s="76" t="s">
        <v>7192</v>
      </c>
      <c r="D2700" s="76" t="s">
        <v>7122</v>
      </c>
      <c r="E2700" s="76" t="s">
        <v>7119</v>
      </c>
      <c r="F2700" s="76" t="s">
        <v>7115</v>
      </c>
    </row>
    <row r="2701" spans="1:6" ht="63.95" customHeight="1">
      <c r="A2701" s="76" t="s">
        <v>1853</v>
      </c>
      <c r="B2701" s="76" t="s">
        <v>7663</v>
      </c>
      <c r="C2701" s="76" t="s">
        <v>7192</v>
      </c>
      <c r="D2701" s="76" t="s">
        <v>7122</v>
      </c>
      <c r="E2701" s="76" t="s">
        <v>7123</v>
      </c>
      <c r="F2701" s="76" t="s">
        <v>7115</v>
      </c>
    </row>
    <row r="2702" spans="1:6" ht="63.95" customHeight="1">
      <c r="A2702" s="76" t="s">
        <v>1853</v>
      </c>
      <c r="B2702" s="76" t="s">
        <v>7664</v>
      </c>
      <c r="C2702" s="76" t="s">
        <v>7192</v>
      </c>
      <c r="D2702" s="76" t="s">
        <v>7113</v>
      </c>
      <c r="E2702" s="76" t="s">
        <v>7114</v>
      </c>
      <c r="F2702" s="76" t="s">
        <v>7115</v>
      </c>
    </row>
    <row r="2703" spans="1:6" ht="63.95" customHeight="1">
      <c r="A2703" s="76" t="s">
        <v>1853</v>
      </c>
      <c r="B2703" s="76" t="s">
        <v>7665</v>
      </c>
      <c r="C2703" s="76" t="s">
        <v>7192</v>
      </c>
      <c r="D2703" s="76" t="s">
        <v>7122</v>
      </c>
      <c r="E2703" s="76" t="s">
        <v>7119</v>
      </c>
      <c r="F2703" s="76" t="s">
        <v>7115</v>
      </c>
    </row>
    <row r="2704" spans="1:6" ht="63.95" customHeight="1">
      <c r="A2704" s="76" t="s">
        <v>1853</v>
      </c>
      <c r="B2704" s="76" t="s">
        <v>7666</v>
      </c>
      <c r="C2704" s="76" t="s">
        <v>7192</v>
      </c>
      <c r="D2704" s="76" t="s">
        <v>7122</v>
      </c>
      <c r="E2704" s="76" t="s">
        <v>7123</v>
      </c>
      <c r="F2704" s="76" t="s">
        <v>7115</v>
      </c>
    </row>
    <row r="2705" spans="1:6" ht="63.95" customHeight="1">
      <c r="A2705" s="76" t="s">
        <v>1853</v>
      </c>
      <c r="B2705" s="76" t="s">
        <v>7667</v>
      </c>
      <c r="C2705" s="76" t="s">
        <v>7668</v>
      </c>
      <c r="D2705" s="76" t="s">
        <v>7669</v>
      </c>
      <c r="E2705" s="76" t="s">
        <v>7670</v>
      </c>
      <c r="F2705" s="76" t="s">
        <v>7671</v>
      </c>
    </row>
    <row r="2706" spans="1:6" ht="63.95" customHeight="1">
      <c r="A2706" s="76" t="s">
        <v>1853</v>
      </c>
      <c r="B2706" s="76" t="s">
        <v>7672</v>
      </c>
      <c r="C2706" s="76" t="s">
        <v>7673</v>
      </c>
      <c r="D2706" s="76" t="s">
        <v>7674</v>
      </c>
      <c r="E2706" s="76" t="s">
        <v>7675</v>
      </c>
      <c r="F2706" s="76" t="s">
        <v>7671</v>
      </c>
    </row>
    <row r="2707" spans="1:6" ht="120" customHeight="1">
      <c r="A2707" s="24" t="s">
        <v>1853</v>
      </c>
      <c r="B2707" s="24" t="s">
        <v>7676</v>
      </c>
      <c r="C2707" s="24" t="s">
        <v>7677</v>
      </c>
      <c r="D2707" s="24" t="s">
        <v>7678</v>
      </c>
      <c r="E2707" s="24" t="s">
        <v>7679</v>
      </c>
      <c r="F2707" s="24" t="s">
        <v>7680</v>
      </c>
    </row>
    <row r="2708" spans="1:6" ht="120" customHeight="1">
      <c r="A2708" s="24" t="s">
        <v>1853</v>
      </c>
      <c r="B2708" s="24" t="s">
        <v>4590</v>
      </c>
      <c r="C2708" s="24" t="s">
        <v>1106</v>
      </c>
      <c r="D2708" s="24" t="s">
        <v>7681</v>
      </c>
      <c r="E2708" s="24" t="s">
        <v>7682</v>
      </c>
      <c r="F2708" s="24" t="s">
        <v>7683</v>
      </c>
    </row>
    <row r="2709" spans="1:6" ht="120" customHeight="1">
      <c r="A2709" s="24" t="s">
        <v>7684</v>
      </c>
      <c r="B2709" s="24" t="s">
        <v>7685</v>
      </c>
      <c r="C2709" s="24" t="s">
        <v>7686</v>
      </c>
      <c r="D2709" s="24" t="s">
        <v>7687</v>
      </c>
      <c r="E2709" s="24" t="s">
        <v>7688</v>
      </c>
      <c r="F2709" s="24" t="s">
        <v>7689</v>
      </c>
    </row>
    <row r="2710" spans="1:6" ht="120" customHeight="1">
      <c r="A2710" s="24" t="s">
        <v>7690</v>
      </c>
      <c r="B2710" s="24" t="s">
        <v>7691</v>
      </c>
      <c r="C2710" s="24" t="s">
        <v>7692</v>
      </c>
      <c r="D2710" s="24" t="s">
        <v>7693</v>
      </c>
      <c r="E2710" s="24" t="s">
        <v>7694</v>
      </c>
      <c r="F2710" s="24" t="s">
        <v>7695</v>
      </c>
    </row>
    <row r="2711" spans="1:6" ht="120" customHeight="1">
      <c r="A2711" s="24" t="s">
        <v>1872</v>
      </c>
      <c r="B2711" s="24" t="s">
        <v>7696</v>
      </c>
      <c r="C2711" s="24" t="s">
        <v>7697</v>
      </c>
      <c r="D2711" s="24" t="s">
        <v>7698</v>
      </c>
      <c r="E2711" s="24" t="s">
        <v>7699</v>
      </c>
      <c r="F2711" s="24" t="s">
        <v>7700</v>
      </c>
    </row>
    <row r="2712" spans="1:6" ht="120" customHeight="1">
      <c r="A2712" s="24" t="s">
        <v>1286</v>
      </c>
      <c r="B2712" s="24" t="s">
        <v>7701</v>
      </c>
      <c r="C2712" s="24" t="s">
        <v>7702</v>
      </c>
      <c r="D2712" s="24" t="s">
        <v>7703</v>
      </c>
      <c r="E2712" s="24" t="s">
        <v>7704</v>
      </c>
      <c r="F2712" s="24" t="s">
        <v>7705</v>
      </c>
    </row>
    <row r="2713" spans="1:6" ht="120" customHeight="1">
      <c r="A2713" s="24" t="s">
        <v>1853</v>
      </c>
      <c r="B2713" s="24" t="s">
        <v>7706</v>
      </c>
      <c r="C2713" s="24" t="s">
        <v>7707</v>
      </c>
      <c r="D2713" s="24" t="s">
        <v>7708</v>
      </c>
      <c r="E2713" s="24" t="s">
        <v>7709</v>
      </c>
      <c r="F2713" s="24" t="s">
        <v>7710</v>
      </c>
    </row>
    <row r="2714" spans="1:6" ht="120" customHeight="1">
      <c r="A2714" s="24" t="s">
        <v>7711</v>
      </c>
      <c r="B2714" s="24" t="s">
        <v>7712</v>
      </c>
      <c r="C2714" s="24" t="s">
        <v>7713</v>
      </c>
      <c r="D2714" s="24" t="s">
        <v>7714</v>
      </c>
      <c r="E2714" s="24" t="s">
        <v>7715</v>
      </c>
      <c r="F2714" s="24" t="s">
        <v>7716</v>
      </c>
    </row>
    <row r="2715" spans="1:6">
      <c r="A2715" t="s">
        <v>1853</v>
      </c>
      <c r="B2715" t="s">
        <v>5535</v>
      </c>
      <c r="C2715" t="s">
        <v>7717</v>
      </c>
      <c r="D2715" t="s">
        <v>615</v>
      </c>
      <c r="E2715" t="s">
        <v>7718</v>
      </c>
      <c r="F2715" t="s">
        <v>7719</v>
      </c>
    </row>
    <row r="2716" spans="1:6">
      <c r="A2716" t="s">
        <v>1853</v>
      </c>
      <c r="B2716" t="s">
        <v>7720</v>
      </c>
      <c r="C2716" t="s">
        <v>7721</v>
      </c>
      <c r="D2716" t="s">
        <v>7722</v>
      </c>
      <c r="E2716" t="s">
        <v>7718</v>
      </c>
      <c r="F2716" t="s">
        <v>7719</v>
      </c>
    </row>
    <row r="2717" spans="1:6">
      <c r="A2717" t="s">
        <v>1853</v>
      </c>
      <c r="B2717" t="s">
        <v>7723</v>
      </c>
      <c r="C2717" t="s">
        <v>7724</v>
      </c>
      <c r="D2717" t="s">
        <v>7725</v>
      </c>
      <c r="E2717" t="s">
        <v>7718</v>
      </c>
      <c r="F2717" t="s">
        <v>7719</v>
      </c>
    </row>
    <row r="2718" spans="1:6">
      <c r="A2718" t="s">
        <v>1853</v>
      </c>
      <c r="B2718" t="s">
        <v>2332</v>
      </c>
      <c r="C2718" t="s">
        <v>7726</v>
      </c>
      <c r="D2718" t="s">
        <v>7727</v>
      </c>
      <c r="E2718" t="s">
        <v>7718</v>
      </c>
      <c r="F2718" t="s">
        <v>7719</v>
      </c>
    </row>
    <row r="2719" spans="1:6">
      <c r="A2719" t="s">
        <v>1853</v>
      </c>
      <c r="B2719" t="s">
        <v>7728</v>
      </c>
      <c r="C2719" t="s">
        <v>7729</v>
      </c>
      <c r="D2719" t="s">
        <v>7730</v>
      </c>
      <c r="E2719" t="s">
        <v>7718</v>
      </c>
      <c r="F2719" t="s">
        <v>7719</v>
      </c>
    </row>
    <row r="2720" spans="1:6">
      <c r="A2720" t="s">
        <v>1853</v>
      </c>
      <c r="B2720" t="s">
        <v>7731</v>
      </c>
      <c r="C2720" t="s">
        <v>7732</v>
      </c>
      <c r="D2720" t="s">
        <v>7733</v>
      </c>
      <c r="E2720" t="s">
        <v>7718</v>
      </c>
      <c r="F2720" t="s">
        <v>7719</v>
      </c>
    </row>
    <row r="2721" spans="1:6">
      <c r="A2721" t="s">
        <v>1853</v>
      </c>
      <c r="B2721" t="s">
        <v>7734</v>
      </c>
      <c r="C2721" t="s">
        <v>7735</v>
      </c>
      <c r="D2721" t="s">
        <v>7736</v>
      </c>
      <c r="E2721" t="s">
        <v>7718</v>
      </c>
      <c r="F2721" t="s">
        <v>7719</v>
      </c>
    </row>
    <row r="2722" spans="1:6">
      <c r="A2722" t="s">
        <v>1853</v>
      </c>
      <c r="B2722" t="s">
        <v>7737</v>
      </c>
      <c r="C2722" t="s">
        <v>7738</v>
      </c>
      <c r="D2722" t="s">
        <v>1472</v>
      </c>
      <c r="E2722" t="s">
        <v>7718</v>
      </c>
      <c r="F2722" t="s">
        <v>7719</v>
      </c>
    </row>
    <row r="2723" spans="1:6">
      <c r="A2723" t="s">
        <v>1853</v>
      </c>
      <c r="B2723" t="s">
        <v>7739</v>
      </c>
      <c r="C2723" t="s">
        <v>7740</v>
      </c>
      <c r="D2723" t="s">
        <v>7741</v>
      </c>
      <c r="E2723" t="s">
        <v>7718</v>
      </c>
      <c r="F2723" t="s">
        <v>7719</v>
      </c>
    </row>
    <row r="2724" spans="1:6">
      <c r="A2724" t="s">
        <v>1853</v>
      </c>
      <c r="B2724" t="s">
        <v>7742</v>
      </c>
      <c r="C2724" t="s">
        <v>7743</v>
      </c>
      <c r="D2724" t="s">
        <v>7744</v>
      </c>
      <c r="E2724" t="s">
        <v>7718</v>
      </c>
      <c r="F2724" t="s">
        <v>7719</v>
      </c>
    </row>
    <row r="2725" spans="1:6">
      <c r="A2725" t="s">
        <v>1853</v>
      </c>
      <c r="B2725" t="s">
        <v>7745</v>
      </c>
      <c r="C2725" t="s">
        <v>7746</v>
      </c>
      <c r="D2725" t="s">
        <v>7747</v>
      </c>
      <c r="E2725" t="s">
        <v>7718</v>
      </c>
      <c r="F2725" t="s">
        <v>7719</v>
      </c>
    </row>
    <row r="2726" spans="1:6">
      <c r="A2726" t="s">
        <v>1853</v>
      </c>
      <c r="B2726" t="s">
        <v>7748</v>
      </c>
      <c r="C2726" t="s">
        <v>7749</v>
      </c>
      <c r="D2726" t="s">
        <v>7750</v>
      </c>
      <c r="E2726" t="s">
        <v>7751</v>
      </c>
      <c r="F2726" t="s">
        <v>7719</v>
      </c>
    </row>
    <row r="2727" spans="1:6">
      <c r="A2727" t="s">
        <v>1853</v>
      </c>
      <c r="B2727" t="s">
        <v>7752</v>
      </c>
      <c r="C2727" t="s">
        <v>7753</v>
      </c>
      <c r="D2727" t="s">
        <v>7754</v>
      </c>
      <c r="E2727" t="s">
        <v>7755</v>
      </c>
      <c r="F2727" t="s">
        <v>7719</v>
      </c>
    </row>
    <row r="2728" spans="1:6">
      <c r="A2728" t="s">
        <v>1853</v>
      </c>
      <c r="B2728" t="s">
        <v>7756</v>
      </c>
      <c r="C2728" t="s">
        <v>7757</v>
      </c>
      <c r="D2728" t="s">
        <v>1782</v>
      </c>
      <c r="E2728" t="s">
        <v>7718</v>
      </c>
      <c r="F2728" t="s">
        <v>7719</v>
      </c>
    </row>
    <row r="2729" spans="1:6">
      <c r="A2729" t="s">
        <v>1853</v>
      </c>
      <c r="B2729" t="s">
        <v>7758</v>
      </c>
      <c r="C2729" t="s">
        <v>7759</v>
      </c>
      <c r="D2729" t="s">
        <v>7760</v>
      </c>
      <c r="E2729" t="s">
        <v>7718</v>
      </c>
      <c r="F2729" t="s">
        <v>7719</v>
      </c>
    </row>
    <row r="2730" spans="1:6">
      <c r="A2730" t="s">
        <v>1853</v>
      </c>
      <c r="B2730" t="s">
        <v>7761</v>
      </c>
      <c r="C2730" t="s">
        <v>7724</v>
      </c>
      <c r="D2730" t="s">
        <v>7762</v>
      </c>
      <c r="E2730" t="s">
        <v>7718</v>
      </c>
      <c r="F2730" t="s">
        <v>7719</v>
      </c>
    </row>
    <row r="2731" spans="1:6">
      <c r="A2731" t="s">
        <v>1853</v>
      </c>
      <c r="B2731" t="s">
        <v>7763</v>
      </c>
      <c r="C2731" t="s">
        <v>7764</v>
      </c>
      <c r="D2731" t="s">
        <v>7765</v>
      </c>
      <c r="E2731" t="s">
        <v>7718</v>
      </c>
      <c r="F2731" t="s">
        <v>7719</v>
      </c>
    </row>
    <row r="2732" spans="1:6">
      <c r="A2732" t="s">
        <v>1853</v>
      </c>
      <c r="B2732" t="s">
        <v>7766</v>
      </c>
      <c r="C2732" t="s">
        <v>7767</v>
      </c>
      <c r="D2732" t="s">
        <v>7768</v>
      </c>
      <c r="E2732" t="s">
        <v>7718</v>
      </c>
      <c r="F2732" t="s">
        <v>7719</v>
      </c>
    </row>
    <row r="2733" spans="1:6">
      <c r="A2733" t="s">
        <v>1853</v>
      </c>
      <c r="B2733" t="s">
        <v>7769</v>
      </c>
      <c r="C2733" t="s">
        <v>7770</v>
      </c>
      <c r="D2733" t="s">
        <v>7771</v>
      </c>
      <c r="E2733" t="s">
        <v>7718</v>
      </c>
      <c r="F2733" t="s">
        <v>7719</v>
      </c>
    </row>
    <row r="2734" spans="1:6">
      <c r="A2734" t="s">
        <v>1853</v>
      </c>
      <c r="B2734" t="s">
        <v>2563</v>
      </c>
      <c r="C2734" t="s">
        <v>7772</v>
      </c>
      <c r="D2734" t="s">
        <v>7773</v>
      </c>
      <c r="E2734" t="s">
        <v>7718</v>
      </c>
      <c r="F2734" t="s">
        <v>7719</v>
      </c>
    </row>
    <row r="2735" spans="1:6">
      <c r="A2735" t="s">
        <v>7716</v>
      </c>
      <c r="B2735" t="s">
        <v>7774</v>
      </c>
      <c r="C2735" t="s">
        <v>7775</v>
      </c>
      <c r="D2735" t="s">
        <v>7722</v>
      </c>
      <c r="E2735" t="s">
        <v>7718</v>
      </c>
      <c r="F2735" t="s">
        <v>7719</v>
      </c>
    </row>
    <row r="2736" spans="1:6">
      <c r="A2736" t="s">
        <v>7716</v>
      </c>
      <c r="B2736" t="s">
        <v>6146</v>
      </c>
      <c r="C2736" t="s">
        <v>7776</v>
      </c>
      <c r="D2736" t="s">
        <v>1671</v>
      </c>
      <c r="E2736" t="s">
        <v>7718</v>
      </c>
      <c r="F2736" t="s">
        <v>7719</v>
      </c>
    </row>
    <row r="2737" spans="1:6">
      <c r="A2737" t="s">
        <v>7716</v>
      </c>
      <c r="B2737" t="s">
        <v>6149</v>
      </c>
      <c r="C2737" t="s">
        <v>7777</v>
      </c>
      <c r="D2737" t="s">
        <v>1672</v>
      </c>
      <c r="E2737" t="s">
        <v>7718</v>
      </c>
      <c r="F2737" t="s">
        <v>7719</v>
      </c>
    </row>
    <row r="2738" spans="1:6">
      <c r="A2738" t="s">
        <v>7716</v>
      </c>
      <c r="B2738" t="s">
        <v>5957</v>
      </c>
      <c r="C2738" t="s">
        <v>7778</v>
      </c>
      <c r="D2738" t="s">
        <v>7779</v>
      </c>
      <c r="E2738" t="s">
        <v>7780</v>
      </c>
      <c r="F2738" t="s">
        <v>7719</v>
      </c>
    </row>
    <row r="2739" spans="1:6">
      <c r="A2739" t="s">
        <v>7716</v>
      </c>
      <c r="B2739" t="s">
        <v>4779</v>
      </c>
      <c r="C2739" t="s">
        <v>7781</v>
      </c>
      <c r="D2739" t="s">
        <v>1696</v>
      </c>
      <c r="E2739" t="s">
        <v>7718</v>
      </c>
      <c r="F2739" t="s">
        <v>7719</v>
      </c>
    </row>
    <row r="2740" spans="1:6">
      <c r="A2740" t="s">
        <v>7716</v>
      </c>
      <c r="B2740" t="s">
        <v>3711</v>
      </c>
      <c r="C2740" t="s">
        <v>7782</v>
      </c>
      <c r="D2740" t="s">
        <v>1696</v>
      </c>
      <c r="E2740" t="s">
        <v>7718</v>
      </c>
      <c r="F2740" t="s">
        <v>7719</v>
      </c>
    </row>
    <row r="2741" spans="1:6">
      <c r="A2741" t="s">
        <v>7716</v>
      </c>
      <c r="B2741" t="s">
        <v>3714</v>
      </c>
      <c r="C2741" t="s">
        <v>7783</v>
      </c>
      <c r="D2741" t="s">
        <v>1696</v>
      </c>
      <c r="E2741" t="s">
        <v>7718</v>
      </c>
      <c r="F2741" t="s">
        <v>7719</v>
      </c>
    </row>
    <row r="2742" spans="1:6">
      <c r="A2742" t="s">
        <v>7716</v>
      </c>
      <c r="B2742" t="s">
        <v>3640</v>
      </c>
      <c r="C2742" t="s">
        <v>7784</v>
      </c>
      <c r="D2742" t="s">
        <v>7741</v>
      </c>
      <c r="E2742" t="s">
        <v>7718</v>
      </c>
      <c r="F2742" t="s">
        <v>7719</v>
      </c>
    </row>
    <row r="2743" spans="1:6">
      <c r="A2743" t="s">
        <v>7716</v>
      </c>
      <c r="B2743" t="s">
        <v>3643</v>
      </c>
      <c r="C2743" t="s">
        <v>7785</v>
      </c>
      <c r="D2743" t="s">
        <v>7786</v>
      </c>
      <c r="E2743" t="s">
        <v>7718</v>
      </c>
      <c r="F2743" t="s">
        <v>7719</v>
      </c>
    </row>
    <row r="2744" spans="1:6">
      <c r="A2744" t="s">
        <v>7716</v>
      </c>
      <c r="B2744" t="s">
        <v>5379</v>
      </c>
      <c r="C2744" t="s">
        <v>7785</v>
      </c>
      <c r="D2744" t="s">
        <v>7787</v>
      </c>
      <c r="E2744" t="s">
        <v>7718</v>
      </c>
      <c r="F2744" t="s">
        <v>7719</v>
      </c>
    </row>
    <row r="2745" spans="1:6">
      <c r="A2745" t="s">
        <v>7716</v>
      </c>
      <c r="B2745" t="s">
        <v>933</v>
      </c>
      <c r="C2745" t="s">
        <v>7788</v>
      </c>
      <c r="D2745" t="s">
        <v>7789</v>
      </c>
      <c r="E2745" t="s">
        <v>7718</v>
      </c>
      <c r="F2745" t="s">
        <v>7719</v>
      </c>
    </row>
    <row r="2746" spans="1:6">
      <c r="A2746" t="s">
        <v>7716</v>
      </c>
      <c r="B2746" t="s">
        <v>7790</v>
      </c>
      <c r="C2746" t="s">
        <v>7791</v>
      </c>
      <c r="D2746" t="s">
        <v>7792</v>
      </c>
      <c r="E2746" t="s">
        <v>7780</v>
      </c>
      <c r="F2746" t="s">
        <v>7719</v>
      </c>
    </row>
    <row r="2747" spans="1:6">
      <c r="A2747" t="s">
        <v>7716</v>
      </c>
      <c r="B2747" t="s">
        <v>6262</v>
      </c>
      <c r="C2747" t="s">
        <v>7793</v>
      </c>
      <c r="D2747" t="s">
        <v>7794</v>
      </c>
      <c r="E2747" t="s">
        <v>7780</v>
      </c>
      <c r="F2747" t="s">
        <v>7719</v>
      </c>
    </row>
    <row r="2748" spans="1:6">
      <c r="A2748" t="s">
        <v>7716</v>
      </c>
      <c r="B2748" t="s">
        <v>5538</v>
      </c>
      <c r="C2748" t="s">
        <v>7795</v>
      </c>
      <c r="D2748" t="s">
        <v>1782</v>
      </c>
      <c r="E2748" t="s">
        <v>7718</v>
      </c>
      <c r="F2748" t="s">
        <v>7719</v>
      </c>
    </row>
    <row r="2749" spans="1:6">
      <c r="A2749" t="s">
        <v>7716</v>
      </c>
      <c r="B2749" t="s">
        <v>7796</v>
      </c>
      <c r="C2749" t="s">
        <v>7785</v>
      </c>
      <c r="D2749" t="s">
        <v>7797</v>
      </c>
      <c r="E2749" t="s">
        <v>7780</v>
      </c>
      <c r="F2749" t="s">
        <v>7719</v>
      </c>
    </row>
    <row r="2750" spans="1:6">
      <c r="A2750" t="s">
        <v>7684</v>
      </c>
      <c r="B2750" t="s">
        <v>6146</v>
      </c>
      <c r="C2750" t="s">
        <v>7717</v>
      </c>
      <c r="D2750" t="s">
        <v>615</v>
      </c>
      <c r="E2750" t="s">
        <v>7718</v>
      </c>
      <c r="F2750" t="s">
        <v>7719</v>
      </c>
    </row>
    <row r="2751" spans="1:6">
      <c r="A2751" t="s">
        <v>7684</v>
      </c>
      <c r="B2751" t="s">
        <v>6149</v>
      </c>
      <c r="C2751" t="s">
        <v>7776</v>
      </c>
      <c r="D2751" t="s">
        <v>1671</v>
      </c>
      <c r="E2751" t="s">
        <v>7718</v>
      </c>
      <c r="F2751" t="s">
        <v>7719</v>
      </c>
    </row>
    <row r="2752" spans="1:6">
      <c r="A2752" t="s">
        <v>7684</v>
      </c>
      <c r="B2752" t="s">
        <v>5957</v>
      </c>
      <c r="C2752" t="s">
        <v>7777</v>
      </c>
      <c r="D2752" t="s">
        <v>1672</v>
      </c>
      <c r="E2752" t="s">
        <v>7718</v>
      </c>
      <c r="F2752" t="s">
        <v>7719</v>
      </c>
    </row>
    <row r="2753" spans="1:6">
      <c r="A2753" t="s">
        <v>7684</v>
      </c>
      <c r="B2753" t="s">
        <v>3643</v>
      </c>
      <c r="C2753" t="s">
        <v>7798</v>
      </c>
      <c r="D2753" t="s">
        <v>1673</v>
      </c>
      <c r="E2753" t="s">
        <v>7718</v>
      </c>
      <c r="F2753" t="s">
        <v>7719</v>
      </c>
    </row>
    <row r="2754" spans="1:6">
      <c r="A2754" t="s">
        <v>7684</v>
      </c>
      <c r="B2754" t="s">
        <v>5379</v>
      </c>
      <c r="C2754" t="s">
        <v>7724</v>
      </c>
      <c r="D2754" t="s">
        <v>1674</v>
      </c>
      <c r="E2754" t="s">
        <v>7718</v>
      </c>
      <c r="F2754" t="s">
        <v>7719</v>
      </c>
    </row>
    <row r="2755" spans="1:6">
      <c r="A2755" t="s">
        <v>7684</v>
      </c>
      <c r="B2755" t="s">
        <v>933</v>
      </c>
      <c r="C2755" t="s">
        <v>7778</v>
      </c>
      <c r="D2755" t="s">
        <v>1675</v>
      </c>
      <c r="E2755" t="s">
        <v>7718</v>
      </c>
      <c r="F2755" t="s">
        <v>7719</v>
      </c>
    </row>
    <row r="2756" spans="1:6">
      <c r="A2756" t="s">
        <v>7684</v>
      </c>
      <c r="B2756" t="s">
        <v>5384</v>
      </c>
      <c r="C2756" t="s">
        <v>7788</v>
      </c>
      <c r="D2756" t="s">
        <v>1676</v>
      </c>
      <c r="E2756" t="s">
        <v>7718</v>
      </c>
      <c r="F2756" t="s">
        <v>7719</v>
      </c>
    </row>
    <row r="2757" spans="1:6">
      <c r="A2757" t="s">
        <v>7684</v>
      </c>
      <c r="B2757" t="s">
        <v>7799</v>
      </c>
      <c r="C2757" t="s">
        <v>7800</v>
      </c>
      <c r="D2757" t="s">
        <v>1677</v>
      </c>
      <c r="E2757" t="s">
        <v>7718</v>
      </c>
      <c r="F2757" t="s">
        <v>7719</v>
      </c>
    </row>
    <row r="2758" spans="1:6">
      <c r="A2758" t="s">
        <v>7684</v>
      </c>
      <c r="B2758" t="s">
        <v>7801</v>
      </c>
      <c r="C2758" t="s">
        <v>7795</v>
      </c>
      <c r="D2758" t="s">
        <v>1782</v>
      </c>
      <c r="E2758" t="s">
        <v>7718</v>
      </c>
      <c r="F2758" t="s">
        <v>7719</v>
      </c>
    </row>
    <row r="2759" spans="1:6">
      <c r="A2759" t="s">
        <v>7684</v>
      </c>
      <c r="B2759" t="s">
        <v>7802</v>
      </c>
      <c r="C2759" t="s">
        <v>7803</v>
      </c>
      <c r="D2759" t="s">
        <v>1763</v>
      </c>
      <c r="E2759" t="s">
        <v>7718</v>
      </c>
      <c r="F2759" t="s">
        <v>7719</v>
      </c>
    </row>
    <row r="2760" spans="1:6">
      <c r="A2760" t="s">
        <v>7690</v>
      </c>
      <c r="B2760" t="s">
        <v>6265</v>
      </c>
      <c r="C2760" t="s">
        <v>7775</v>
      </c>
      <c r="D2760" t="s">
        <v>7722</v>
      </c>
      <c r="E2760" t="s">
        <v>7718</v>
      </c>
      <c r="F2760" t="s">
        <v>7719</v>
      </c>
    </row>
    <row r="2761" spans="1:6">
      <c r="A2761" t="s">
        <v>7690</v>
      </c>
      <c r="B2761" t="s">
        <v>7804</v>
      </c>
      <c r="C2761" t="s">
        <v>7805</v>
      </c>
      <c r="D2761" t="s">
        <v>1671</v>
      </c>
      <c r="E2761" t="s">
        <v>7718</v>
      </c>
      <c r="F2761" t="s">
        <v>7719</v>
      </c>
    </row>
    <row r="2762" spans="1:6">
      <c r="A2762" t="s">
        <v>7690</v>
      </c>
      <c r="B2762" t="s">
        <v>4857</v>
      </c>
      <c r="C2762" t="s">
        <v>7806</v>
      </c>
      <c r="D2762" t="s">
        <v>1672</v>
      </c>
      <c r="E2762" t="s">
        <v>7718</v>
      </c>
      <c r="F2762" t="s">
        <v>7719</v>
      </c>
    </row>
    <row r="2763" spans="1:6">
      <c r="A2763" t="s">
        <v>7690</v>
      </c>
      <c r="B2763" t="s">
        <v>3870</v>
      </c>
      <c r="C2763" t="s">
        <v>7807</v>
      </c>
      <c r="D2763" t="s">
        <v>7808</v>
      </c>
      <c r="E2763" t="s">
        <v>7718</v>
      </c>
      <c r="F2763" t="s">
        <v>7719</v>
      </c>
    </row>
    <row r="2764" spans="1:6">
      <c r="A2764" t="s">
        <v>7690</v>
      </c>
      <c r="B2764" t="s">
        <v>7796</v>
      </c>
      <c r="C2764" t="s">
        <v>7778</v>
      </c>
      <c r="D2764" t="s">
        <v>7809</v>
      </c>
      <c r="E2764" t="s">
        <v>7718</v>
      </c>
      <c r="F2764" t="s">
        <v>7719</v>
      </c>
    </row>
    <row r="2765" spans="1:6">
      <c r="A2765" t="s">
        <v>7690</v>
      </c>
      <c r="B2765" t="s">
        <v>5535</v>
      </c>
      <c r="C2765" t="s">
        <v>7810</v>
      </c>
      <c r="D2765" t="s">
        <v>7811</v>
      </c>
      <c r="E2765" t="s">
        <v>7718</v>
      </c>
      <c r="F2765" t="s">
        <v>7719</v>
      </c>
    </row>
    <row r="2766" spans="1:6">
      <c r="A2766" t="s">
        <v>7690</v>
      </c>
      <c r="B2766" t="s">
        <v>5538</v>
      </c>
      <c r="C2766" t="s">
        <v>7812</v>
      </c>
      <c r="D2766" t="s">
        <v>1672</v>
      </c>
      <c r="E2766" t="s">
        <v>7718</v>
      </c>
      <c r="F2766" t="s">
        <v>7719</v>
      </c>
    </row>
    <row r="2767" spans="1:6">
      <c r="A2767" t="s">
        <v>7690</v>
      </c>
      <c r="B2767" t="s">
        <v>6425</v>
      </c>
      <c r="C2767" t="s">
        <v>7791</v>
      </c>
      <c r="D2767" t="s">
        <v>7813</v>
      </c>
      <c r="E2767" t="s">
        <v>7718</v>
      </c>
      <c r="F2767" t="s">
        <v>7719</v>
      </c>
    </row>
    <row r="2768" spans="1:6">
      <c r="A2768" t="s">
        <v>7690</v>
      </c>
      <c r="B2768" t="s">
        <v>4935</v>
      </c>
      <c r="C2768" t="s">
        <v>7814</v>
      </c>
      <c r="D2768" t="s">
        <v>7815</v>
      </c>
      <c r="E2768" t="s">
        <v>7780</v>
      </c>
      <c r="F2768" t="s">
        <v>7719</v>
      </c>
    </row>
    <row r="2769" spans="1:6">
      <c r="A2769" t="s">
        <v>7690</v>
      </c>
      <c r="B2769" t="s">
        <v>5693</v>
      </c>
      <c r="C2769" t="s">
        <v>7816</v>
      </c>
      <c r="D2769" t="s">
        <v>7817</v>
      </c>
      <c r="E2769" t="s">
        <v>7780</v>
      </c>
      <c r="F2769" t="s">
        <v>7719</v>
      </c>
    </row>
    <row r="2770" spans="1:6">
      <c r="A2770" t="s">
        <v>7690</v>
      </c>
      <c r="B2770" t="s">
        <v>7818</v>
      </c>
      <c r="C2770" t="s">
        <v>7819</v>
      </c>
      <c r="D2770" t="s">
        <v>120</v>
      </c>
      <c r="E2770" t="s">
        <v>7820</v>
      </c>
      <c r="F2770" t="s">
        <v>7719</v>
      </c>
    </row>
    <row r="2771" spans="1:6">
      <c r="A2771" t="s">
        <v>1872</v>
      </c>
      <c r="B2771" t="s">
        <v>7821</v>
      </c>
      <c r="C2771" t="s">
        <v>7775</v>
      </c>
      <c r="D2771" t="s">
        <v>7722</v>
      </c>
      <c r="E2771" t="s">
        <v>7718</v>
      </c>
      <c r="F2771" t="s">
        <v>7719</v>
      </c>
    </row>
    <row r="2772" spans="1:6">
      <c r="A2772" t="s">
        <v>1872</v>
      </c>
      <c r="B2772" t="s">
        <v>4875</v>
      </c>
      <c r="C2772" t="s">
        <v>7822</v>
      </c>
      <c r="D2772" t="s">
        <v>7741</v>
      </c>
      <c r="E2772" t="s">
        <v>7718</v>
      </c>
      <c r="F2772" t="s">
        <v>7719</v>
      </c>
    </row>
    <row r="2773" spans="1:6">
      <c r="A2773" t="s">
        <v>1872</v>
      </c>
      <c r="B2773" t="s">
        <v>3903</v>
      </c>
      <c r="C2773" t="s">
        <v>7777</v>
      </c>
      <c r="D2773" t="s">
        <v>1672</v>
      </c>
      <c r="E2773" t="s">
        <v>7718</v>
      </c>
      <c r="F2773" t="s">
        <v>7719</v>
      </c>
    </row>
    <row r="2774" spans="1:6">
      <c r="A2774" t="s">
        <v>1872</v>
      </c>
      <c r="B2774" t="s">
        <v>3906</v>
      </c>
      <c r="C2774" t="s">
        <v>7778</v>
      </c>
      <c r="D2774" t="s">
        <v>7809</v>
      </c>
      <c r="E2774" t="s">
        <v>7718</v>
      </c>
      <c r="F2774" t="s">
        <v>7719</v>
      </c>
    </row>
    <row r="2775" spans="1:6">
      <c r="A2775" t="s">
        <v>1871</v>
      </c>
      <c r="B2775" t="s">
        <v>6102</v>
      </c>
      <c r="C2775" t="s">
        <v>7785</v>
      </c>
      <c r="D2775" t="s">
        <v>119</v>
      </c>
      <c r="E2775" t="s">
        <v>7718</v>
      </c>
      <c r="F2775" t="s">
        <v>7719</v>
      </c>
    </row>
    <row r="2776" spans="1:6">
      <c r="A2776" t="s">
        <v>1871</v>
      </c>
      <c r="B2776" t="s">
        <v>6103</v>
      </c>
      <c r="C2776" t="s">
        <v>7785</v>
      </c>
      <c r="D2776" t="s">
        <v>93</v>
      </c>
      <c r="E2776" t="s">
        <v>7718</v>
      </c>
      <c r="F2776" t="s">
        <v>7719</v>
      </c>
    </row>
    <row r="2777" spans="1:6">
      <c r="A2777" t="s">
        <v>1871</v>
      </c>
      <c r="B2777" t="s">
        <v>6104</v>
      </c>
      <c r="C2777" t="s">
        <v>7785</v>
      </c>
      <c r="D2777" t="s">
        <v>449</v>
      </c>
      <c r="E2777" t="s">
        <v>7718</v>
      </c>
      <c r="F2777" t="s">
        <v>7719</v>
      </c>
    </row>
    <row r="2778" spans="1:6">
      <c r="A2778" t="s">
        <v>1871</v>
      </c>
      <c r="B2778" t="s">
        <v>6105</v>
      </c>
      <c r="C2778" t="s">
        <v>7785</v>
      </c>
      <c r="D2778" t="s">
        <v>449</v>
      </c>
      <c r="E2778" t="s">
        <v>7718</v>
      </c>
      <c r="F2778" t="s">
        <v>7719</v>
      </c>
    </row>
    <row r="2779" spans="1:6">
      <c r="A2779" t="s">
        <v>1871</v>
      </c>
      <c r="B2779" t="s">
        <v>6106</v>
      </c>
      <c r="C2779" t="s">
        <v>7785</v>
      </c>
      <c r="D2779" t="s">
        <v>7823</v>
      </c>
      <c r="E2779" t="s">
        <v>7718</v>
      </c>
      <c r="F2779" t="s">
        <v>7719</v>
      </c>
    </row>
    <row r="2780" spans="1:6">
      <c r="A2780" t="s">
        <v>1871</v>
      </c>
      <c r="B2780" t="s">
        <v>4839</v>
      </c>
      <c r="C2780" t="s">
        <v>7785</v>
      </c>
      <c r="D2780" t="s">
        <v>7824</v>
      </c>
      <c r="E2780" t="s">
        <v>7718</v>
      </c>
      <c r="F2780" t="s">
        <v>7719</v>
      </c>
    </row>
    <row r="2781" spans="1:6">
      <c r="A2781" t="s">
        <v>1871</v>
      </c>
      <c r="B2781" t="s">
        <v>3831</v>
      </c>
      <c r="C2781" t="s">
        <v>7785</v>
      </c>
      <c r="D2781" t="s">
        <v>7825</v>
      </c>
      <c r="E2781" t="s">
        <v>7718</v>
      </c>
      <c r="F2781" t="s">
        <v>7719</v>
      </c>
    </row>
    <row r="2782" spans="1:6">
      <c r="A2782" t="s">
        <v>1286</v>
      </c>
      <c r="B2782" t="s">
        <v>1974</v>
      </c>
      <c r="C2782" t="s">
        <v>7826</v>
      </c>
      <c r="D2782" t="s">
        <v>7827</v>
      </c>
      <c r="E2782" t="s">
        <v>7718</v>
      </c>
      <c r="F2782" t="s">
        <v>7719</v>
      </c>
    </row>
    <row r="2783" spans="1:6">
      <c r="A2783" t="s">
        <v>1286</v>
      </c>
      <c r="B2783" t="s">
        <v>1991</v>
      </c>
      <c r="C2783" t="s">
        <v>7828</v>
      </c>
      <c r="D2783" t="s">
        <v>7829</v>
      </c>
      <c r="E2783" t="s">
        <v>7718</v>
      </c>
      <c r="F2783" t="s">
        <v>7719</v>
      </c>
    </row>
    <row r="2784" spans="1:6">
      <c r="A2784" t="s">
        <v>1286</v>
      </c>
      <c r="B2784" t="s">
        <v>1995</v>
      </c>
      <c r="C2784" t="s">
        <v>7830</v>
      </c>
      <c r="D2784" t="s">
        <v>7831</v>
      </c>
      <c r="E2784" t="s">
        <v>7718</v>
      </c>
      <c r="F2784" t="s">
        <v>7719</v>
      </c>
    </row>
    <row r="2785" spans="1:6">
      <c r="A2785" t="s">
        <v>1286</v>
      </c>
      <c r="B2785" t="s">
        <v>5979</v>
      </c>
      <c r="C2785" t="s">
        <v>7785</v>
      </c>
      <c r="D2785" t="s">
        <v>7832</v>
      </c>
      <c r="E2785" t="s">
        <v>7718</v>
      </c>
      <c r="F2785" t="s">
        <v>7719</v>
      </c>
    </row>
    <row r="2786" spans="1:6">
      <c r="A2786" t="s">
        <v>1286</v>
      </c>
      <c r="B2786" t="s">
        <v>5303</v>
      </c>
      <c r="C2786" t="s">
        <v>7785</v>
      </c>
      <c r="D2786" t="s">
        <v>7833</v>
      </c>
      <c r="E2786" t="s">
        <v>7718</v>
      </c>
      <c r="F2786" t="s">
        <v>7719</v>
      </c>
    </row>
    <row r="2787" spans="1:6">
      <c r="A2787" t="s">
        <v>1286</v>
      </c>
      <c r="B2787" t="s">
        <v>6040</v>
      </c>
      <c r="C2787" t="s">
        <v>7785</v>
      </c>
      <c r="D2787" t="s">
        <v>7834</v>
      </c>
      <c r="E2787" t="s">
        <v>7718</v>
      </c>
      <c r="F2787" t="s">
        <v>7719</v>
      </c>
    </row>
    <row r="2788" spans="1:6">
      <c r="A2788" t="s">
        <v>1286</v>
      </c>
      <c r="B2788" t="s">
        <v>6041</v>
      </c>
      <c r="C2788" t="s">
        <v>7785</v>
      </c>
      <c r="D2788" t="s">
        <v>7835</v>
      </c>
      <c r="E2788" t="s">
        <v>7718</v>
      </c>
      <c r="F2788" t="s">
        <v>7719</v>
      </c>
    </row>
    <row r="2789" spans="1:6">
      <c r="A2789" t="s">
        <v>1286</v>
      </c>
      <c r="B2789" t="s">
        <v>6046</v>
      </c>
      <c r="C2789" t="s">
        <v>7785</v>
      </c>
      <c r="D2789" t="s">
        <v>7836</v>
      </c>
      <c r="E2789" t="s">
        <v>7718</v>
      </c>
      <c r="F2789" t="s">
        <v>7719</v>
      </c>
    </row>
    <row r="2790" spans="1:6">
      <c r="A2790" t="s">
        <v>1286</v>
      </c>
      <c r="B2790" t="s">
        <v>6047</v>
      </c>
      <c r="C2790" t="s">
        <v>7785</v>
      </c>
      <c r="D2790" t="s">
        <v>7722</v>
      </c>
      <c r="E2790" t="s">
        <v>7718</v>
      </c>
      <c r="F2790" t="s">
        <v>7719</v>
      </c>
    </row>
    <row r="2791" spans="1:6">
      <c r="A2791" t="s">
        <v>1286</v>
      </c>
      <c r="B2791" t="s">
        <v>6048</v>
      </c>
      <c r="C2791" t="s">
        <v>7785</v>
      </c>
      <c r="D2791" t="s">
        <v>7837</v>
      </c>
      <c r="E2791" t="s">
        <v>7718</v>
      </c>
      <c r="F2791" t="s">
        <v>7719</v>
      </c>
    </row>
    <row r="2792" spans="1:6">
      <c r="A2792" t="s">
        <v>1286</v>
      </c>
      <c r="B2792" t="s">
        <v>6049</v>
      </c>
      <c r="C2792" t="s">
        <v>7785</v>
      </c>
      <c r="D2792" t="s">
        <v>7838</v>
      </c>
      <c r="E2792" t="s">
        <v>7718</v>
      </c>
      <c r="F2792" t="s">
        <v>7719</v>
      </c>
    </row>
    <row r="2793" spans="1:6">
      <c r="A2793" t="s">
        <v>1286</v>
      </c>
      <c r="B2793" t="s">
        <v>6054</v>
      </c>
      <c r="C2793" t="s">
        <v>7785</v>
      </c>
      <c r="D2793" t="s">
        <v>7839</v>
      </c>
      <c r="E2793" t="s">
        <v>7718</v>
      </c>
      <c r="F2793" t="s">
        <v>7719</v>
      </c>
    </row>
    <row r="2794" spans="1:6">
      <c r="A2794" t="s">
        <v>1286</v>
      </c>
      <c r="B2794" t="s">
        <v>6055</v>
      </c>
      <c r="C2794" t="s">
        <v>7785</v>
      </c>
      <c r="D2794" t="s">
        <v>7840</v>
      </c>
      <c r="E2794" t="s">
        <v>7718</v>
      </c>
      <c r="F2794" t="s">
        <v>7719</v>
      </c>
    </row>
    <row r="2795" spans="1:6">
      <c r="A2795" t="s">
        <v>1286</v>
      </c>
      <c r="B2795" t="s">
        <v>6056</v>
      </c>
      <c r="C2795" t="s">
        <v>7785</v>
      </c>
      <c r="D2795" t="s">
        <v>491</v>
      </c>
      <c r="E2795" t="s">
        <v>7718</v>
      </c>
      <c r="F2795" t="s">
        <v>7719</v>
      </c>
    </row>
    <row r="2796" spans="1:6">
      <c r="A2796" t="s">
        <v>1286</v>
      </c>
      <c r="B2796" t="s">
        <v>6057</v>
      </c>
      <c r="C2796" t="s">
        <v>7785</v>
      </c>
      <c r="D2796" t="s">
        <v>7841</v>
      </c>
      <c r="E2796" t="s">
        <v>7718</v>
      </c>
      <c r="F2796" t="s">
        <v>7719</v>
      </c>
    </row>
    <row r="2797" spans="1:6">
      <c r="A2797" t="s">
        <v>1286</v>
      </c>
      <c r="B2797" t="s">
        <v>6062</v>
      </c>
      <c r="C2797" t="s">
        <v>7785</v>
      </c>
      <c r="D2797" t="s">
        <v>7842</v>
      </c>
      <c r="E2797" t="s">
        <v>7718</v>
      </c>
      <c r="F2797" t="s">
        <v>7719</v>
      </c>
    </row>
    <row r="2798" spans="1:6">
      <c r="A2798" t="s">
        <v>1286</v>
      </c>
      <c r="B2798" t="s">
        <v>6063</v>
      </c>
      <c r="C2798" t="s">
        <v>7785</v>
      </c>
      <c r="D2798" t="s">
        <v>7843</v>
      </c>
      <c r="E2798" t="s">
        <v>7718</v>
      </c>
      <c r="F2798" t="s">
        <v>7719</v>
      </c>
    </row>
    <row r="2799" spans="1:6">
      <c r="A2799" t="s">
        <v>1286</v>
      </c>
      <c r="B2799" t="s">
        <v>6064</v>
      </c>
      <c r="C2799" t="s">
        <v>7785</v>
      </c>
      <c r="D2799" t="s">
        <v>7844</v>
      </c>
      <c r="E2799" t="s">
        <v>7718</v>
      </c>
      <c r="F2799" t="s">
        <v>7719</v>
      </c>
    </row>
    <row r="2800" spans="1:6">
      <c r="A2800" t="s">
        <v>1286</v>
      </c>
      <c r="B2800" t="s">
        <v>6065</v>
      </c>
      <c r="C2800" t="s">
        <v>7785</v>
      </c>
      <c r="D2800" t="s">
        <v>7845</v>
      </c>
      <c r="E2800" t="s">
        <v>7718</v>
      </c>
      <c r="F2800" t="s">
        <v>7719</v>
      </c>
    </row>
    <row r="2801" spans="1:6">
      <c r="A2801" t="s">
        <v>1286</v>
      </c>
      <c r="B2801" t="s">
        <v>6070</v>
      </c>
      <c r="C2801" t="s">
        <v>7785</v>
      </c>
      <c r="D2801" t="s">
        <v>7846</v>
      </c>
      <c r="E2801" t="s">
        <v>7718</v>
      </c>
      <c r="F2801" t="s">
        <v>7719</v>
      </c>
    </row>
    <row r="2802" spans="1:6">
      <c r="A2802" t="s">
        <v>1286</v>
      </c>
      <c r="B2802" t="s">
        <v>6071</v>
      </c>
      <c r="C2802" t="s">
        <v>7785</v>
      </c>
      <c r="D2802" t="s">
        <v>7847</v>
      </c>
      <c r="E2802" t="s">
        <v>7718</v>
      </c>
      <c r="F2802" t="s">
        <v>7719</v>
      </c>
    </row>
    <row r="2803" spans="1:6">
      <c r="A2803" t="s">
        <v>1286</v>
      </c>
      <c r="B2803" t="s">
        <v>6072</v>
      </c>
      <c r="C2803" t="s">
        <v>7785</v>
      </c>
      <c r="D2803" t="s">
        <v>7848</v>
      </c>
      <c r="E2803" t="s">
        <v>7718</v>
      </c>
      <c r="F2803" t="s">
        <v>7719</v>
      </c>
    </row>
    <row r="2804" spans="1:6">
      <c r="A2804" t="s">
        <v>1286</v>
      </c>
      <c r="B2804" t="s">
        <v>6073</v>
      </c>
      <c r="C2804" t="s">
        <v>7785</v>
      </c>
      <c r="D2804" t="s">
        <v>7849</v>
      </c>
      <c r="E2804" t="s">
        <v>7718</v>
      </c>
      <c r="F2804" t="s">
        <v>7719</v>
      </c>
    </row>
    <row r="2805" spans="1:6">
      <c r="A2805" t="s">
        <v>1286</v>
      </c>
      <c r="B2805" t="s">
        <v>6078</v>
      </c>
      <c r="C2805" t="s">
        <v>7785</v>
      </c>
      <c r="D2805" t="s">
        <v>7850</v>
      </c>
      <c r="E2805" t="s">
        <v>7718</v>
      </c>
      <c r="F2805" t="s">
        <v>7719</v>
      </c>
    </row>
    <row r="2806" spans="1:6">
      <c r="A2806" t="s">
        <v>1286</v>
      </c>
      <c r="B2806" t="s">
        <v>6079</v>
      </c>
      <c r="C2806" t="s">
        <v>7785</v>
      </c>
      <c r="D2806" t="s">
        <v>7851</v>
      </c>
      <c r="E2806" t="s">
        <v>7718</v>
      </c>
      <c r="F2806" t="s">
        <v>7719</v>
      </c>
    </row>
    <row r="2807" spans="1:6">
      <c r="A2807" t="s">
        <v>1286</v>
      </c>
      <c r="B2807" t="s">
        <v>6080</v>
      </c>
      <c r="C2807" t="s">
        <v>7785</v>
      </c>
      <c r="D2807" t="s">
        <v>7837</v>
      </c>
      <c r="E2807" t="s">
        <v>7718</v>
      </c>
      <c r="F2807" t="s">
        <v>7719</v>
      </c>
    </row>
    <row r="2808" spans="1:6">
      <c r="A2808" t="s">
        <v>1286</v>
      </c>
      <c r="B2808" t="s">
        <v>6081</v>
      </c>
      <c r="C2808" t="s">
        <v>7785</v>
      </c>
      <c r="D2808" t="s">
        <v>7852</v>
      </c>
      <c r="E2808" t="s">
        <v>7718</v>
      </c>
      <c r="F2808" t="s">
        <v>7719</v>
      </c>
    </row>
    <row r="2809" spans="1:6">
      <c r="A2809" t="s">
        <v>7705</v>
      </c>
      <c r="B2809" t="s">
        <v>5953</v>
      </c>
      <c r="C2809" t="s">
        <v>7853</v>
      </c>
      <c r="D2809" t="s">
        <v>7854</v>
      </c>
      <c r="E2809" t="s">
        <v>7718</v>
      </c>
      <c r="F2809" t="s">
        <v>7719</v>
      </c>
    </row>
    <row r="2810" spans="1:6">
      <c r="A2810" t="s">
        <v>7705</v>
      </c>
      <c r="B2810" t="s">
        <v>7855</v>
      </c>
      <c r="C2810" t="s">
        <v>7856</v>
      </c>
      <c r="D2810" t="s">
        <v>7857</v>
      </c>
      <c r="E2810" t="s">
        <v>7718</v>
      </c>
      <c r="F2810" t="s">
        <v>7719</v>
      </c>
    </row>
    <row r="2811" spans="1:6">
      <c r="A2811" t="s">
        <v>7705</v>
      </c>
      <c r="B2811" t="s">
        <v>7774</v>
      </c>
      <c r="C2811" t="s">
        <v>7858</v>
      </c>
      <c r="D2811">
        <f>COUNTIF(Backlog!$AU$2:$AU$180,"&lt;&gt;NOT SOURCE-REVIEWED IN THIS PASS")</f>
        <v>51</v>
      </c>
      <c r="E2811" t="s">
        <v>7820</v>
      </c>
      <c r="F2811" t="s">
        <v>7719</v>
      </c>
    </row>
    <row r="2812" spans="1:6">
      <c r="A2812" t="s">
        <v>7705</v>
      </c>
      <c r="B2812" t="s">
        <v>5955</v>
      </c>
      <c r="C2812" t="s">
        <v>7859</v>
      </c>
      <c r="D2812" t="s">
        <v>7860</v>
      </c>
      <c r="E2812" t="s">
        <v>7718</v>
      </c>
      <c r="F2812" t="s">
        <v>7719</v>
      </c>
    </row>
    <row r="2813" spans="1:6">
      <c r="A2813" t="s">
        <v>7705</v>
      </c>
      <c r="B2813" t="s">
        <v>5966</v>
      </c>
      <c r="C2813" t="s">
        <v>7861</v>
      </c>
      <c r="D2813" t="s">
        <v>7862</v>
      </c>
      <c r="E2813" t="s">
        <v>7718</v>
      </c>
      <c r="F2813" t="s">
        <v>7719</v>
      </c>
    </row>
    <row r="2814" spans="1:6">
      <c r="A2814" t="s">
        <v>7705</v>
      </c>
      <c r="B2814" t="s">
        <v>5974</v>
      </c>
      <c r="C2814" t="s">
        <v>7863</v>
      </c>
      <c r="D2814" t="s">
        <v>7864</v>
      </c>
      <c r="E2814" t="s">
        <v>7718</v>
      </c>
      <c r="F2814" t="s">
        <v>7719</v>
      </c>
    </row>
    <row r="2815" spans="1:6">
      <c r="A2815" t="s">
        <v>7705</v>
      </c>
      <c r="B2815" t="s">
        <v>5977</v>
      </c>
      <c r="C2815" t="s">
        <v>7865</v>
      </c>
      <c r="D2815" t="s">
        <v>7866</v>
      </c>
      <c r="E2815" t="s">
        <v>7718</v>
      </c>
      <c r="F2815" t="s">
        <v>7719</v>
      </c>
    </row>
    <row r="2816" spans="1:6">
      <c r="A2816" t="s">
        <v>7705</v>
      </c>
      <c r="B2816" t="s">
        <v>5992</v>
      </c>
      <c r="C2816" t="s">
        <v>7867</v>
      </c>
      <c r="D2816" t="s">
        <v>7868</v>
      </c>
      <c r="E2816" t="s">
        <v>7718</v>
      </c>
      <c r="F2816" t="s">
        <v>7719</v>
      </c>
    </row>
    <row r="2817" spans="1:6">
      <c r="A2817" t="s">
        <v>7705</v>
      </c>
      <c r="B2817" t="s">
        <v>6012</v>
      </c>
      <c r="C2817" t="s">
        <v>7869</v>
      </c>
      <c r="D2817" t="s">
        <v>7870</v>
      </c>
      <c r="E2817" t="s">
        <v>7718</v>
      </c>
      <c r="F2817" t="s">
        <v>7719</v>
      </c>
    </row>
    <row r="2818" spans="1:6">
      <c r="A2818" t="s">
        <v>7705</v>
      </c>
      <c r="B2818" t="s">
        <v>5979</v>
      </c>
      <c r="C2818" t="s">
        <v>7871</v>
      </c>
      <c r="D2818" t="s">
        <v>7872</v>
      </c>
      <c r="E2818" t="s">
        <v>7718</v>
      </c>
      <c r="F2818" t="s">
        <v>7719</v>
      </c>
    </row>
    <row r="2819" spans="1:6">
      <c r="A2819" t="s">
        <v>7705</v>
      </c>
      <c r="B2819" t="s">
        <v>7873</v>
      </c>
      <c r="C2819" t="s">
        <v>7874</v>
      </c>
      <c r="D2819" t="s">
        <v>7875</v>
      </c>
      <c r="E2819" t="s">
        <v>7718</v>
      </c>
      <c r="F2819" t="s">
        <v>7719</v>
      </c>
    </row>
    <row r="2820" spans="1:6">
      <c r="A2820" t="s">
        <v>7705</v>
      </c>
      <c r="B2820" t="s">
        <v>6373</v>
      </c>
      <c r="C2820" t="s">
        <v>7876</v>
      </c>
      <c r="D2820" t="s">
        <v>7877</v>
      </c>
      <c r="E2820" t="s">
        <v>7718</v>
      </c>
      <c r="F2820" t="s">
        <v>7719</v>
      </c>
    </row>
    <row r="2821" spans="1:6">
      <c r="A2821" t="s">
        <v>7705</v>
      </c>
      <c r="B2821" t="s">
        <v>6375</v>
      </c>
      <c r="C2821" t="s">
        <v>7878</v>
      </c>
      <c r="D2821" t="s">
        <v>7879</v>
      </c>
      <c r="E2821" t="s">
        <v>7718</v>
      </c>
      <c r="F2821" t="s">
        <v>7719</v>
      </c>
    </row>
    <row r="2822" spans="1:6">
      <c r="A2822" t="s">
        <v>7705</v>
      </c>
      <c r="B2822" t="s">
        <v>6381</v>
      </c>
      <c r="C2822" t="s">
        <v>7880</v>
      </c>
      <c r="D2822" t="s">
        <v>7881</v>
      </c>
      <c r="E2822" t="s">
        <v>7718</v>
      </c>
      <c r="F2822" t="s">
        <v>7719</v>
      </c>
    </row>
    <row r="2823" spans="1:6">
      <c r="A2823" t="s">
        <v>7705</v>
      </c>
      <c r="B2823" t="s">
        <v>6383</v>
      </c>
      <c r="C2823" t="s">
        <v>7878</v>
      </c>
      <c r="D2823" t="s">
        <v>7879</v>
      </c>
      <c r="E2823" t="s">
        <v>7718</v>
      </c>
      <c r="F2823" t="s">
        <v>7719</v>
      </c>
    </row>
    <row r="2824" spans="1:6">
      <c r="A2824" t="s">
        <v>7705</v>
      </c>
      <c r="B2824" t="s">
        <v>6389</v>
      </c>
      <c r="C2824" t="s">
        <v>7882</v>
      </c>
      <c r="D2824" t="s">
        <v>7883</v>
      </c>
      <c r="E2824" t="s">
        <v>7718</v>
      </c>
      <c r="F2824" t="s">
        <v>7719</v>
      </c>
    </row>
    <row r="2825" spans="1:6">
      <c r="A2825" t="s">
        <v>7705</v>
      </c>
      <c r="B2825" t="s">
        <v>6391</v>
      </c>
      <c r="C2825" t="s">
        <v>7878</v>
      </c>
      <c r="D2825" t="s">
        <v>7884</v>
      </c>
      <c r="E2825" t="s">
        <v>7718</v>
      </c>
      <c r="F2825" t="s">
        <v>7719</v>
      </c>
    </row>
    <row r="2826" spans="1:6">
      <c r="A2826" t="s">
        <v>7705</v>
      </c>
      <c r="B2826" t="s">
        <v>6479</v>
      </c>
      <c r="C2826" t="s">
        <v>7885</v>
      </c>
      <c r="D2826" t="s">
        <v>7886</v>
      </c>
      <c r="E2826" t="s">
        <v>7718</v>
      </c>
      <c r="F2826" t="s">
        <v>7719</v>
      </c>
    </row>
    <row r="2827" spans="1:6">
      <c r="A2827" t="s">
        <v>7705</v>
      </c>
      <c r="B2827" t="s">
        <v>6506</v>
      </c>
      <c r="C2827" t="s">
        <v>7785</v>
      </c>
      <c r="D2827" t="s">
        <v>7887</v>
      </c>
      <c r="E2827" t="s">
        <v>7718</v>
      </c>
      <c r="F2827" t="s">
        <v>7719</v>
      </c>
    </row>
    <row r="2828" spans="1:6">
      <c r="A2828" t="s">
        <v>7705</v>
      </c>
      <c r="B2828" t="s">
        <v>6507</v>
      </c>
      <c r="C2828" t="s">
        <v>7785</v>
      </c>
      <c r="D2828" t="s">
        <v>1908</v>
      </c>
      <c r="E2828" t="s">
        <v>7718</v>
      </c>
      <c r="F2828" t="s">
        <v>7719</v>
      </c>
    </row>
    <row r="2829" spans="1:6">
      <c r="A2829" t="s">
        <v>7705</v>
      </c>
      <c r="B2829" t="s">
        <v>6508</v>
      </c>
      <c r="C2829" t="s">
        <v>7785</v>
      </c>
      <c r="D2829" t="s">
        <v>7888</v>
      </c>
      <c r="E2829" t="s">
        <v>7718</v>
      </c>
      <c r="F2829" t="s">
        <v>7719</v>
      </c>
    </row>
    <row r="2830" spans="1:6">
      <c r="A2830" t="s">
        <v>7705</v>
      </c>
      <c r="B2830" t="s">
        <v>6511</v>
      </c>
      <c r="C2830" t="s">
        <v>7785</v>
      </c>
      <c r="D2830" t="s">
        <v>7889</v>
      </c>
      <c r="E2830" t="s">
        <v>7718</v>
      </c>
      <c r="F2830" t="s">
        <v>7719</v>
      </c>
    </row>
    <row r="2831" spans="1:6">
      <c r="A2831" t="s">
        <v>7705</v>
      </c>
      <c r="B2831" t="s">
        <v>6514</v>
      </c>
      <c r="C2831" t="s">
        <v>7785</v>
      </c>
      <c r="D2831" t="s">
        <v>7890</v>
      </c>
      <c r="E2831" t="s">
        <v>7718</v>
      </c>
      <c r="F2831" t="s">
        <v>7719</v>
      </c>
    </row>
    <row r="2832" spans="1:6">
      <c r="A2832" t="s">
        <v>7705</v>
      </c>
      <c r="B2832" t="s">
        <v>6515</v>
      </c>
      <c r="C2832" t="s">
        <v>7785</v>
      </c>
      <c r="D2832" t="s">
        <v>7891</v>
      </c>
      <c r="E2832" t="s">
        <v>7718</v>
      </c>
      <c r="F2832" t="s">
        <v>7719</v>
      </c>
    </row>
    <row r="2833" spans="1:6">
      <c r="A2833" t="s">
        <v>7705</v>
      </c>
      <c r="B2833" t="s">
        <v>6516</v>
      </c>
      <c r="C2833" t="s">
        <v>7785</v>
      </c>
      <c r="D2833" t="s">
        <v>7892</v>
      </c>
      <c r="E2833" t="s">
        <v>7718</v>
      </c>
      <c r="F2833" t="s">
        <v>7719</v>
      </c>
    </row>
    <row r="2834" spans="1:6">
      <c r="A2834" t="s">
        <v>7705</v>
      </c>
      <c r="B2834" t="s">
        <v>6519</v>
      </c>
      <c r="C2834" t="s">
        <v>7785</v>
      </c>
      <c r="D2834" t="s">
        <v>7893</v>
      </c>
      <c r="E2834" t="s">
        <v>7718</v>
      </c>
      <c r="F2834" t="s">
        <v>7719</v>
      </c>
    </row>
    <row r="2835" spans="1:6">
      <c r="A2835" t="s">
        <v>7705</v>
      </c>
      <c r="B2835" t="s">
        <v>6522</v>
      </c>
      <c r="C2835" t="s">
        <v>7785</v>
      </c>
      <c r="D2835" t="s">
        <v>7894</v>
      </c>
      <c r="E2835" t="s">
        <v>7718</v>
      </c>
      <c r="F2835" t="s">
        <v>7719</v>
      </c>
    </row>
    <row r="2836" spans="1:6">
      <c r="A2836" t="s">
        <v>7705</v>
      </c>
      <c r="B2836" t="s">
        <v>6523</v>
      </c>
      <c r="C2836" t="s">
        <v>7785</v>
      </c>
      <c r="D2836" t="s">
        <v>7891</v>
      </c>
      <c r="E2836" t="s">
        <v>7718</v>
      </c>
      <c r="F2836" t="s">
        <v>7719</v>
      </c>
    </row>
    <row r="2837" spans="1:6">
      <c r="A2837" t="s">
        <v>7705</v>
      </c>
      <c r="B2837" t="s">
        <v>6524</v>
      </c>
      <c r="C2837" t="s">
        <v>7785</v>
      </c>
      <c r="D2837" t="s">
        <v>7895</v>
      </c>
      <c r="E2837" t="s">
        <v>7718</v>
      </c>
      <c r="F2837" t="s">
        <v>7719</v>
      </c>
    </row>
    <row r="2838" spans="1:6">
      <c r="A2838" t="s">
        <v>7705</v>
      </c>
      <c r="B2838" t="s">
        <v>6527</v>
      </c>
      <c r="C2838" t="s">
        <v>7785</v>
      </c>
      <c r="D2838" t="s">
        <v>7896</v>
      </c>
      <c r="E2838" t="s">
        <v>7718</v>
      </c>
      <c r="F2838" t="s">
        <v>7719</v>
      </c>
    </row>
    <row r="2839" spans="1:6">
      <c r="A2839" t="s">
        <v>7705</v>
      </c>
      <c r="B2839" t="s">
        <v>6530</v>
      </c>
      <c r="C2839" t="s">
        <v>7785</v>
      </c>
      <c r="D2839" t="s">
        <v>7897</v>
      </c>
      <c r="E2839" t="s">
        <v>7718</v>
      </c>
      <c r="F2839" t="s">
        <v>7719</v>
      </c>
    </row>
    <row r="2840" spans="1:6">
      <c r="A2840" t="s">
        <v>7705</v>
      </c>
      <c r="B2840" t="s">
        <v>6531</v>
      </c>
      <c r="C2840" t="s">
        <v>7785</v>
      </c>
      <c r="D2840" t="s">
        <v>7891</v>
      </c>
      <c r="E2840" t="s">
        <v>7718</v>
      </c>
      <c r="F2840" t="s">
        <v>7719</v>
      </c>
    </row>
    <row r="2841" spans="1:6">
      <c r="A2841" t="s">
        <v>7705</v>
      </c>
      <c r="B2841" t="s">
        <v>6532</v>
      </c>
      <c r="C2841" t="s">
        <v>7785</v>
      </c>
      <c r="D2841" t="s">
        <v>7898</v>
      </c>
      <c r="E2841" t="s">
        <v>7718</v>
      </c>
      <c r="F2841" t="s">
        <v>7719</v>
      </c>
    </row>
    <row r="2842" spans="1:6">
      <c r="A2842" t="s">
        <v>7705</v>
      </c>
      <c r="B2842" t="s">
        <v>6535</v>
      </c>
      <c r="C2842" t="s">
        <v>7785</v>
      </c>
      <c r="D2842" t="s">
        <v>7899</v>
      </c>
      <c r="E2842" t="s">
        <v>7718</v>
      </c>
      <c r="F2842" t="s">
        <v>7719</v>
      </c>
    </row>
    <row r="2843" spans="1:6">
      <c r="A2843" t="s">
        <v>7705</v>
      </c>
      <c r="B2843" t="s">
        <v>6538</v>
      </c>
      <c r="C2843" t="s">
        <v>7785</v>
      </c>
      <c r="D2843" t="s">
        <v>7900</v>
      </c>
      <c r="E2843" t="s">
        <v>7718</v>
      </c>
      <c r="F2843" t="s">
        <v>7719</v>
      </c>
    </row>
    <row r="2844" spans="1:6">
      <c r="A2844" t="s">
        <v>7705</v>
      </c>
      <c r="B2844" t="s">
        <v>6539</v>
      </c>
      <c r="C2844" t="s">
        <v>7785</v>
      </c>
      <c r="D2844" t="s">
        <v>7891</v>
      </c>
      <c r="E2844" t="s">
        <v>7718</v>
      </c>
      <c r="F2844" t="s">
        <v>7719</v>
      </c>
    </row>
    <row r="2845" spans="1:6">
      <c r="A2845" t="s">
        <v>7705</v>
      </c>
      <c r="B2845" t="s">
        <v>6540</v>
      </c>
      <c r="C2845" t="s">
        <v>7785</v>
      </c>
      <c r="D2845" t="s">
        <v>7901</v>
      </c>
      <c r="E2845" t="s">
        <v>7718</v>
      </c>
      <c r="F2845" t="s">
        <v>7719</v>
      </c>
    </row>
    <row r="2846" spans="1:6">
      <c r="A2846" t="s">
        <v>7705</v>
      </c>
      <c r="B2846" t="s">
        <v>6543</v>
      </c>
      <c r="C2846" t="s">
        <v>7785</v>
      </c>
      <c r="D2846" t="s">
        <v>7902</v>
      </c>
      <c r="E2846" t="s">
        <v>7718</v>
      </c>
      <c r="F2846" t="s">
        <v>7719</v>
      </c>
    </row>
    <row r="2847" spans="1:6">
      <c r="A2847" t="s">
        <v>7705</v>
      </c>
      <c r="B2847" t="s">
        <v>6546</v>
      </c>
      <c r="C2847" t="s">
        <v>7785</v>
      </c>
      <c r="D2847" t="s">
        <v>7903</v>
      </c>
      <c r="E2847" t="s">
        <v>7718</v>
      </c>
      <c r="F2847" t="s">
        <v>7719</v>
      </c>
    </row>
    <row r="2848" spans="1:6">
      <c r="A2848" t="s">
        <v>7705</v>
      </c>
      <c r="B2848" t="s">
        <v>6547</v>
      </c>
      <c r="C2848" t="s">
        <v>7785</v>
      </c>
      <c r="D2848" t="s">
        <v>7891</v>
      </c>
      <c r="E2848" t="s">
        <v>7718</v>
      </c>
      <c r="F2848" t="s">
        <v>7719</v>
      </c>
    </row>
    <row r="2849" spans="1:6">
      <c r="A2849" t="s">
        <v>7705</v>
      </c>
      <c r="B2849" t="s">
        <v>6548</v>
      </c>
      <c r="C2849" t="s">
        <v>7785</v>
      </c>
      <c r="D2849" t="s">
        <v>7904</v>
      </c>
      <c r="E2849" t="s">
        <v>7718</v>
      </c>
      <c r="F2849" t="s">
        <v>7719</v>
      </c>
    </row>
    <row r="2850" spans="1:6">
      <c r="A2850" t="s">
        <v>7705</v>
      </c>
      <c r="B2850" t="s">
        <v>6551</v>
      </c>
      <c r="C2850" t="s">
        <v>7785</v>
      </c>
      <c r="D2850" t="s">
        <v>7905</v>
      </c>
      <c r="E2850" t="s">
        <v>7718</v>
      </c>
      <c r="F2850" t="s">
        <v>7719</v>
      </c>
    </row>
    <row r="2851" spans="1:6">
      <c r="A2851" t="s">
        <v>7705</v>
      </c>
      <c r="B2851" t="s">
        <v>6554</v>
      </c>
      <c r="C2851" t="s">
        <v>7785</v>
      </c>
      <c r="D2851" t="s">
        <v>7906</v>
      </c>
      <c r="E2851" t="s">
        <v>7718</v>
      </c>
      <c r="F2851" t="s">
        <v>7719</v>
      </c>
    </row>
    <row r="2852" spans="1:6">
      <c r="A2852" t="s">
        <v>7705</v>
      </c>
      <c r="B2852" t="s">
        <v>6555</v>
      </c>
      <c r="C2852" t="s">
        <v>7785</v>
      </c>
      <c r="D2852" t="s">
        <v>7891</v>
      </c>
      <c r="E2852" t="s">
        <v>7718</v>
      </c>
      <c r="F2852" t="s">
        <v>7719</v>
      </c>
    </row>
    <row r="2853" spans="1:6">
      <c r="A2853" t="s">
        <v>7705</v>
      </c>
      <c r="B2853" t="s">
        <v>6556</v>
      </c>
      <c r="C2853" t="s">
        <v>7785</v>
      </c>
      <c r="D2853" t="s">
        <v>7907</v>
      </c>
      <c r="E2853" t="s">
        <v>7718</v>
      </c>
      <c r="F2853" t="s">
        <v>7719</v>
      </c>
    </row>
    <row r="2854" spans="1:6">
      <c r="A2854" t="s">
        <v>7705</v>
      </c>
      <c r="B2854" t="s">
        <v>6559</v>
      </c>
      <c r="C2854" t="s">
        <v>7785</v>
      </c>
      <c r="D2854" t="s">
        <v>7908</v>
      </c>
      <c r="E2854" t="s">
        <v>7718</v>
      </c>
      <c r="F2854" t="s">
        <v>7719</v>
      </c>
    </row>
    <row r="2855" spans="1:6">
      <c r="A2855" t="s">
        <v>7705</v>
      </c>
      <c r="B2855" t="s">
        <v>6562</v>
      </c>
      <c r="C2855" t="s">
        <v>7785</v>
      </c>
      <c r="D2855" t="s">
        <v>7909</v>
      </c>
      <c r="E2855" t="s">
        <v>7718</v>
      </c>
      <c r="F2855" t="s">
        <v>7719</v>
      </c>
    </row>
    <row r="2856" spans="1:6">
      <c r="A2856" t="s">
        <v>7705</v>
      </c>
      <c r="B2856" t="s">
        <v>6563</v>
      </c>
      <c r="C2856" t="s">
        <v>7785</v>
      </c>
      <c r="D2856" t="s">
        <v>7891</v>
      </c>
      <c r="E2856" t="s">
        <v>7718</v>
      </c>
      <c r="F2856" t="s">
        <v>7719</v>
      </c>
    </row>
    <row r="2857" spans="1:6">
      <c r="A2857" t="s">
        <v>7705</v>
      </c>
      <c r="B2857" t="s">
        <v>6564</v>
      </c>
      <c r="C2857" t="s">
        <v>7785</v>
      </c>
      <c r="D2857" t="s">
        <v>7910</v>
      </c>
      <c r="E2857" t="s">
        <v>7718</v>
      </c>
      <c r="F2857" t="s">
        <v>7719</v>
      </c>
    </row>
    <row r="2858" spans="1:6">
      <c r="A2858" t="s">
        <v>7705</v>
      </c>
      <c r="B2858" t="s">
        <v>6567</v>
      </c>
      <c r="C2858" t="s">
        <v>7785</v>
      </c>
      <c r="D2858" t="s">
        <v>7911</v>
      </c>
      <c r="E2858" t="s">
        <v>7718</v>
      </c>
      <c r="F2858" t="s">
        <v>7719</v>
      </c>
    </row>
    <row r="2859" spans="1:6">
      <c r="A2859" t="s">
        <v>7705</v>
      </c>
      <c r="B2859" t="s">
        <v>7912</v>
      </c>
      <c r="C2859" t="s">
        <v>7785</v>
      </c>
      <c r="D2859" t="s">
        <v>7913</v>
      </c>
      <c r="E2859" t="s">
        <v>7718</v>
      </c>
      <c r="F2859" t="s">
        <v>7719</v>
      </c>
    </row>
    <row r="2860" spans="1:6">
      <c r="A2860" t="s">
        <v>7705</v>
      </c>
      <c r="B2860" t="s">
        <v>6570</v>
      </c>
      <c r="C2860" t="s">
        <v>7785</v>
      </c>
      <c r="D2860" t="s">
        <v>7891</v>
      </c>
      <c r="E2860" t="s">
        <v>7718</v>
      </c>
      <c r="F2860" t="s">
        <v>7719</v>
      </c>
    </row>
    <row r="2861" spans="1:6">
      <c r="A2861" t="s">
        <v>7705</v>
      </c>
      <c r="B2861" t="s">
        <v>6571</v>
      </c>
      <c r="C2861" t="s">
        <v>7785</v>
      </c>
      <c r="D2861" t="s">
        <v>7914</v>
      </c>
      <c r="E2861" t="s">
        <v>7718</v>
      </c>
      <c r="F2861" t="s">
        <v>7719</v>
      </c>
    </row>
    <row r="2862" spans="1:6">
      <c r="A2862" t="s">
        <v>7705</v>
      </c>
      <c r="B2862" t="s">
        <v>6574</v>
      </c>
      <c r="C2862" t="s">
        <v>7785</v>
      </c>
      <c r="D2862" t="s">
        <v>7915</v>
      </c>
      <c r="E2862" t="s">
        <v>7718</v>
      </c>
      <c r="F2862" t="s">
        <v>7719</v>
      </c>
    </row>
    <row r="2863" spans="1:6">
      <c r="A2863" t="s">
        <v>7705</v>
      </c>
      <c r="B2863" t="s">
        <v>7916</v>
      </c>
      <c r="C2863" t="s">
        <v>7785</v>
      </c>
      <c r="D2863" t="s">
        <v>7917</v>
      </c>
      <c r="E2863" t="s">
        <v>7718</v>
      </c>
      <c r="F2863" t="s">
        <v>7719</v>
      </c>
    </row>
    <row r="2864" spans="1:6">
      <c r="A2864" t="s">
        <v>7705</v>
      </c>
      <c r="B2864" t="s">
        <v>6577</v>
      </c>
      <c r="C2864" t="s">
        <v>7785</v>
      </c>
      <c r="D2864" t="s">
        <v>7891</v>
      </c>
      <c r="E2864" t="s">
        <v>7718</v>
      </c>
      <c r="F2864" t="s">
        <v>7719</v>
      </c>
    </row>
    <row r="2865" spans="1:6">
      <c r="A2865" t="s">
        <v>7705</v>
      </c>
      <c r="B2865" t="s">
        <v>6578</v>
      </c>
      <c r="C2865" t="s">
        <v>7785</v>
      </c>
      <c r="D2865" t="s">
        <v>7914</v>
      </c>
      <c r="E2865" t="s">
        <v>7718</v>
      </c>
      <c r="F2865" t="s">
        <v>7719</v>
      </c>
    </row>
    <row r="2866" spans="1:6">
      <c r="A2866" t="s">
        <v>7705</v>
      </c>
      <c r="B2866" t="s">
        <v>6581</v>
      </c>
      <c r="C2866" t="s">
        <v>7785</v>
      </c>
      <c r="D2866" t="s">
        <v>7918</v>
      </c>
      <c r="E2866" t="s">
        <v>7718</v>
      </c>
      <c r="F2866" t="s">
        <v>7719</v>
      </c>
    </row>
    <row r="2867" spans="1:6">
      <c r="A2867" t="s">
        <v>7705</v>
      </c>
      <c r="B2867" t="s">
        <v>7919</v>
      </c>
      <c r="C2867" t="s">
        <v>7785</v>
      </c>
      <c r="D2867" t="s">
        <v>7920</v>
      </c>
      <c r="E2867" t="s">
        <v>7718</v>
      </c>
      <c r="F2867" t="s">
        <v>7719</v>
      </c>
    </row>
    <row r="2868" spans="1:6">
      <c r="A2868" t="s">
        <v>7705</v>
      </c>
      <c r="B2868" t="s">
        <v>6584</v>
      </c>
      <c r="C2868" t="s">
        <v>7785</v>
      </c>
      <c r="D2868" t="s">
        <v>7891</v>
      </c>
      <c r="E2868" t="s">
        <v>7718</v>
      </c>
      <c r="F2868" t="s">
        <v>7719</v>
      </c>
    </row>
    <row r="2869" spans="1:6">
      <c r="A2869" t="s">
        <v>7705</v>
      </c>
      <c r="B2869" t="s">
        <v>6585</v>
      </c>
      <c r="C2869" t="s">
        <v>7785</v>
      </c>
      <c r="D2869" t="s">
        <v>7921</v>
      </c>
      <c r="E2869" t="s">
        <v>7718</v>
      </c>
      <c r="F2869" t="s">
        <v>7719</v>
      </c>
    </row>
    <row r="2870" spans="1:6">
      <c r="A2870" t="s">
        <v>7705</v>
      </c>
      <c r="B2870" t="s">
        <v>6588</v>
      </c>
      <c r="C2870" t="s">
        <v>7785</v>
      </c>
      <c r="D2870" t="s">
        <v>7922</v>
      </c>
      <c r="E2870" t="s">
        <v>7718</v>
      </c>
      <c r="F2870" t="s">
        <v>7719</v>
      </c>
    </row>
    <row r="2871" spans="1:6">
      <c r="A2871" t="s">
        <v>7705</v>
      </c>
      <c r="B2871" t="s">
        <v>7923</v>
      </c>
      <c r="C2871" t="s">
        <v>7785</v>
      </c>
      <c r="D2871" t="s">
        <v>7924</v>
      </c>
      <c r="E2871" t="s">
        <v>7718</v>
      </c>
      <c r="F2871" t="s">
        <v>7719</v>
      </c>
    </row>
    <row r="2872" spans="1:6">
      <c r="A2872" t="s">
        <v>7705</v>
      </c>
      <c r="B2872" t="s">
        <v>6591</v>
      </c>
      <c r="C2872" t="s">
        <v>7785</v>
      </c>
      <c r="D2872" t="s">
        <v>7925</v>
      </c>
      <c r="E2872" t="s">
        <v>7718</v>
      </c>
      <c r="F2872" t="s">
        <v>7719</v>
      </c>
    </row>
    <row r="2873" spans="1:6">
      <c r="A2873" t="s">
        <v>7705</v>
      </c>
      <c r="B2873" t="s">
        <v>6592</v>
      </c>
      <c r="C2873" t="s">
        <v>7785</v>
      </c>
      <c r="D2873" t="s">
        <v>7926</v>
      </c>
      <c r="E2873" t="s">
        <v>7718</v>
      </c>
      <c r="F2873" t="s">
        <v>7719</v>
      </c>
    </row>
    <row r="2874" spans="1:6">
      <c r="A2874" t="s">
        <v>7705</v>
      </c>
      <c r="B2874" t="s">
        <v>6595</v>
      </c>
      <c r="C2874" t="s">
        <v>7785</v>
      </c>
      <c r="D2874" t="s">
        <v>7927</v>
      </c>
      <c r="E2874" t="s">
        <v>7718</v>
      </c>
      <c r="F2874" t="s">
        <v>7719</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52"/>
  <sheetViews>
    <sheetView workbookViewId="0"/>
  </sheetViews>
  <sheetFormatPr defaultRowHeight="14.25"/>
  <cols>
    <col min="1" max="1" width="12" customWidth="1"/>
    <col min="2" max="2" width="32" customWidth="1"/>
    <col min="3" max="4" width="48" customWidth="1"/>
    <col min="5" max="5" width="52" customWidth="1"/>
    <col min="6" max="8" width="12" customWidth="1"/>
    <col min="9" max="12" width="38" customWidth="1"/>
  </cols>
  <sheetData>
    <row r="1" spans="1:12" ht="32.1" customHeight="1">
      <c r="A1" s="85" t="s">
        <v>1599</v>
      </c>
      <c r="B1" s="85" t="s">
        <v>7928</v>
      </c>
      <c r="C1" s="85" t="s">
        <v>1640</v>
      </c>
      <c r="D1" s="85" t="s">
        <v>7929</v>
      </c>
      <c r="E1" s="85" t="s">
        <v>7930</v>
      </c>
      <c r="F1" s="85" t="s">
        <v>7931</v>
      </c>
      <c r="G1" s="85" t="s">
        <v>7932</v>
      </c>
      <c r="H1" s="85" t="s">
        <v>7933</v>
      </c>
      <c r="I1" s="85" t="s">
        <v>7934</v>
      </c>
      <c r="J1" s="85" t="s">
        <v>7935</v>
      </c>
      <c r="K1" s="85" t="s">
        <v>7936</v>
      </c>
      <c r="L1" s="85" t="s">
        <v>7937</v>
      </c>
    </row>
    <row r="2" spans="1:12" ht="210" customHeight="1">
      <c r="A2" s="38" t="s">
        <v>88</v>
      </c>
      <c r="B2" s="38" t="s">
        <v>7938</v>
      </c>
      <c r="C2" s="38" t="s">
        <v>1651</v>
      </c>
      <c r="D2" s="38" t="s">
        <v>1652</v>
      </c>
      <c r="E2" s="38" t="s">
        <v>1654</v>
      </c>
      <c r="F2" s="86">
        <v>0</v>
      </c>
      <c r="G2" s="86">
        <v>0</v>
      </c>
      <c r="H2" s="86">
        <v>0</v>
      </c>
      <c r="I2" s="38" t="s">
        <v>7939</v>
      </c>
      <c r="J2" s="38"/>
      <c r="K2" s="38" t="s">
        <v>526</v>
      </c>
      <c r="L2" s="38" t="s">
        <v>1655</v>
      </c>
    </row>
    <row r="3" spans="1:12" ht="210" customHeight="1">
      <c r="A3" s="38" t="s">
        <v>89</v>
      </c>
      <c r="B3" s="38" t="s">
        <v>7938</v>
      </c>
      <c r="C3" s="38" t="s">
        <v>1657</v>
      </c>
      <c r="D3" s="38" t="s">
        <v>1658</v>
      </c>
      <c r="E3" s="38" t="s">
        <v>1659</v>
      </c>
      <c r="F3" s="86">
        <v>0</v>
      </c>
      <c r="G3" s="86">
        <v>0</v>
      </c>
      <c r="H3" s="86">
        <v>0</v>
      </c>
      <c r="I3" s="38" t="s">
        <v>7940</v>
      </c>
      <c r="J3" s="38"/>
      <c r="K3" s="38" t="s">
        <v>531</v>
      </c>
      <c r="L3" s="38"/>
    </row>
    <row r="4" spans="1:12" ht="210" customHeight="1">
      <c r="A4" s="38" t="s">
        <v>90</v>
      </c>
      <c r="B4" s="38" t="s">
        <v>7941</v>
      </c>
      <c r="C4" s="38" t="s">
        <v>1660</v>
      </c>
      <c r="D4" s="38" t="s">
        <v>1661</v>
      </c>
      <c r="E4" s="38" t="s">
        <v>1662</v>
      </c>
      <c r="F4" s="86">
        <v>0</v>
      </c>
      <c r="G4" s="86">
        <v>0</v>
      </c>
      <c r="H4" s="86">
        <v>0</v>
      </c>
      <c r="I4" s="38" t="s">
        <v>7942</v>
      </c>
      <c r="J4" s="38"/>
      <c r="K4" s="38" t="s">
        <v>534</v>
      </c>
      <c r="L4" s="38"/>
    </row>
    <row r="5" spans="1:12" ht="210" customHeight="1">
      <c r="A5" s="38" t="s">
        <v>91</v>
      </c>
      <c r="B5" s="38" t="s">
        <v>7943</v>
      </c>
      <c r="C5" s="38" t="s">
        <v>1663</v>
      </c>
      <c r="D5" s="38" t="s">
        <v>1664</v>
      </c>
      <c r="E5" s="38" t="s">
        <v>1665</v>
      </c>
      <c r="F5" s="86">
        <v>6</v>
      </c>
      <c r="G5" s="86">
        <v>9</v>
      </c>
      <c r="H5" s="86">
        <v>14</v>
      </c>
      <c r="I5" s="38" t="s">
        <v>7944</v>
      </c>
      <c r="J5" s="38"/>
      <c r="K5" s="38"/>
      <c r="L5" s="38" t="s">
        <v>1666</v>
      </c>
    </row>
    <row r="6" spans="1:12" ht="210" customHeight="1">
      <c r="A6" s="38" t="s">
        <v>92</v>
      </c>
      <c r="B6" s="38" t="s">
        <v>7945</v>
      </c>
      <c r="C6" s="38" t="s">
        <v>1667</v>
      </c>
      <c r="D6" s="38" t="s">
        <v>1668</v>
      </c>
      <c r="E6" s="38" t="s">
        <v>1670</v>
      </c>
      <c r="F6" s="86">
        <v>0</v>
      </c>
      <c r="G6" s="86">
        <v>0</v>
      </c>
      <c r="H6" s="86">
        <v>0</v>
      </c>
      <c r="I6" s="38" t="s">
        <v>7946</v>
      </c>
      <c r="J6" s="38"/>
      <c r="K6" s="38" t="s">
        <v>1669</v>
      </c>
      <c r="L6" s="38"/>
    </row>
    <row r="7" spans="1:12" ht="210" customHeight="1">
      <c r="A7" s="38" t="s">
        <v>93</v>
      </c>
      <c r="B7" s="38" t="s">
        <v>7722</v>
      </c>
      <c r="C7" s="38" t="s">
        <v>1671</v>
      </c>
      <c r="D7" s="38" t="s">
        <v>1672</v>
      </c>
      <c r="E7" s="38" t="s">
        <v>7779</v>
      </c>
      <c r="F7" s="86" t="s">
        <v>1696</v>
      </c>
      <c r="G7" s="86" t="s">
        <v>1696</v>
      </c>
      <c r="H7" s="86" t="s">
        <v>1696</v>
      </c>
      <c r="I7" s="38" t="s">
        <v>7741</v>
      </c>
      <c r="J7" s="38" t="s">
        <v>7786</v>
      </c>
      <c r="K7" s="38" t="s">
        <v>7787</v>
      </c>
      <c r="L7" s="38" t="s">
        <v>7789</v>
      </c>
    </row>
    <row r="8" spans="1:12" ht="210" customHeight="1">
      <c r="A8" s="38" t="s">
        <v>94</v>
      </c>
      <c r="B8" s="38" t="s">
        <v>7947</v>
      </c>
      <c r="C8" s="38" t="s">
        <v>1678</v>
      </c>
      <c r="D8" s="38" t="s">
        <v>1679</v>
      </c>
      <c r="E8" s="38" t="s">
        <v>1680</v>
      </c>
      <c r="F8" s="86">
        <v>12</v>
      </c>
      <c r="G8" s="86">
        <v>18</v>
      </c>
      <c r="H8" s="86">
        <v>28</v>
      </c>
      <c r="I8" s="38" t="s">
        <v>7948</v>
      </c>
      <c r="J8" s="38"/>
      <c r="K8" s="38"/>
      <c r="L8" s="38" t="s">
        <v>1681</v>
      </c>
    </row>
    <row r="9" spans="1:12" ht="210" customHeight="1">
      <c r="A9" s="38" t="s">
        <v>95</v>
      </c>
      <c r="B9" s="38" t="s">
        <v>7949</v>
      </c>
      <c r="C9" s="38" t="s">
        <v>1682</v>
      </c>
      <c r="D9" s="38" t="s">
        <v>1683</v>
      </c>
      <c r="E9" s="38" t="s">
        <v>1684</v>
      </c>
      <c r="F9" s="86">
        <v>4</v>
      </c>
      <c r="G9" s="86">
        <v>7</v>
      </c>
      <c r="H9" s="86">
        <v>12</v>
      </c>
      <c r="I9" s="38" t="s">
        <v>7950</v>
      </c>
      <c r="J9" s="38" t="s">
        <v>7951</v>
      </c>
      <c r="K9" s="38"/>
      <c r="L9" s="38" t="s">
        <v>1685</v>
      </c>
    </row>
    <row r="10" spans="1:12" ht="210" customHeight="1">
      <c r="A10" s="38" t="s">
        <v>96</v>
      </c>
      <c r="B10" s="38" t="s">
        <v>7952</v>
      </c>
      <c r="C10" s="38" t="s">
        <v>1686</v>
      </c>
      <c r="D10" s="38" t="s">
        <v>1687</v>
      </c>
      <c r="E10" s="38" t="s">
        <v>1688</v>
      </c>
      <c r="F10" s="86">
        <v>4</v>
      </c>
      <c r="G10" s="86">
        <v>6</v>
      </c>
      <c r="H10" s="86">
        <v>10</v>
      </c>
      <c r="I10" s="38" t="s">
        <v>7953</v>
      </c>
      <c r="J10" s="38" t="s">
        <v>7954</v>
      </c>
      <c r="K10" s="38"/>
      <c r="L10" s="38" t="s">
        <v>1689</v>
      </c>
    </row>
    <row r="11" spans="1:12" ht="210" customHeight="1">
      <c r="A11" s="38" t="s">
        <v>97</v>
      </c>
      <c r="B11" s="38" t="s">
        <v>7955</v>
      </c>
      <c r="C11" s="38" t="s">
        <v>1690</v>
      </c>
      <c r="D11" s="38" t="s">
        <v>1691</v>
      </c>
      <c r="E11" s="38" t="s">
        <v>1692</v>
      </c>
      <c r="F11" s="86">
        <v>8</v>
      </c>
      <c r="G11" s="86">
        <v>14</v>
      </c>
      <c r="H11" s="86">
        <v>22</v>
      </c>
      <c r="I11" s="38" t="s">
        <v>7956</v>
      </c>
      <c r="J11" s="38"/>
      <c r="K11" s="38"/>
      <c r="L11" s="38" t="s">
        <v>1693</v>
      </c>
    </row>
    <row r="12" spans="1:12" ht="210" customHeight="1">
      <c r="A12" s="38" t="s">
        <v>98</v>
      </c>
      <c r="B12" s="38" t="s">
        <v>7957</v>
      </c>
      <c r="C12" s="38" t="s">
        <v>1694</v>
      </c>
      <c r="D12" s="38" t="s">
        <v>1695</v>
      </c>
      <c r="E12" s="38" t="s">
        <v>1698</v>
      </c>
      <c r="F12" s="86">
        <v>18</v>
      </c>
      <c r="G12" s="86">
        <v>28</v>
      </c>
      <c r="H12" s="86">
        <v>44</v>
      </c>
      <c r="I12" s="38" t="s">
        <v>7958</v>
      </c>
      <c r="J12" s="38" t="s">
        <v>7959</v>
      </c>
      <c r="K12" s="38" t="s">
        <v>1697</v>
      </c>
      <c r="L12" s="38" t="s">
        <v>1699</v>
      </c>
    </row>
    <row r="13" spans="1:12" ht="210" customHeight="1">
      <c r="A13" s="38" t="s">
        <v>99</v>
      </c>
      <c r="B13" s="38" t="s">
        <v>7960</v>
      </c>
      <c r="C13" s="38" t="s">
        <v>1700</v>
      </c>
      <c r="D13" s="38" t="s">
        <v>1701</v>
      </c>
      <c r="E13" s="38" t="s">
        <v>1702</v>
      </c>
      <c r="F13" s="86">
        <v>12</v>
      </c>
      <c r="G13" s="86">
        <v>20</v>
      </c>
      <c r="H13" s="86">
        <v>32</v>
      </c>
      <c r="I13" s="38" t="s">
        <v>7961</v>
      </c>
      <c r="J13" s="38"/>
      <c r="K13" s="38"/>
      <c r="L13" s="38" t="s">
        <v>1703</v>
      </c>
    </row>
    <row r="14" spans="1:12" ht="210" customHeight="1">
      <c r="A14" s="38" t="s">
        <v>100</v>
      </c>
      <c r="B14" s="38" t="s">
        <v>7962</v>
      </c>
      <c r="C14" s="38" t="s">
        <v>1704</v>
      </c>
      <c r="D14" s="38" t="s">
        <v>1705</v>
      </c>
      <c r="E14" s="38" t="s">
        <v>1706</v>
      </c>
      <c r="F14" s="86">
        <v>22</v>
      </c>
      <c r="G14" s="86">
        <v>34</v>
      </c>
      <c r="H14" s="86">
        <v>52</v>
      </c>
      <c r="I14" s="38" t="s">
        <v>7963</v>
      </c>
      <c r="J14" s="38" t="s">
        <v>7964</v>
      </c>
      <c r="K14" s="38"/>
      <c r="L14" s="38" t="s">
        <v>1707</v>
      </c>
    </row>
    <row r="15" spans="1:12" ht="210" customHeight="1">
      <c r="A15" s="38" t="s">
        <v>101</v>
      </c>
      <c r="B15" s="38" t="s">
        <v>7965</v>
      </c>
      <c r="C15" s="38" t="s">
        <v>1708</v>
      </c>
      <c r="D15" s="38" t="s">
        <v>1709</v>
      </c>
      <c r="E15" s="38" t="s">
        <v>1710</v>
      </c>
      <c r="F15" s="86">
        <v>6</v>
      </c>
      <c r="G15" s="86">
        <v>10</v>
      </c>
      <c r="H15" s="86">
        <v>18</v>
      </c>
      <c r="I15" s="38" t="s">
        <v>7966</v>
      </c>
      <c r="J15" s="38"/>
      <c r="K15" s="38"/>
      <c r="L15" s="38" t="s">
        <v>1711</v>
      </c>
    </row>
    <row r="16" spans="1:12" ht="210" customHeight="1">
      <c r="A16" s="38" t="s">
        <v>102</v>
      </c>
      <c r="B16" s="38" t="s">
        <v>7967</v>
      </c>
      <c r="C16" s="38" t="s">
        <v>1712</v>
      </c>
      <c r="D16" s="38" t="s">
        <v>1713</v>
      </c>
      <c r="E16" s="38" t="s">
        <v>1714</v>
      </c>
      <c r="F16" s="86">
        <v>0</v>
      </c>
      <c r="G16" s="86">
        <v>0</v>
      </c>
      <c r="H16" s="86">
        <v>0</v>
      </c>
      <c r="I16" s="38" t="s">
        <v>7968</v>
      </c>
      <c r="J16" s="38"/>
      <c r="K16" s="38" t="s">
        <v>506</v>
      </c>
      <c r="L16" s="38"/>
    </row>
    <row r="17" spans="1:12" ht="210" customHeight="1">
      <c r="A17" s="38" t="s">
        <v>103</v>
      </c>
      <c r="B17" s="38" t="s">
        <v>7969</v>
      </c>
      <c r="C17" s="38" t="s">
        <v>1715</v>
      </c>
      <c r="D17" s="38" t="s">
        <v>1716</v>
      </c>
      <c r="E17" s="38" t="s">
        <v>1717</v>
      </c>
      <c r="F17" s="86">
        <v>6</v>
      </c>
      <c r="G17" s="86">
        <v>9</v>
      </c>
      <c r="H17" s="86">
        <v>14</v>
      </c>
      <c r="I17" s="38" t="s">
        <v>7970</v>
      </c>
      <c r="J17" s="38"/>
      <c r="K17" s="38"/>
      <c r="L17" s="38" t="s">
        <v>1718</v>
      </c>
    </row>
    <row r="18" spans="1:12" ht="210" customHeight="1">
      <c r="A18" s="38" t="s">
        <v>104</v>
      </c>
      <c r="B18" s="38" t="s">
        <v>7971</v>
      </c>
      <c r="C18" s="38" t="s">
        <v>1719</v>
      </c>
      <c r="D18" s="38" t="s">
        <v>1720</v>
      </c>
      <c r="E18" s="38" t="s">
        <v>1721</v>
      </c>
      <c r="F18" s="86">
        <v>0</v>
      </c>
      <c r="G18" s="86">
        <v>0</v>
      </c>
      <c r="H18" s="86">
        <v>0</v>
      </c>
      <c r="I18" s="38" t="s">
        <v>7972</v>
      </c>
      <c r="J18" s="38"/>
      <c r="K18" s="38" t="s">
        <v>575</v>
      </c>
      <c r="L18" s="38"/>
    </row>
    <row r="19" spans="1:12" ht="210" customHeight="1">
      <c r="A19" s="38" t="s">
        <v>105</v>
      </c>
      <c r="B19" s="38" t="s">
        <v>7973</v>
      </c>
      <c r="C19" s="38" t="s">
        <v>1722</v>
      </c>
      <c r="D19" s="38" t="s">
        <v>1723</v>
      </c>
      <c r="E19" s="38" t="s">
        <v>1724</v>
      </c>
      <c r="F19" s="86">
        <v>10</v>
      </c>
      <c r="G19" s="86">
        <v>16</v>
      </c>
      <c r="H19" s="86">
        <v>26</v>
      </c>
      <c r="I19" s="38" t="s">
        <v>7974</v>
      </c>
      <c r="J19" s="38"/>
      <c r="K19" s="38"/>
      <c r="L19" s="38" t="s">
        <v>1725</v>
      </c>
    </row>
    <row r="20" spans="1:12" ht="210" customHeight="1">
      <c r="A20" s="38" t="s">
        <v>106</v>
      </c>
      <c r="B20" s="38" t="s">
        <v>7975</v>
      </c>
      <c r="C20" s="38" t="s">
        <v>1726</v>
      </c>
      <c r="D20" s="38" t="s">
        <v>1727</v>
      </c>
      <c r="E20" s="38" t="s">
        <v>1728</v>
      </c>
      <c r="F20" s="86">
        <v>10</v>
      </c>
      <c r="G20" s="86">
        <v>16</v>
      </c>
      <c r="H20" s="86">
        <v>26</v>
      </c>
      <c r="I20" s="38" t="s">
        <v>7976</v>
      </c>
      <c r="J20" s="38"/>
      <c r="K20" s="38"/>
      <c r="L20" s="38" t="s">
        <v>1729</v>
      </c>
    </row>
    <row r="21" spans="1:12" ht="210" customHeight="1">
      <c r="A21" s="38" t="s">
        <v>107</v>
      </c>
      <c r="B21" s="38" t="s">
        <v>7977</v>
      </c>
      <c r="C21" s="38" t="s">
        <v>1730</v>
      </c>
      <c r="D21" s="38" t="s">
        <v>1731</v>
      </c>
      <c r="E21" s="38" t="s">
        <v>1732</v>
      </c>
      <c r="F21" s="86">
        <v>10</v>
      </c>
      <c r="G21" s="86">
        <v>16</v>
      </c>
      <c r="H21" s="86">
        <v>28</v>
      </c>
      <c r="I21" s="38" t="s">
        <v>7978</v>
      </c>
      <c r="J21" s="38"/>
      <c r="K21" s="38"/>
      <c r="L21" s="38" t="s">
        <v>1733</v>
      </c>
    </row>
    <row r="22" spans="1:12" ht="210" customHeight="1">
      <c r="A22" s="38" t="s">
        <v>108</v>
      </c>
      <c r="B22" s="38" t="s">
        <v>7979</v>
      </c>
      <c r="C22" s="38" t="s">
        <v>1734</v>
      </c>
      <c r="D22" s="38" t="s">
        <v>1735</v>
      </c>
      <c r="E22" s="38" t="s">
        <v>1736</v>
      </c>
      <c r="F22" s="86">
        <v>5</v>
      </c>
      <c r="G22" s="86">
        <v>8</v>
      </c>
      <c r="H22" s="86">
        <v>13</v>
      </c>
      <c r="I22" s="38" t="s">
        <v>7980</v>
      </c>
      <c r="J22" s="38"/>
      <c r="K22" s="38"/>
      <c r="L22" s="38" t="s">
        <v>1737</v>
      </c>
    </row>
    <row r="23" spans="1:12" ht="210" customHeight="1">
      <c r="A23" s="38" t="s">
        <v>109</v>
      </c>
      <c r="B23" s="38" t="s">
        <v>7981</v>
      </c>
      <c r="C23" s="38" t="s">
        <v>1738</v>
      </c>
      <c r="D23" s="38" t="s">
        <v>1739</v>
      </c>
      <c r="E23" s="38" t="s">
        <v>1740</v>
      </c>
      <c r="F23" s="86">
        <v>5</v>
      </c>
      <c r="G23" s="86">
        <v>8</v>
      </c>
      <c r="H23" s="86">
        <v>14</v>
      </c>
      <c r="I23" s="38" t="s">
        <v>7982</v>
      </c>
      <c r="J23" s="38"/>
      <c r="K23" s="38"/>
      <c r="L23" s="38" t="s">
        <v>1741</v>
      </c>
    </row>
    <row r="24" spans="1:12" ht="210" customHeight="1">
      <c r="A24" s="38" t="s">
        <v>110</v>
      </c>
      <c r="B24" s="38" t="s">
        <v>7983</v>
      </c>
      <c r="C24" s="38" t="s">
        <v>1742</v>
      </c>
      <c r="D24" s="38" t="s">
        <v>1743</v>
      </c>
      <c r="E24" s="38" t="s">
        <v>1744</v>
      </c>
      <c r="F24" s="86">
        <v>6</v>
      </c>
      <c r="G24" s="86">
        <v>11</v>
      </c>
      <c r="H24" s="86">
        <v>18</v>
      </c>
      <c r="I24" s="38" t="s">
        <v>7984</v>
      </c>
      <c r="J24" s="38"/>
      <c r="K24" s="38"/>
      <c r="L24" s="38" t="s">
        <v>1745</v>
      </c>
    </row>
    <row r="25" spans="1:12" ht="210" customHeight="1">
      <c r="A25" s="38" t="s">
        <v>111</v>
      </c>
      <c r="B25" s="38" t="s">
        <v>7985</v>
      </c>
      <c r="C25" s="38" t="s">
        <v>1746</v>
      </c>
      <c r="D25" s="38" t="s">
        <v>1747</v>
      </c>
      <c r="E25" s="38" t="s">
        <v>1748</v>
      </c>
      <c r="F25" s="86">
        <v>0</v>
      </c>
      <c r="G25" s="86">
        <v>0</v>
      </c>
      <c r="H25" s="86">
        <v>0</v>
      </c>
      <c r="I25" s="38" t="s">
        <v>7986</v>
      </c>
      <c r="J25" s="38"/>
      <c r="K25" s="38" t="s">
        <v>594</v>
      </c>
      <c r="L25" s="38"/>
    </row>
    <row r="26" spans="1:12" ht="210" customHeight="1">
      <c r="A26" s="38" t="s">
        <v>112</v>
      </c>
      <c r="B26" s="38" t="s">
        <v>7987</v>
      </c>
      <c r="C26" s="38" t="s">
        <v>1749</v>
      </c>
      <c r="D26" s="38" t="s">
        <v>1750</v>
      </c>
      <c r="E26" s="38" t="s">
        <v>1751</v>
      </c>
      <c r="F26" s="86">
        <v>0</v>
      </c>
      <c r="G26" s="86">
        <v>0</v>
      </c>
      <c r="H26" s="86">
        <v>0</v>
      </c>
      <c r="I26" s="38" t="s">
        <v>7988</v>
      </c>
      <c r="J26" s="38"/>
      <c r="K26" s="38" t="s">
        <v>598</v>
      </c>
      <c r="L26" s="38"/>
    </row>
    <row r="27" spans="1:12" ht="210" customHeight="1">
      <c r="A27" s="38" t="s">
        <v>113</v>
      </c>
      <c r="B27" s="38" t="s">
        <v>7989</v>
      </c>
      <c r="C27" s="38" t="s">
        <v>1752</v>
      </c>
      <c r="D27" s="38" t="s">
        <v>1753</v>
      </c>
      <c r="E27" s="38" t="s">
        <v>1755</v>
      </c>
      <c r="F27" s="86">
        <v>5</v>
      </c>
      <c r="G27" s="86">
        <v>9</v>
      </c>
      <c r="H27" s="86">
        <v>15</v>
      </c>
      <c r="I27" s="38" t="s">
        <v>7990</v>
      </c>
      <c r="J27" s="38"/>
      <c r="K27" s="38" t="s">
        <v>1754</v>
      </c>
      <c r="L27" s="38" t="s">
        <v>1756</v>
      </c>
    </row>
    <row r="28" spans="1:12" ht="210" customHeight="1">
      <c r="A28" s="38" t="s">
        <v>114</v>
      </c>
      <c r="B28" s="38" t="s">
        <v>7991</v>
      </c>
      <c r="C28" s="38" t="s">
        <v>1757</v>
      </c>
      <c r="D28" s="38" t="s">
        <v>1758</v>
      </c>
      <c r="E28" s="38" t="s">
        <v>1759</v>
      </c>
      <c r="F28" s="86">
        <v>0</v>
      </c>
      <c r="G28" s="86">
        <v>0</v>
      </c>
      <c r="H28" s="86">
        <v>0</v>
      </c>
      <c r="I28" s="38" t="s">
        <v>7992</v>
      </c>
      <c r="J28" s="38"/>
      <c r="K28" s="38" t="s">
        <v>606</v>
      </c>
      <c r="L28" s="38"/>
    </row>
    <row r="29" spans="1:12" ht="210" customHeight="1">
      <c r="A29" s="38" t="s">
        <v>115</v>
      </c>
      <c r="B29" s="38" t="s">
        <v>7993</v>
      </c>
      <c r="C29" s="38" t="s">
        <v>1760</v>
      </c>
      <c r="D29" s="38" t="s">
        <v>1761</v>
      </c>
      <c r="E29" s="38" t="s">
        <v>1762</v>
      </c>
      <c r="F29" s="86">
        <v>6</v>
      </c>
      <c r="G29" s="86">
        <v>10</v>
      </c>
      <c r="H29" s="86">
        <v>16</v>
      </c>
      <c r="I29" s="38" t="s">
        <v>7994</v>
      </c>
      <c r="J29" s="38"/>
      <c r="K29" s="38"/>
      <c r="L29" s="38" t="s">
        <v>7995</v>
      </c>
    </row>
    <row r="30" spans="1:12" ht="210" customHeight="1">
      <c r="A30" s="38" t="s">
        <v>116</v>
      </c>
      <c r="B30" s="38" t="s">
        <v>7996</v>
      </c>
      <c r="C30" s="38" t="s">
        <v>1764</v>
      </c>
      <c r="D30" s="38" t="s">
        <v>1765</v>
      </c>
      <c r="E30" s="38" t="s">
        <v>1766</v>
      </c>
      <c r="F30" s="86">
        <v>8</v>
      </c>
      <c r="G30" s="86">
        <v>14</v>
      </c>
      <c r="H30" s="86">
        <v>22</v>
      </c>
      <c r="I30" s="38" t="s">
        <v>7997</v>
      </c>
      <c r="J30" s="38"/>
      <c r="K30" s="38"/>
      <c r="L30" s="38" t="s">
        <v>1767</v>
      </c>
    </row>
    <row r="31" spans="1:12" ht="210" customHeight="1">
      <c r="A31" s="38" t="s">
        <v>117</v>
      </c>
      <c r="B31" s="38" t="s">
        <v>7998</v>
      </c>
      <c r="C31" s="38" t="s">
        <v>1768</v>
      </c>
      <c r="D31" s="38" t="s">
        <v>1769</v>
      </c>
      <c r="E31" s="38" t="s">
        <v>1771</v>
      </c>
      <c r="F31" s="86">
        <v>0</v>
      </c>
      <c r="G31" s="86">
        <v>0</v>
      </c>
      <c r="H31" s="86">
        <v>0</v>
      </c>
      <c r="I31" s="38" t="s">
        <v>7999</v>
      </c>
      <c r="J31" s="38"/>
      <c r="K31" s="38" t="s">
        <v>1770</v>
      </c>
      <c r="L31" s="38"/>
    </row>
    <row r="32" spans="1:12" ht="210" customHeight="1">
      <c r="A32" s="38" t="s">
        <v>118</v>
      </c>
      <c r="B32" s="38" t="s">
        <v>8000</v>
      </c>
      <c r="C32" s="38" t="s">
        <v>1772</v>
      </c>
      <c r="D32" s="38" t="s">
        <v>1773</v>
      </c>
      <c r="E32" s="38" t="s">
        <v>1775</v>
      </c>
      <c r="F32" s="86">
        <v>2</v>
      </c>
      <c r="G32" s="86">
        <v>4</v>
      </c>
      <c r="H32" s="86">
        <v>7</v>
      </c>
      <c r="I32" s="38" t="s">
        <v>8001</v>
      </c>
      <c r="J32" s="38"/>
      <c r="K32" s="38" t="s">
        <v>1774</v>
      </c>
      <c r="L32" s="38" t="s">
        <v>1776</v>
      </c>
    </row>
    <row r="33" spans="1:12" ht="210" customHeight="1">
      <c r="A33" s="38" t="s">
        <v>119</v>
      </c>
      <c r="B33" s="38" t="s">
        <v>7792</v>
      </c>
      <c r="C33" s="38" t="s">
        <v>7794</v>
      </c>
      <c r="D33" s="38" t="s">
        <v>1779</v>
      </c>
      <c r="E33" s="38" t="s">
        <v>1781</v>
      </c>
      <c r="F33" s="86">
        <v>16</v>
      </c>
      <c r="G33" s="86">
        <v>26</v>
      </c>
      <c r="H33" s="86">
        <v>42</v>
      </c>
      <c r="I33" s="38" t="s">
        <v>8002</v>
      </c>
      <c r="J33" s="38" t="s">
        <v>7797</v>
      </c>
      <c r="K33" s="38" t="s">
        <v>1780</v>
      </c>
      <c r="L33" s="38" t="s">
        <v>1782</v>
      </c>
    </row>
    <row r="34" spans="1:12" ht="210" customHeight="1">
      <c r="A34" s="38" t="s">
        <v>120</v>
      </c>
      <c r="B34" s="38" t="s">
        <v>8003</v>
      </c>
      <c r="C34" s="38" t="s">
        <v>1783</v>
      </c>
      <c r="D34" s="38" t="s">
        <v>1784</v>
      </c>
      <c r="E34" s="38" t="s">
        <v>1786</v>
      </c>
      <c r="F34" s="86">
        <v>1</v>
      </c>
      <c r="G34" s="86">
        <v>3</v>
      </c>
      <c r="H34" s="86">
        <v>6</v>
      </c>
      <c r="I34" s="38" t="s">
        <v>8004</v>
      </c>
      <c r="J34" s="38" t="s">
        <v>8005</v>
      </c>
      <c r="K34" s="38" t="s">
        <v>1785</v>
      </c>
      <c r="L34" s="38" t="s">
        <v>1787</v>
      </c>
    </row>
    <row r="35" spans="1:12" ht="210" customHeight="1">
      <c r="A35" s="38" t="s">
        <v>153</v>
      </c>
      <c r="B35" s="38" t="s">
        <v>8006</v>
      </c>
      <c r="C35" s="38" t="s">
        <v>8007</v>
      </c>
      <c r="D35" s="38" t="s">
        <v>8008</v>
      </c>
      <c r="E35" s="38" t="s">
        <v>8009</v>
      </c>
      <c r="F35" s="86">
        <v>12</v>
      </c>
      <c r="G35" s="86">
        <v>20</v>
      </c>
      <c r="H35" s="86">
        <v>32</v>
      </c>
      <c r="I35" s="38" t="s">
        <v>8010</v>
      </c>
      <c r="J35" s="38" t="s">
        <v>8011</v>
      </c>
      <c r="K35" s="38"/>
      <c r="L35" s="38" t="s">
        <v>8012</v>
      </c>
    </row>
    <row r="36" spans="1:12" ht="210" customHeight="1">
      <c r="A36" s="38" t="s">
        <v>158</v>
      </c>
      <c r="B36" s="38" t="s">
        <v>8013</v>
      </c>
      <c r="C36" s="38" t="s">
        <v>8014</v>
      </c>
      <c r="D36" s="38" t="s">
        <v>8015</v>
      </c>
      <c r="E36" s="38" t="s">
        <v>8016</v>
      </c>
      <c r="F36" s="86">
        <v>10</v>
      </c>
      <c r="G36" s="86">
        <v>18</v>
      </c>
      <c r="H36" s="86">
        <v>30</v>
      </c>
      <c r="I36" s="38" t="s">
        <v>8017</v>
      </c>
      <c r="J36" s="38" t="s">
        <v>8018</v>
      </c>
      <c r="K36" s="38"/>
      <c r="L36" s="38" t="s">
        <v>8019</v>
      </c>
    </row>
    <row r="37" spans="1:12" ht="210" customHeight="1">
      <c r="A37" s="38" t="s">
        <v>159</v>
      </c>
      <c r="B37" s="38" t="s">
        <v>8020</v>
      </c>
      <c r="C37" s="38" t="s">
        <v>8021</v>
      </c>
      <c r="D37" s="38" t="s">
        <v>8022</v>
      </c>
      <c r="E37" s="38" t="s">
        <v>8023</v>
      </c>
      <c r="F37" s="86">
        <v>12</v>
      </c>
      <c r="G37" s="86">
        <v>20</v>
      </c>
      <c r="H37" s="86">
        <v>36</v>
      </c>
      <c r="I37" s="38" t="s">
        <v>8024</v>
      </c>
      <c r="J37" s="38" t="s">
        <v>8025</v>
      </c>
      <c r="K37" s="38"/>
      <c r="L37" s="38" t="s">
        <v>8026</v>
      </c>
    </row>
    <row r="38" spans="1:12" ht="210" customHeight="1">
      <c r="A38" s="38" t="s">
        <v>167</v>
      </c>
      <c r="B38" s="38" t="s">
        <v>8027</v>
      </c>
      <c r="C38" s="38" t="s">
        <v>8028</v>
      </c>
      <c r="D38" s="38" t="s">
        <v>8029</v>
      </c>
      <c r="E38" s="38" t="s">
        <v>8030</v>
      </c>
      <c r="F38" s="86">
        <v>16</v>
      </c>
      <c r="G38" s="86">
        <v>28</v>
      </c>
      <c r="H38" s="86">
        <v>44</v>
      </c>
      <c r="I38" s="38" t="s">
        <v>8031</v>
      </c>
      <c r="J38" s="38" t="s">
        <v>8032</v>
      </c>
      <c r="K38" s="38"/>
      <c r="L38" s="38" t="s">
        <v>8033</v>
      </c>
    </row>
    <row r="39" spans="1:12" ht="210" customHeight="1">
      <c r="A39" s="38" t="s">
        <v>173</v>
      </c>
      <c r="B39" s="38" t="s">
        <v>8034</v>
      </c>
      <c r="C39" s="38" t="s">
        <v>8035</v>
      </c>
      <c r="D39" s="38" t="s">
        <v>8036</v>
      </c>
      <c r="E39" s="38" t="s">
        <v>8037</v>
      </c>
      <c r="F39" s="86">
        <v>8</v>
      </c>
      <c r="G39" s="86">
        <v>14</v>
      </c>
      <c r="H39" s="86">
        <v>24</v>
      </c>
      <c r="I39" s="38" t="s">
        <v>8038</v>
      </c>
      <c r="J39" s="38" t="s">
        <v>8039</v>
      </c>
      <c r="K39" s="38"/>
      <c r="L39" s="38" t="s">
        <v>8040</v>
      </c>
    </row>
    <row r="40" spans="1:12" ht="210" customHeight="1">
      <c r="A40" s="38" t="s">
        <v>174</v>
      </c>
      <c r="B40" s="38" t="s">
        <v>8041</v>
      </c>
      <c r="C40" s="38" t="s">
        <v>8042</v>
      </c>
      <c r="D40" s="38" t="s">
        <v>8043</v>
      </c>
      <c r="E40" s="38" t="s">
        <v>8044</v>
      </c>
      <c r="F40" s="86">
        <v>8</v>
      </c>
      <c r="G40" s="86">
        <v>16</v>
      </c>
      <c r="H40" s="86">
        <v>28</v>
      </c>
      <c r="I40" s="38" t="s">
        <v>8045</v>
      </c>
      <c r="J40" s="38" t="s">
        <v>8046</v>
      </c>
      <c r="K40" s="38"/>
      <c r="L40" s="38" t="s">
        <v>8047</v>
      </c>
    </row>
    <row r="41" spans="1:12" ht="210" customHeight="1">
      <c r="A41" s="38" t="s">
        <v>177</v>
      </c>
      <c r="B41" s="38" t="s">
        <v>8048</v>
      </c>
      <c r="C41" s="38" t="s">
        <v>8049</v>
      </c>
      <c r="D41" s="38" t="s">
        <v>8050</v>
      </c>
      <c r="E41" s="38" t="s">
        <v>8051</v>
      </c>
      <c r="F41" s="86">
        <v>8</v>
      </c>
      <c r="G41" s="86">
        <v>14</v>
      </c>
      <c r="H41" s="86">
        <v>24</v>
      </c>
      <c r="I41" s="38" t="s">
        <v>8052</v>
      </c>
      <c r="J41" s="38" t="s">
        <v>8053</v>
      </c>
      <c r="K41" s="38"/>
      <c r="L41" s="38" t="s">
        <v>8054</v>
      </c>
    </row>
    <row r="42" spans="1:12" ht="210" customHeight="1">
      <c r="A42" s="38" t="s">
        <v>194</v>
      </c>
      <c r="B42" s="38" t="s">
        <v>8055</v>
      </c>
      <c r="C42" s="38" t="s">
        <v>8056</v>
      </c>
      <c r="D42" s="38" t="s">
        <v>8057</v>
      </c>
      <c r="E42" s="38" t="s">
        <v>8058</v>
      </c>
      <c r="F42" s="86">
        <v>24</v>
      </c>
      <c r="G42" s="86">
        <v>40</v>
      </c>
      <c r="H42" s="86">
        <v>64</v>
      </c>
      <c r="I42" s="38" t="s">
        <v>8059</v>
      </c>
      <c r="J42" s="38" t="s">
        <v>8060</v>
      </c>
      <c r="K42" s="38"/>
      <c r="L42" s="38" t="s">
        <v>8061</v>
      </c>
    </row>
    <row r="43" spans="1:12" ht="210" customHeight="1">
      <c r="A43" s="38" t="s">
        <v>195</v>
      </c>
      <c r="B43" s="38" t="s">
        <v>8062</v>
      </c>
      <c r="C43" s="38" t="s">
        <v>8063</v>
      </c>
      <c r="D43" s="38" t="s">
        <v>8064</v>
      </c>
      <c r="E43" s="38" t="s">
        <v>8065</v>
      </c>
      <c r="F43" s="86">
        <v>16</v>
      </c>
      <c r="G43" s="86">
        <v>26</v>
      </c>
      <c r="H43" s="86">
        <v>42</v>
      </c>
      <c r="I43" s="38" t="s">
        <v>8066</v>
      </c>
      <c r="J43" s="38"/>
      <c r="K43" s="38"/>
      <c r="L43" s="38" t="s">
        <v>8067</v>
      </c>
    </row>
    <row r="44" spans="1:12" ht="210" customHeight="1">
      <c r="A44" s="38" t="s">
        <v>212</v>
      </c>
      <c r="B44" s="38" t="s">
        <v>8068</v>
      </c>
      <c r="C44" s="38" t="s">
        <v>8069</v>
      </c>
      <c r="D44" s="38" t="s">
        <v>8070</v>
      </c>
      <c r="E44" s="38" t="s">
        <v>8071</v>
      </c>
      <c r="F44" s="86">
        <v>14</v>
      </c>
      <c r="G44" s="86">
        <v>24</v>
      </c>
      <c r="H44" s="86">
        <v>40</v>
      </c>
      <c r="I44" s="38" t="s">
        <v>8072</v>
      </c>
      <c r="J44" s="38" t="s">
        <v>8073</v>
      </c>
      <c r="K44" s="38"/>
      <c r="L44" s="38" t="s">
        <v>8074</v>
      </c>
    </row>
    <row r="45" spans="1:12" ht="210" customHeight="1">
      <c r="A45" s="38" t="s">
        <v>213</v>
      </c>
      <c r="B45" s="38" t="s">
        <v>8075</v>
      </c>
      <c r="C45" s="38" t="s">
        <v>8076</v>
      </c>
      <c r="D45" s="38" t="s">
        <v>8077</v>
      </c>
      <c r="E45" s="38" t="s">
        <v>8078</v>
      </c>
      <c r="F45" s="86">
        <v>8</v>
      </c>
      <c r="G45" s="86">
        <v>14</v>
      </c>
      <c r="H45" s="86">
        <v>24</v>
      </c>
      <c r="I45" s="38" t="s">
        <v>8079</v>
      </c>
      <c r="J45" s="38" t="s">
        <v>8080</v>
      </c>
      <c r="K45" s="38"/>
      <c r="L45" s="38" t="s">
        <v>8081</v>
      </c>
    </row>
    <row r="46" spans="1:12" ht="210" customHeight="1">
      <c r="A46" s="38" t="s">
        <v>218</v>
      </c>
      <c r="B46" s="38" t="s">
        <v>8082</v>
      </c>
      <c r="C46" s="38" t="s">
        <v>8083</v>
      </c>
      <c r="D46" s="38" t="s">
        <v>8084</v>
      </c>
      <c r="E46" s="38" t="s">
        <v>8085</v>
      </c>
      <c r="F46" s="86">
        <v>8</v>
      </c>
      <c r="G46" s="86">
        <v>14</v>
      </c>
      <c r="H46" s="86">
        <v>24</v>
      </c>
      <c r="I46" s="38" t="s">
        <v>8086</v>
      </c>
      <c r="J46" s="38" t="s">
        <v>8087</v>
      </c>
      <c r="K46" s="38"/>
      <c r="L46" s="38" t="s">
        <v>8088</v>
      </c>
    </row>
    <row r="47" spans="1:12" ht="210" customHeight="1">
      <c r="A47" s="38" t="s">
        <v>222</v>
      </c>
      <c r="B47" s="38" t="s">
        <v>8089</v>
      </c>
      <c r="C47" s="38" t="s">
        <v>8090</v>
      </c>
      <c r="D47" s="38" t="s">
        <v>8091</v>
      </c>
      <c r="E47" s="38" t="s">
        <v>8092</v>
      </c>
      <c r="F47" s="86">
        <v>8</v>
      </c>
      <c r="G47" s="86">
        <v>14</v>
      </c>
      <c r="H47" s="86">
        <v>24</v>
      </c>
      <c r="I47" s="38" t="s">
        <v>8093</v>
      </c>
      <c r="J47" s="38"/>
      <c r="K47" s="38"/>
      <c r="L47" s="38" t="s">
        <v>8094</v>
      </c>
    </row>
    <row r="48" spans="1:12" ht="210" customHeight="1">
      <c r="A48" s="38" t="s">
        <v>226</v>
      </c>
      <c r="B48" s="38" t="s">
        <v>8095</v>
      </c>
      <c r="C48" s="38" t="s">
        <v>8096</v>
      </c>
      <c r="D48" s="38" t="s">
        <v>8097</v>
      </c>
      <c r="E48" s="38" t="s">
        <v>8098</v>
      </c>
      <c r="F48" s="86">
        <v>8</v>
      </c>
      <c r="G48" s="86">
        <v>14</v>
      </c>
      <c r="H48" s="86">
        <v>24</v>
      </c>
      <c r="I48" s="38" t="s">
        <v>8099</v>
      </c>
      <c r="J48" s="38"/>
      <c r="K48" s="38"/>
      <c r="L48" s="38" t="s">
        <v>8100</v>
      </c>
    </row>
    <row r="49" spans="1:12" ht="210" customHeight="1">
      <c r="A49" s="38" t="s">
        <v>235</v>
      </c>
      <c r="B49" s="38" t="s">
        <v>8101</v>
      </c>
      <c r="C49" s="38" t="s">
        <v>8102</v>
      </c>
      <c r="D49" s="38" t="s">
        <v>8103</v>
      </c>
      <c r="E49" s="38" t="s">
        <v>8104</v>
      </c>
      <c r="F49" s="86">
        <v>10</v>
      </c>
      <c r="G49" s="86">
        <v>18</v>
      </c>
      <c r="H49" s="86">
        <v>30</v>
      </c>
      <c r="I49" s="38" t="s">
        <v>8105</v>
      </c>
      <c r="J49" s="38" t="s">
        <v>8106</v>
      </c>
      <c r="K49" s="38"/>
      <c r="L49" s="38" t="s">
        <v>8107</v>
      </c>
    </row>
    <row r="50" spans="1:12" ht="210" customHeight="1">
      <c r="A50" s="38" t="s">
        <v>238</v>
      </c>
      <c r="B50" s="38" t="s">
        <v>8108</v>
      </c>
      <c r="C50" s="38" t="s">
        <v>8109</v>
      </c>
      <c r="D50" s="38" t="s">
        <v>8110</v>
      </c>
      <c r="E50" s="38" t="s">
        <v>8111</v>
      </c>
      <c r="F50" s="86">
        <v>28</v>
      </c>
      <c r="G50" s="86">
        <v>44</v>
      </c>
      <c r="H50" s="86">
        <v>68</v>
      </c>
      <c r="I50" s="38" t="s">
        <v>8112</v>
      </c>
      <c r="J50" s="38" t="s">
        <v>8113</v>
      </c>
      <c r="K50" s="38"/>
      <c r="L50" s="38" t="s">
        <v>8114</v>
      </c>
    </row>
    <row r="51" spans="1:12" ht="210" customHeight="1">
      <c r="A51" s="38" t="s">
        <v>239</v>
      </c>
      <c r="B51" s="38" t="s">
        <v>8115</v>
      </c>
      <c r="C51" s="38" t="s">
        <v>1788</v>
      </c>
      <c r="D51" s="38" t="s">
        <v>1789</v>
      </c>
      <c r="E51" s="38" t="s">
        <v>1791</v>
      </c>
      <c r="F51" s="86">
        <v>6</v>
      </c>
      <c r="G51" s="86">
        <v>10</v>
      </c>
      <c r="H51" s="86">
        <v>16</v>
      </c>
      <c r="I51" s="38" t="s">
        <v>8116</v>
      </c>
      <c r="J51" s="38"/>
      <c r="K51" s="38"/>
      <c r="L51" s="38" t="s">
        <v>1792</v>
      </c>
    </row>
    <row r="52" spans="1:12" ht="210" customHeight="1">
      <c r="A52" s="38" t="s">
        <v>240</v>
      </c>
      <c r="B52" s="38" t="s">
        <v>8117</v>
      </c>
      <c r="C52" s="38" t="s">
        <v>8118</v>
      </c>
      <c r="D52" s="38" t="s">
        <v>8119</v>
      </c>
      <c r="E52" s="38" t="s">
        <v>8120</v>
      </c>
      <c r="F52" s="86">
        <v>24</v>
      </c>
      <c r="G52" s="86">
        <v>40</v>
      </c>
      <c r="H52" s="86">
        <v>64</v>
      </c>
      <c r="I52" s="38" t="s">
        <v>8121</v>
      </c>
      <c r="J52" s="38" t="s">
        <v>8122</v>
      </c>
      <c r="K52" s="38"/>
      <c r="L52" s="38" t="s">
        <v>8123</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30"/>
  <sheetViews>
    <sheetView workbookViewId="0"/>
  </sheetViews>
  <sheetFormatPr defaultRowHeight="14.25"/>
  <cols>
    <col min="1" max="1" width="12" customWidth="1"/>
    <col min="2" max="2" width="56" customWidth="1"/>
    <col min="3" max="3" width="32" customWidth="1"/>
    <col min="4" max="5" width="12" customWidth="1"/>
    <col min="6" max="6" width="90" customWidth="1"/>
    <col min="7" max="7" width="55" customWidth="1"/>
    <col min="8" max="8" width="38" customWidth="1"/>
  </cols>
  <sheetData>
    <row r="1" spans="1:8" ht="30" customHeight="1">
      <c r="A1" s="84" t="s">
        <v>1599</v>
      </c>
      <c r="B1" s="84" t="s">
        <v>8124</v>
      </c>
      <c r="C1" s="84" t="s">
        <v>8125</v>
      </c>
      <c r="D1" s="84" t="s">
        <v>8126</v>
      </c>
      <c r="E1" s="84" t="s">
        <v>8127</v>
      </c>
      <c r="F1" s="84" t="s">
        <v>8128</v>
      </c>
      <c r="G1" s="84" t="s">
        <v>8129</v>
      </c>
      <c r="H1" s="84" t="s">
        <v>8130</v>
      </c>
    </row>
    <row r="2" spans="1:8" ht="140.1" customHeight="1">
      <c r="A2" s="38" t="s">
        <v>88</v>
      </c>
      <c r="B2" s="38" t="s">
        <v>8131</v>
      </c>
      <c r="C2" s="38" t="s">
        <v>8132</v>
      </c>
      <c r="D2" s="38">
        <v>145</v>
      </c>
      <c r="E2" s="38">
        <v>217</v>
      </c>
      <c r="F2" s="38" t="s">
        <v>8133</v>
      </c>
      <c r="G2" s="38" t="s">
        <v>8134</v>
      </c>
      <c r="H2" s="38" t="s">
        <v>8135</v>
      </c>
    </row>
    <row r="3" spans="1:8" ht="140.1" customHeight="1">
      <c r="A3" s="38" t="s">
        <v>88</v>
      </c>
      <c r="B3" s="38" t="s">
        <v>8131</v>
      </c>
      <c r="C3" s="38" t="s">
        <v>8136</v>
      </c>
      <c r="D3" s="38">
        <v>218</v>
      </c>
      <c r="E3" s="38">
        <v>260</v>
      </c>
      <c r="F3" s="38" t="s">
        <v>8137</v>
      </c>
      <c r="G3" s="38" t="s">
        <v>8134</v>
      </c>
      <c r="H3" s="38" t="s">
        <v>8135</v>
      </c>
    </row>
    <row r="4" spans="1:8" ht="140.1" customHeight="1">
      <c r="A4" s="38" t="s">
        <v>89</v>
      </c>
      <c r="B4" s="38" t="s">
        <v>8138</v>
      </c>
      <c r="C4" s="38" t="s">
        <v>8139</v>
      </c>
      <c r="D4" s="38">
        <v>34</v>
      </c>
      <c r="E4" s="38">
        <v>113</v>
      </c>
      <c r="F4" s="38" t="s">
        <v>8140</v>
      </c>
      <c r="G4" s="38" t="s">
        <v>8141</v>
      </c>
      <c r="H4" s="38" t="s">
        <v>8135</v>
      </c>
    </row>
    <row r="5" spans="1:8" ht="140.1" customHeight="1">
      <c r="A5" s="38" t="s">
        <v>89</v>
      </c>
      <c r="B5" s="38" t="s">
        <v>8142</v>
      </c>
      <c r="C5" s="38" t="s">
        <v>8143</v>
      </c>
      <c r="D5" s="38">
        <v>55</v>
      </c>
      <c r="E5" s="38">
        <v>96</v>
      </c>
      <c r="F5" s="38" t="s">
        <v>8144</v>
      </c>
      <c r="G5" s="38" t="s">
        <v>8145</v>
      </c>
      <c r="H5" s="38" t="s">
        <v>8135</v>
      </c>
    </row>
    <row r="6" spans="1:8" ht="140.1" customHeight="1">
      <c r="A6" s="38" t="s">
        <v>90</v>
      </c>
      <c r="B6" s="38" t="s">
        <v>8142</v>
      </c>
      <c r="C6" s="38" t="s">
        <v>8146</v>
      </c>
      <c r="D6" s="38">
        <v>12</v>
      </c>
      <c r="E6" s="38">
        <v>44</v>
      </c>
      <c r="F6" s="38" t="s">
        <v>8147</v>
      </c>
      <c r="G6" s="38" t="s">
        <v>8145</v>
      </c>
      <c r="H6" s="38" t="s">
        <v>8135</v>
      </c>
    </row>
    <row r="7" spans="1:8" ht="140.1" customHeight="1">
      <c r="A7" s="38" t="s">
        <v>90</v>
      </c>
      <c r="B7" s="38" t="s">
        <v>8142</v>
      </c>
      <c r="C7" s="38" t="s">
        <v>8148</v>
      </c>
      <c r="D7" s="38">
        <v>55</v>
      </c>
      <c r="E7" s="38">
        <v>114</v>
      </c>
      <c r="F7" s="38" t="s">
        <v>8149</v>
      </c>
      <c r="G7" s="38" t="s">
        <v>8145</v>
      </c>
      <c r="H7" s="38" t="s">
        <v>8135</v>
      </c>
    </row>
    <row r="8" spans="1:8" ht="140.1" customHeight="1">
      <c r="A8" s="38" t="s">
        <v>91</v>
      </c>
      <c r="B8" s="38" t="s">
        <v>8150</v>
      </c>
      <c r="C8" s="38" t="s">
        <v>8151</v>
      </c>
      <c r="D8" s="38">
        <v>21</v>
      </c>
      <c r="E8" s="38">
        <v>92</v>
      </c>
      <c r="F8" s="38" t="s">
        <v>8152</v>
      </c>
      <c r="G8" s="38" t="s">
        <v>8153</v>
      </c>
      <c r="H8" s="38" t="s">
        <v>8135</v>
      </c>
    </row>
    <row r="9" spans="1:8" ht="140.1" customHeight="1">
      <c r="A9" s="38" t="s">
        <v>91</v>
      </c>
      <c r="B9" s="38" t="s">
        <v>8138</v>
      </c>
      <c r="C9" s="38" t="s">
        <v>8154</v>
      </c>
      <c r="D9" s="38">
        <v>62</v>
      </c>
      <c r="E9" s="38">
        <v>113</v>
      </c>
      <c r="F9" s="38" t="s">
        <v>8155</v>
      </c>
      <c r="G9" s="38" t="s">
        <v>8141</v>
      </c>
      <c r="H9" s="38" t="s">
        <v>8135</v>
      </c>
    </row>
    <row r="10" spans="1:8" ht="140.1" customHeight="1">
      <c r="A10" s="38" t="s">
        <v>92</v>
      </c>
      <c r="B10" s="38" t="s">
        <v>8156</v>
      </c>
      <c r="C10" s="38" t="s">
        <v>8157</v>
      </c>
      <c r="D10" s="38">
        <v>141</v>
      </c>
      <c r="E10" s="38">
        <v>181</v>
      </c>
      <c r="F10" s="38" t="s">
        <v>8158</v>
      </c>
      <c r="G10" s="38" t="s">
        <v>8159</v>
      </c>
      <c r="H10" s="38" t="s">
        <v>8135</v>
      </c>
    </row>
    <row r="11" spans="1:8" ht="140.1" customHeight="1">
      <c r="A11" s="38" t="s">
        <v>92</v>
      </c>
      <c r="B11" s="38" t="s">
        <v>8160</v>
      </c>
      <c r="C11" s="38" t="s">
        <v>8161</v>
      </c>
      <c r="D11" s="38">
        <v>8</v>
      </c>
      <c r="E11" s="38">
        <v>33</v>
      </c>
      <c r="F11" s="38" t="s">
        <v>8162</v>
      </c>
      <c r="G11" s="38" t="s">
        <v>8163</v>
      </c>
      <c r="H11" s="38" t="s">
        <v>8135</v>
      </c>
    </row>
    <row r="12" spans="1:8" ht="140.1" customHeight="1">
      <c r="A12" s="38" t="s">
        <v>92</v>
      </c>
      <c r="B12" s="38" t="s">
        <v>8164</v>
      </c>
      <c r="C12" s="38" t="s">
        <v>8165</v>
      </c>
      <c r="D12" s="38">
        <v>3</v>
      </c>
      <c r="E12" s="38">
        <v>20</v>
      </c>
      <c r="F12" s="38" t="s">
        <v>8166</v>
      </c>
      <c r="G12" s="38" t="s">
        <v>8167</v>
      </c>
      <c r="H12" s="38" t="s">
        <v>8135</v>
      </c>
    </row>
    <row r="13" spans="1:8" ht="140.1" customHeight="1">
      <c r="A13" s="38" t="s">
        <v>93</v>
      </c>
      <c r="B13" s="38" t="s">
        <v>8160</v>
      </c>
      <c r="C13" s="38" t="s">
        <v>8168</v>
      </c>
      <c r="D13" s="38">
        <v>8</v>
      </c>
      <c r="E13" s="38">
        <v>13</v>
      </c>
      <c r="F13" s="38" t="s">
        <v>8169</v>
      </c>
      <c r="G13" s="38" t="s">
        <v>8163</v>
      </c>
      <c r="H13" s="38" t="s">
        <v>8135</v>
      </c>
    </row>
    <row r="14" spans="1:8" ht="140.1" customHeight="1">
      <c r="A14" s="38" t="s">
        <v>93</v>
      </c>
      <c r="B14" s="38" t="s">
        <v>8156</v>
      </c>
      <c r="C14" s="38" t="s">
        <v>8170</v>
      </c>
      <c r="D14" s="38">
        <v>630</v>
      </c>
      <c r="E14" s="38">
        <v>690</v>
      </c>
      <c r="F14" s="38" t="s">
        <v>8171</v>
      </c>
      <c r="G14" s="38" t="s">
        <v>8159</v>
      </c>
      <c r="H14" s="38" t="s">
        <v>8135</v>
      </c>
    </row>
    <row r="15" spans="1:8" ht="140.1" customHeight="1">
      <c r="A15" s="38" t="s">
        <v>94</v>
      </c>
      <c r="B15" s="38" t="s">
        <v>8160</v>
      </c>
      <c r="C15" s="38" t="s">
        <v>8172</v>
      </c>
      <c r="D15" s="38">
        <v>8</v>
      </c>
      <c r="E15" s="38">
        <v>33</v>
      </c>
      <c r="F15" s="38" t="s">
        <v>8162</v>
      </c>
      <c r="G15" s="38" t="s">
        <v>8163</v>
      </c>
      <c r="H15" s="38" t="s">
        <v>8135</v>
      </c>
    </row>
    <row r="16" spans="1:8" ht="140.1" customHeight="1">
      <c r="A16" s="38" t="s">
        <v>94</v>
      </c>
      <c r="B16" s="38" t="s">
        <v>8173</v>
      </c>
      <c r="C16" s="38" t="s">
        <v>8174</v>
      </c>
      <c r="D16" s="38">
        <v>85</v>
      </c>
      <c r="E16" s="38">
        <v>110</v>
      </c>
      <c r="F16" s="38" t="s">
        <v>8175</v>
      </c>
      <c r="G16" s="38" t="s">
        <v>8176</v>
      </c>
      <c r="H16" s="38" t="s">
        <v>8135</v>
      </c>
    </row>
    <row r="17" spans="1:8" ht="140.1" customHeight="1">
      <c r="A17" s="38" t="s">
        <v>95</v>
      </c>
      <c r="B17" s="38" t="s">
        <v>8156</v>
      </c>
      <c r="C17" s="38" t="s">
        <v>8177</v>
      </c>
      <c r="D17" s="38">
        <v>244</v>
      </c>
      <c r="E17" s="38">
        <v>264</v>
      </c>
      <c r="F17" s="38" t="s">
        <v>8178</v>
      </c>
      <c r="G17" s="38" t="s">
        <v>8159</v>
      </c>
      <c r="H17" s="38" t="s">
        <v>8135</v>
      </c>
    </row>
    <row r="18" spans="1:8" ht="140.1" customHeight="1">
      <c r="A18" s="38" t="s">
        <v>95</v>
      </c>
      <c r="B18" s="38" t="s">
        <v>8156</v>
      </c>
      <c r="C18" s="38" t="s">
        <v>8179</v>
      </c>
      <c r="D18" s="38">
        <v>721</v>
      </c>
      <c r="E18" s="38">
        <v>744</v>
      </c>
      <c r="F18" s="38" t="s">
        <v>8180</v>
      </c>
      <c r="G18" s="38" t="s">
        <v>8159</v>
      </c>
      <c r="H18" s="38" t="s">
        <v>8135</v>
      </c>
    </row>
    <row r="19" spans="1:8" ht="140.1" customHeight="1">
      <c r="A19" s="38" t="s">
        <v>95</v>
      </c>
      <c r="B19" s="38" t="s">
        <v>8181</v>
      </c>
      <c r="C19" s="38" t="s">
        <v>8182</v>
      </c>
      <c r="D19" s="38">
        <v>27</v>
      </c>
      <c r="E19" s="38">
        <v>36</v>
      </c>
      <c r="F19" s="38" t="s">
        <v>8183</v>
      </c>
      <c r="G19" s="38" t="s">
        <v>8184</v>
      </c>
      <c r="H19" s="38" t="s">
        <v>8135</v>
      </c>
    </row>
    <row r="20" spans="1:8" ht="140.1" customHeight="1">
      <c r="A20" s="38" t="s">
        <v>95</v>
      </c>
      <c r="B20" s="38" t="s">
        <v>8185</v>
      </c>
      <c r="C20" s="38" t="s">
        <v>8186</v>
      </c>
      <c r="D20" s="38">
        <v>43</v>
      </c>
      <c r="E20" s="38">
        <v>47</v>
      </c>
      <c r="F20" s="38" t="s">
        <v>8187</v>
      </c>
      <c r="G20" s="38" t="s">
        <v>8188</v>
      </c>
      <c r="H20" s="38" t="s">
        <v>8135</v>
      </c>
    </row>
    <row r="21" spans="1:8" ht="140.1" customHeight="1">
      <c r="A21" s="38" t="s">
        <v>96</v>
      </c>
      <c r="B21" s="38" t="s">
        <v>8189</v>
      </c>
      <c r="C21" s="38" t="s">
        <v>8190</v>
      </c>
      <c r="D21" s="38">
        <v>27</v>
      </c>
      <c r="E21" s="38">
        <v>69</v>
      </c>
      <c r="F21" s="38" t="s">
        <v>8191</v>
      </c>
      <c r="G21" s="38" t="s">
        <v>8192</v>
      </c>
      <c r="H21" s="38" t="s">
        <v>8135</v>
      </c>
    </row>
    <row r="22" spans="1:8" ht="140.1" customHeight="1">
      <c r="A22" s="38" t="s">
        <v>96</v>
      </c>
      <c r="B22" s="38" t="s">
        <v>8189</v>
      </c>
      <c r="C22" s="38" t="s">
        <v>8193</v>
      </c>
      <c r="D22" s="38">
        <v>95</v>
      </c>
      <c r="E22" s="38">
        <v>124</v>
      </c>
      <c r="F22" s="38" t="s">
        <v>8194</v>
      </c>
      <c r="G22" s="38" t="s">
        <v>8192</v>
      </c>
      <c r="H22" s="38" t="s">
        <v>8135</v>
      </c>
    </row>
    <row r="23" spans="1:8" ht="140.1" customHeight="1">
      <c r="A23" s="38" t="s">
        <v>96</v>
      </c>
      <c r="B23" s="38" t="s">
        <v>8164</v>
      </c>
      <c r="C23" s="38" t="s">
        <v>8195</v>
      </c>
      <c r="D23" s="38">
        <v>55</v>
      </c>
      <c r="E23" s="38">
        <v>68</v>
      </c>
      <c r="F23" s="38" t="s">
        <v>8196</v>
      </c>
      <c r="G23" s="38" t="s">
        <v>8167</v>
      </c>
      <c r="H23" s="38" t="s">
        <v>8135</v>
      </c>
    </row>
    <row r="24" spans="1:8" ht="140.1" customHeight="1">
      <c r="A24" s="38" t="s">
        <v>97</v>
      </c>
      <c r="B24" s="38" t="s">
        <v>8156</v>
      </c>
      <c r="C24" s="38" t="s">
        <v>8197</v>
      </c>
      <c r="D24" s="38">
        <v>168</v>
      </c>
      <c r="E24" s="38">
        <v>181</v>
      </c>
      <c r="F24" s="38" t="s">
        <v>8198</v>
      </c>
      <c r="G24" s="38" t="s">
        <v>8159</v>
      </c>
      <c r="H24" s="38" t="s">
        <v>8135</v>
      </c>
    </row>
    <row r="25" spans="1:8" ht="140.1" customHeight="1">
      <c r="A25" s="38" t="s">
        <v>97</v>
      </c>
      <c r="B25" s="38" t="s">
        <v>8199</v>
      </c>
      <c r="C25" s="38" t="s">
        <v>8200</v>
      </c>
      <c r="D25" s="38">
        <v>210</v>
      </c>
      <c r="E25" s="38">
        <v>249</v>
      </c>
      <c r="F25" s="38" t="s">
        <v>8201</v>
      </c>
      <c r="G25" s="38" t="s">
        <v>8202</v>
      </c>
      <c r="H25" s="38" t="s">
        <v>8135</v>
      </c>
    </row>
    <row r="26" spans="1:8" ht="140.1" customHeight="1">
      <c r="A26" s="38" t="s">
        <v>98</v>
      </c>
      <c r="B26" s="38" t="s">
        <v>8203</v>
      </c>
      <c r="C26" s="38" t="s">
        <v>8204</v>
      </c>
      <c r="D26" s="38">
        <v>275</v>
      </c>
      <c r="E26" s="38">
        <v>297</v>
      </c>
      <c r="F26" s="38" t="s">
        <v>8205</v>
      </c>
      <c r="G26" s="38" t="s">
        <v>8206</v>
      </c>
      <c r="H26" s="38" t="s">
        <v>8135</v>
      </c>
    </row>
    <row r="27" spans="1:8" ht="140.1" customHeight="1">
      <c r="A27" s="38" t="s">
        <v>98</v>
      </c>
      <c r="B27" s="38" t="s">
        <v>8207</v>
      </c>
      <c r="C27" s="38" t="s">
        <v>8208</v>
      </c>
      <c r="D27" s="38">
        <v>72</v>
      </c>
      <c r="E27" s="38">
        <v>108</v>
      </c>
      <c r="F27" s="38" t="s">
        <v>8209</v>
      </c>
      <c r="G27" s="38" t="s">
        <v>8210</v>
      </c>
      <c r="H27" s="38" t="s">
        <v>8135</v>
      </c>
    </row>
    <row r="28" spans="1:8" ht="140.1" customHeight="1">
      <c r="A28" s="38" t="s">
        <v>98</v>
      </c>
      <c r="B28" s="38" t="s">
        <v>8211</v>
      </c>
      <c r="C28" s="38" t="s">
        <v>8212</v>
      </c>
      <c r="D28" s="38">
        <v>33</v>
      </c>
      <c r="E28" s="38">
        <v>39</v>
      </c>
      <c r="F28" s="38" t="s">
        <v>8213</v>
      </c>
      <c r="G28" s="38" t="s">
        <v>8214</v>
      </c>
      <c r="H28" s="38" t="s">
        <v>8135</v>
      </c>
    </row>
    <row r="29" spans="1:8" ht="140.1" customHeight="1">
      <c r="A29" s="38" t="s">
        <v>98</v>
      </c>
      <c r="B29" s="38" t="s">
        <v>8211</v>
      </c>
      <c r="C29" s="38" t="s">
        <v>8215</v>
      </c>
      <c r="D29" s="38">
        <v>85</v>
      </c>
      <c r="E29" s="38">
        <v>91</v>
      </c>
      <c r="F29" s="38" t="s">
        <v>8216</v>
      </c>
      <c r="G29" s="38" t="s">
        <v>8214</v>
      </c>
      <c r="H29" s="38" t="s">
        <v>8135</v>
      </c>
    </row>
    <row r="30" spans="1:8" ht="140.1" customHeight="1">
      <c r="A30" s="38" t="s">
        <v>98</v>
      </c>
      <c r="B30" s="38" t="s">
        <v>8217</v>
      </c>
      <c r="C30" s="38" t="s">
        <v>8218</v>
      </c>
      <c r="D30" s="38">
        <v>127</v>
      </c>
      <c r="E30" s="38">
        <v>146</v>
      </c>
      <c r="F30" s="38" t="s">
        <v>8219</v>
      </c>
      <c r="G30" s="38" t="s">
        <v>8220</v>
      </c>
      <c r="H30" s="38" t="s">
        <v>8135</v>
      </c>
    </row>
    <row r="31" spans="1:8" ht="140.1" customHeight="1">
      <c r="A31" s="38" t="s">
        <v>98</v>
      </c>
      <c r="B31" s="38" t="s">
        <v>8199</v>
      </c>
      <c r="C31" s="38" t="s">
        <v>8221</v>
      </c>
      <c r="D31" s="38">
        <v>262</v>
      </c>
      <c r="E31" s="38">
        <v>276</v>
      </c>
      <c r="F31" s="38" t="s">
        <v>8222</v>
      </c>
      <c r="G31" s="38" t="s">
        <v>8202</v>
      </c>
      <c r="H31" s="38" t="s">
        <v>8135</v>
      </c>
    </row>
    <row r="32" spans="1:8" ht="140.1" customHeight="1">
      <c r="A32" s="38" t="s">
        <v>99</v>
      </c>
      <c r="B32" s="38" t="s">
        <v>8207</v>
      </c>
      <c r="C32" s="38" t="s">
        <v>8223</v>
      </c>
      <c r="D32" s="38">
        <v>72</v>
      </c>
      <c r="E32" s="38">
        <v>108</v>
      </c>
      <c r="F32" s="38" t="s">
        <v>8209</v>
      </c>
      <c r="G32" s="38" t="s">
        <v>8210</v>
      </c>
      <c r="H32" s="38" t="s">
        <v>8135</v>
      </c>
    </row>
    <row r="33" spans="1:8" ht="140.1" customHeight="1">
      <c r="A33" s="38" t="s">
        <v>99</v>
      </c>
      <c r="B33" s="38" t="s">
        <v>8224</v>
      </c>
      <c r="C33" s="38" t="s">
        <v>8225</v>
      </c>
      <c r="D33" s="38">
        <v>76</v>
      </c>
      <c r="E33" s="38">
        <v>107</v>
      </c>
      <c r="F33" s="38" t="s">
        <v>8226</v>
      </c>
      <c r="G33" s="38" t="s">
        <v>8227</v>
      </c>
      <c r="H33" s="38" t="s">
        <v>8135</v>
      </c>
    </row>
    <row r="34" spans="1:8" ht="140.1" customHeight="1">
      <c r="A34" s="38" t="s">
        <v>100</v>
      </c>
      <c r="B34" s="38" t="s">
        <v>8228</v>
      </c>
      <c r="C34" s="38" t="s">
        <v>8229</v>
      </c>
      <c r="D34" s="38">
        <v>120</v>
      </c>
      <c r="E34" s="38">
        <v>151</v>
      </c>
      <c r="F34" s="38" t="s">
        <v>8230</v>
      </c>
      <c r="G34" s="38" t="s">
        <v>8231</v>
      </c>
      <c r="H34" s="38" t="s">
        <v>8135</v>
      </c>
    </row>
    <row r="35" spans="1:8" ht="140.1" customHeight="1">
      <c r="A35" s="38" t="s">
        <v>100</v>
      </c>
      <c r="B35" s="38" t="s">
        <v>8228</v>
      </c>
      <c r="C35" s="38" t="s">
        <v>8232</v>
      </c>
      <c r="D35" s="38">
        <v>173</v>
      </c>
      <c r="E35" s="38">
        <v>205</v>
      </c>
      <c r="F35" s="38" t="s">
        <v>8233</v>
      </c>
      <c r="G35" s="38" t="s">
        <v>8231</v>
      </c>
      <c r="H35" s="38" t="s">
        <v>8135</v>
      </c>
    </row>
    <row r="36" spans="1:8" ht="140.1" customHeight="1">
      <c r="A36" s="38" t="s">
        <v>100</v>
      </c>
      <c r="B36" s="38" t="s">
        <v>8228</v>
      </c>
      <c r="C36" s="38" t="s">
        <v>8234</v>
      </c>
      <c r="D36" s="38">
        <v>236</v>
      </c>
      <c r="E36" s="38">
        <v>280</v>
      </c>
      <c r="F36" s="38" t="s">
        <v>8235</v>
      </c>
      <c r="G36" s="38" t="s">
        <v>8231</v>
      </c>
      <c r="H36" s="38" t="s">
        <v>8135</v>
      </c>
    </row>
    <row r="37" spans="1:8" ht="140.1" customHeight="1">
      <c r="A37" s="38" t="s">
        <v>100</v>
      </c>
      <c r="B37" s="38" t="s">
        <v>8236</v>
      </c>
      <c r="C37" s="38" t="s">
        <v>8237</v>
      </c>
      <c r="D37" s="38">
        <v>181</v>
      </c>
      <c r="E37" s="38">
        <v>206</v>
      </c>
      <c r="F37" s="38" t="s">
        <v>8238</v>
      </c>
      <c r="G37" s="38" t="s">
        <v>8239</v>
      </c>
      <c r="H37" s="38" t="s">
        <v>8135</v>
      </c>
    </row>
    <row r="38" spans="1:8" ht="140.1" customHeight="1">
      <c r="A38" s="38" t="s">
        <v>100</v>
      </c>
      <c r="B38" s="38" t="s">
        <v>8240</v>
      </c>
      <c r="C38" s="38" t="s">
        <v>8241</v>
      </c>
      <c r="D38" s="38">
        <v>36</v>
      </c>
      <c r="E38" s="38">
        <v>70</v>
      </c>
      <c r="F38" s="38" t="s">
        <v>8242</v>
      </c>
      <c r="G38" s="38" t="s">
        <v>8243</v>
      </c>
      <c r="H38" s="38" t="s">
        <v>8135</v>
      </c>
    </row>
    <row r="39" spans="1:8" ht="140.1" customHeight="1">
      <c r="A39" s="38" t="s">
        <v>100</v>
      </c>
      <c r="B39" s="38" t="s">
        <v>8244</v>
      </c>
      <c r="C39" s="38" t="s">
        <v>8245</v>
      </c>
      <c r="D39" s="38">
        <v>21</v>
      </c>
      <c r="E39" s="38">
        <v>24</v>
      </c>
      <c r="F39" s="38" t="s">
        <v>8246</v>
      </c>
      <c r="G39" s="38" t="s">
        <v>8247</v>
      </c>
      <c r="H39" s="38" t="s">
        <v>8135</v>
      </c>
    </row>
    <row r="40" spans="1:8" ht="140.1" customHeight="1">
      <c r="A40" s="38" t="s">
        <v>100</v>
      </c>
      <c r="B40" s="38" t="s">
        <v>8248</v>
      </c>
      <c r="C40" s="38" t="s">
        <v>8249</v>
      </c>
      <c r="D40" s="38">
        <v>31</v>
      </c>
      <c r="E40" s="38">
        <v>42</v>
      </c>
      <c r="F40" s="38" t="s">
        <v>8250</v>
      </c>
      <c r="G40" s="38" t="s">
        <v>8251</v>
      </c>
      <c r="H40" s="38" t="s">
        <v>8135</v>
      </c>
    </row>
    <row r="41" spans="1:8" ht="140.1" customHeight="1">
      <c r="A41" s="38" t="s">
        <v>100</v>
      </c>
      <c r="B41" s="38" t="s">
        <v>8252</v>
      </c>
      <c r="C41" s="38" t="s">
        <v>8253</v>
      </c>
      <c r="D41" s="38">
        <v>58</v>
      </c>
      <c r="E41" s="38">
        <v>73</v>
      </c>
      <c r="F41" s="38" t="s">
        <v>8254</v>
      </c>
      <c r="G41" s="38" t="s">
        <v>8255</v>
      </c>
      <c r="H41" s="38" t="s">
        <v>8135</v>
      </c>
    </row>
    <row r="42" spans="1:8" ht="140.1" customHeight="1">
      <c r="A42" s="38" t="s">
        <v>101</v>
      </c>
      <c r="B42" s="38" t="s">
        <v>8228</v>
      </c>
      <c r="C42" s="38" t="s">
        <v>8256</v>
      </c>
      <c r="D42" s="38">
        <v>173</v>
      </c>
      <c r="E42" s="38">
        <v>217</v>
      </c>
      <c r="F42" s="38" t="s">
        <v>8257</v>
      </c>
      <c r="G42" s="38" t="s">
        <v>8231</v>
      </c>
      <c r="H42" s="38" t="s">
        <v>8135</v>
      </c>
    </row>
    <row r="43" spans="1:8" ht="140.1" customHeight="1">
      <c r="A43" s="38" t="s">
        <v>101</v>
      </c>
      <c r="B43" s="38" t="s">
        <v>8138</v>
      </c>
      <c r="C43" s="38" t="s">
        <v>8258</v>
      </c>
      <c r="D43" s="38">
        <v>85</v>
      </c>
      <c r="E43" s="38">
        <v>113</v>
      </c>
      <c r="F43" s="38" t="s">
        <v>8259</v>
      </c>
      <c r="G43" s="38" t="s">
        <v>8141</v>
      </c>
      <c r="H43" s="38" t="s">
        <v>8135</v>
      </c>
    </row>
    <row r="44" spans="1:8" ht="140.1" customHeight="1">
      <c r="A44" s="38" t="s">
        <v>102</v>
      </c>
      <c r="B44" s="38" t="s">
        <v>8260</v>
      </c>
      <c r="C44" s="38" t="s">
        <v>8261</v>
      </c>
      <c r="D44" s="38">
        <v>61</v>
      </c>
      <c r="E44" s="38">
        <v>108</v>
      </c>
      <c r="F44" s="38" t="s">
        <v>8262</v>
      </c>
      <c r="G44" s="38" t="s">
        <v>8263</v>
      </c>
      <c r="H44" s="38" t="s">
        <v>8135</v>
      </c>
    </row>
    <row r="45" spans="1:8" ht="140.1" customHeight="1">
      <c r="A45" s="38" t="s">
        <v>103</v>
      </c>
      <c r="B45" s="38" t="s">
        <v>8264</v>
      </c>
      <c r="C45" s="38" t="s">
        <v>8139</v>
      </c>
      <c r="D45" s="38">
        <v>30</v>
      </c>
      <c r="E45" s="38">
        <v>74</v>
      </c>
      <c r="F45" s="38" t="s">
        <v>8265</v>
      </c>
      <c r="G45" s="38" t="s">
        <v>8266</v>
      </c>
      <c r="H45" s="38" t="s">
        <v>8135</v>
      </c>
    </row>
    <row r="46" spans="1:8" ht="140.1" customHeight="1">
      <c r="A46" s="38" t="s">
        <v>103</v>
      </c>
      <c r="B46" s="38" t="s">
        <v>8267</v>
      </c>
      <c r="C46" s="38" t="s">
        <v>8268</v>
      </c>
      <c r="D46" s="38">
        <v>1</v>
      </c>
      <c r="E46" s="38">
        <v>9</v>
      </c>
      <c r="F46" s="38" t="s">
        <v>8269</v>
      </c>
      <c r="G46" s="38" t="s">
        <v>8270</v>
      </c>
      <c r="H46" s="38" t="s">
        <v>8135</v>
      </c>
    </row>
    <row r="47" spans="1:8" ht="140.1" customHeight="1">
      <c r="A47" s="38" t="s">
        <v>104</v>
      </c>
      <c r="B47" s="38" t="s">
        <v>8271</v>
      </c>
      <c r="C47" s="38" t="s">
        <v>8272</v>
      </c>
      <c r="D47" s="38">
        <v>86</v>
      </c>
      <c r="E47" s="38">
        <v>125</v>
      </c>
      <c r="F47" s="38" t="s">
        <v>8273</v>
      </c>
      <c r="G47" s="38" t="s">
        <v>8274</v>
      </c>
      <c r="H47" s="38" t="s">
        <v>8135</v>
      </c>
    </row>
    <row r="48" spans="1:8" ht="140.1" customHeight="1">
      <c r="A48" s="38" t="s">
        <v>105</v>
      </c>
      <c r="B48" s="38" t="s">
        <v>8275</v>
      </c>
      <c r="C48" s="38" t="s">
        <v>8276</v>
      </c>
      <c r="D48" s="38">
        <v>24</v>
      </c>
      <c r="E48" s="38">
        <v>72</v>
      </c>
      <c r="F48" s="38" t="s">
        <v>8277</v>
      </c>
      <c r="G48" s="38" t="s">
        <v>8278</v>
      </c>
      <c r="H48" s="38" t="s">
        <v>8135</v>
      </c>
    </row>
    <row r="49" spans="1:8" ht="140.1" customHeight="1">
      <c r="A49" s="38" t="s">
        <v>105</v>
      </c>
      <c r="B49" s="38" t="s">
        <v>8260</v>
      </c>
      <c r="C49" s="38" t="s">
        <v>8279</v>
      </c>
      <c r="D49" s="38">
        <v>84</v>
      </c>
      <c r="E49" s="38">
        <v>95</v>
      </c>
      <c r="F49" s="38" t="s">
        <v>8280</v>
      </c>
      <c r="G49" s="38" t="s">
        <v>8263</v>
      </c>
      <c r="H49" s="38" t="s">
        <v>8135</v>
      </c>
    </row>
    <row r="50" spans="1:8" ht="140.1" customHeight="1">
      <c r="A50" s="38" t="s">
        <v>106</v>
      </c>
      <c r="B50" s="38" t="s">
        <v>8260</v>
      </c>
      <c r="C50" s="38" t="s">
        <v>8281</v>
      </c>
      <c r="D50" s="38">
        <v>76</v>
      </c>
      <c r="E50" s="38">
        <v>95</v>
      </c>
      <c r="F50" s="38" t="s">
        <v>8282</v>
      </c>
      <c r="G50" s="38" t="s">
        <v>8263</v>
      </c>
      <c r="H50" s="38" t="s">
        <v>8135</v>
      </c>
    </row>
    <row r="51" spans="1:8" ht="140.1" customHeight="1">
      <c r="A51" s="38" t="s">
        <v>106</v>
      </c>
      <c r="B51" s="38" t="s">
        <v>8275</v>
      </c>
      <c r="C51" s="38" t="s">
        <v>8283</v>
      </c>
      <c r="D51" s="38">
        <v>53</v>
      </c>
      <c r="E51" s="38">
        <v>70</v>
      </c>
      <c r="F51" s="38" t="s">
        <v>8284</v>
      </c>
      <c r="G51" s="38" t="s">
        <v>8278</v>
      </c>
      <c r="H51" s="38" t="s">
        <v>8135</v>
      </c>
    </row>
    <row r="52" spans="1:8" ht="140.1" customHeight="1">
      <c r="A52" s="38" t="s">
        <v>107</v>
      </c>
      <c r="B52" s="38" t="s">
        <v>8260</v>
      </c>
      <c r="C52" s="38" t="s">
        <v>8285</v>
      </c>
      <c r="D52" s="38">
        <v>84</v>
      </c>
      <c r="E52" s="38">
        <v>95</v>
      </c>
      <c r="F52" s="38" t="s">
        <v>8280</v>
      </c>
      <c r="G52" s="38" t="s">
        <v>8263</v>
      </c>
      <c r="H52" s="38" t="s">
        <v>8135</v>
      </c>
    </row>
    <row r="53" spans="1:8" ht="140.1" customHeight="1">
      <c r="A53" s="38" t="s">
        <v>107</v>
      </c>
      <c r="B53" s="38" t="s">
        <v>8286</v>
      </c>
      <c r="C53" s="38" t="s">
        <v>8287</v>
      </c>
      <c r="D53" s="38">
        <v>26</v>
      </c>
      <c r="E53" s="38">
        <v>66</v>
      </c>
      <c r="F53" s="38" t="s">
        <v>8288</v>
      </c>
      <c r="G53" s="38" t="s">
        <v>8289</v>
      </c>
      <c r="H53" s="38" t="s">
        <v>8135</v>
      </c>
    </row>
    <row r="54" spans="1:8" ht="140.1" customHeight="1">
      <c r="A54" s="38" t="s">
        <v>108</v>
      </c>
      <c r="B54" s="38" t="s">
        <v>8264</v>
      </c>
      <c r="C54" s="38" t="s">
        <v>8290</v>
      </c>
      <c r="D54" s="38">
        <v>30</v>
      </c>
      <c r="E54" s="38">
        <v>74</v>
      </c>
      <c r="F54" s="38" t="s">
        <v>8265</v>
      </c>
      <c r="G54" s="38" t="s">
        <v>8266</v>
      </c>
      <c r="H54" s="38" t="s">
        <v>8135</v>
      </c>
    </row>
    <row r="55" spans="1:8" ht="140.1" customHeight="1">
      <c r="A55" s="38" t="s">
        <v>109</v>
      </c>
      <c r="B55" s="38" t="s">
        <v>8286</v>
      </c>
      <c r="C55" s="38" t="s">
        <v>8291</v>
      </c>
      <c r="D55" s="38">
        <v>26</v>
      </c>
      <c r="E55" s="38">
        <v>97</v>
      </c>
      <c r="F55" s="38" t="s">
        <v>8292</v>
      </c>
      <c r="G55" s="38" t="s">
        <v>8289</v>
      </c>
      <c r="H55" s="38" t="s">
        <v>8135</v>
      </c>
    </row>
    <row r="56" spans="1:8" ht="140.1" customHeight="1">
      <c r="A56" s="38" t="s">
        <v>109</v>
      </c>
      <c r="B56" s="38" t="s">
        <v>8156</v>
      </c>
      <c r="C56" s="38" t="s">
        <v>8293</v>
      </c>
      <c r="D56" s="38">
        <v>184</v>
      </c>
      <c r="E56" s="38">
        <v>210</v>
      </c>
      <c r="F56" s="38" t="s">
        <v>8294</v>
      </c>
      <c r="G56" s="38" t="s">
        <v>8159</v>
      </c>
      <c r="H56" s="38" t="s">
        <v>8135</v>
      </c>
    </row>
    <row r="57" spans="1:8" ht="140.1" customHeight="1">
      <c r="A57" s="38" t="s">
        <v>110</v>
      </c>
      <c r="B57" s="38" t="s">
        <v>8295</v>
      </c>
      <c r="C57" s="38" t="s">
        <v>8296</v>
      </c>
      <c r="D57" s="38">
        <v>24</v>
      </c>
      <c r="E57" s="38">
        <v>79</v>
      </c>
      <c r="F57" s="38" t="s">
        <v>8297</v>
      </c>
      <c r="G57" s="38" t="s">
        <v>8298</v>
      </c>
      <c r="H57" s="38" t="s">
        <v>8135</v>
      </c>
    </row>
    <row r="58" spans="1:8" ht="140.1" customHeight="1">
      <c r="A58" s="38" t="s">
        <v>110</v>
      </c>
      <c r="B58" s="38" t="s">
        <v>8286</v>
      </c>
      <c r="C58" s="38" t="s">
        <v>8299</v>
      </c>
      <c r="D58" s="38">
        <v>26</v>
      </c>
      <c r="E58" s="38">
        <v>66</v>
      </c>
      <c r="F58" s="38" t="s">
        <v>8288</v>
      </c>
      <c r="G58" s="38" t="s">
        <v>8289</v>
      </c>
      <c r="H58" s="38" t="s">
        <v>8135</v>
      </c>
    </row>
    <row r="59" spans="1:8" ht="140.1" customHeight="1">
      <c r="A59" s="38" t="s">
        <v>111</v>
      </c>
      <c r="B59" s="38" t="s">
        <v>8300</v>
      </c>
      <c r="C59" s="38" t="s">
        <v>8301</v>
      </c>
      <c r="D59" s="38">
        <v>22</v>
      </c>
      <c r="E59" s="38">
        <v>40</v>
      </c>
      <c r="F59" s="38" t="s">
        <v>8302</v>
      </c>
      <c r="G59" s="38" t="s">
        <v>8303</v>
      </c>
      <c r="H59" s="38" t="s">
        <v>8135</v>
      </c>
    </row>
    <row r="60" spans="1:8" ht="140.1" customHeight="1">
      <c r="A60" s="38" t="s">
        <v>111</v>
      </c>
      <c r="B60" s="38" t="s">
        <v>8304</v>
      </c>
      <c r="C60" s="38" t="s">
        <v>8305</v>
      </c>
      <c r="D60" s="38">
        <v>13</v>
      </c>
      <c r="E60" s="38">
        <v>45</v>
      </c>
      <c r="F60" s="38" t="s">
        <v>8306</v>
      </c>
      <c r="G60" s="38" t="s">
        <v>8307</v>
      </c>
      <c r="H60" s="38" t="s">
        <v>8135</v>
      </c>
    </row>
    <row r="61" spans="1:8" ht="140.1" customHeight="1">
      <c r="A61" s="38" t="s">
        <v>112</v>
      </c>
      <c r="B61" s="38" t="s">
        <v>8304</v>
      </c>
      <c r="C61" s="38" t="s">
        <v>8308</v>
      </c>
      <c r="D61" s="38">
        <v>13</v>
      </c>
      <c r="E61" s="38">
        <v>45</v>
      </c>
      <c r="F61" s="38" t="s">
        <v>8306</v>
      </c>
      <c r="G61" s="38" t="s">
        <v>8307</v>
      </c>
      <c r="H61" s="38" t="s">
        <v>8135</v>
      </c>
    </row>
    <row r="62" spans="1:8" ht="140.1" customHeight="1">
      <c r="A62" s="38" t="s">
        <v>112</v>
      </c>
      <c r="B62" s="38" t="s">
        <v>8267</v>
      </c>
      <c r="C62" s="38" t="s">
        <v>8309</v>
      </c>
      <c r="D62" s="38">
        <v>1</v>
      </c>
      <c r="E62" s="38">
        <v>9</v>
      </c>
      <c r="F62" s="38" t="s">
        <v>8269</v>
      </c>
      <c r="G62" s="38" t="s">
        <v>8270</v>
      </c>
      <c r="H62" s="38" t="s">
        <v>8135</v>
      </c>
    </row>
    <row r="63" spans="1:8" ht="140.1" customHeight="1">
      <c r="A63" s="38" t="s">
        <v>112</v>
      </c>
      <c r="B63" s="38" t="s">
        <v>8267</v>
      </c>
      <c r="C63" s="38" t="s">
        <v>8310</v>
      </c>
      <c r="D63" s="38">
        <v>49</v>
      </c>
      <c r="E63" s="38">
        <v>77</v>
      </c>
      <c r="F63" s="38" t="s">
        <v>8311</v>
      </c>
      <c r="G63" s="38" t="s">
        <v>8270</v>
      </c>
      <c r="H63" s="38" t="s">
        <v>8135</v>
      </c>
    </row>
    <row r="64" spans="1:8" ht="140.1" customHeight="1">
      <c r="A64" s="38" t="s">
        <v>113</v>
      </c>
      <c r="B64" s="38" t="s">
        <v>8312</v>
      </c>
      <c r="C64" s="38" t="s">
        <v>8313</v>
      </c>
      <c r="D64" s="38">
        <v>106</v>
      </c>
      <c r="E64" s="38">
        <v>163</v>
      </c>
      <c r="F64" s="38" t="s">
        <v>8314</v>
      </c>
      <c r="G64" s="38" t="s">
        <v>8315</v>
      </c>
      <c r="H64" s="38" t="s">
        <v>8135</v>
      </c>
    </row>
    <row r="65" spans="1:8" ht="140.1" customHeight="1">
      <c r="A65" s="38" t="s">
        <v>113</v>
      </c>
      <c r="B65" s="38" t="s">
        <v>8316</v>
      </c>
      <c r="C65" s="38" t="s">
        <v>8317</v>
      </c>
      <c r="D65" s="38">
        <v>265</v>
      </c>
      <c r="E65" s="38">
        <v>333</v>
      </c>
      <c r="F65" s="38" t="s">
        <v>8318</v>
      </c>
      <c r="G65" s="38" t="s">
        <v>8319</v>
      </c>
      <c r="H65" s="38" t="s">
        <v>8135</v>
      </c>
    </row>
    <row r="66" spans="1:8" ht="140.1" customHeight="1">
      <c r="A66" s="38" t="s">
        <v>113</v>
      </c>
      <c r="B66" s="38" t="s">
        <v>8131</v>
      </c>
      <c r="C66" s="38" t="s">
        <v>8320</v>
      </c>
      <c r="D66" s="38">
        <v>145</v>
      </c>
      <c r="E66" s="38">
        <v>217</v>
      </c>
      <c r="F66" s="38" t="s">
        <v>8133</v>
      </c>
      <c r="G66" s="38" t="s">
        <v>8134</v>
      </c>
      <c r="H66" s="38" t="s">
        <v>8135</v>
      </c>
    </row>
    <row r="67" spans="1:8" ht="140.1" customHeight="1">
      <c r="A67" s="38" t="s">
        <v>114</v>
      </c>
      <c r="B67" s="38" t="s">
        <v>8312</v>
      </c>
      <c r="C67" s="38" t="s">
        <v>8321</v>
      </c>
      <c r="D67" s="38">
        <v>173</v>
      </c>
      <c r="E67" s="38">
        <v>205</v>
      </c>
      <c r="F67" s="38" t="s">
        <v>8322</v>
      </c>
      <c r="G67" s="38" t="s">
        <v>8315</v>
      </c>
      <c r="H67" s="38" t="s">
        <v>8135</v>
      </c>
    </row>
    <row r="68" spans="1:8" ht="140.1" customHeight="1">
      <c r="A68" s="38" t="s">
        <v>114</v>
      </c>
      <c r="B68" s="38" t="s">
        <v>8316</v>
      </c>
      <c r="C68" s="38" t="s">
        <v>8323</v>
      </c>
      <c r="D68" s="38">
        <v>297</v>
      </c>
      <c r="E68" s="38">
        <v>333</v>
      </c>
      <c r="F68" s="38" t="s">
        <v>8324</v>
      </c>
      <c r="G68" s="38" t="s">
        <v>8319</v>
      </c>
      <c r="H68" s="38" t="s">
        <v>8135</v>
      </c>
    </row>
    <row r="69" spans="1:8" ht="140.1" customHeight="1">
      <c r="A69" s="38" t="s">
        <v>114</v>
      </c>
      <c r="B69" s="38" t="s">
        <v>8325</v>
      </c>
      <c r="C69" s="38" t="s">
        <v>8326</v>
      </c>
      <c r="D69" s="38">
        <v>118</v>
      </c>
      <c r="E69" s="38">
        <v>155</v>
      </c>
      <c r="F69" s="38" t="s">
        <v>8327</v>
      </c>
      <c r="G69" s="38" t="s">
        <v>8328</v>
      </c>
      <c r="H69" s="38" t="s">
        <v>8135</v>
      </c>
    </row>
    <row r="70" spans="1:8" ht="140.1" customHeight="1">
      <c r="A70" s="38" t="s">
        <v>115</v>
      </c>
      <c r="B70" s="38" t="s">
        <v>8325</v>
      </c>
      <c r="C70" s="38" t="s">
        <v>8329</v>
      </c>
      <c r="D70" s="38">
        <v>111</v>
      </c>
      <c r="E70" s="38">
        <v>155</v>
      </c>
      <c r="F70" s="38" t="s">
        <v>8330</v>
      </c>
      <c r="G70" s="38" t="s">
        <v>8328</v>
      </c>
      <c r="H70" s="38" t="s">
        <v>8135</v>
      </c>
    </row>
    <row r="71" spans="1:8" ht="140.1" customHeight="1">
      <c r="A71" s="38" t="s">
        <v>115</v>
      </c>
      <c r="B71" s="38" t="s">
        <v>8224</v>
      </c>
      <c r="C71" s="38" t="s">
        <v>8331</v>
      </c>
      <c r="D71" s="38">
        <v>109</v>
      </c>
      <c r="E71" s="38">
        <v>124</v>
      </c>
      <c r="F71" s="38" t="s">
        <v>8332</v>
      </c>
      <c r="G71" s="38" t="s">
        <v>8227</v>
      </c>
      <c r="H71" s="38" t="s">
        <v>8135</v>
      </c>
    </row>
    <row r="72" spans="1:8" ht="140.1" customHeight="1">
      <c r="A72" s="38" t="s">
        <v>116</v>
      </c>
      <c r="B72" s="38" t="s">
        <v>8224</v>
      </c>
      <c r="C72" s="38" t="s">
        <v>8333</v>
      </c>
      <c r="D72" s="38">
        <v>109</v>
      </c>
      <c r="E72" s="38">
        <v>115</v>
      </c>
      <c r="F72" s="38" t="s">
        <v>8334</v>
      </c>
      <c r="G72" s="38" t="s">
        <v>8227</v>
      </c>
      <c r="H72" s="38" t="s">
        <v>8135</v>
      </c>
    </row>
    <row r="73" spans="1:8" ht="140.1" customHeight="1">
      <c r="A73" s="38" t="s">
        <v>116</v>
      </c>
      <c r="B73" s="38" t="s">
        <v>8252</v>
      </c>
      <c r="C73" s="38" t="s">
        <v>8335</v>
      </c>
      <c r="D73" s="38">
        <v>32</v>
      </c>
      <c r="E73" s="38">
        <v>73</v>
      </c>
      <c r="F73" s="38" t="s">
        <v>8336</v>
      </c>
      <c r="G73" s="38" t="s">
        <v>8255</v>
      </c>
      <c r="H73" s="38" t="s">
        <v>8135</v>
      </c>
    </row>
    <row r="74" spans="1:8" ht="140.1" customHeight="1">
      <c r="A74" s="38" t="s">
        <v>117</v>
      </c>
      <c r="B74" s="38" t="s">
        <v>8312</v>
      </c>
      <c r="C74" s="38" t="s">
        <v>8337</v>
      </c>
      <c r="D74" s="38">
        <v>106</v>
      </c>
      <c r="E74" s="38">
        <v>163</v>
      </c>
      <c r="F74" s="38" t="s">
        <v>8314</v>
      </c>
      <c r="G74" s="38" t="s">
        <v>8315</v>
      </c>
      <c r="H74" s="38" t="s">
        <v>8135</v>
      </c>
    </row>
    <row r="75" spans="1:8" ht="140.1" customHeight="1">
      <c r="A75" s="38" t="s">
        <v>117</v>
      </c>
      <c r="B75" s="38" t="s">
        <v>8338</v>
      </c>
      <c r="C75" s="38" t="s">
        <v>8339</v>
      </c>
      <c r="D75" s="38">
        <v>128</v>
      </c>
      <c r="E75" s="38">
        <v>145</v>
      </c>
      <c r="F75" s="38" t="s">
        <v>8340</v>
      </c>
      <c r="G75" s="38" t="s">
        <v>8341</v>
      </c>
      <c r="H75" s="38" t="s">
        <v>8135</v>
      </c>
    </row>
    <row r="76" spans="1:8" ht="140.1" customHeight="1">
      <c r="A76" s="38" t="s">
        <v>118</v>
      </c>
      <c r="B76" s="38" t="s">
        <v>8342</v>
      </c>
      <c r="C76" s="38" t="s">
        <v>8343</v>
      </c>
      <c r="D76" s="38">
        <v>17</v>
      </c>
      <c r="E76" s="38">
        <v>39</v>
      </c>
      <c r="F76" s="38" t="s">
        <v>8344</v>
      </c>
      <c r="G76" s="38" t="s">
        <v>8345</v>
      </c>
      <c r="H76" s="38" t="s">
        <v>8135</v>
      </c>
    </row>
    <row r="77" spans="1:8" ht="140.1" customHeight="1">
      <c r="A77" s="38" t="s">
        <v>118</v>
      </c>
      <c r="B77" s="38" t="s">
        <v>8342</v>
      </c>
      <c r="C77" s="38" t="s">
        <v>8346</v>
      </c>
      <c r="D77" s="38">
        <v>81</v>
      </c>
      <c r="E77" s="38">
        <v>102</v>
      </c>
      <c r="F77" s="38" t="s">
        <v>8347</v>
      </c>
      <c r="G77" s="38" t="s">
        <v>8345</v>
      </c>
      <c r="H77" s="38" t="s">
        <v>8135</v>
      </c>
    </row>
    <row r="78" spans="1:8" ht="140.1" customHeight="1">
      <c r="A78" s="38" t="s">
        <v>118</v>
      </c>
      <c r="B78" s="38" t="s">
        <v>8348</v>
      </c>
      <c r="C78" s="38" t="s">
        <v>8349</v>
      </c>
      <c r="D78" s="38">
        <v>72</v>
      </c>
      <c r="E78" s="38">
        <v>104</v>
      </c>
      <c r="F78" s="38" t="s">
        <v>8350</v>
      </c>
      <c r="G78" s="38" t="s">
        <v>8351</v>
      </c>
      <c r="H78" s="38" t="s">
        <v>8135</v>
      </c>
    </row>
    <row r="79" spans="1:8" ht="140.1" customHeight="1">
      <c r="A79" s="38" t="s">
        <v>119</v>
      </c>
      <c r="B79" s="38" t="s">
        <v>8199</v>
      </c>
      <c r="C79" s="38" t="s">
        <v>8352</v>
      </c>
      <c r="D79" s="38">
        <v>61</v>
      </c>
      <c r="E79" s="38">
        <v>85</v>
      </c>
      <c r="F79" s="38" t="s">
        <v>8353</v>
      </c>
      <c r="G79" s="38" t="s">
        <v>8202</v>
      </c>
      <c r="H79" s="38" t="s">
        <v>8135</v>
      </c>
    </row>
    <row r="80" spans="1:8" ht="140.1" customHeight="1">
      <c r="A80" s="38" t="s">
        <v>119</v>
      </c>
      <c r="B80" s="38" t="s">
        <v>8199</v>
      </c>
      <c r="C80" s="38" t="s">
        <v>8354</v>
      </c>
      <c r="D80" s="38">
        <v>210</v>
      </c>
      <c r="E80" s="38">
        <v>276</v>
      </c>
      <c r="F80" s="38" t="s">
        <v>8355</v>
      </c>
      <c r="G80" s="38" t="s">
        <v>8202</v>
      </c>
      <c r="H80" s="38" t="s">
        <v>8135</v>
      </c>
    </row>
    <row r="81" spans="1:8" ht="140.1" customHeight="1">
      <c r="A81" s="38" t="s">
        <v>119</v>
      </c>
      <c r="B81" s="38" t="s">
        <v>8224</v>
      </c>
      <c r="C81" s="38" t="s">
        <v>8356</v>
      </c>
      <c r="D81" s="38">
        <v>109</v>
      </c>
      <c r="E81" s="38">
        <v>115</v>
      </c>
      <c r="F81" s="38" t="s">
        <v>8334</v>
      </c>
      <c r="G81" s="38" t="s">
        <v>8227</v>
      </c>
      <c r="H81" s="38" t="s">
        <v>8135</v>
      </c>
    </row>
    <row r="82" spans="1:8" ht="140.1" customHeight="1">
      <c r="A82" s="38" t="s">
        <v>119</v>
      </c>
      <c r="B82" s="38" t="s">
        <v>8217</v>
      </c>
      <c r="C82" s="38" t="s">
        <v>8357</v>
      </c>
      <c r="D82" s="38">
        <v>127</v>
      </c>
      <c r="E82" s="38">
        <v>149</v>
      </c>
      <c r="F82" s="38" t="s">
        <v>8358</v>
      </c>
      <c r="G82" s="38" t="s">
        <v>8220</v>
      </c>
      <c r="H82" s="38" t="s">
        <v>8135</v>
      </c>
    </row>
    <row r="83" spans="1:8" ht="140.1" customHeight="1">
      <c r="A83" s="38" t="s">
        <v>120</v>
      </c>
      <c r="B83" s="38" t="s">
        <v>8312</v>
      </c>
      <c r="C83" s="38" t="s">
        <v>8359</v>
      </c>
      <c r="D83" s="38">
        <v>118</v>
      </c>
      <c r="E83" s="38">
        <v>163</v>
      </c>
      <c r="F83" s="38" t="s">
        <v>8360</v>
      </c>
      <c r="G83" s="38" t="s">
        <v>8315</v>
      </c>
      <c r="H83" s="38" t="s">
        <v>8135</v>
      </c>
    </row>
    <row r="84" spans="1:8" ht="140.1" customHeight="1">
      <c r="A84" s="38" t="s">
        <v>120</v>
      </c>
      <c r="B84" s="38" t="s">
        <v>8338</v>
      </c>
      <c r="C84" s="38" t="s">
        <v>8361</v>
      </c>
      <c r="D84" s="38">
        <v>128</v>
      </c>
      <c r="E84" s="38">
        <v>145</v>
      </c>
      <c r="F84" s="38" t="s">
        <v>8340</v>
      </c>
      <c r="G84" s="38" t="s">
        <v>8341</v>
      </c>
      <c r="H84" s="38" t="s">
        <v>8135</v>
      </c>
    </row>
    <row r="85" spans="1:8" ht="140.1" customHeight="1">
      <c r="A85" s="38" t="s">
        <v>120</v>
      </c>
      <c r="B85" s="38" t="s">
        <v>8362</v>
      </c>
      <c r="C85" s="38" t="s">
        <v>8363</v>
      </c>
      <c r="D85" s="38">
        <v>898</v>
      </c>
      <c r="E85" s="38">
        <v>925</v>
      </c>
      <c r="F85" s="38" t="s">
        <v>8364</v>
      </c>
      <c r="G85" s="38" t="s">
        <v>8365</v>
      </c>
      <c r="H85" s="38" t="s">
        <v>8135</v>
      </c>
    </row>
    <row r="86" spans="1:8" ht="140.1" customHeight="1">
      <c r="A86" s="38" t="s">
        <v>153</v>
      </c>
      <c r="B86" s="38" t="s">
        <v>8366</v>
      </c>
      <c r="C86" s="38" t="s">
        <v>8367</v>
      </c>
      <c r="D86" s="38">
        <v>16</v>
      </c>
      <c r="E86" s="38">
        <v>51</v>
      </c>
      <c r="F86" s="38" t="s">
        <v>8368</v>
      </c>
      <c r="G86" s="38" t="s">
        <v>8369</v>
      </c>
      <c r="H86" s="38" t="s">
        <v>8135</v>
      </c>
    </row>
    <row r="87" spans="1:8" ht="140.1" customHeight="1">
      <c r="A87" s="38" t="s">
        <v>153</v>
      </c>
      <c r="B87" s="38" t="s">
        <v>8370</v>
      </c>
      <c r="C87" s="38" t="s">
        <v>8371</v>
      </c>
      <c r="D87" s="38">
        <v>19</v>
      </c>
      <c r="E87" s="38">
        <v>46</v>
      </c>
      <c r="F87" s="38" t="s">
        <v>8372</v>
      </c>
      <c r="G87" s="38" t="s">
        <v>8373</v>
      </c>
      <c r="H87" s="38" t="s">
        <v>8135</v>
      </c>
    </row>
    <row r="88" spans="1:8" ht="140.1" customHeight="1">
      <c r="A88" s="38" t="s">
        <v>153</v>
      </c>
      <c r="B88" s="38" t="s">
        <v>8374</v>
      </c>
      <c r="C88" s="38" t="s">
        <v>8375</v>
      </c>
      <c r="D88" s="38">
        <v>51</v>
      </c>
      <c r="E88" s="38">
        <v>62</v>
      </c>
      <c r="F88" s="38" t="s">
        <v>8376</v>
      </c>
      <c r="G88" s="38" t="s">
        <v>8377</v>
      </c>
      <c r="H88" s="38" t="s">
        <v>8135</v>
      </c>
    </row>
    <row r="89" spans="1:8" ht="140.1" customHeight="1">
      <c r="A89" s="38" t="s">
        <v>158</v>
      </c>
      <c r="B89" s="38" t="s">
        <v>8378</v>
      </c>
      <c r="C89" s="38" t="s">
        <v>8379</v>
      </c>
      <c r="D89" s="38">
        <v>10</v>
      </c>
      <c r="E89" s="38">
        <v>60</v>
      </c>
      <c r="F89" s="38" t="s">
        <v>8380</v>
      </c>
      <c r="G89" s="38" t="s">
        <v>8381</v>
      </c>
      <c r="H89" s="38" t="s">
        <v>8135</v>
      </c>
    </row>
    <row r="90" spans="1:8" ht="140.1" customHeight="1">
      <c r="A90" s="38" t="s">
        <v>158</v>
      </c>
      <c r="B90" s="38" t="s">
        <v>8382</v>
      </c>
      <c r="C90" s="38" t="s">
        <v>8383</v>
      </c>
      <c r="D90" s="38">
        <v>725</v>
      </c>
      <c r="E90" s="38">
        <v>744</v>
      </c>
      <c r="F90" s="38" t="s">
        <v>8384</v>
      </c>
      <c r="G90" s="38" t="s">
        <v>8385</v>
      </c>
      <c r="H90" s="38" t="s">
        <v>8135</v>
      </c>
    </row>
    <row r="91" spans="1:8" ht="140.1" customHeight="1">
      <c r="A91" s="38" t="s">
        <v>158</v>
      </c>
      <c r="B91" s="38" t="s">
        <v>8386</v>
      </c>
      <c r="C91" s="38" t="s">
        <v>8387</v>
      </c>
      <c r="D91" s="38">
        <v>58</v>
      </c>
      <c r="E91" s="38">
        <v>63</v>
      </c>
      <c r="F91" s="38" t="s">
        <v>8388</v>
      </c>
      <c r="G91" s="38" t="s">
        <v>8389</v>
      </c>
      <c r="H91" s="38" t="s">
        <v>8135</v>
      </c>
    </row>
    <row r="92" spans="1:8" ht="140.1" customHeight="1">
      <c r="A92" s="38" t="s">
        <v>158</v>
      </c>
      <c r="B92" s="38" t="s">
        <v>8374</v>
      </c>
      <c r="C92" s="38" t="s">
        <v>8390</v>
      </c>
      <c r="D92" s="38">
        <v>51</v>
      </c>
      <c r="E92" s="38">
        <v>62</v>
      </c>
      <c r="F92" s="38" t="s">
        <v>8376</v>
      </c>
      <c r="G92" s="38" t="s">
        <v>8377</v>
      </c>
      <c r="H92" s="38" t="s">
        <v>8135</v>
      </c>
    </row>
    <row r="93" spans="1:8" ht="140.1" customHeight="1">
      <c r="A93" s="38" t="s">
        <v>159</v>
      </c>
      <c r="B93" s="38" t="s">
        <v>8391</v>
      </c>
      <c r="C93" s="38" t="s">
        <v>8392</v>
      </c>
      <c r="D93" s="38">
        <v>3</v>
      </c>
      <c r="E93" s="38">
        <v>20</v>
      </c>
      <c r="F93" s="38" t="s">
        <v>8393</v>
      </c>
      <c r="G93" s="38" t="s">
        <v>8394</v>
      </c>
      <c r="H93" s="38" t="s">
        <v>8135</v>
      </c>
    </row>
    <row r="94" spans="1:8" ht="140.1" customHeight="1">
      <c r="A94" s="38" t="s">
        <v>159</v>
      </c>
      <c r="B94" s="38" t="s">
        <v>8391</v>
      </c>
      <c r="C94" s="38" t="s">
        <v>8395</v>
      </c>
      <c r="D94" s="38">
        <v>44</v>
      </c>
      <c r="E94" s="38">
        <v>63</v>
      </c>
      <c r="F94" s="38" t="s">
        <v>8396</v>
      </c>
      <c r="G94" s="38" t="s">
        <v>8394</v>
      </c>
      <c r="H94" s="38" t="s">
        <v>8135</v>
      </c>
    </row>
    <row r="95" spans="1:8" ht="140.1" customHeight="1">
      <c r="A95" s="38" t="s">
        <v>159</v>
      </c>
      <c r="B95" s="38" t="s">
        <v>8397</v>
      </c>
      <c r="C95" s="38" t="s">
        <v>8398</v>
      </c>
      <c r="D95" s="38">
        <v>1</v>
      </c>
      <c r="E95" s="38">
        <v>20</v>
      </c>
      <c r="F95" s="38" t="s">
        <v>8399</v>
      </c>
      <c r="G95" s="38" t="s">
        <v>8400</v>
      </c>
      <c r="H95" s="38" t="s">
        <v>8135</v>
      </c>
    </row>
    <row r="96" spans="1:8" ht="140.1" customHeight="1">
      <c r="A96" s="38" t="s">
        <v>167</v>
      </c>
      <c r="B96" s="38" t="s">
        <v>8228</v>
      </c>
      <c r="C96" s="38" t="s">
        <v>8401</v>
      </c>
      <c r="D96" s="38">
        <v>120</v>
      </c>
      <c r="E96" s="38">
        <v>151</v>
      </c>
      <c r="F96" s="38" t="s">
        <v>8230</v>
      </c>
      <c r="G96" s="38" t="s">
        <v>8231</v>
      </c>
      <c r="H96" s="38" t="s">
        <v>8135</v>
      </c>
    </row>
    <row r="97" spans="1:8" ht="140.1" customHeight="1">
      <c r="A97" s="38" t="s">
        <v>167</v>
      </c>
      <c r="B97" s="38" t="s">
        <v>8228</v>
      </c>
      <c r="C97" s="38" t="s">
        <v>8402</v>
      </c>
      <c r="D97" s="38">
        <v>173</v>
      </c>
      <c r="E97" s="38">
        <v>205</v>
      </c>
      <c r="F97" s="38" t="s">
        <v>8233</v>
      </c>
      <c r="G97" s="38" t="s">
        <v>8231</v>
      </c>
      <c r="H97" s="38" t="s">
        <v>8135</v>
      </c>
    </row>
    <row r="98" spans="1:8" ht="140.1" customHeight="1">
      <c r="A98" s="38" t="s">
        <v>167</v>
      </c>
      <c r="B98" s="38" t="s">
        <v>8199</v>
      </c>
      <c r="C98" s="38" t="s">
        <v>8403</v>
      </c>
      <c r="D98" s="38">
        <v>61</v>
      </c>
      <c r="E98" s="38">
        <v>85</v>
      </c>
      <c r="F98" s="38" t="s">
        <v>8353</v>
      </c>
      <c r="G98" s="38" t="s">
        <v>8202</v>
      </c>
      <c r="H98" s="38" t="s">
        <v>8135</v>
      </c>
    </row>
    <row r="99" spans="1:8" ht="140.1" customHeight="1">
      <c r="A99" s="38" t="s">
        <v>173</v>
      </c>
      <c r="B99" s="38" t="s">
        <v>8404</v>
      </c>
      <c r="C99" s="38" t="s">
        <v>8405</v>
      </c>
      <c r="D99" s="38">
        <v>20</v>
      </c>
      <c r="E99" s="38">
        <v>36</v>
      </c>
      <c r="F99" s="38" t="s">
        <v>8406</v>
      </c>
      <c r="G99" s="38" t="s">
        <v>8407</v>
      </c>
      <c r="H99" s="38" t="s">
        <v>8135</v>
      </c>
    </row>
    <row r="100" spans="1:8" ht="140.1" customHeight="1">
      <c r="A100" s="38" t="s">
        <v>173</v>
      </c>
      <c r="B100" s="38" t="s">
        <v>8408</v>
      </c>
      <c r="C100" s="38" t="s">
        <v>8409</v>
      </c>
      <c r="D100" s="38">
        <v>32</v>
      </c>
      <c r="E100" s="38">
        <v>75</v>
      </c>
      <c r="F100" s="38" t="s">
        <v>8410</v>
      </c>
      <c r="G100" s="38" t="s">
        <v>8411</v>
      </c>
      <c r="H100" s="38" t="s">
        <v>8135</v>
      </c>
    </row>
    <row r="101" spans="1:8" ht="140.1" customHeight="1">
      <c r="A101" s="38" t="s">
        <v>174</v>
      </c>
      <c r="B101" s="38" t="s">
        <v>8408</v>
      </c>
      <c r="C101" s="38" t="s">
        <v>8412</v>
      </c>
      <c r="D101" s="38">
        <v>43</v>
      </c>
      <c r="E101" s="38">
        <v>81</v>
      </c>
      <c r="F101" s="38" t="s">
        <v>8413</v>
      </c>
      <c r="G101" s="38" t="s">
        <v>8411</v>
      </c>
      <c r="H101" s="38" t="s">
        <v>8135</v>
      </c>
    </row>
    <row r="102" spans="1:8" ht="140.1" customHeight="1">
      <c r="A102" s="38" t="s">
        <v>174</v>
      </c>
      <c r="B102" s="38" t="s">
        <v>8404</v>
      </c>
      <c r="C102" s="38" t="s">
        <v>8414</v>
      </c>
      <c r="D102" s="38">
        <v>65</v>
      </c>
      <c r="E102" s="38">
        <v>90</v>
      </c>
      <c r="F102" s="38" t="s">
        <v>8415</v>
      </c>
      <c r="G102" s="38" t="s">
        <v>8407</v>
      </c>
      <c r="H102" s="38" t="s">
        <v>8135</v>
      </c>
    </row>
    <row r="103" spans="1:8" ht="140.1" customHeight="1">
      <c r="A103" s="38" t="s">
        <v>177</v>
      </c>
      <c r="B103" s="38" t="s">
        <v>8416</v>
      </c>
      <c r="C103" s="38" t="s">
        <v>8417</v>
      </c>
      <c r="D103" s="38">
        <v>16</v>
      </c>
      <c r="E103" s="38">
        <v>66</v>
      </c>
      <c r="F103" s="38" t="s">
        <v>8418</v>
      </c>
      <c r="G103" s="38" t="s">
        <v>8419</v>
      </c>
      <c r="H103" s="38" t="s">
        <v>8135</v>
      </c>
    </row>
    <row r="104" spans="1:8" ht="140.1" customHeight="1">
      <c r="A104" s="38" t="s">
        <v>177</v>
      </c>
      <c r="B104" s="38" t="s">
        <v>8416</v>
      </c>
      <c r="C104" s="38" t="s">
        <v>8420</v>
      </c>
      <c r="D104" s="38">
        <v>69</v>
      </c>
      <c r="E104" s="38">
        <v>90</v>
      </c>
      <c r="F104" s="38" t="s">
        <v>8421</v>
      </c>
      <c r="G104" s="38" t="s">
        <v>8419</v>
      </c>
      <c r="H104" s="38" t="s">
        <v>8135</v>
      </c>
    </row>
    <row r="105" spans="1:8" ht="140.1" customHeight="1">
      <c r="A105" s="38" t="s">
        <v>194</v>
      </c>
      <c r="B105" s="38" t="s">
        <v>8422</v>
      </c>
      <c r="C105" s="38" t="s">
        <v>8423</v>
      </c>
      <c r="D105" s="38">
        <v>1</v>
      </c>
      <c r="E105" s="38">
        <v>55</v>
      </c>
      <c r="F105" s="38" t="s">
        <v>8424</v>
      </c>
      <c r="G105" s="38" t="s">
        <v>8425</v>
      </c>
      <c r="H105" s="38" t="s">
        <v>8135</v>
      </c>
    </row>
    <row r="106" spans="1:8" ht="140.1" customHeight="1">
      <c r="A106" s="38" t="s">
        <v>194</v>
      </c>
      <c r="B106" s="38" t="s">
        <v>8362</v>
      </c>
      <c r="C106" s="38" t="s">
        <v>8426</v>
      </c>
      <c r="D106" s="38">
        <v>333</v>
      </c>
      <c r="E106" s="38">
        <v>403</v>
      </c>
      <c r="F106" s="38" t="s">
        <v>8427</v>
      </c>
      <c r="G106" s="38" t="s">
        <v>8365</v>
      </c>
      <c r="H106" s="38" t="s">
        <v>8135</v>
      </c>
    </row>
    <row r="107" spans="1:8" ht="140.1" customHeight="1">
      <c r="A107" s="38" t="s">
        <v>195</v>
      </c>
      <c r="B107" s="38" t="s">
        <v>8428</v>
      </c>
      <c r="C107" s="38" t="s">
        <v>8429</v>
      </c>
      <c r="D107" s="38">
        <v>10</v>
      </c>
      <c r="E107" s="38">
        <v>33</v>
      </c>
      <c r="F107" s="38" t="s">
        <v>8430</v>
      </c>
      <c r="G107" s="38" t="s">
        <v>8431</v>
      </c>
      <c r="H107" s="38" t="s">
        <v>8135</v>
      </c>
    </row>
    <row r="108" spans="1:8" ht="140.1" customHeight="1">
      <c r="A108" s="38" t="s">
        <v>195</v>
      </c>
      <c r="B108" s="38" t="s">
        <v>8428</v>
      </c>
      <c r="C108" s="38" t="s">
        <v>8432</v>
      </c>
      <c r="D108" s="38">
        <v>57</v>
      </c>
      <c r="E108" s="38">
        <v>85</v>
      </c>
      <c r="F108" s="38" t="s">
        <v>8433</v>
      </c>
      <c r="G108" s="38" t="s">
        <v>8431</v>
      </c>
      <c r="H108" s="38" t="s">
        <v>8135</v>
      </c>
    </row>
    <row r="109" spans="1:8" ht="140.1" customHeight="1">
      <c r="A109" s="38" t="s">
        <v>212</v>
      </c>
      <c r="B109" s="38" t="s">
        <v>8434</v>
      </c>
      <c r="C109" s="38" t="s">
        <v>8435</v>
      </c>
      <c r="D109" s="38">
        <v>12</v>
      </c>
      <c r="E109" s="38">
        <v>38</v>
      </c>
      <c r="F109" s="38" t="s">
        <v>8436</v>
      </c>
      <c r="G109" s="38" t="s">
        <v>8437</v>
      </c>
      <c r="H109" s="38" t="s">
        <v>8135</v>
      </c>
    </row>
    <row r="110" spans="1:8" ht="140.1" customHeight="1">
      <c r="A110" s="38" t="s">
        <v>212</v>
      </c>
      <c r="B110" s="38" t="s">
        <v>8434</v>
      </c>
      <c r="C110" s="38" t="s">
        <v>8438</v>
      </c>
      <c r="D110" s="38">
        <v>66</v>
      </c>
      <c r="E110" s="38">
        <v>90</v>
      </c>
      <c r="F110" s="38" t="s">
        <v>8439</v>
      </c>
      <c r="G110" s="38" t="s">
        <v>8437</v>
      </c>
      <c r="H110" s="38" t="s">
        <v>8135</v>
      </c>
    </row>
    <row r="111" spans="1:8" ht="140.1" customHeight="1">
      <c r="A111" s="38" t="s">
        <v>212</v>
      </c>
      <c r="B111" s="38" t="s">
        <v>8440</v>
      </c>
      <c r="C111" s="38" t="s">
        <v>8441</v>
      </c>
      <c r="D111" s="38">
        <v>16</v>
      </c>
      <c r="E111" s="38">
        <v>48</v>
      </c>
      <c r="F111" s="38" t="s">
        <v>8442</v>
      </c>
      <c r="G111" s="38" t="s">
        <v>8443</v>
      </c>
      <c r="H111" s="38" t="s">
        <v>8135</v>
      </c>
    </row>
    <row r="112" spans="1:8" ht="140.1" customHeight="1">
      <c r="A112" s="38" t="s">
        <v>213</v>
      </c>
      <c r="B112" s="38" t="s">
        <v>8444</v>
      </c>
      <c r="C112" s="38" t="s">
        <v>8445</v>
      </c>
      <c r="D112" s="38">
        <v>49</v>
      </c>
      <c r="E112" s="38">
        <v>62</v>
      </c>
      <c r="F112" s="38" t="s">
        <v>8446</v>
      </c>
      <c r="G112" s="38" t="s">
        <v>8447</v>
      </c>
      <c r="H112" s="38" t="s">
        <v>8135</v>
      </c>
    </row>
    <row r="113" spans="1:8" ht="140.1" customHeight="1">
      <c r="A113" s="38" t="s">
        <v>213</v>
      </c>
      <c r="B113" s="38" t="s">
        <v>8444</v>
      </c>
      <c r="C113" s="38" t="s">
        <v>8448</v>
      </c>
      <c r="D113" s="38">
        <v>91</v>
      </c>
      <c r="E113" s="38">
        <v>115</v>
      </c>
      <c r="F113" s="38" t="s">
        <v>8449</v>
      </c>
      <c r="G113" s="38" t="s">
        <v>8447</v>
      </c>
      <c r="H113" s="38" t="s">
        <v>8135</v>
      </c>
    </row>
    <row r="114" spans="1:8" ht="140.1" customHeight="1">
      <c r="A114" s="38" t="s">
        <v>213</v>
      </c>
      <c r="B114" s="38" t="s">
        <v>8450</v>
      </c>
      <c r="C114" s="38" t="s">
        <v>8451</v>
      </c>
      <c r="D114" s="38">
        <v>117</v>
      </c>
      <c r="E114" s="38">
        <v>137</v>
      </c>
      <c r="F114" s="38" t="s">
        <v>8452</v>
      </c>
      <c r="G114" s="38" t="s">
        <v>8453</v>
      </c>
      <c r="H114" s="38" t="s">
        <v>8135</v>
      </c>
    </row>
    <row r="115" spans="1:8" ht="140.1" customHeight="1">
      <c r="A115" s="38" t="s">
        <v>213</v>
      </c>
      <c r="B115" s="38" t="s">
        <v>8454</v>
      </c>
      <c r="C115" s="38" t="s">
        <v>8455</v>
      </c>
      <c r="D115" s="38">
        <v>27</v>
      </c>
      <c r="E115" s="38">
        <v>57</v>
      </c>
      <c r="F115" s="38" t="s">
        <v>8456</v>
      </c>
      <c r="G115" s="38" t="s">
        <v>8457</v>
      </c>
      <c r="H115" s="38" t="s">
        <v>8135</v>
      </c>
    </row>
    <row r="116" spans="1:8" ht="140.1" customHeight="1">
      <c r="A116" s="38" t="s">
        <v>218</v>
      </c>
      <c r="B116" s="38" t="s">
        <v>8458</v>
      </c>
      <c r="C116" s="38" t="s">
        <v>8459</v>
      </c>
      <c r="D116" s="38">
        <v>1</v>
      </c>
      <c r="E116" s="38">
        <v>49</v>
      </c>
      <c r="F116" s="38" t="s">
        <v>8460</v>
      </c>
      <c r="G116" s="38" t="s">
        <v>8461</v>
      </c>
      <c r="H116" s="38" t="s">
        <v>8135</v>
      </c>
    </row>
    <row r="117" spans="1:8" ht="140.1" customHeight="1">
      <c r="A117" s="38" t="s">
        <v>218</v>
      </c>
      <c r="B117" s="38" t="s">
        <v>8408</v>
      </c>
      <c r="C117" s="38" t="s">
        <v>8462</v>
      </c>
      <c r="D117" s="38">
        <v>17</v>
      </c>
      <c r="E117" s="38">
        <v>26</v>
      </c>
      <c r="F117" s="38" t="s">
        <v>8463</v>
      </c>
      <c r="G117" s="38" t="s">
        <v>8411</v>
      </c>
      <c r="H117" s="38" t="s">
        <v>8135</v>
      </c>
    </row>
    <row r="118" spans="1:8" ht="140.1" customHeight="1">
      <c r="A118" s="38" t="s">
        <v>222</v>
      </c>
      <c r="B118" s="38" t="s">
        <v>8464</v>
      </c>
      <c r="C118" s="38" t="s">
        <v>8465</v>
      </c>
      <c r="D118" s="38">
        <v>8</v>
      </c>
      <c r="E118" s="38">
        <v>19</v>
      </c>
      <c r="F118" s="38" t="s">
        <v>8466</v>
      </c>
      <c r="G118" s="38" t="s">
        <v>8467</v>
      </c>
      <c r="H118" s="38" t="s">
        <v>8135</v>
      </c>
    </row>
    <row r="119" spans="1:8" ht="140.1" customHeight="1">
      <c r="A119" s="38" t="s">
        <v>222</v>
      </c>
      <c r="B119" s="38" t="s">
        <v>8464</v>
      </c>
      <c r="C119" s="38" t="s">
        <v>8468</v>
      </c>
      <c r="D119" s="38">
        <v>36</v>
      </c>
      <c r="E119" s="38">
        <v>64</v>
      </c>
      <c r="F119" s="38" t="s">
        <v>8469</v>
      </c>
      <c r="G119" s="38" t="s">
        <v>8467</v>
      </c>
      <c r="H119" s="38" t="s">
        <v>8135</v>
      </c>
    </row>
    <row r="120" spans="1:8" ht="140.1" customHeight="1">
      <c r="A120" s="38" t="s">
        <v>222</v>
      </c>
      <c r="B120" s="38" t="s">
        <v>8464</v>
      </c>
      <c r="C120" s="38" t="s">
        <v>8470</v>
      </c>
      <c r="D120" s="38">
        <v>69</v>
      </c>
      <c r="E120" s="38">
        <v>96</v>
      </c>
      <c r="F120" s="38" t="s">
        <v>8471</v>
      </c>
      <c r="G120" s="38" t="s">
        <v>8467</v>
      </c>
      <c r="H120" s="38" t="s">
        <v>8135</v>
      </c>
    </row>
    <row r="121" spans="1:8" ht="140.1" customHeight="1">
      <c r="A121" s="38" t="s">
        <v>226</v>
      </c>
      <c r="B121" s="38" t="s">
        <v>8440</v>
      </c>
      <c r="C121" s="38" t="s">
        <v>8472</v>
      </c>
      <c r="D121" s="38">
        <v>16</v>
      </c>
      <c r="E121" s="38">
        <v>43</v>
      </c>
      <c r="F121" s="38" t="s">
        <v>8473</v>
      </c>
      <c r="G121" s="38" t="s">
        <v>8443</v>
      </c>
      <c r="H121" s="38" t="s">
        <v>8135</v>
      </c>
    </row>
    <row r="122" spans="1:8" ht="140.1" customHeight="1">
      <c r="A122" s="38" t="s">
        <v>226</v>
      </c>
      <c r="B122" s="38" t="s">
        <v>8434</v>
      </c>
      <c r="C122" s="38" t="s">
        <v>8474</v>
      </c>
      <c r="D122" s="38">
        <v>12</v>
      </c>
      <c r="E122" s="38">
        <v>38</v>
      </c>
      <c r="F122" s="38" t="s">
        <v>8436</v>
      </c>
      <c r="G122" s="38" t="s">
        <v>8437</v>
      </c>
      <c r="H122" s="38" t="s">
        <v>8135</v>
      </c>
    </row>
    <row r="123" spans="1:8" ht="140.1" customHeight="1">
      <c r="A123" s="38" t="s">
        <v>235</v>
      </c>
      <c r="B123" s="38" t="s">
        <v>8475</v>
      </c>
      <c r="C123" s="38" t="s">
        <v>8476</v>
      </c>
      <c r="D123" s="38">
        <v>17</v>
      </c>
      <c r="E123" s="38">
        <v>35</v>
      </c>
      <c r="F123" s="38" t="s">
        <v>8477</v>
      </c>
      <c r="G123" s="38" t="s">
        <v>8478</v>
      </c>
      <c r="H123" s="38" t="s">
        <v>8135</v>
      </c>
    </row>
    <row r="124" spans="1:8" ht="140.1" customHeight="1">
      <c r="A124" s="38" t="s">
        <v>235</v>
      </c>
      <c r="B124" s="38" t="s">
        <v>8475</v>
      </c>
      <c r="C124" s="38" t="s">
        <v>8479</v>
      </c>
      <c r="D124" s="38">
        <v>50</v>
      </c>
      <c r="E124" s="38">
        <v>85</v>
      </c>
      <c r="F124" s="38" t="s">
        <v>8480</v>
      </c>
      <c r="G124" s="38" t="s">
        <v>8478</v>
      </c>
      <c r="H124" s="38" t="s">
        <v>8135</v>
      </c>
    </row>
    <row r="125" spans="1:8" ht="140.1" customHeight="1">
      <c r="A125" s="38" t="s">
        <v>238</v>
      </c>
      <c r="B125" s="38" t="s">
        <v>8422</v>
      </c>
      <c r="C125" s="38" t="s">
        <v>8481</v>
      </c>
      <c r="D125" s="38">
        <v>8</v>
      </c>
      <c r="E125" s="38">
        <v>36</v>
      </c>
      <c r="F125" s="38" t="s">
        <v>8482</v>
      </c>
      <c r="G125" s="38" t="s">
        <v>8425</v>
      </c>
      <c r="H125" s="38" t="s">
        <v>8135</v>
      </c>
    </row>
    <row r="126" spans="1:8" ht="140.1" customHeight="1">
      <c r="A126" s="38" t="s">
        <v>238</v>
      </c>
      <c r="B126" s="38" t="s">
        <v>8362</v>
      </c>
      <c r="C126" s="38" t="s">
        <v>8483</v>
      </c>
      <c r="D126" s="38">
        <v>333</v>
      </c>
      <c r="E126" s="38">
        <v>403</v>
      </c>
      <c r="F126" s="38" t="s">
        <v>8427</v>
      </c>
      <c r="G126" s="38" t="s">
        <v>8365</v>
      </c>
      <c r="H126" s="38" t="s">
        <v>8135</v>
      </c>
    </row>
    <row r="127" spans="1:8" ht="140.1" customHeight="1">
      <c r="A127" s="38" t="s">
        <v>239</v>
      </c>
      <c r="B127" s="38" t="s">
        <v>8260</v>
      </c>
      <c r="C127" s="38" t="s">
        <v>8484</v>
      </c>
      <c r="D127" s="38">
        <v>61</v>
      </c>
      <c r="E127" s="38">
        <v>108</v>
      </c>
      <c r="F127" s="38" t="s">
        <v>8262</v>
      </c>
      <c r="G127" s="38" t="s">
        <v>8263</v>
      </c>
      <c r="H127" s="38" t="s">
        <v>8135</v>
      </c>
    </row>
    <row r="128" spans="1:8" ht="140.1" customHeight="1">
      <c r="A128" s="38" t="s">
        <v>239</v>
      </c>
      <c r="B128" s="38" t="s">
        <v>8275</v>
      </c>
      <c r="C128" s="38" t="s">
        <v>8485</v>
      </c>
      <c r="D128" s="38">
        <v>24</v>
      </c>
      <c r="E128" s="38">
        <v>72</v>
      </c>
      <c r="F128" s="38" t="s">
        <v>8277</v>
      </c>
      <c r="G128" s="38" t="s">
        <v>8278</v>
      </c>
      <c r="H128" s="38" t="s">
        <v>8135</v>
      </c>
    </row>
    <row r="129" spans="1:8" ht="140.1" customHeight="1">
      <c r="A129" s="38" t="s">
        <v>240</v>
      </c>
      <c r="B129" s="38" t="s">
        <v>8422</v>
      </c>
      <c r="C129" s="38" t="s">
        <v>8486</v>
      </c>
      <c r="D129" s="38">
        <v>8</v>
      </c>
      <c r="E129" s="38">
        <v>36</v>
      </c>
      <c r="F129" s="38" t="s">
        <v>8482</v>
      </c>
      <c r="G129" s="38" t="s">
        <v>8425</v>
      </c>
      <c r="H129" s="38" t="s">
        <v>8135</v>
      </c>
    </row>
    <row r="130" spans="1:8" ht="140.1" customHeight="1">
      <c r="A130" s="38" t="s">
        <v>240</v>
      </c>
      <c r="B130" s="38" t="s">
        <v>8428</v>
      </c>
      <c r="C130" s="38" t="s">
        <v>8487</v>
      </c>
      <c r="D130" s="38">
        <v>10</v>
      </c>
      <c r="E130" s="38">
        <v>33</v>
      </c>
      <c r="F130" s="38" t="s">
        <v>8430</v>
      </c>
      <c r="G130" s="38" t="s">
        <v>8431</v>
      </c>
      <c r="H130" s="38" t="s">
        <v>8135</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81"/>
  <sheetViews>
    <sheetView workbookViewId="0"/>
  </sheetViews>
  <sheetFormatPr defaultRowHeight="14.25"/>
  <cols>
    <col min="1" max="1" width="28" customWidth="1"/>
    <col min="2" max="2" width="17" customWidth="1"/>
    <col min="3" max="3" width="20" customWidth="1"/>
    <col min="4" max="4" width="23" customWidth="1"/>
    <col min="5" max="5" width="32" customWidth="1"/>
    <col min="6" max="8" width="24" customWidth="1"/>
  </cols>
  <sheetData>
    <row r="1" spans="1:8" ht="30" customHeight="1">
      <c r="A1" s="146" t="s">
        <v>8488</v>
      </c>
      <c r="B1" s="146"/>
      <c r="C1" s="146"/>
      <c r="D1" s="146"/>
      <c r="E1" s="146"/>
      <c r="F1" s="146"/>
      <c r="G1" s="146"/>
      <c r="H1" s="146"/>
    </row>
    <row r="2" spans="1:8" ht="30" customHeight="1">
      <c r="A2" s="117" t="s">
        <v>7854</v>
      </c>
      <c r="B2" s="117"/>
      <c r="C2" s="117"/>
      <c r="D2" s="117"/>
      <c r="E2" s="117"/>
      <c r="F2" s="117"/>
      <c r="G2" s="117"/>
      <c r="H2" s="117"/>
    </row>
    <row r="3" spans="1:8" ht="30" customHeight="1">
      <c r="A3" s="117" t="s">
        <v>7857</v>
      </c>
      <c r="B3" s="117"/>
      <c r="C3" s="117"/>
      <c r="D3" s="117"/>
      <c r="E3" s="117"/>
      <c r="F3" s="117"/>
      <c r="G3" s="117"/>
      <c r="H3" s="117"/>
    </row>
    <row r="4" spans="1:8">
      <c r="A4" s="24"/>
      <c r="B4" s="24"/>
      <c r="C4" s="24"/>
      <c r="D4" s="24"/>
      <c r="E4" s="24"/>
      <c r="F4" s="24"/>
      <c r="G4" s="24"/>
      <c r="H4" s="24"/>
    </row>
    <row r="5" spans="1:8" ht="30" customHeight="1">
      <c r="A5" s="87" t="s">
        <v>792</v>
      </c>
      <c r="B5" s="87" t="s">
        <v>8489</v>
      </c>
      <c r="C5" s="87" t="s">
        <v>449</v>
      </c>
      <c r="D5" s="87" t="s">
        <v>1175</v>
      </c>
      <c r="E5" s="87" t="s">
        <v>796</v>
      </c>
      <c r="F5" s="87"/>
      <c r="G5" s="87"/>
      <c r="H5" s="87"/>
    </row>
    <row r="6" spans="1:8" ht="32.1" customHeight="1">
      <c r="A6" s="24" t="s">
        <v>1278</v>
      </c>
      <c r="B6" s="24">
        <f>COUNTA(Backlog!$A$2:$A$188)</f>
        <v>187</v>
      </c>
      <c r="C6" s="24">
        <f>COUNTIF(Backlog!$B$2:$B$188,"M2")</f>
        <v>115</v>
      </c>
      <c r="D6" s="24">
        <f>COUNTIFS(Backlog!$B$2:$B$188,"M2",Backlog!$C$2:$C$188,"P2")</f>
        <v>42</v>
      </c>
      <c r="E6" s="24" t="s">
        <v>7860</v>
      </c>
      <c r="F6" s="24"/>
      <c r="G6" s="24"/>
      <c r="H6" s="24"/>
    </row>
    <row r="7" spans="1:8" ht="32.1" customHeight="1">
      <c r="A7" s="24" t="s">
        <v>8490</v>
      </c>
      <c r="B7" s="24">
        <f>COUNTIF(Backlog!$AU$2:$AU$188,"&lt;&gt;NOT SOURCE-REVIEWED IN THIS PASS")</f>
        <v>59</v>
      </c>
      <c r="C7" s="24">
        <f>COUNTIFS(Backlog!$B$2:$B$188,"M2",Backlog!$AU$2:$AU$188,"&lt;&gt;NOT SOURCE-REVIEWED IN THIS PASS")</f>
        <v>46</v>
      </c>
      <c r="D7" s="24">
        <f>COUNTIFS(Backlog!$B$2:$B$188,"M2",Backlog!$C$2:$C$188,"P2",Backlog!$AU$2:$AU$188,"&lt;&gt;NOT SOURCE-REVIEWED IN THIS PASS")</f>
        <v>42</v>
      </c>
      <c r="E7" s="24" t="s">
        <v>8491</v>
      </c>
      <c r="F7" s="24"/>
      <c r="G7" s="24"/>
      <c r="H7" s="24"/>
    </row>
    <row r="8" spans="1:8" ht="32.1" customHeight="1">
      <c r="A8" s="24" t="s">
        <v>8492</v>
      </c>
      <c r="B8" s="24">
        <f>B6-B7</f>
        <v>128</v>
      </c>
      <c r="C8" s="24">
        <f>C6-C7</f>
        <v>69</v>
      </c>
      <c r="D8" s="24">
        <f>D6-D7</f>
        <v>0</v>
      </c>
      <c r="E8" s="24" t="s">
        <v>8493</v>
      </c>
      <c r="F8" s="24"/>
      <c r="G8" s="24"/>
      <c r="H8" s="24"/>
    </row>
    <row r="9" spans="1:8" ht="32.1" customHeight="1">
      <c r="A9" s="24" t="s">
        <v>47</v>
      </c>
      <c r="B9" s="91">
        <f>SUM(Backlog!$AV$2:$AV$188)</f>
        <v>356</v>
      </c>
      <c r="C9" s="91">
        <f>SUMIFS(Backlog!$AV$2:$AV$188,Backlog!$B$2:$B$188,"M2")</f>
        <v>196</v>
      </c>
      <c r="D9" s="91">
        <f>SUMIFS(Backlog!$AV$2:$AV$188,Backlog!$B$2:$B$188,"M2",Backlog!$C$2:$C$188,"P2")</f>
        <v>134</v>
      </c>
      <c r="E9" s="24" t="s">
        <v>7862</v>
      </c>
      <c r="F9" s="24"/>
      <c r="G9" s="24"/>
      <c r="H9" s="24"/>
    </row>
    <row r="10" spans="1:8" ht="32.1" customHeight="1">
      <c r="A10" s="24" t="s">
        <v>48</v>
      </c>
      <c r="B10" s="91">
        <f>SUM(Backlog!$AW$2:$AW$188)</f>
        <v>598</v>
      </c>
      <c r="C10" s="91">
        <f>SUMIFS(Backlog!$AW$2:$AW$188,Backlog!$B$2:$B$188,"M2")</f>
        <v>322</v>
      </c>
      <c r="D10" s="91">
        <f>SUMIFS(Backlog!$AW$2:$AW$188,Backlog!$B$2:$B$188,"M2",Backlog!$C$2:$C$188,"P2")</f>
        <v>220</v>
      </c>
      <c r="E10" s="24" t="s">
        <v>7864</v>
      </c>
      <c r="F10" s="24"/>
      <c r="G10" s="24"/>
      <c r="H10" s="24"/>
    </row>
    <row r="11" spans="1:8" ht="32.1" customHeight="1">
      <c r="A11" s="24" t="s">
        <v>49</v>
      </c>
      <c r="B11" s="91">
        <f>SUM(Backlog!$AX$2:$AX$188)</f>
        <v>977</v>
      </c>
      <c r="C11" s="91">
        <f>SUMIFS(Backlog!$AX$2:$AX$188,Backlog!$B$2:$B$188,"M2")</f>
        <v>521</v>
      </c>
      <c r="D11" s="91">
        <f>SUMIFS(Backlog!$AX$2:$AX$188,Backlog!$B$2:$B$188,"M2",Backlog!$C$2:$C$188,"P2")</f>
        <v>355</v>
      </c>
      <c r="E11" s="24" t="s">
        <v>7866</v>
      </c>
      <c r="F11" s="24"/>
      <c r="G11" s="24"/>
      <c r="H11" s="24"/>
    </row>
    <row r="12" spans="1:8" ht="32.1" customHeight="1">
      <c r="A12" s="24" t="s">
        <v>7868</v>
      </c>
      <c r="B12" s="24">
        <f>COUNTIFS(Backlog!$AM$2:$AM$188,0,Backlog!$AU$2:$AU$188,"&lt;&gt;NOT SOURCE-REVIEWED IN THIS PASS")</f>
        <v>38</v>
      </c>
      <c r="C12" s="24">
        <f>COUNTIFS(Backlog!$AM$2:$AM$188,0,Backlog!$B$2:$B$188,"M2",Backlog!$AU$2:$AU$188,"&lt;&gt;NOT SOURCE-REVIEWED IN THIS PASS")</f>
        <v>25</v>
      </c>
      <c r="D12" s="24">
        <f>COUNTIFS(Backlog!$AM$2:$AM$188,0,Backlog!$B$2:$B$188,"M2",Backlog!$C$2:$C$188,"P2",Backlog!$AU$2:$AU$188,"&lt;&gt;NOT SOURCE-REVIEWED IN THIS PASS")</f>
        <v>21</v>
      </c>
      <c r="E12" s="24" t="s">
        <v>8494</v>
      </c>
      <c r="F12" s="24"/>
      <c r="G12" s="24"/>
      <c r="H12" s="24"/>
    </row>
    <row r="13" spans="1:8">
      <c r="A13" s="24"/>
      <c r="B13" s="24"/>
      <c r="C13" s="24"/>
      <c r="D13" s="24"/>
      <c r="E13" s="24"/>
      <c r="F13" s="24"/>
      <c r="G13" s="24"/>
      <c r="H13" s="24"/>
    </row>
    <row r="14" spans="1:8" ht="30" customHeight="1">
      <c r="A14" s="147" t="s">
        <v>8495</v>
      </c>
      <c r="B14" s="147"/>
      <c r="C14" s="147"/>
      <c r="D14" s="147"/>
      <c r="E14" s="147"/>
      <c r="F14" s="147"/>
      <c r="G14" s="147"/>
      <c r="H14" s="147"/>
    </row>
    <row r="15" spans="1:8" ht="27.95" customHeight="1">
      <c r="A15" s="117" t="s">
        <v>7870</v>
      </c>
      <c r="B15" s="117"/>
      <c r="C15" s="117"/>
      <c r="D15" s="117"/>
      <c r="E15" s="117"/>
      <c r="F15" s="117"/>
      <c r="G15" s="117"/>
      <c r="H15" s="117"/>
    </row>
    <row r="16" spans="1:8" ht="27.95" customHeight="1">
      <c r="A16" s="117" t="s">
        <v>8496</v>
      </c>
      <c r="B16" s="117"/>
      <c r="C16" s="117"/>
      <c r="D16" s="117"/>
      <c r="E16" s="117"/>
      <c r="F16" s="117"/>
      <c r="G16" s="117"/>
      <c r="H16" s="117"/>
    </row>
    <row r="17" spans="1:8" ht="27.95" customHeight="1">
      <c r="A17" s="117" t="s">
        <v>8497</v>
      </c>
      <c r="B17" s="117"/>
      <c r="C17" s="117"/>
      <c r="D17" s="117"/>
      <c r="E17" s="117"/>
      <c r="F17" s="117"/>
      <c r="G17" s="117"/>
      <c r="H17" s="117"/>
    </row>
    <row r="18" spans="1:8" ht="27.95" customHeight="1">
      <c r="A18" s="117" t="s">
        <v>8498</v>
      </c>
      <c r="B18" s="117"/>
      <c r="C18" s="117"/>
      <c r="D18" s="117"/>
      <c r="E18" s="117"/>
      <c r="F18" s="117"/>
      <c r="G18" s="117"/>
      <c r="H18" s="117"/>
    </row>
    <row r="19" spans="1:8" ht="27.95" customHeight="1">
      <c r="A19" s="117" t="s">
        <v>7872</v>
      </c>
      <c r="B19" s="117"/>
      <c r="C19" s="117"/>
      <c r="D19" s="117"/>
      <c r="E19" s="117"/>
      <c r="F19" s="117"/>
      <c r="G19" s="117"/>
      <c r="H19" s="117"/>
    </row>
    <row r="20" spans="1:8" ht="27.95" customHeight="1">
      <c r="A20" s="117" t="s">
        <v>8499</v>
      </c>
      <c r="B20" s="117"/>
      <c r="C20" s="117"/>
      <c r="D20" s="117"/>
      <c r="E20" s="117"/>
      <c r="F20" s="117"/>
      <c r="G20" s="117"/>
      <c r="H20" s="117"/>
    </row>
    <row r="21" spans="1:8" ht="27.95" customHeight="1">
      <c r="A21" s="117" t="s">
        <v>8500</v>
      </c>
      <c r="B21" s="117"/>
      <c r="C21" s="117"/>
      <c r="D21" s="117"/>
      <c r="E21" s="117"/>
      <c r="F21" s="117"/>
      <c r="G21" s="117"/>
      <c r="H21" s="117"/>
    </row>
    <row r="22" spans="1:8" ht="27.95" customHeight="1">
      <c r="A22" s="117" t="s">
        <v>8501</v>
      </c>
      <c r="B22" s="117"/>
      <c r="C22" s="117"/>
      <c r="D22" s="117"/>
      <c r="E22" s="117"/>
      <c r="F22" s="117"/>
      <c r="G22" s="117"/>
      <c r="H22" s="117"/>
    </row>
    <row r="23" spans="1:8" ht="27.95" customHeight="1">
      <c r="A23" s="117" t="s">
        <v>8502</v>
      </c>
      <c r="B23" s="117"/>
      <c r="C23" s="117"/>
      <c r="D23" s="117"/>
      <c r="E23" s="117"/>
      <c r="F23" s="117"/>
      <c r="G23" s="117"/>
      <c r="H23" s="117"/>
    </row>
    <row r="24" spans="1:8">
      <c r="A24" s="24"/>
      <c r="B24" s="24"/>
      <c r="C24" s="24"/>
      <c r="D24" s="24"/>
      <c r="E24" s="24"/>
      <c r="F24" s="24"/>
      <c r="G24" s="24"/>
      <c r="H24" s="24"/>
    </row>
    <row r="25" spans="1:8" ht="30" customHeight="1">
      <c r="A25" s="87" t="s">
        <v>8503</v>
      </c>
      <c r="B25" s="87" t="s">
        <v>1639</v>
      </c>
      <c r="C25" s="87" t="s">
        <v>8504</v>
      </c>
      <c r="D25" s="87" t="s">
        <v>8505</v>
      </c>
      <c r="E25" s="87" t="s">
        <v>8506</v>
      </c>
      <c r="F25" s="87" t="s">
        <v>8507</v>
      </c>
      <c r="G25" s="87" t="s">
        <v>8508</v>
      </c>
      <c r="H25" s="87" t="s">
        <v>8509</v>
      </c>
    </row>
    <row r="26" spans="1:8" ht="78" customHeight="1">
      <c r="A26" s="24" t="s">
        <v>8510</v>
      </c>
      <c r="B26" s="24" t="s">
        <v>96</v>
      </c>
      <c r="C26" s="24" t="s">
        <v>8511</v>
      </c>
      <c r="D26" s="24" t="s">
        <v>8512</v>
      </c>
      <c r="E26" s="24" t="s">
        <v>8513</v>
      </c>
      <c r="F26" s="24" t="s">
        <v>8514</v>
      </c>
      <c r="G26" s="24" t="s">
        <v>8515</v>
      </c>
      <c r="H26" s="24" t="s">
        <v>8516</v>
      </c>
    </row>
    <row r="27" spans="1:8" ht="78" customHeight="1">
      <c r="A27" s="24" t="s">
        <v>8517</v>
      </c>
      <c r="B27" s="24" t="s">
        <v>100</v>
      </c>
      <c r="C27" s="24" t="s">
        <v>8518</v>
      </c>
      <c r="D27" s="24" t="s">
        <v>8519</v>
      </c>
      <c r="E27" s="24" t="s">
        <v>8520</v>
      </c>
      <c r="F27" s="24" t="s">
        <v>8521</v>
      </c>
      <c r="G27" s="24" t="s">
        <v>8522</v>
      </c>
      <c r="H27" s="24" t="s">
        <v>8523</v>
      </c>
    </row>
    <row r="28" spans="1:8" ht="78" customHeight="1">
      <c r="A28" s="24" t="s">
        <v>8524</v>
      </c>
      <c r="B28" s="24" t="s">
        <v>95</v>
      </c>
      <c r="C28" s="24" t="s">
        <v>8525</v>
      </c>
      <c r="D28" s="24" t="s">
        <v>8526</v>
      </c>
      <c r="E28" s="24" t="s">
        <v>8527</v>
      </c>
      <c r="F28" s="24" t="s">
        <v>8528</v>
      </c>
      <c r="G28" s="24" t="s">
        <v>8529</v>
      </c>
      <c r="H28" s="24" t="s">
        <v>8530</v>
      </c>
    </row>
    <row r="29" spans="1:8" ht="78" customHeight="1">
      <c r="A29" s="24" t="s">
        <v>8531</v>
      </c>
      <c r="B29" s="24" t="s">
        <v>213</v>
      </c>
      <c r="C29" s="24" t="s">
        <v>8532</v>
      </c>
      <c r="D29" s="24" t="s">
        <v>8533</v>
      </c>
      <c r="E29" s="24" t="s">
        <v>8534</v>
      </c>
      <c r="F29" s="24" t="s">
        <v>8535</v>
      </c>
      <c r="G29" s="24" t="s">
        <v>8536</v>
      </c>
      <c r="H29" s="24" t="s">
        <v>8537</v>
      </c>
    </row>
    <row r="30" spans="1:8" ht="78" customHeight="1">
      <c r="A30" s="24" t="s">
        <v>8538</v>
      </c>
      <c r="B30" s="24" t="s">
        <v>120</v>
      </c>
      <c r="C30" s="24" t="s">
        <v>8539</v>
      </c>
      <c r="D30" s="24" t="s">
        <v>8540</v>
      </c>
      <c r="E30" s="24" t="s">
        <v>8541</v>
      </c>
      <c r="F30" s="24" t="s">
        <v>8542</v>
      </c>
      <c r="G30" s="24" t="s">
        <v>8543</v>
      </c>
      <c r="H30" s="24" t="s">
        <v>8544</v>
      </c>
    </row>
    <row r="31" spans="1:8">
      <c r="A31" s="24"/>
      <c r="B31" s="24"/>
      <c r="C31" s="24"/>
      <c r="D31" s="24"/>
      <c r="E31" s="24"/>
      <c r="F31" s="24"/>
      <c r="G31" s="24"/>
      <c r="H31" s="24"/>
    </row>
    <row r="32" spans="1:8">
      <c r="A32" s="117" t="s">
        <v>8545</v>
      </c>
      <c r="B32" s="117"/>
      <c r="C32" s="117"/>
      <c r="D32" s="117"/>
      <c r="E32" s="117"/>
      <c r="F32" s="117"/>
      <c r="G32" s="117"/>
      <c r="H32" s="117"/>
    </row>
    <row r="33" spans="1:8">
      <c r="A33" s="24"/>
      <c r="B33" s="24"/>
      <c r="C33" s="24"/>
      <c r="D33" s="24"/>
      <c r="E33" s="24"/>
      <c r="F33" s="24"/>
      <c r="G33" s="24"/>
      <c r="H33" s="24"/>
    </row>
    <row r="34" spans="1:8" ht="32.1" customHeight="1">
      <c r="A34" s="148" t="s">
        <v>7875</v>
      </c>
      <c r="B34" s="148"/>
      <c r="C34" s="148"/>
      <c r="D34" s="148"/>
      <c r="E34" s="148"/>
      <c r="F34" s="148"/>
      <c r="G34" s="148"/>
      <c r="H34" s="148"/>
    </row>
    <row r="36" spans="1:8" ht="30" customHeight="1">
      <c r="A36" s="85" t="s">
        <v>1906</v>
      </c>
      <c r="B36" s="85" t="s">
        <v>1908</v>
      </c>
      <c r="C36" s="85" t="s">
        <v>8509</v>
      </c>
      <c r="D36" s="85" t="s">
        <v>8546</v>
      </c>
      <c r="E36" s="85"/>
      <c r="F36" s="85"/>
      <c r="G36" s="85"/>
      <c r="H36" s="85"/>
    </row>
    <row r="37" spans="1:8" ht="42" customHeight="1">
      <c r="A37" s="24" t="s">
        <v>8547</v>
      </c>
      <c r="B37" s="24" t="s">
        <v>1911</v>
      </c>
      <c r="C37" s="24" t="s">
        <v>8548</v>
      </c>
      <c r="D37" s="24"/>
    </row>
    <row r="38" spans="1:8" ht="42" customHeight="1">
      <c r="A38" s="24" t="s">
        <v>8549</v>
      </c>
      <c r="B38" s="24" t="s">
        <v>1911</v>
      </c>
      <c r="C38" s="24" t="s">
        <v>8548</v>
      </c>
      <c r="D38" s="24" t="s">
        <v>8550</v>
      </c>
    </row>
    <row r="39" spans="1:8" ht="42" customHeight="1">
      <c r="A39" s="24" t="s">
        <v>8551</v>
      </c>
      <c r="B39" s="24" t="s">
        <v>1911</v>
      </c>
      <c r="C39" s="24" t="s">
        <v>8548</v>
      </c>
      <c r="D39" s="24" t="s">
        <v>8552</v>
      </c>
    </row>
    <row r="40" spans="1:8" ht="42" customHeight="1">
      <c r="A40" s="24" t="s">
        <v>8553</v>
      </c>
      <c r="B40" s="24" t="s">
        <v>1911</v>
      </c>
      <c r="C40" s="24" t="s">
        <v>8548</v>
      </c>
      <c r="D40" s="24" t="s">
        <v>8550</v>
      </c>
    </row>
    <row r="41" spans="1:8" ht="42" customHeight="1">
      <c r="A41" s="24" t="s">
        <v>8554</v>
      </c>
      <c r="B41" s="24" t="s">
        <v>1911</v>
      </c>
      <c r="C41" s="24" t="s">
        <v>8548</v>
      </c>
      <c r="D41" s="24" t="s">
        <v>8555</v>
      </c>
    </row>
    <row r="42" spans="1:8" ht="42" customHeight="1">
      <c r="A42" s="24" t="s">
        <v>8556</v>
      </c>
      <c r="B42" s="24" t="s">
        <v>1911</v>
      </c>
      <c r="C42" s="24" t="s">
        <v>8548</v>
      </c>
      <c r="D42" s="24" t="s">
        <v>8550</v>
      </c>
    </row>
    <row r="43" spans="1:8" ht="42" customHeight="1">
      <c r="A43" s="24" t="s">
        <v>8557</v>
      </c>
      <c r="B43" s="24" t="s">
        <v>1911</v>
      </c>
      <c r="C43" s="24" t="s">
        <v>8548</v>
      </c>
      <c r="D43" s="24" t="s">
        <v>8550</v>
      </c>
    </row>
    <row r="44" spans="1:8" ht="42" customHeight="1">
      <c r="A44" s="24" t="s">
        <v>8558</v>
      </c>
      <c r="B44" s="24" t="s">
        <v>1911</v>
      </c>
      <c r="C44" s="24" t="s">
        <v>8548</v>
      </c>
      <c r="D44" s="24"/>
    </row>
    <row r="45" spans="1:8" ht="42" customHeight="1">
      <c r="A45" s="24" t="s">
        <v>8559</v>
      </c>
      <c r="B45" s="24" t="s">
        <v>1911</v>
      </c>
      <c r="C45" s="24" t="s">
        <v>8548</v>
      </c>
      <c r="D45" s="24" t="s">
        <v>8550</v>
      </c>
    </row>
    <row r="46" spans="1:8" ht="42" customHeight="1">
      <c r="A46" s="24" t="s">
        <v>8560</v>
      </c>
      <c r="B46" s="24" t="s">
        <v>1911</v>
      </c>
      <c r="C46" s="24" t="s">
        <v>8548</v>
      </c>
      <c r="D46" s="24" t="s">
        <v>8550</v>
      </c>
    </row>
    <row r="47" spans="1:8" ht="42" customHeight="1">
      <c r="A47" s="24" t="s">
        <v>8561</v>
      </c>
      <c r="B47" s="24" t="s">
        <v>1911</v>
      </c>
      <c r="C47" s="24" t="s">
        <v>8548</v>
      </c>
      <c r="D47" s="24"/>
    </row>
    <row r="48" spans="1:8" ht="42" customHeight="1">
      <c r="A48" s="24" t="s">
        <v>8562</v>
      </c>
      <c r="B48" s="24" t="s">
        <v>1911</v>
      </c>
      <c r="C48" s="24" t="s">
        <v>8548</v>
      </c>
      <c r="D48" s="24"/>
    </row>
    <row r="49" spans="1:4" ht="42" customHeight="1">
      <c r="A49" s="24" t="s">
        <v>8563</v>
      </c>
      <c r="B49" s="24" t="s">
        <v>1911</v>
      </c>
      <c r="C49" s="24" t="s">
        <v>8548</v>
      </c>
      <c r="D49" s="24"/>
    </row>
    <row r="50" spans="1:4" ht="42" customHeight="1">
      <c r="A50" s="24" t="s">
        <v>8564</v>
      </c>
      <c r="B50" s="24" t="s">
        <v>1911</v>
      </c>
      <c r="C50" s="24" t="s">
        <v>8548</v>
      </c>
      <c r="D50" s="24" t="s">
        <v>8550</v>
      </c>
    </row>
    <row r="51" spans="1:4" ht="42" customHeight="1">
      <c r="A51" s="24" t="s">
        <v>8565</v>
      </c>
      <c r="B51" s="24" t="s">
        <v>1911</v>
      </c>
      <c r="C51" s="24" t="s">
        <v>8548</v>
      </c>
      <c r="D51" s="24"/>
    </row>
    <row r="52" spans="1:4" ht="42" customHeight="1">
      <c r="A52" s="24" t="s">
        <v>8566</v>
      </c>
      <c r="B52" s="24" t="s">
        <v>1911</v>
      </c>
      <c r="C52" s="24" t="s">
        <v>8548</v>
      </c>
      <c r="D52" s="24"/>
    </row>
    <row r="53" spans="1:4" ht="42" customHeight="1">
      <c r="A53" s="24" t="s">
        <v>7877</v>
      </c>
      <c r="B53" s="24" t="s">
        <v>1911</v>
      </c>
      <c r="C53" s="24" t="s">
        <v>7879</v>
      </c>
      <c r="D53" s="24"/>
    </row>
    <row r="54" spans="1:4" ht="42" customHeight="1">
      <c r="A54" s="24" t="s">
        <v>7881</v>
      </c>
      <c r="B54" s="24" t="s">
        <v>1911</v>
      </c>
      <c r="C54" s="24" t="s">
        <v>7879</v>
      </c>
      <c r="D54" s="24"/>
    </row>
    <row r="55" spans="1:4" ht="42" customHeight="1">
      <c r="A55" s="24" t="s">
        <v>7883</v>
      </c>
      <c r="B55" s="24" t="s">
        <v>1911</v>
      </c>
      <c r="C55" s="24" t="s">
        <v>7884</v>
      </c>
      <c r="D55" s="24" t="s">
        <v>8567</v>
      </c>
    </row>
    <row r="56" spans="1:4" ht="42" customHeight="1">
      <c r="A56" s="24" t="s">
        <v>8568</v>
      </c>
      <c r="B56" s="24" t="s">
        <v>1911</v>
      </c>
      <c r="C56" s="24" t="s">
        <v>8548</v>
      </c>
      <c r="D56" s="24"/>
    </row>
    <row r="57" spans="1:4" ht="42" customHeight="1">
      <c r="A57" s="24" t="s">
        <v>8569</v>
      </c>
      <c r="B57" s="24" t="s">
        <v>1911</v>
      </c>
      <c r="C57" s="24" t="s">
        <v>8548</v>
      </c>
      <c r="D57" s="24" t="s">
        <v>8550</v>
      </c>
    </row>
    <row r="58" spans="1:4" ht="42" customHeight="1">
      <c r="A58" s="24" t="s">
        <v>8570</v>
      </c>
      <c r="B58" s="24" t="s">
        <v>1911</v>
      </c>
      <c r="C58" s="24" t="s">
        <v>8548</v>
      </c>
      <c r="D58" s="24"/>
    </row>
    <row r="59" spans="1:4" ht="42" customHeight="1">
      <c r="A59" s="24" t="s">
        <v>8571</v>
      </c>
      <c r="B59" s="24" t="s">
        <v>1911</v>
      </c>
      <c r="C59" s="24" t="s">
        <v>8548</v>
      </c>
      <c r="D59" s="24"/>
    </row>
    <row r="60" spans="1:4" ht="42" customHeight="1">
      <c r="A60" s="24" t="s">
        <v>8572</v>
      </c>
      <c r="B60" s="24" t="s">
        <v>1911</v>
      </c>
      <c r="C60" s="24" t="s">
        <v>8573</v>
      </c>
      <c r="D60" s="24" t="s">
        <v>8574</v>
      </c>
    </row>
    <row r="61" spans="1:4" ht="42" customHeight="1">
      <c r="A61" s="24" t="s">
        <v>8575</v>
      </c>
      <c r="B61" s="24" t="s">
        <v>1911</v>
      </c>
      <c r="C61" s="24" t="s">
        <v>8573</v>
      </c>
      <c r="D61" s="24" t="s">
        <v>8574</v>
      </c>
    </row>
    <row r="62" spans="1:4" ht="42" customHeight="1">
      <c r="A62" s="24" t="s">
        <v>8576</v>
      </c>
      <c r="B62" s="24" t="s">
        <v>1911</v>
      </c>
      <c r="C62" s="24" t="s">
        <v>8573</v>
      </c>
      <c r="D62" s="24" t="s">
        <v>8574</v>
      </c>
    </row>
    <row r="63" spans="1:4" ht="42" customHeight="1">
      <c r="A63" s="24" t="s">
        <v>8577</v>
      </c>
      <c r="B63" s="24" t="s">
        <v>1956</v>
      </c>
      <c r="C63" s="24" t="s">
        <v>8578</v>
      </c>
      <c r="D63" s="24" t="s">
        <v>8579</v>
      </c>
    </row>
    <row r="64" spans="1:4" ht="42" customHeight="1">
      <c r="A64" s="24" t="s">
        <v>8580</v>
      </c>
      <c r="B64" s="24" t="s">
        <v>1956</v>
      </c>
      <c r="C64" s="24" t="s">
        <v>8581</v>
      </c>
      <c r="D64" s="24" t="s">
        <v>8582</v>
      </c>
    </row>
    <row r="65" spans="1:4" ht="42" customHeight="1">
      <c r="A65" s="24" t="s">
        <v>8583</v>
      </c>
      <c r="B65" s="24" t="s">
        <v>1956</v>
      </c>
      <c r="C65" s="24" t="s">
        <v>8584</v>
      </c>
      <c r="D65" s="24" t="s">
        <v>8585</v>
      </c>
    </row>
    <row r="66" spans="1:4" ht="42" customHeight="1">
      <c r="A66" s="24" t="s">
        <v>8586</v>
      </c>
      <c r="B66" s="24" t="s">
        <v>1956</v>
      </c>
      <c r="C66" s="24" t="s">
        <v>8587</v>
      </c>
      <c r="D66" s="24" t="s">
        <v>7886</v>
      </c>
    </row>
    <row r="70" spans="1:4" ht="39.950000000000003" customHeight="1">
      <c r="A70" s="2" t="s">
        <v>7887</v>
      </c>
      <c r="B70" s="2" t="s">
        <v>1908</v>
      </c>
      <c r="C70" s="2" t="s">
        <v>7888</v>
      </c>
      <c r="D70" s="2" t="s">
        <v>7889</v>
      </c>
    </row>
    <row r="71" spans="1:4" ht="39.950000000000003" customHeight="1">
      <c r="A71" s="2" t="s">
        <v>7890</v>
      </c>
      <c r="B71" s="2" t="s">
        <v>8588</v>
      </c>
      <c r="C71" s="2" t="s">
        <v>7892</v>
      </c>
      <c r="D71" s="2" t="s">
        <v>7893</v>
      </c>
    </row>
    <row r="72" spans="1:4" ht="39.950000000000003" customHeight="1">
      <c r="A72" s="2" t="s">
        <v>7894</v>
      </c>
      <c r="B72" s="2" t="s">
        <v>8588</v>
      </c>
      <c r="C72" s="2" t="s">
        <v>7895</v>
      </c>
      <c r="D72" s="2" t="s">
        <v>7896</v>
      </c>
    </row>
    <row r="73" spans="1:4" ht="39.950000000000003" customHeight="1">
      <c r="A73" s="2" t="s">
        <v>7897</v>
      </c>
      <c r="B73" s="2" t="s">
        <v>8588</v>
      </c>
      <c r="C73" s="2" t="s">
        <v>7898</v>
      </c>
      <c r="D73" s="2" t="s">
        <v>7899</v>
      </c>
    </row>
    <row r="74" spans="1:4" ht="39.950000000000003" customHeight="1">
      <c r="A74" s="2" t="s">
        <v>7900</v>
      </c>
      <c r="B74" s="2" t="s">
        <v>8588</v>
      </c>
      <c r="C74" s="2" t="s">
        <v>7901</v>
      </c>
      <c r="D74" s="2" t="s">
        <v>7902</v>
      </c>
    </row>
    <row r="75" spans="1:4" ht="39.950000000000003" customHeight="1">
      <c r="A75" s="2" t="s">
        <v>7903</v>
      </c>
      <c r="B75" s="2" t="s">
        <v>8588</v>
      </c>
      <c r="C75" s="2" t="s">
        <v>7904</v>
      </c>
      <c r="D75" s="2" t="s">
        <v>7905</v>
      </c>
    </row>
    <row r="76" spans="1:4" ht="39.950000000000003" customHeight="1">
      <c r="A76" s="2" t="s">
        <v>7906</v>
      </c>
      <c r="B76" s="2" t="s">
        <v>8588</v>
      </c>
      <c r="C76" s="2" t="s">
        <v>7907</v>
      </c>
      <c r="D76" s="2" t="s">
        <v>7908</v>
      </c>
    </row>
    <row r="77" spans="1:4" ht="39.950000000000003" customHeight="1">
      <c r="A77" s="2" t="s">
        <v>7909</v>
      </c>
      <c r="B77" s="2" t="s">
        <v>8588</v>
      </c>
      <c r="C77" s="2" t="s">
        <v>7910</v>
      </c>
      <c r="D77" s="2" t="s">
        <v>7911</v>
      </c>
    </row>
    <row r="78" spans="1:4" ht="39.950000000000003" customHeight="1">
      <c r="A78" s="2" t="s">
        <v>7913</v>
      </c>
      <c r="B78" s="2" t="s">
        <v>8588</v>
      </c>
      <c r="C78" s="2" t="s">
        <v>7914</v>
      </c>
      <c r="D78" s="2" t="s">
        <v>7915</v>
      </c>
    </row>
    <row r="79" spans="1:4" ht="39.950000000000003" customHeight="1">
      <c r="A79" s="2" t="s">
        <v>7917</v>
      </c>
      <c r="B79" s="2" t="s">
        <v>8588</v>
      </c>
      <c r="C79" s="2" t="s">
        <v>7914</v>
      </c>
      <c r="D79" s="2" t="s">
        <v>7918</v>
      </c>
    </row>
    <row r="80" spans="1:4" ht="39.950000000000003" customHeight="1">
      <c r="A80" s="2" t="s">
        <v>7920</v>
      </c>
      <c r="B80" s="2" t="s">
        <v>8588</v>
      </c>
      <c r="C80" s="2" t="s">
        <v>7921</v>
      </c>
      <c r="D80" s="2" t="s">
        <v>7922</v>
      </c>
    </row>
    <row r="81" spans="1:4" ht="39.950000000000003" customHeight="1">
      <c r="A81" s="2" t="s">
        <v>7924</v>
      </c>
      <c r="B81" s="2" t="s">
        <v>7925</v>
      </c>
      <c r="C81" s="2" t="s">
        <v>7926</v>
      </c>
      <c r="D81" s="2" t="s">
        <v>7927</v>
      </c>
    </row>
  </sheetData>
  <mergeCells count="15">
    <mergeCell ref="A21:H21"/>
    <mergeCell ref="A22:H22"/>
    <mergeCell ref="A23:H23"/>
    <mergeCell ref="A32:H32"/>
    <mergeCell ref="A34:H34"/>
    <mergeCell ref="A16:H16"/>
    <mergeCell ref="A17:H17"/>
    <mergeCell ref="A18:H18"/>
    <mergeCell ref="A19:H19"/>
    <mergeCell ref="A20:H20"/>
    <mergeCell ref="A1:H1"/>
    <mergeCell ref="A2:H2"/>
    <mergeCell ref="A3:H3"/>
    <mergeCell ref="A14:H14"/>
    <mergeCell ref="A15:H15"/>
  </mergeCells>
  <conditionalFormatting sqref="B37:B66">
    <cfRule type="expression" dxfId="5" priority="1">
      <formula>B37="PASS"</formula>
    </cfRule>
    <cfRule type="expression" dxfId="4" priority="2">
      <formula>B37="OPEN"</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0"/>
  <sheetViews>
    <sheetView workbookViewId="0"/>
  </sheetViews>
  <sheetFormatPr defaultRowHeight="14.25"/>
  <sheetData>
    <row r="1" spans="1:6" ht="234">
      <c r="A1" s="96" t="s">
        <v>12884</v>
      </c>
      <c r="B1" s="96"/>
      <c r="C1" s="96"/>
      <c r="D1" s="96"/>
      <c r="E1" s="96"/>
      <c r="F1" s="96"/>
    </row>
    <row r="2" spans="1:6">
      <c r="A2" s="2"/>
      <c r="B2" s="2"/>
      <c r="C2" s="2"/>
      <c r="D2" s="2"/>
      <c r="E2" s="2"/>
      <c r="F2" s="2"/>
    </row>
    <row r="3" spans="1:6" ht="60">
      <c r="A3" s="97" t="s">
        <v>12420</v>
      </c>
      <c r="B3" s="97" t="s">
        <v>1639</v>
      </c>
      <c r="C3" s="97" t="s">
        <v>769</v>
      </c>
      <c r="D3" s="97" t="s">
        <v>12885</v>
      </c>
      <c r="E3" s="97" t="s">
        <v>12886</v>
      </c>
      <c r="F3" s="97" t="s">
        <v>9318</v>
      </c>
    </row>
    <row r="4" spans="1:6" ht="71.25">
      <c r="A4" s="2" t="s">
        <v>12887</v>
      </c>
      <c r="B4" s="2" t="s">
        <v>93</v>
      </c>
      <c r="C4" s="2" t="s">
        <v>12888</v>
      </c>
      <c r="D4" s="2" t="s">
        <v>8639</v>
      </c>
      <c r="E4" s="2" t="s">
        <v>12889</v>
      </c>
      <c r="F4" s="2" t="s">
        <v>12890</v>
      </c>
    </row>
    <row r="5" spans="1:6" ht="85.5">
      <c r="A5" s="2" t="s">
        <v>12887</v>
      </c>
      <c r="B5" s="2" t="s">
        <v>113</v>
      </c>
      <c r="C5" s="2" t="s">
        <v>12888</v>
      </c>
      <c r="D5" s="2" t="s">
        <v>12891</v>
      </c>
      <c r="E5" s="2" t="s">
        <v>12892</v>
      </c>
      <c r="F5" s="2"/>
    </row>
    <row r="6" spans="1:6" ht="71.25">
      <c r="A6" s="2" t="s">
        <v>12887</v>
      </c>
      <c r="B6" s="2" t="s">
        <v>113</v>
      </c>
      <c r="C6" s="2" t="s">
        <v>12888</v>
      </c>
      <c r="D6" s="2" t="s">
        <v>9008</v>
      </c>
      <c r="E6" s="2" t="s">
        <v>12893</v>
      </c>
      <c r="F6" s="2"/>
    </row>
    <row r="7" spans="1:6" ht="71.25">
      <c r="A7" s="2" t="s">
        <v>12887</v>
      </c>
      <c r="B7" s="2" t="s">
        <v>102</v>
      </c>
      <c r="C7" s="2" t="s">
        <v>12894</v>
      </c>
      <c r="D7" s="2" t="s">
        <v>8960</v>
      </c>
      <c r="E7" s="2" t="s">
        <v>12895</v>
      </c>
      <c r="F7" s="2" t="s">
        <v>12896</v>
      </c>
    </row>
    <row r="8" spans="1:6" ht="71.25">
      <c r="A8" s="2" t="s">
        <v>12887</v>
      </c>
      <c r="B8" s="2" t="s">
        <v>120</v>
      </c>
      <c r="C8" s="2" t="s">
        <v>12897</v>
      </c>
      <c r="D8" s="2" t="s">
        <v>1446</v>
      </c>
      <c r="E8" s="2" t="s">
        <v>12898</v>
      </c>
      <c r="F8" s="2" t="s">
        <v>12896</v>
      </c>
    </row>
    <row r="9" spans="1:6" ht="71.25">
      <c r="A9" s="2" t="s">
        <v>12887</v>
      </c>
      <c r="B9" s="2" t="s">
        <v>120</v>
      </c>
      <c r="C9" s="2" t="s">
        <v>12888</v>
      </c>
      <c r="D9" s="2" t="s">
        <v>12899</v>
      </c>
      <c r="E9" s="2" t="s">
        <v>12900</v>
      </c>
      <c r="F9" s="2" t="s">
        <v>12901</v>
      </c>
    </row>
    <row r="10" spans="1:6" ht="99.75">
      <c r="A10" s="2" t="s">
        <v>12902</v>
      </c>
      <c r="B10" s="2" t="s">
        <v>119</v>
      </c>
      <c r="C10" s="2" t="s">
        <v>12903</v>
      </c>
      <c r="D10" s="2" t="s">
        <v>12904</v>
      </c>
      <c r="E10" s="2" t="s">
        <v>12905</v>
      </c>
      <c r="F10" s="2" t="s">
        <v>12906</v>
      </c>
    </row>
    <row r="11" spans="1:6" ht="256.5">
      <c r="A11" s="2" t="s">
        <v>12907</v>
      </c>
      <c r="B11" s="2" t="s">
        <v>119</v>
      </c>
      <c r="C11" s="2" t="s">
        <v>12908</v>
      </c>
      <c r="D11" s="2" t="s">
        <v>12909</v>
      </c>
      <c r="E11" s="2" t="s">
        <v>12910</v>
      </c>
      <c r="F11" s="2" t="s">
        <v>12911</v>
      </c>
    </row>
    <row r="12" spans="1:6" ht="270.75">
      <c r="A12" s="2" t="s">
        <v>12907</v>
      </c>
      <c r="B12" s="2" t="s">
        <v>119</v>
      </c>
      <c r="C12" s="2" t="s">
        <v>12912</v>
      </c>
      <c r="D12" s="2" t="s">
        <v>12913</v>
      </c>
      <c r="E12" s="2" t="s">
        <v>12914</v>
      </c>
      <c r="F12" s="2" t="s">
        <v>12911</v>
      </c>
    </row>
    <row r="13" spans="1:6" ht="242.25">
      <c r="A13" s="2" t="s">
        <v>12915</v>
      </c>
      <c r="B13" s="2" t="s">
        <v>119</v>
      </c>
      <c r="C13" s="2" t="s">
        <v>12912</v>
      </c>
      <c r="D13" s="2" t="s">
        <v>12916</v>
      </c>
      <c r="E13" s="2" t="s">
        <v>12917</v>
      </c>
      <c r="F13" s="2" t="s">
        <v>12911</v>
      </c>
    </row>
    <row r="14" spans="1:6" ht="57">
      <c r="A14" s="2" t="s">
        <v>12918</v>
      </c>
      <c r="B14" s="2" t="s">
        <v>12919</v>
      </c>
      <c r="C14" s="2" t="s">
        <v>12920</v>
      </c>
      <c r="D14" s="2" t="s">
        <v>12921</v>
      </c>
      <c r="E14" s="2" t="s">
        <v>12922</v>
      </c>
      <c r="F14" s="2" t="s">
        <v>12923</v>
      </c>
    </row>
    <row r="15" spans="1:6" ht="71.25">
      <c r="A15" s="2" t="s">
        <v>12887</v>
      </c>
      <c r="B15" s="2" t="s">
        <v>84</v>
      </c>
      <c r="C15" s="2" t="s">
        <v>249</v>
      </c>
      <c r="D15" s="2" t="s">
        <v>10211</v>
      </c>
      <c r="E15" s="2" t="s">
        <v>12924</v>
      </c>
      <c r="F15" s="2"/>
    </row>
    <row r="16" spans="1:6" ht="57">
      <c r="A16" s="2" t="s">
        <v>12925</v>
      </c>
      <c r="B16" s="2" t="s">
        <v>86</v>
      </c>
      <c r="C16" s="2" t="s">
        <v>249</v>
      </c>
      <c r="D16" s="2" t="s">
        <v>12926</v>
      </c>
      <c r="E16" s="2" t="s">
        <v>12927</v>
      </c>
      <c r="F16" s="2"/>
    </row>
    <row r="17" spans="1:6" ht="57">
      <c r="A17" s="2" t="s">
        <v>12928</v>
      </c>
      <c r="B17" s="2" t="s">
        <v>10396</v>
      </c>
      <c r="C17" s="2" t="s">
        <v>249</v>
      </c>
      <c r="D17" s="2" t="s">
        <v>12929</v>
      </c>
      <c r="E17" s="2" t="s">
        <v>12930</v>
      </c>
      <c r="F17" s="2"/>
    </row>
    <row r="18" spans="1:6" ht="114">
      <c r="A18" s="2" t="s">
        <v>12887</v>
      </c>
      <c r="B18" s="2" t="s">
        <v>98</v>
      </c>
      <c r="C18" s="2" t="s">
        <v>8643</v>
      </c>
      <c r="D18" s="2" t="s">
        <v>12931</v>
      </c>
      <c r="E18" s="2" t="s">
        <v>12932</v>
      </c>
      <c r="F18" s="2" t="s">
        <v>12933</v>
      </c>
    </row>
    <row r="19" spans="1:6">
      <c r="A19" s="2"/>
      <c r="B19" s="2"/>
      <c r="C19" s="2"/>
      <c r="D19" s="2"/>
      <c r="E19" s="2"/>
      <c r="F19" s="2"/>
    </row>
    <row r="20" spans="1:6">
      <c r="A20" s="2"/>
      <c r="B20" s="2"/>
      <c r="C20" s="2"/>
      <c r="D20" s="2"/>
      <c r="E20" s="2"/>
      <c r="F20" s="2"/>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workbookViewId="0"/>
  </sheetViews>
  <sheetFormatPr defaultRowHeight="14.25"/>
  <cols>
    <col min="1" max="8" width="28" customWidth="1"/>
  </cols>
  <sheetData>
    <row r="1" spans="1:8" ht="45">
      <c r="A1" s="98" t="s">
        <v>12934</v>
      </c>
      <c r="B1" s="98"/>
      <c r="C1" s="98"/>
      <c r="D1" s="98"/>
      <c r="E1" s="98"/>
      <c r="F1" s="98"/>
      <c r="G1" s="98"/>
      <c r="H1" s="98"/>
    </row>
    <row r="2" spans="1:8">
      <c r="A2" s="2"/>
      <c r="B2" s="2"/>
      <c r="C2" s="2"/>
      <c r="D2" s="2"/>
      <c r="E2" s="2"/>
      <c r="F2" s="2"/>
      <c r="G2" s="2"/>
      <c r="H2" s="2"/>
    </row>
    <row r="3" spans="1:8" ht="15">
      <c r="A3" s="98" t="s">
        <v>767</v>
      </c>
      <c r="B3" s="98" t="s">
        <v>12935</v>
      </c>
      <c r="C3" s="98" t="s">
        <v>770</v>
      </c>
      <c r="D3" s="98" t="s">
        <v>12936</v>
      </c>
      <c r="E3" s="98" t="s">
        <v>12937</v>
      </c>
      <c r="F3" s="98" t="s">
        <v>12938</v>
      </c>
      <c r="G3" s="98" t="s">
        <v>8590</v>
      </c>
      <c r="H3" s="98" t="s">
        <v>12939</v>
      </c>
    </row>
    <row r="4" spans="1:8" ht="42.75">
      <c r="A4" s="2" t="s">
        <v>451</v>
      </c>
      <c r="B4" s="2" t="s">
        <v>109</v>
      </c>
      <c r="C4" s="2" t="s">
        <v>12940</v>
      </c>
      <c r="D4" s="2" t="s">
        <v>12941</v>
      </c>
      <c r="E4" s="2" t="s">
        <v>12942</v>
      </c>
      <c r="F4" s="2" t="s">
        <v>12943</v>
      </c>
      <c r="G4" s="2" t="s">
        <v>12944</v>
      </c>
      <c r="H4" s="2" t="s">
        <v>12945</v>
      </c>
    </row>
    <row r="5" spans="1:8" ht="71.25">
      <c r="A5" s="2" t="s">
        <v>491</v>
      </c>
      <c r="B5" s="2" t="s">
        <v>119</v>
      </c>
      <c r="C5" s="2" t="s">
        <v>12946</v>
      </c>
      <c r="D5" s="2" t="s">
        <v>12947</v>
      </c>
      <c r="E5" s="2" t="s">
        <v>12948</v>
      </c>
      <c r="F5" s="2" t="s">
        <v>12949</v>
      </c>
      <c r="G5" s="2" t="s">
        <v>12950</v>
      </c>
      <c r="H5" s="2" t="s">
        <v>12951</v>
      </c>
    </row>
    <row r="6" spans="1:8" ht="57">
      <c r="A6" s="2" t="s">
        <v>504</v>
      </c>
      <c r="B6" s="2" t="s">
        <v>105</v>
      </c>
      <c r="C6" s="2" t="s">
        <v>12952</v>
      </c>
      <c r="D6" s="2" t="s">
        <v>12953</v>
      </c>
      <c r="E6" s="2" t="s">
        <v>12954</v>
      </c>
      <c r="F6" s="2" t="s">
        <v>12955</v>
      </c>
      <c r="G6" s="2" t="s">
        <v>12956</v>
      </c>
      <c r="H6" s="2" t="s">
        <v>12957</v>
      </c>
    </row>
    <row r="7" spans="1:8">
      <c r="A7" s="2"/>
      <c r="B7" s="2"/>
      <c r="C7" s="2"/>
      <c r="D7" s="2"/>
      <c r="E7" s="2"/>
      <c r="F7" s="2"/>
      <c r="G7" s="2"/>
      <c r="H7" s="2"/>
    </row>
    <row r="8" spans="1:8" ht="15">
      <c r="A8" s="98" t="s">
        <v>12958</v>
      </c>
      <c r="B8" s="98" t="s">
        <v>12959</v>
      </c>
      <c r="C8" s="98" t="s">
        <v>12960</v>
      </c>
      <c r="D8" s="98" t="s">
        <v>12961</v>
      </c>
      <c r="E8" s="98" t="s">
        <v>12962</v>
      </c>
      <c r="F8" s="98" t="s">
        <v>8669</v>
      </c>
      <c r="G8" s="98" t="s">
        <v>12963</v>
      </c>
      <c r="H8" s="98" t="s">
        <v>54</v>
      </c>
    </row>
    <row r="9" spans="1:8" ht="42.75">
      <c r="A9" s="2" t="s">
        <v>12964</v>
      </c>
      <c r="B9" s="2" t="s">
        <v>12965</v>
      </c>
      <c r="C9" s="2" t="s">
        <v>12966</v>
      </c>
      <c r="D9" s="2" t="s">
        <v>12967</v>
      </c>
      <c r="E9" s="2" t="s">
        <v>12968</v>
      </c>
      <c r="F9" s="2" t="s">
        <v>12969</v>
      </c>
      <c r="G9" s="2" t="s">
        <v>12970</v>
      </c>
      <c r="H9" s="2" t="s">
        <v>12971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Current Authority</vt:lpstr>
      <vt:lpstr>Backlog</vt:lpstr>
      <vt:lpstr>Release Plan</vt:lpstr>
      <vt:lpstr>Worker Tracks</vt:lpstr>
      <vt:lpstr>Requirement Traceability</vt:lpstr>
      <vt:lpstr>Dependency Graph</vt:lpstr>
      <vt:lpstr>Prior Baseline Archive</vt:lpstr>
      <vt:lpstr>Governance</vt:lpstr>
      <vt:lpstr>Method &amp; Notes</vt:lpstr>
      <vt:lpstr>Commit Ledger</vt:lpstr>
      <vt:lpstr>Backlog Change Log</vt:lpstr>
      <vt:lpstr>Verified Task Ledger</vt:lpstr>
      <vt:lpstr>Phase Worker v220</vt:lpstr>
      <vt:lpstr>Dashboard v220</vt:lpstr>
      <vt:lpstr>Capability Map v1.1</vt:lpstr>
      <vt:lpstr>Retired Tasks v222</vt:lpstr>
      <vt:lpstr>Revision Changes v222</vt:lpstr>
      <vt:lpstr>Phase Worker v222</vt:lpstr>
      <vt:lpstr>Prior Notes v222</vt:lpstr>
      <vt:lpstr>Dashboard v222</vt:lpstr>
      <vt:lpstr>Contract Handoffs</vt:lpstr>
      <vt:lpstr>Estimate Review</vt:lpstr>
      <vt:lpstr>Repair Changes v2221</vt:lpstr>
      <vt:lpstr>External Prerequisites</vt:lpstr>
      <vt:lpstr>Secondary Capability Links</vt:lpstr>
      <vt:lpstr>UI Coverage v223</vt:lpstr>
      <vt:lpstr>UI Controls v223</vt:lpstr>
      <vt:lpstr>Changes v223</vt:lpstr>
      <vt:lpstr>UI Delivery v223</vt:lpstr>
      <vt:lpstr>Book Register</vt:lpstr>
      <vt:lpstr>Book Validation</vt:lpstr>
      <vt:lpstr>Task Evidence 15Sep</vt:lpstr>
      <vt:lpstr>M2-P2 Review</vt:lpstr>
      <vt:lpstr>Review 15Sep</vt:lpstr>
      <vt:lpstr>Cell Changes 15Sep</vt:lpstr>
      <vt:lpstr>Source Review</vt:lpstr>
      <vt:lpstr>Source Evidence</vt:lpstr>
      <vt:lpstr>Source Summary</vt:lpstr>
      <vt:lpstr>Authority Reconciliation 17Sep</vt:lpstr>
      <vt:lpstr>Worker Start 17Sep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Elsayed, Karim (SMS group GmbH)</dc:creator>
  <cp:lastModifiedBy>Elsayed, Karim (SMS group GmbH)</cp:lastModifiedBy>
  <dcterms:created xsi:type="dcterms:W3CDTF">2026-09-17T09:00:47Z</dcterms:created>
  <dcterms:modified xsi:type="dcterms:W3CDTF">2026-09-20T09:06:39Z</dcterms:modified>
</cp:coreProperties>
</file>